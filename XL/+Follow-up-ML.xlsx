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xxLinux\01 FIN\"/>
    </mc:Choice>
  </mc:AlternateContent>
  <xr:revisionPtr revIDLastSave="0" documentId="13_ncr:1_{46694555-0119-449F-AE93-9B82A4247B8F}" xr6:coauthVersionLast="47" xr6:coauthVersionMax="47" xr10:uidLastSave="{00000000-0000-0000-0000-000000000000}"/>
  <bookViews>
    <workbookView xWindow="-28920" yWindow="-1980" windowWidth="29040" windowHeight="17520" tabRatio="500" activeTab="1" xr2:uid="{00000000-000D-0000-FFFF-FFFF00000000}"/>
  </bookViews>
  <sheets>
    <sheet name="26-1-08" sheetId="22" r:id="rId1"/>
    <sheet name="26-1-07" sheetId="1" r:id="rId2"/>
    <sheet name="AVR" sheetId="2" r:id="rId3"/>
    <sheet name="26-1-06" sheetId="3" r:id="rId4"/>
    <sheet name="26-1-05" sheetId="4" r:id="rId5"/>
    <sheet name="26-1-04" sheetId="5" r:id="rId6"/>
    <sheet name="26-1-03" sheetId="6" r:id="rId7"/>
    <sheet name="26-1-02" sheetId="7" r:id="rId8"/>
    <sheet name="26-1-01" sheetId="8" r:id="rId9"/>
    <sheet name="25-4-12" sheetId="9" r:id="rId10"/>
    <sheet name="25-4-11" sheetId="10" r:id="rId11"/>
    <sheet name="25-4-10" sheetId="11" r:id="rId12"/>
    <sheet name="25-4-09" sheetId="12" r:id="rId13"/>
    <sheet name="25-4-08" sheetId="13" r:id="rId14"/>
    <sheet name="25-4-07" sheetId="14" r:id="rId15"/>
    <sheet name="25-4-06" sheetId="15" r:id="rId16"/>
    <sheet name="25-4-05" sheetId="16" r:id="rId17"/>
    <sheet name="25-4-04" sheetId="17" r:id="rId18"/>
    <sheet name="25-4-03" sheetId="18" r:id="rId19"/>
    <sheet name="25-4-02" sheetId="19" r:id="rId20"/>
    <sheet name="25-4-01" sheetId="20" r:id="rId21"/>
    <sheet name="FIG" sheetId="21" r:id="rId2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35" i="22" l="1"/>
  <c r="X35" i="22"/>
  <c r="V35" i="22"/>
  <c r="T35" i="22"/>
  <c r="R35" i="22"/>
  <c r="P35" i="22"/>
  <c r="Y34" i="22"/>
  <c r="W34" i="22"/>
  <c r="AA32" i="22"/>
  <c r="S32" i="22"/>
  <c r="Y31" i="22"/>
  <c r="S31" i="22"/>
  <c r="Q31" i="22"/>
  <c r="Q30" i="22"/>
  <c r="O30" i="22"/>
  <c r="Q29" i="22"/>
  <c r="O29" i="22"/>
  <c r="AA28" i="22"/>
  <c r="S28" i="22"/>
  <c r="AA27" i="22"/>
  <c r="Y27" i="22"/>
  <c r="Q27" i="22"/>
  <c r="Y26" i="22"/>
  <c r="W26" i="22"/>
  <c r="A26" i="22"/>
  <c r="Y25" i="22"/>
  <c r="Y28" i="22" s="1"/>
  <c r="W25" i="22"/>
  <c r="W27" i="22" s="1"/>
  <c r="U25" i="22"/>
  <c r="U34" i="22" s="1"/>
  <c r="S25" i="22"/>
  <c r="S33" i="22" s="1"/>
  <c r="Q25" i="22"/>
  <c r="Q32" i="22" s="1"/>
  <c r="A25" i="22"/>
  <c r="AA24" i="22"/>
  <c r="AA29" i="22" s="1"/>
  <c r="G23" i="22"/>
  <c r="E23" i="22"/>
  <c r="C23" i="22"/>
  <c r="G22" i="22"/>
  <c r="E22" i="22"/>
  <c r="C22" i="22"/>
  <c r="Z21" i="22"/>
  <c r="V21" i="22"/>
  <c r="R21" i="22"/>
  <c r="G21" i="22"/>
  <c r="E21" i="22"/>
  <c r="C21" i="22"/>
  <c r="T20" i="22"/>
  <c r="O20" i="22"/>
  <c r="G20" i="22"/>
  <c r="E20" i="22"/>
  <c r="C20" i="22"/>
  <c r="X19" i="22"/>
  <c r="T19" i="22"/>
  <c r="P19" i="22"/>
  <c r="G19" i="22"/>
  <c r="F25" i="22" s="1" a="1"/>
  <c r="F25" i="22" s="1"/>
  <c r="E19" i="22"/>
  <c r="D25" i="22" s="1" a="1"/>
  <c r="D25" i="22" s="1"/>
  <c r="C19" i="22"/>
  <c r="B25" i="22" s="1" a="1"/>
  <c r="B25" i="22" s="1"/>
  <c r="I18" i="22"/>
  <c r="G18" i="22"/>
  <c r="F26" i="22" s="1" a="1"/>
  <c r="F26" i="22" s="1"/>
  <c r="E18" i="22"/>
  <c r="D26" i="22" s="1" a="1"/>
  <c r="D26" i="22" s="1"/>
  <c r="C18" i="22"/>
  <c r="B26" i="22" s="1" a="1"/>
  <c r="B26" i="22" s="1"/>
  <c r="Z17" i="22"/>
  <c r="V17" i="22"/>
  <c r="R17" i="22"/>
  <c r="O17" i="22"/>
  <c r="A17" i="22"/>
  <c r="X16" i="22"/>
  <c r="T16" i="22"/>
  <c r="P16" i="22"/>
  <c r="Z15" i="22"/>
  <c r="R15" i="22"/>
  <c r="G15" i="22"/>
  <c r="Z14" i="22"/>
  <c r="R14" i="22"/>
  <c r="G14" i="22"/>
  <c r="G13" i="22"/>
  <c r="G12" i="22"/>
  <c r="P11" i="22"/>
  <c r="G11" i="22"/>
  <c r="Z10" i="22"/>
  <c r="AA10" i="22" s="1"/>
  <c r="X10" i="22"/>
  <c r="X22" i="22" s="1"/>
  <c r="V10" i="22"/>
  <c r="W10" i="22" s="1"/>
  <c r="T10" i="22"/>
  <c r="T22" i="22" s="1"/>
  <c r="R10" i="22"/>
  <c r="S1" i="22" s="1"/>
  <c r="Q10" i="22"/>
  <c r="P10" i="22"/>
  <c r="P22" i="22" s="1"/>
  <c r="O10" i="22"/>
  <c r="O22" i="22" s="1"/>
  <c r="O34" i="22" s="1"/>
  <c r="G10" i="22"/>
  <c r="Z9" i="22"/>
  <c r="AA9" i="22" s="1"/>
  <c r="X9" i="22"/>
  <c r="X21" i="22" s="1"/>
  <c r="V9" i="22"/>
  <c r="T9" i="22"/>
  <c r="AC9" i="22" s="1"/>
  <c r="R9" i="22"/>
  <c r="P9" i="22"/>
  <c r="P21" i="22" s="1"/>
  <c r="O9" i="22"/>
  <c r="O33" i="22" s="1"/>
  <c r="L9" i="22"/>
  <c r="AD8" i="22"/>
  <c r="Z8" i="22"/>
  <c r="Z20" i="22" s="1"/>
  <c r="X8" i="22"/>
  <c r="X20" i="22" s="1"/>
  <c r="V8" i="22"/>
  <c r="V20" i="22" s="1"/>
  <c r="T8" i="22"/>
  <c r="R8" i="22"/>
  <c r="R20" i="22" s="1"/>
  <c r="P8" i="22"/>
  <c r="P20" i="22" s="1"/>
  <c r="O8" i="22"/>
  <c r="O32" i="22" s="1"/>
  <c r="AD7" i="22"/>
  <c r="Z7" i="22"/>
  <c r="Z19" i="22" s="1"/>
  <c r="X7" i="22"/>
  <c r="V7" i="22"/>
  <c r="V19" i="22" s="1"/>
  <c r="T7" i="22"/>
  <c r="R7" i="22"/>
  <c r="AC7" i="22" s="1"/>
  <c r="P7" i="22"/>
  <c r="O7" i="22"/>
  <c r="O31" i="22" s="1"/>
  <c r="AD6" i="22"/>
  <c r="Z6" i="22"/>
  <c r="AA6" i="22" s="1"/>
  <c r="X6" i="22"/>
  <c r="X18" i="22" s="1"/>
  <c r="V6" i="22"/>
  <c r="V18" i="22" s="1"/>
  <c r="T6" i="22"/>
  <c r="T18" i="22" s="1"/>
  <c r="R6" i="22"/>
  <c r="AC6" i="22" s="1"/>
  <c r="P6" i="22"/>
  <c r="P18" i="22" s="1"/>
  <c r="O6" i="22"/>
  <c r="O18" i="22" s="1"/>
  <c r="AD5" i="22"/>
  <c r="Z5" i="22"/>
  <c r="AA5" i="22" s="1"/>
  <c r="X5" i="22"/>
  <c r="X17" i="22" s="1"/>
  <c r="V5" i="22"/>
  <c r="T5" i="22"/>
  <c r="T17" i="22" s="1"/>
  <c r="R5" i="22"/>
  <c r="AC5" i="22" s="1"/>
  <c r="P5" i="22"/>
  <c r="P17" i="22" s="1"/>
  <c r="O5" i="22"/>
  <c r="AD4" i="22"/>
  <c r="Z4" i="22"/>
  <c r="Z16" i="22" s="1"/>
  <c r="X4" i="22"/>
  <c r="V4" i="22"/>
  <c r="V16" i="22" s="1"/>
  <c r="T4" i="22"/>
  <c r="R4" i="22"/>
  <c r="AC4" i="22" s="1"/>
  <c r="P4" i="22"/>
  <c r="O4" i="22"/>
  <c r="O16" i="22" s="1"/>
  <c r="AD3" i="22"/>
  <c r="Z3" i="22"/>
  <c r="AA3" i="22" s="1"/>
  <c r="X3" i="22"/>
  <c r="X15" i="22" s="1"/>
  <c r="V3" i="22"/>
  <c r="V15" i="22" s="1"/>
  <c r="T3" i="22"/>
  <c r="T15" i="22" s="1"/>
  <c r="R3" i="22"/>
  <c r="AC3" i="22" s="1"/>
  <c r="P3" i="22"/>
  <c r="P15" i="22" s="1"/>
  <c r="O3" i="22"/>
  <c r="O15" i="22" s="1"/>
  <c r="AD2" i="22"/>
  <c r="Z2" i="22"/>
  <c r="I23" i="22" s="1"/>
  <c r="X2" i="22"/>
  <c r="X14" i="22" s="1"/>
  <c r="V2" i="22"/>
  <c r="W1" i="22" s="1"/>
  <c r="T2" i="22"/>
  <c r="U1" i="22" s="1"/>
  <c r="R2" i="22"/>
  <c r="AC2" i="22" s="1"/>
  <c r="P2" i="22"/>
  <c r="P14" i="22" s="1"/>
  <c r="O2" i="22"/>
  <c r="O14" i="22" s="1"/>
  <c r="AA1" i="22"/>
  <c r="AA8" i="22" s="1"/>
  <c r="Y1" i="22"/>
  <c r="Y8" i="22" s="1"/>
  <c r="Q1" i="22"/>
  <c r="Q8" i="22" s="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E3" i="21"/>
  <c r="D3" i="21"/>
  <c r="C3" i="21"/>
  <c r="B3" i="21"/>
  <c r="A3" i="21"/>
  <c r="C27" i="20"/>
  <c r="C26" i="20"/>
  <c r="W24" i="20"/>
  <c r="U24" i="20"/>
  <c r="S24" i="20"/>
  <c r="Q24" i="20"/>
  <c r="O24" i="20"/>
  <c r="Z24" i="20" s="1" a="1"/>
  <c r="Z24" i="20" s="1"/>
  <c r="M24" i="20"/>
  <c r="AA24" i="20" s="1" a="1"/>
  <c r="AA24" i="20" s="1"/>
  <c r="L24" i="20"/>
  <c r="W23" i="20"/>
  <c r="U23" i="20"/>
  <c r="S23" i="20"/>
  <c r="Q23" i="20"/>
  <c r="O23" i="20"/>
  <c r="Z23" i="20" s="1" a="1"/>
  <c r="Z23" i="20" s="1"/>
  <c r="M23" i="20"/>
  <c r="L23" i="20"/>
  <c r="W22" i="20"/>
  <c r="U22" i="20"/>
  <c r="Z22" i="20" s="1" a="1"/>
  <c r="Z22" i="20" s="1"/>
  <c r="S22" i="20"/>
  <c r="Q22" i="20"/>
  <c r="O22" i="20"/>
  <c r="M22" i="20"/>
  <c r="AA22" i="20" s="1" a="1"/>
  <c r="AA22" i="20" s="1"/>
  <c r="L22" i="20"/>
  <c r="L21" i="20"/>
  <c r="AA20" i="20"/>
  <c r="Z20" i="20"/>
  <c r="S18" i="20"/>
  <c r="W17" i="20"/>
  <c r="O17" i="20"/>
  <c r="W16" i="20"/>
  <c r="S16" i="20"/>
  <c r="O16" i="20"/>
  <c r="E16" i="20"/>
  <c r="U15" i="20"/>
  <c r="M15" i="20"/>
  <c r="C15" i="20"/>
  <c r="U14" i="20"/>
  <c r="Q14" i="20"/>
  <c r="M14" i="20"/>
  <c r="S13" i="20"/>
  <c r="G13" i="20"/>
  <c r="E13" i="20"/>
  <c r="W12" i="20"/>
  <c r="S12" i="20"/>
  <c r="O12" i="20"/>
  <c r="E12" i="20"/>
  <c r="C12" i="20"/>
  <c r="L11" i="20"/>
  <c r="W8" i="20"/>
  <c r="W18" i="20" s="1"/>
  <c r="U8" i="20"/>
  <c r="U18" i="20" s="1"/>
  <c r="S8" i="20"/>
  <c r="Q8" i="20"/>
  <c r="O8" i="20"/>
  <c r="O18" i="20" s="1"/>
  <c r="M8" i="20"/>
  <c r="W7" i="20"/>
  <c r="U7" i="20"/>
  <c r="U17" i="20" s="1"/>
  <c r="S7" i="20"/>
  <c r="S17" i="20" s="1"/>
  <c r="Q7" i="20"/>
  <c r="O7" i="20"/>
  <c r="M7" i="20"/>
  <c r="W6" i="20"/>
  <c r="U6" i="20"/>
  <c r="U16" i="20" s="1"/>
  <c r="S6" i="20"/>
  <c r="Q6" i="20"/>
  <c r="Q16" i="20" s="1"/>
  <c r="O6" i="20"/>
  <c r="M6" i="20"/>
  <c r="M16" i="20" s="1"/>
  <c r="I6" i="20"/>
  <c r="G16" i="20" s="1"/>
  <c r="W5" i="20"/>
  <c r="W15" i="20" s="1"/>
  <c r="U5" i="20"/>
  <c r="S5" i="20"/>
  <c r="Q5" i="20"/>
  <c r="Q15" i="20" s="1"/>
  <c r="O5" i="20"/>
  <c r="M5" i="20"/>
  <c r="I5" i="20"/>
  <c r="G15" i="20" s="1"/>
  <c r="W4" i="20"/>
  <c r="W14" i="20" s="1"/>
  <c r="U4" i="20"/>
  <c r="S4" i="20"/>
  <c r="S14" i="20" s="1"/>
  <c r="Q4" i="20"/>
  <c r="O4" i="20"/>
  <c r="P1" i="20" s="1"/>
  <c r="M4" i="20"/>
  <c r="I4" i="20"/>
  <c r="W3" i="20"/>
  <c r="W13" i="20" s="1"/>
  <c r="U3" i="20"/>
  <c r="S3" i="20"/>
  <c r="Q3" i="20"/>
  <c r="Q13" i="20" s="1"/>
  <c r="O3" i="20"/>
  <c r="O13" i="20" s="1"/>
  <c r="M3" i="20"/>
  <c r="I3" i="20"/>
  <c r="O21" i="20" s="1"/>
  <c r="P20" i="20" s="1"/>
  <c r="W2" i="20"/>
  <c r="U2" i="20"/>
  <c r="U12" i="20" s="1"/>
  <c r="S2" i="20"/>
  <c r="Q2" i="20"/>
  <c r="Q12" i="20" s="1"/>
  <c r="O2" i="20"/>
  <c r="M2" i="20"/>
  <c r="M12" i="20" s="1"/>
  <c r="I2" i="20"/>
  <c r="M21" i="20" s="1"/>
  <c r="C27" i="19"/>
  <c r="C26" i="19"/>
  <c r="W24" i="19"/>
  <c r="U24" i="19"/>
  <c r="Z24" i="19" s="1" a="1"/>
  <c r="Z24" i="19" s="1"/>
  <c r="S24" i="19"/>
  <c r="Q24" i="19"/>
  <c r="O24" i="19"/>
  <c r="M24" i="19"/>
  <c r="AA24" i="19" s="1" a="1"/>
  <c r="AA24" i="19" s="1"/>
  <c r="L24" i="19"/>
  <c r="Z23" i="19" a="1"/>
  <c r="Z23" i="19" s="1"/>
  <c r="W23" i="19"/>
  <c r="U23" i="19"/>
  <c r="S23" i="19"/>
  <c r="Q23" i="19"/>
  <c r="O23" i="19"/>
  <c r="M23" i="19"/>
  <c r="AA23" i="19" s="1" a="1"/>
  <c r="AA23" i="19" s="1"/>
  <c r="L23" i="19"/>
  <c r="W22" i="19"/>
  <c r="U22" i="19"/>
  <c r="S22" i="19"/>
  <c r="Q22" i="19"/>
  <c r="O22" i="19"/>
  <c r="Z22" i="19" s="1" a="1"/>
  <c r="Z22" i="19" s="1"/>
  <c r="M22" i="19"/>
  <c r="L22" i="19"/>
  <c r="L21" i="19"/>
  <c r="AA20" i="19"/>
  <c r="Z20" i="19"/>
  <c r="Q18" i="19"/>
  <c r="W16" i="19"/>
  <c r="U16" i="19"/>
  <c r="Q16" i="19"/>
  <c r="O16" i="19"/>
  <c r="M16" i="19"/>
  <c r="S15" i="19"/>
  <c r="W14" i="19"/>
  <c r="S14" i="19"/>
  <c r="O14" i="19"/>
  <c r="U12" i="19"/>
  <c r="S12" i="19"/>
  <c r="Q12" i="19"/>
  <c r="M12" i="19"/>
  <c r="L11" i="19"/>
  <c r="W8" i="19"/>
  <c r="U8" i="19"/>
  <c r="U18" i="19" s="1"/>
  <c r="S8" i="19"/>
  <c r="Q8" i="19"/>
  <c r="O8" i="19"/>
  <c r="M8" i="19"/>
  <c r="M18" i="19" s="1"/>
  <c r="W7" i="19"/>
  <c r="U7" i="19"/>
  <c r="U17" i="19" s="1"/>
  <c r="S7" i="19"/>
  <c r="Q7" i="19"/>
  <c r="Q17" i="19" s="1"/>
  <c r="O7" i="19"/>
  <c r="M7" i="19"/>
  <c r="M17" i="19" s="1"/>
  <c r="W6" i="19"/>
  <c r="U6" i="19"/>
  <c r="S6" i="19"/>
  <c r="S16" i="19" s="1"/>
  <c r="Q6" i="19"/>
  <c r="O6" i="19"/>
  <c r="M6" i="19"/>
  <c r="W5" i="19"/>
  <c r="W15" i="19" s="1"/>
  <c r="U5" i="19"/>
  <c r="S5" i="19"/>
  <c r="Q5" i="19"/>
  <c r="O5" i="19"/>
  <c r="M5" i="19"/>
  <c r="W4" i="19"/>
  <c r="U4" i="19"/>
  <c r="U14" i="19" s="1"/>
  <c r="S4" i="19"/>
  <c r="Q4" i="19"/>
  <c r="Q14" i="19" s="1"/>
  <c r="O4" i="19"/>
  <c r="M4" i="19"/>
  <c r="W3" i="19"/>
  <c r="V3" i="19"/>
  <c r="U3" i="19"/>
  <c r="U13" i="19" s="1"/>
  <c r="S3" i="19"/>
  <c r="Q3" i="19"/>
  <c r="O3" i="19"/>
  <c r="M3" i="19"/>
  <c r="W2" i="19"/>
  <c r="U2" i="19"/>
  <c r="S2" i="19"/>
  <c r="R2" i="19"/>
  <c r="Q2" i="19"/>
  <c r="O2" i="19"/>
  <c r="O12" i="19" s="1"/>
  <c r="M2" i="19"/>
  <c r="V1" i="19"/>
  <c r="R1" i="19"/>
  <c r="R4" i="19" s="1"/>
  <c r="C27" i="18"/>
  <c r="C26" i="18"/>
  <c r="W24" i="18"/>
  <c r="U24" i="18"/>
  <c r="S24" i="18"/>
  <c r="Q24" i="18"/>
  <c r="O24" i="18"/>
  <c r="M24" i="18"/>
  <c r="AA24" i="18" s="1" a="1"/>
  <c r="AA24" i="18" s="1"/>
  <c r="L24" i="18"/>
  <c r="W23" i="18"/>
  <c r="U23" i="18"/>
  <c r="S23" i="18"/>
  <c r="Q23" i="18"/>
  <c r="O23" i="18"/>
  <c r="Z23" i="18" s="1" a="1"/>
  <c r="Z23" i="18" s="1"/>
  <c r="M23" i="18"/>
  <c r="L23" i="18"/>
  <c r="W22" i="18"/>
  <c r="U22" i="18"/>
  <c r="S22" i="18"/>
  <c r="Q22" i="18"/>
  <c r="O22" i="18"/>
  <c r="Z22" i="18" s="1" a="1"/>
  <c r="Z22" i="18" s="1"/>
  <c r="M22" i="18"/>
  <c r="AA22" i="18" s="1" a="1"/>
  <c r="AA22" i="18" s="1"/>
  <c r="L22" i="18"/>
  <c r="L21" i="18"/>
  <c r="AA20" i="18"/>
  <c r="Z20" i="18"/>
  <c r="W18" i="18"/>
  <c r="O18" i="18"/>
  <c r="W16" i="18"/>
  <c r="U16" i="18"/>
  <c r="S16" i="18"/>
  <c r="O16" i="18"/>
  <c r="M16" i="18"/>
  <c r="Q15" i="18"/>
  <c r="U14" i="18"/>
  <c r="Q14" i="18"/>
  <c r="M14" i="18"/>
  <c r="W12" i="18"/>
  <c r="S12" i="18"/>
  <c r="Q12" i="18"/>
  <c r="O12" i="18"/>
  <c r="L11" i="18"/>
  <c r="W8" i="18"/>
  <c r="U8" i="18"/>
  <c r="S8" i="18"/>
  <c r="Q8" i="18"/>
  <c r="O8" i="18"/>
  <c r="M8" i="18"/>
  <c r="W7" i="18"/>
  <c r="W17" i="18" s="1"/>
  <c r="U7" i="18"/>
  <c r="S7" i="18"/>
  <c r="S17" i="18" s="1"/>
  <c r="Q7" i="18"/>
  <c r="O7" i="18"/>
  <c r="O17" i="18" s="1"/>
  <c r="M7" i="18"/>
  <c r="W6" i="18"/>
  <c r="U6" i="18"/>
  <c r="S6" i="18"/>
  <c r="Q6" i="18"/>
  <c r="Q16" i="18" s="1"/>
  <c r="O6" i="18"/>
  <c r="M6" i="18"/>
  <c r="W5" i="18"/>
  <c r="U5" i="18"/>
  <c r="S5" i="18"/>
  <c r="Q5" i="18"/>
  <c r="O5" i="18"/>
  <c r="M5" i="18"/>
  <c r="W4" i="18"/>
  <c r="W14" i="18" s="1"/>
  <c r="U4" i="18"/>
  <c r="S4" i="18"/>
  <c r="S14" i="18" s="1"/>
  <c r="Q4" i="18"/>
  <c r="O4" i="18"/>
  <c r="O14" i="18" s="1"/>
  <c r="M4" i="18"/>
  <c r="W3" i="18"/>
  <c r="U3" i="18"/>
  <c r="S3" i="18"/>
  <c r="S13" i="18" s="1"/>
  <c r="Q3" i="18"/>
  <c r="O3" i="18"/>
  <c r="M3" i="18"/>
  <c r="W2" i="18"/>
  <c r="U2" i="18"/>
  <c r="U12" i="18" s="1"/>
  <c r="S2" i="18"/>
  <c r="Q2" i="18"/>
  <c r="O2" i="18"/>
  <c r="M2" i="18"/>
  <c r="M12" i="18" s="1"/>
  <c r="T1" i="18"/>
  <c r="T3" i="18" s="1"/>
  <c r="C27" i="17"/>
  <c r="C26" i="17"/>
  <c r="Z24" i="17" a="1"/>
  <c r="Z24" i="17" s="1"/>
  <c r="W24" i="17"/>
  <c r="U24" i="17"/>
  <c r="S24" i="17"/>
  <c r="Q24" i="17"/>
  <c r="O24" i="17"/>
  <c r="M24" i="17"/>
  <c r="L24" i="17"/>
  <c r="W23" i="17"/>
  <c r="U23" i="17"/>
  <c r="S23" i="17"/>
  <c r="Q23" i="17"/>
  <c r="O23" i="17"/>
  <c r="Z23" i="17" s="1" a="1"/>
  <c r="Z23" i="17" s="1"/>
  <c r="M23" i="17"/>
  <c r="AA23" i="17" s="1" a="1"/>
  <c r="AA23" i="17" s="1"/>
  <c r="L23" i="17"/>
  <c r="W22" i="17"/>
  <c r="U22" i="17"/>
  <c r="S22" i="17"/>
  <c r="Q22" i="17"/>
  <c r="O22" i="17"/>
  <c r="AA22" i="17" s="1" a="1"/>
  <c r="AA22" i="17" s="1"/>
  <c r="M22" i="17"/>
  <c r="L22" i="17"/>
  <c r="L21" i="17"/>
  <c r="AA20" i="17"/>
  <c r="Z20" i="17"/>
  <c r="W18" i="17"/>
  <c r="Q18" i="17"/>
  <c r="O18" i="17"/>
  <c r="U17" i="17"/>
  <c r="S17" i="17"/>
  <c r="M17" i="17"/>
  <c r="S15" i="17"/>
  <c r="Q15" i="17"/>
  <c r="W13" i="17"/>
  <c r="Q13" i="17"/>
  <c r="O13" i="17"/>
  <c r="L11" i="17"/>
  <c r="W8" i="17"/>
  <c r="U8" i="17"/>
  <c r="U18" i="17" s="1"/>
  <c r="S8" i="17"/>
  <c r="S18" i="17" s="1"/>
  <c r="Q8" i="17"/>
  <c r="O8" i="17"/>
  <c r="M8" i="17"/>
  <c r="M18" i="17" s="1"/>
  <c r="W7" i="17"/>
  <c r="W17" i="17" s="1"/>
  <c r="U7" i="17"/>
  <c r="S7" i="17"/>
  <c r="Q7" i="17"/>
  <c r="Q17" i="17" s="1"/>
  <c r="O7" i="17"/>
  <c r="O17" i="17" s="1"/>
  <c r="M7" i="17"/>
  <c r="W6" i="17"/>
  <c r="U6" i="17"/>
  <c r="U16" i="17" s="1"/>
  <c r="S6" i="17"/>
  <c r="Q6" i="17"/>
  <c r="Q16" i="17" s="1"/>
  <c r="O6" i="17"/>
  <c r="P6" i="17" s="1"/>
  <c r="M6" i="17"/>
  <c r="M16" i="17" s="1"/>
  <c r="W5" i="17"/>
  <c r="W15" i="17" s="1"/>
  <c r="U5" i="17"/>
  <c r="U15" i="17" s="1"/>
  <c r="S5" i="17"/>
  <c r="Q5" i="17"/>
  <c r="O5" i="17"/>
  <c r="O15" i="17" s="1"/>
  <c r="M5" i="17"/>
  <c r="M15" i="17" s="1"/>
  <c r="W4" i="17"/>
  <c r="W14" i="17" s="1"/>
  <c r="U4" i="17"/>
  <c r="U14" i="17" s="1"/>
  <c r="S4" i="17"/>
  <c r="S14" i="17" s="1"/>
  <c r="Q4" i="17"/>
  <c r="O4" i="17"/>
  <c r="O14" i="17" s="1"/>
  <c r="M4" i="17"/>
  <c r="M14" i="17" s="1"/>
  <c r="W3" i="17"/>
  <c r="X3" i="17" s="1"/>
  <c r="U3" i="17"/>
  <c r="U13" i="17" s="1"/>
  <c r="S3" i="17"/>
  <c r="S13" i="17" s="1"/>
  <c r="Q3" i="17"/>
  <c r="O3" i="17"/>
  <c r="M3" i="17"/>
  <c r="M13" i="17" s="1"/>
  <c r="W2" i="17"/>
  <c r="X1" i="17" s="1"/>
  <c r="U2" i="17"/>
  <c r="U12" i="17" s="1"/>
  <c r="S2" i="17"/>
  <c r="Q2" i="17"/>
  <c r="Q12" i="17" s="1"/>
  <c r="O2" i="17"/>
  <c r="M2" i="17"/>
  <c r="M12" i="17" s="1"/>
  <c r="P1" i="17"/>
  <c r="P5" i="17" s="1"/>
  <c r="A30" i="16"/>
  <c r="A29" i="16"/>
  <c r="R28" i="16"/>
  <c r="N28" i="16"/>
  <c r="D27" i="16"/>
  <c r="C27" i="16"/>
  <c r="B27" i="16"/>
  <c r="P26" i="16"/>
  <c r="N26" i="16"/>
  <c r="I26" i="16"/>
  <c r="D26" i="16"/>
  <c r="C26" i="16"/>
  <c r="B26" i="16"/>
  <c r="T25" i="16"/>
  <c r="P25" i="16"/>
  <c r="D25" i="16"/>
  <c r="C25" i="16"/>
  <c r="B25" i="16"/>
  <c r="V24" i="16"/>
  <c r="T24" i="16"/>
  <c r="D24" i="16"/>
  <c r="C24" i="16"/>
  <c r="C29" i="16" s="1" a="1"/>
  <c r="C29" i="16" s="1"/>
  <c r="B24" i="16"/>
  <c r="I23" i="16"/>
  <c r="D23" i="16"/>
  <c r="D29" i="16" s="1" a="1"/>
  <c r="D29" i="16" s="1"/>
  <c r="C23" i="16"/>
  <c r="B23" i="16"/>
  <c r="P22" i="16"/>
  <c r="N22" i="16"/>
  <c r="D22" i="16"/>
  <c r="C22" i="16"/>
  <c r="C30" i="16" s="1" a="1"/>
  <c r="C30" i="16" s="1"/>
  <c r="B22" i="16"/>
  <c r="V21" i="16"/>
  <c r="V27" i="16" s="1"/>
  <c r="T21" i="16"/>
  <c r="R21" i="16"/>
  <c r="R24" i="16" s="1"/>
  <c r="P21" i="16"/>
  <c r="N21" i="16"/>
  <c r="N25" i="16" s="1"/>
  <c r="U16" i="16"/>
  <c r="M16" i="16"/>
  <c r="X11" i="16"/>
  <c r="X17" i="16" s="1"/>
  <c r="W8" i="16"/>
  <c r="W18" i="16" s="1"/>
  <c r="U8" i="16"/>
  <c r="S8" i="16"/>
  <c r="S18" i="16" s="1"/>
  <c r="Q8" i="16"/>
  <c r="Q18" i="16" s="1"/>
  <c r="O8" i="16"/>
  <c r="M8" i="16"/>
  <c r="W7" i="16"/>
  <c r="U7" i="16"/>
  <c r="U17" i="16" s="1"/>
  <c r="S7" i="16"/>
  <c r="S17" i="16" s="1"/>
  <c r="Q7" i="16"/>
  <c r="Q17" i="16" s="1"/>
  <c r="O7" i="16"/>
  <c r="M7" i="16"/>
  <c r="M17" i="16" s="1"/>
  <c r="W6" i="16"/>
  <c r="U6" i="16"/>
  <c r="S6" i="16"/>
  <c r="S16" i="16" s="1"/>
  <c r="Q6" i="16"/>
  <c r="O6" i="16"/>
  <c r="M6" i="16"/>
  <c r="W5" i="16"/>
  <c r="W15" i="16" s="1"/>
  <c r="U5" i="16"/>
  <c r="U15" i="16" s="1"/>
  <c r="S5" i="16"/>
  <c r="S15" i="16" s="1"/>
  <c r="Q5" i="16"/>
  <c r="O5" i="16"/>
  <c r="O15" i="16" s="1"/>
  <c r="M5" i="16"/>
  <c r="W4" i="16"/>
  <c r="W14" i="16" s="1"/>
  <c r="U4" i="16"/>
  <c r="U14" i="16" s="1"/>
  <c r="S4" i="16"/>
  <c r="I25" i="16" s="1"/>
  <c r="Q4" i="16"/>
  <c r="Q14" i="16" s="1"/>
  <c r="O4" i="16"/>
  <c r="O14" i="16" s="1"/>
  <c r="M4" i="16"/>
  <c r="I22" i="16" s="1"/>
  <c r="W3" i="16"/>
  <c r="W13" i="16" s="1"/>
  <c r="U3" i="16"/>
  <c r="U13" i="16" s="1"/>
  <c r="S3" i="16"/>
  <c r="S13" i="16" s="1"/>
  <c r="Q3" i="16"/>
  <c r="Q13" i="16" s="1"/>
  <c r="O3" i="16"/>
  <c r="O13" i="16" s="1"/>
  <c r="M3" i="16"/>
  <c r="M13" i="16" s="1"/>
  <c r="W2" i="16"/>
  <c r="W12" i="16" s="1"/>
  <c r="U2" i="16"/>
  <c r="U12" i="16" s="1"/>
  <c r="S2" i="16"/>
  <c r="S12" i="16" s="1"/>
  <c r="Q2" i="16"/>
  <c r="O2" i="16"/>
  <c r="O12" i="16" s="1"/>
  <c r="M2" i="16"/>
  <c r="M12" i="16" s="1"/>
  <c r="A30" i="15"/>
  <c r="A29" i="15"/>
  <c r="Y27" i="15"/>
  <c r="W27" i="15"/>
  <c r="D27" i="15"/>
  <c r="C27" i="15"/>
  <c r="B27" i="15"/>
  <c r="U26" i="15"/>
  <c r="O26" i="15"/>
  <c r="D26" i="15"/>
  <c r="C26" i="15"/>
  <c r="B26" i="15"/>
  <c r="Y25" i="15"/>
  <c r="W25" i="15"/>
  <c r="U25" i="15"/>
  <c r="S25" i="15"/>
  <c r="D25" i="15"/>
  <c r="C25" i="15"/>
  <c r="B25" i="15"/>
  <c r="Y24" i="15"/>
  <c r="Q24" i="15"/>
  <c r="D24" i="15"/>
  <c r="C24" i="15"/>
  <c r="B24" i="15"/>
  <c r="W23" i="15"/>
  <c r="U23" i="15"/>
  <c r="Q23" i="15"/>
  <c r="O23" i="15"/>
  <c r="D23" i="15"/>
  <c r="C23" i="15"/>
  <c r="C29" i="15" s="1" a="1"/>
  <c r="C29" i="15" s="1"/>
  <c r="B23" i="15"/>
  <c r="B29" i="15" s="1" a="1"/>
  <c r="B29" i="15" s="1"/>
  <c r="Y22" i="15"/>
  <c r="W22" i="15"/>
  <c r="U22" i="15"/>
  <c r="D22" i="15"/>
  <c r="C22" i="15"/>
  <c r="B22" i="15"/>
  <c r="B30" i="15" s="1" a="1"/>
  <c r="B30" i="15" s="1"/>
  <c r="Y21" i="15"/>
  <c r="Y29" i="15" s="1"/>
  <c r="W21" i="15"/>
  <c r="W24" i="15" s="1"/>
  <c r="U21" i="15"/>
  <c r="U27" i="15" s="1"/>
  <c r="S21" i="15"/>
  <c r="S22" i="15" s="1"/>
  <c r="Q21" i="15"/>
  <c r="Q25" i="15" s="1"/>
  <c r="O21" i="15"/>
  <c r="O25" i="15" s="1"/>
  <c r="X19" i="15"/>
  <c r="R19" i="15"/>
  <c r="P19" i="15"/>
  <c r="X18" i="15"/>
  <c r="T18" i="15"/>
  <c r="P18" i="15"/>
  <c r="X17" i="15"/>
  <c r="R17" i="15"/>
  <c r="P17" i="15"/>
  <c r="V15" i="15"/>
  <c r="R15" i="15"/>
  <c r="S15" i="15" s="1"/>
  <c r="N15" i="15"/>
  <c r="T13" i="15"/>
  <c r="AB9" i="15"/>
  <c r="X9" i="15"/>
  <c r="V9" i="15"/>
  <c r="V19" i="15" s="1"/>
  <c r="T9" i="15"/>
  <c r="T19" i="15" s="1"/>
  <c r="R9" i="15"/>
  <c r="P9" i="15"/>
  <c r="AA9" i="15" s="1"/>
  <c r="N9" i="15"/>
  <c r="N19" i="15" s="1"/>
  <c r="M9" i="15"/>
  <c r="AB8" i="15"/>
  <c r="X8" i="15"/>
  <c r="V8" i="15"/>
  <c r="V18" i="15" s="1"/>
  <c r="T8" i="15"/>
  <c r="R8" i="15"/>
  <c r="R18" i="15" s="1"/>
  <c r="P8" i="15"/>
  <c r="AA8" i="15" s="1"/>
  <c r="N8" i="15"/>
  <c r="N18" i="15" s="1"/>
  <c r="M8" i="15"/>
  <c r="AB7" i="15"/>
  <c r="X7" i="15"/>
  <c r="V7" i="15"/>
  <c r="V17" i="15" s="1"/>
  <c r="T7" i="15"/>
  <c r="T17" i="15" s="1"/>
  <c r="S7" i="15"/>
  <c r="R7" i="15"/>
  <c r="P7" i="15"/>
  <c r="AA7" i="15" s="1"/>
  <c r="N7" i="15"/>
  <c r="N17" i="15" s="1"/>
  <c r="M7" i="15"/>
  <c r="X6" i="15"/>
  <c r="V6" i="15"/>
  <c r="V16" i="15" s="1"/>
  <c r="T6" i="15"/>
  <c r="R6" i="15"/>
  <c r="R16" i="15" s="1"/>
  <c r="P6" i="15"/>
  <c r="AA6" i="15" s="1"/>
  <c r="N6" i="15"/>
  <c r="N16" i="15" s="1"/>
  <c r="M6" i="15"/>
  <c r="X5" i="15"/>
  <c r="X15" i="15" s="1"/>
  <c r="V5" i="15"/>
  <c r="T5" i="15"/>
  <c r="T15" i="15" s="1"/>
  <c r="R5" i="15"/>
  <c r="S5" i="15" s="1"/>
  <c r="P5" i="15"/>
  <c r="AA5" i="15" s="1"/>
  <c r="N5" i="15"/>
  <c r="AB5" i="15" s="1"/>
  <c r="M5" i="15"/>
  <c r="X4" i="15"/>
  <c r="X14" i="15" s="1"/>
  <c r="V4" i="15"/>
  <c r="T4" i="15"/>
  <c r="T14" i="15" s="1"/>
  <c r="R4" i="15"/>
  <c r="R14" i="15" s="1"/>
  <c r="P4" i="15"/>
  <c r="P14" i="15" s="1"/>
  <c r="N4" i="15"/>
  <c r="M4" i="15"/>
  <c r="X3" i="15"/>
  <c r="X13" i="15" s="1"/>
  <c r="V3" i="15"/>
  <c r="V13" i="15" s="1"/>
  <c r="T3" i="15"/>
  <c r="R3" i="15"/>
  <c r="R13" i="15" s="1"/>
  <c r="P3" i="15"/>
  <c r="P13" i="15" s="1"/>
  <c r="N3" i="15"/>
  <c r="N13" i="15" s="1"/>
  <c r="M3" i="15"/>
  <c r="X2" i="15"/>
  <c r="V2" i="15"/>
  <c r="V12" i="15" s="1"/>
  <c r="T2" i="15"/>
  <c r="I25" i="15" s="1"/>
  <c r="R2" i="15"/>
  <c r="R12" i="15" s="1"/>
  <c r="S11" i="15" s="1"/>
  <c r="P2" i="15"/>
  <c r="N2" i="15"/>
  <c r="I22" i="15" s="1"/>
  <c r="M2" i="15"/>
  <c r="S1" i="15"/>
  <c r="S9" i="15" s="1"/>
  <c r="AA32" i="14"/>
  <c r="AA30" i="14"/>
  <c r="S30" i="14"/>
  <c r="C30" i="14"/>
  <c r="A30" i="14"/>
  <c r="U29" i="14"/>
  <c r="C29" i="14" a="1"/>
  <c r="C29" i="14" s="1"/>
  <c r="A29" i="14"/>
  <c r="AA28" i="14"/>
  <c r="D27" i="14"/>
  <c r="C27" i="14"/>
  <c r="B27" i="14"/>
  <c r="D26" i="14"/>
  <c r="C26" i="14"/>
  <c r="B26" i="14"/>
  <c r="U25" i="14"/>
  <c r="D25" i="14"/>
  <c r="C25" i="14"/>
  <c r="C30" i="14" s="1" a="1"/>
  <c r="B25" i="14"/>
  <c r="AC24" i="14"/>
  <c r="D24" i="14"/>
  <c r="C24" i="14"/>
  <c r="B24" i="14"/>
  <c r="AC23" i="14"/>
  <c r="AA23" i="14"/>
  <c r="AA26" i="14" s="1"/>
  <c r="Y23" i="14"/>
  <c r="Y26" i="14" s="1"/>
  <c r="W23" i="14"/>
  <c r="U23" i="14"/>
  <c r="S23" i="14"/>
  <c r="S31" i="14" s="1"/>
  <c r="D23" i="14"/>
  <c r="D29" i="14" s="1" a="1"/>
  <c r="D29" i="14" s="1"/>
  <c r="C23" i="14"/>
  <c r="B23" i="14"/>
  <c r="B29" i="14" s="1" a="1"/>
  <c r="B29" i="14" s="1"/>
  <c r="D22" i="14"/>
  <c r="D30" i="14" s="1" a="1"/>
  <c r="D30" i="14" s="1"/>
  <c r="C22" i="14"/>
  <c r="B22" i="14"/>
  <c r="R21" i="14"/>
  <c r="X20" i="14"/>
  <c r="AB19" i="14"/>
  <c r="X18" i="14"/>
  <c r="V17" i="14"/>
  <c r="X16" i="14"/>
  <c r="X15" i="14"/>
  <c r="AB14" i="14"/>
  <c r="X14" i="14"/>
  <c r="Q14" i="14"/>
  <c r="X13" i="14"/>
  <c r="V13" i="14"/>
  <c r="AB10" i="14"/>
  <c r="AB21" i="14" s="1"/>
  <c r="Z10" i="14"/>
  <c r="Z21" i="14" s="1"/>
  <c r="Y10" i="14"/>
  <c r="X10" i="14"/>
  <c r="X21" i="14" s="1"/>
  <c r="V10" i="14"/>
  <c r="V21" i="14" s="1"/>
  <c r="T10" i="14"/>
  <c r="T21" i="14" s="1"/>
  <c r="R10" i="14"/>
  <c r="AF10" i="14" s="1"/>
  <c r="Q10" i="14"/>
  <c r="Q21" i="14" s="1"/>
  <c r="Q32" i="14" s="1"/>
  <c r="AB9" i="14"/>
  <c r="AB20" i="14" s="1"/>
  <c r="Z9" i="14"/>
  <c r="Z20" i="14" s="1"/>
  <c r="Y9" i="14"/>
  <c r="X9" i="14"/>
  <c r="V9" i="14"/>
  <c r="W9" i="14" s="1"/>
  <c r="T9" i="14"/>
  <c r="T20" i="14" s="1"/>
  <c r="R9" i="14"/>
  <c r="AF9" i="14" s="1"/>
  <c r="Q9" i="14"/>
  <c r="AB8" i="14"/>
  <c r="Z8" i="14"/>
  <c r="Z19" i="14" s="1"/>
  <c r="Y8" i="14"/>
  <c r="X8" i="14"/>
  <c r="X19" i="14" s="1"/>
  <c r="V8" i="14"/>
  <c r="V19" i="14" s="1"/>
  <c r="T8" i="14"/>
  <c r="AE8" i="14" s="1"/>
  <c r="R8" i="14"/>
  <c r="R19" i="14" s="1"/>
  <c r="Q8" i="14"/>
  <c r="N8" i="14"/>
  <c r="AB7" i="14"/>
  <c r="AB18" i="14" s="1"/>
  <c r="Z7" i="14"/>
  <c r="X7" i="14"/>
  <c r="V7" i="14"/>
  <c r="V18" i="14" s="1"/>
  <c r="T7" i="14"/>
  <c r="T18" i="14" s="1"/>
  <c r="R7" i="14"/>
  <c r="Q7" i="14"/>
  <c r="Q29" i="14" s="1"/>
  <c r="AB6" i="14"/>
  <c r="AB17" i="14" s="1"/>
  <c r="Z6" i="14"/>
  <c r="X6" i="14"/>
  <c r="X17" i="14" s="1"/>
  <c r="V6" i="14"/>
  <c r="T6" i="14"/>
  <c r="T17" i="14" s="1"/>
  <c r="R6" i="14"/>
  <c r="Q6" i="14"/>
  <c r="Q28" i="14" s="1"/>
  <c r="AB5" i="14"/>
  <c r="AB16" i="14" s="1"/>
  <c r="Z5" i="14"/>
  <c r="X5" i="14"/>
  <c r="V5" i="14"/>
  <c r="V16" i="14" s="1"/>
  <c r="T5" i="14"/>
  <c r="T16" i="14" s="1"/>
  <c r="R5" i="14"/>
  <c r="Q5" i="14"/>
  <c r="AB4" i="14"/>
  <c r="AB15" i="14" s="1"/>
  <c r="Z4" i="14"/>
  <c r="X4" i="14"/>
  <c r="V4" i="14"/>
  <c r="V15" i="14" s="1"/>
  <c r="T4" i="14"/>
  <c r="T15" i="14" s="1"/>
  <c r="R4" i="14"/>
  <c r="Q4" i="14"/>
  <c r="Q26" i="14" s="1"/>
  <c r="AB3" i="14"/>
  <c r="Z3" i="14"/>
  <c r="X3" i="14"/>
  <c r="V3" i="14"/>
  <c r="V14" i="14" s="1"/>
  <c r="T3" i="14"/>
  <c r="AE3" i="14" s="1"/>
  <c r="R3" i="14"/>
  <c r="Q3" i="14"/>
  <c r="Q25" i="14" s="1"/>
  <c r="AB2" i="14"/>
  <c r="Z2" i="14"/>
  <c r="X2" i="14"/>
  <c r="V2" i="14"/>
  <c r="I24" i="14" s="1"/>
  <c r="T2" i="14"/>
  <c r="R2" i="14"/>
  <c r="Q2" i="14"/>
  <c r="Q24" i="14" s="1"/>
  <c r="Y1" i="14"/>
  <c r="Y7" i="14" s="1"/>
  <c r="W1" i="14"/>
  <c r="W7" i="14" s="1"/>
  <c r="U1" i="14"/>
  <c r="U7" i="14" s="1"/>
  <c r="AA32" i="13"/>
  <c r="Y32" i="13"/>
  <c r="A32" i="13"/>
  <c r="A31" i="13"/>
  <c r="Y30" i="13"/>
  <c r="S30" i="13"/>
  <c r="Q30" i="13"/>
  <c r="O30" i="13"/>
  <c r="O29" i="13"/>
  <c r="D29" i="13"/>
  <c r="C29" i="13"/>
  <c r="B29" i="13"/>
  <c r="Y28" i="13"/>
  <c r="W28" i="13"/>
  <c r="U28" i="13"/>
  <c r="D28" i="13"/>
  <c r="C28" i="13"/>
  <c r="B28" i="13"/>
  <c r="O27" i="13"/>
  <c r="D27" i="13"/>
  <c r="C27" i="13"/>
  <c r="B27" i="13"/>
  <c r="Y26" i="13"/>
  <c r="W26" i="13"/>
  <c r="U26" i="13"/>
  <c r="D26" i="13"/>
  <c r="D31" i="13" s="1" a="1"/>
  <c r="D31" i="13" s="1"/>
  <c r="C26" i="13"/>
  <c r="B26" i="13"/>
  <c r="O25" i="13"/>
  <c r="D25" i="13"/>
  <c r="C25" i="13"/>
  <c r="C31" i="13" s="1" a="1"/>
  <c r="C31" i="13" s="1"/>
  <c r="B25" i="13"/>
  <c r="AA24" i="13"/>
  <c r="Y24" i="13"/>
  <c r="W24" i="13"/>
  <c r="U24" i="13"/>
  <c r="D24" i="13"/>
  <c r="D32" i="13" s="1" a="1"/>
  <c r="D32" i="13" s="1"/>
  <c r="C24" i="13"/>
  <c r="C32" i="13" s="1" a="1"/>
  <c r="C32" i="13" s="1"/>
  <c r="B24" i="13"/>
  <c r="AA23" i="13"/>
  <c r="AA31" i="13" s="1"/>
  <c r="Y23" i="13"/>
  <c r="Y31" i="13" s="1"/>
  <c r="W23" i="13"/>
  <c r="W32" i="13" s="1"/>
  <c r="U23" i="13"/>
  <c r="U32" i="13" s="1"/>
  <c r="S23" i="13"/>
  <c r="S28" i="13" s="1"/>
  <c r="Q23" i="13"/>
  <c r="Q28" i="13" s="1"/>
  <c r="Z21" i="13"/>
  <c r="AL20" i="13"/>
  <c r="AK20" i="13"/>
  <c r="AJ20" i="13"/>
  <c r="AI20" i="13"/>
  <c r="AH20" i="13"/>
  <c r="AG20" i="13"/>
  <c r="V20" i="13"/>
  <c r="AL19" i="13"/>
  <c r="AK19" i="13"/>
  <c r="P19" i="13"/>
  <c r="AL18" i="13"/>
  <c r="AK18" i="13"/>
  <c r="AJ18" i="13"/>
  <c r="AI18" i="13"/>
  <c r="AH18" i="13"/>
  <c r="AG18" i="13"/>
  <c r="T18" i="13"/>
  <c r="T17" i="13"/>
  <c r="AL16" i="13"/>
  <c r="AK16" i="13"/>
  <c r="AJ16" i="13"/>
  <c r="AJ19" i="13" s="1"/>
  <c r="AI16" i="13"/>
  <c r="AI19" i="13" s="1"/>
  <c r="AH16" i="13"/>
  <c r="AH19" i="13" s="1"/>
  <c r="AG16" i="13"/>
  <c r="AG19" i="13" s="1"/>
  <c r="T16" i="13"/>
  <c r="Z14" i="13"/>
  <c r="R14" i="13"/>
  <c r="X13" i="13"/>
  <c r="P13" i="13"/>
  <c r="AL12" i="13"/>
  <c r="AK12" i="13"/>
  <c r="AJ12" i="13"/>
  <c r="AI12" i="13"/>
  <c r="AH12" i="13"/>
  <c r="AG12" i="13"/>
  <c r="Z10" i="13"/>
  <c r="X10" i="13"/>
  <c r="X21" i="13" s="1"/>
  <c r="V10" i="13"/>
  <c r="V21" i="13" s="1"/>
  <c r="T10" i="13"/>
  <c r="R10" i="13"/>
  <c r="R21" i="13" s="1"/>
  <c r="P10" i="13"/>
  <c r="O10" i="13"/>
  <c r="O21" i="13" s="1"/>
  <c r="O32" i="13" s="1"/>
  <c r="Z9" i="13"/>
  <c r="X9" i="13"/>
  <c r="X20" i="13" s="1"/>
  <c r="V9" i="13"/>
  <c r="T9" i="13"/>
  <c r="T20" i="13" s="1"/>
  <c r="R9" i="13"/>
  <c r="P9" i="13"/>
  <c r="O9" i="13"/>
  <c r="O20" i="13" s="1"/>
  <c r="Z8" i="13"/>
  <c r="X8" i="13"/>
  <c r="X19" i="13" s="1"/>
  <c r="V8" i="13"/>
  <c r="V19" i="13" s="1"/>
  <c r="T8" i="13"/>
  <c r="R8" i="13"/>
  <c r="P8" i="13"/>
  <c r="O8" i="13"/>
  <c r="O19" i="13" s="1"/>
  <c r="M8" i="13"/>
  <c r="Z7" i="13"/>
  <c r="Z18" i="13" s="1"/>
  <c r="Y7" i="13"/>
  <c r="X7" i="13"/>
  <c r="X18" i="13" s="1"/>
  <c r="V7" i="13"/>
  <c r="T7" i="13"/>
  <c r="R7" i="13"/>
  <c r="P7" i="13"/>
  <c r="P18" i="13" s="1"/>
  <c r="O7" i="13"/>
  <c r="O18" i="13" s="1"/>
  <c r="Z6" i="13"/>
  <c r="X6" i="13"/>
  <c r="X17" i="13" s="1"/>
  <c r="V6" i="13"/>
  <c r="T6" i="13"/>
  <c r="R6" i="13"/>
  <c r="P6" i="13"/>
  <c r="P17" i="13" s="1"/>
  <c r="O6" i="13"/>
  <c r="O28" i="13" s="1"/>
  <c r="Z5" i="13"/>
  <c r="Z16" i="13" s="1"/>
  <c r="X5" i="13"/>
  <c r="X16" i="13" s="1"/>
  <c r="V5" i="13"/>
  <c r="T5" i="13"/>
  <c r="R5" i="13"/>
  <c r="P5" i="13"/>
  <c r="P16" i="13" s="1"/>
  <c r="O5" i="13"/>
  <c r="O16" i="13" s="1"/>
  <c r="Z4" i="13"/>
  <c r="Z15" i="13" s="1"/>
  <c r="Y4" i="13"/>
  <c r="X4" i="13"/>
  <c r="X15" i="13" s="1"/>
  <c r="V4" i="13"/>
  <c r="T4" i="13"/>
  <c r="T15" i="13" s="1"/>
  <c r="R4" i="13"/>
  <c r="P4" i="13"/>
  <c r="P15" i="13" s="1"/>
  <c r="O4" i="13"/>
  <c r="O26" i="13" s="1"/>
  <c r="Z3" i="13"/>
  <c r="X3" i="13"/>
  <c r="X14" i="13" s="1"/>
  <c r="V3" i="13"/>
  <c r="T3" i="13"/>
  <c r="T14" i="13" s="1"/>
  <c r="R3" i="13"/>
  <c r="P3" i="13"/>
  <c r="P14" i="13" s="1"/>
  <c r="O3" i="13"/>
  <c r="O14" i="13" s="1"/>
  <c r="Z2" i="13"/>
  <c r="X2" i="13"/>
  <c r="V2" i="13"/>
  <c r="T2" i="13"/>
  <c r="I26" i="13" s="1"/>
  <c r="R2" i="13"/>
  <c r="P2" i="13"/>
  <c r="O2" i="13"/>
  <c r="O13" i="13" s="1"/>
  <c r="Y1" i="13"/>
  <c r="Y10" i="13" s="1"/>
  <c r="U1" i="13"/>
  <c r="U3" i="13" s="1"/>
  <c r="A34" i="12"/>
  <c r="A33" i="12"/>
  <c r="W32" i="12"/>
  <c r="S32" i="12"/>
  <c r="Q32" i="12"/>
  <c r="U31" i="12"/>
  <c r="Q31" i="12"/>
  <c r="U30" i="12"/>
  <c r="S30" i="12"/>
  <c r="Q30" i="12"/>
  <c r="O30" i="12"/>
  <c r="W29" i="12"/>
  <c r="U29" i="12"/>
  <c r="S29" i="12"/>
  <c r="Q29" i="12"/>
  <c r="W28" i="12"/>
  <c r="U28" i="12"/>
  <c r="S28" i="12"/>
  <c r="W27" i="12"/>
  <c r="U27" i="12"/>
  <c r="AA26" i="12"/>
  <c r="U26" i="12"/>
  <c r="Q26" i="12"/>
  <c r="U25" i="12"/>
  <c r="S25" i="12"/>
  <c r="Q25" i="12"/>
  <c r="O25" i="12"/>
  <c r="A25" i="12"/>
  <c r="U24" i="12"/>
  <c r="S24" i="12"/>
  <c r="Q24" i="12"/>
  <c r="O24" i="12"/>
  <c r="AK23" i="12"/>
  <c r="AJ23" i="12"/>
  <c r="AA23" i="12"/>
  <c r="AA29" i="12" s="1"/>
  <c r="Y23" i="12"/>
  <c r="W23" i="12"/>
  <c r="W30" i="12" s="1"/>
  <c r="U23" i="12"/>
  <c r="U32" i="12" s="1"/>
  <c r="S23" i="12"/>
  <c r="S31" i="12" s="1"/>
  <c r="Q23" i="12"/>
  <c r="Q28" i="12" s="1"/>
  <c r="H23" i="12"/>
  <c r="D23" i="12" s="1"/>
  <c r="AL22" i="12" s="1"/>
  <c r="B23" i="12"/>
  <c r="AK22" i="12"/>
  <c r="AJ22" i="12"/>
  <c r="D22" i="12"/>
  <c r="B22" i="12"/>
  <c r="D21" i="12"/>
  <c r="B21" i="12"/>
  <c r="AL20" i="12"/>
  <c r="AK20" i="12"/>
  <c r="AJ20" i="12"/>
  <c r="AI20" i="12"/>
  <c r="AH20" i="12"/>
  <c r="AG20" i="12"/>
  <c r="D20" i="12"/>
  <c r="AI22" i="12" s="1"/>
  <c r="B20" i="12"/>
  <c r="O19" i="12"/>
  <c r="D19" i="12"/>
  <c r="AH22" i="12" s="1"/>
  <c r="B19" i="12"/>
  <c r="D18" i="12"/>
  <c r="AG22" i="12" s="1"/>
  <c r="B18" i="12"/>
  <c r="O17" i="12"/>
  <c r="F17" i="12"/>
  <c r="B17" i="12"/>
  <c r="C12" i="12"/>
  <c r="C20" i="12" s="1"/>
  <c r="O10" i="12"/>
  <c r="O21" i="12" s="1"/>
  <c r="O32" i="12" s="1"/>
  <c r="O9" i="12"/>
  <c r="L9" i="12"/>
  <c r="O8" i="12"/>
  <c r="O7" i="12"/>
  <c r="O29" i="12" s="1"/>
  <c r="O6" i="12"/>
  <c r="O28" i="12" s="1"/>
  <c r="O5" i="12"/>
  <c r="O4" i="12"/>
  <c r="O15" i="12" s="1"/>
  <c r="O3" i="12"/>
  <c r="O14" i="12" s="1"/>
  <c r="O2" i="12"/>
  <c r="O13" i="12" s="1"/>
  <c r="A34" i="11"/>
  <c r="A33" i="11"/>
  <c r="W31" i="11"/>
  <c r="Q31" i="11"/>
  <c r="AA30" i="11"/>
  <c r="AA29" i="11"/>
  <c r="S28" i="11"/>
  <c r="S27" i="11"/>
  <c r="Q27" i="11"/>
  <c r="AA26" i="11"/>
  <c r="AA25" i="11"/>
  <c r="A25" i="11"/>
  <c r="AA24" i="11"/>
  <c r="Y24" i="11"/>
  <c r="AK23" i="11"/>
  <c r="AJ23" i="11"/>
  <c r="AA23" i="11"/>
  <c r="AA28" i="11" s="1"/>
  <c r="Y23" i="11"/>
  <c r="Y32" i="11" s="1"/>
  <c r="W23" i="11"/>
  <c r="U23" i="11"/>
  <c r="S23" i="11"/>
  <c r="S31" i="11" s="1"/>
  <c r="Q23" i="11"/>
  <c r="Q32" i="11" s="1"/>
  <c r="D23" i="11"/>
  <c r="AL22" i="11" s="1"/>
  <c r="B23" i="11"/>
  <c r="AK22" i="11"/>
  <c r="D22" i="11"/>
  <c r="B22" i="11"/>
  <c r="D21" i="11"/>
  <c r="AJ22" i="11" s="1"/>
  <c r="B21" i="11"/>
  <c r="AL20" i="11"/>
  <c r="AK20" i="11"/>
  <c r="AJ20" i="11"/>
  <c r="AI20" i="11"/>
  <c r="AH20" i="11"/>
  <c r="AG20" i="11"/>
  <c r="O20" i="11"/>
  <c r="D20" i="11"/>
  <c r="AI22" i="11" s="1"/>
  <c r="I10" i="11" s="1"/>
  <c r="B20" i="11"/>
  <c r="T19" i="11"/>
  <c r="D19" i="11"/>
  <c r="AH22" i="11" s="1"/>
  <c r="B19" i="11"/>
  <c r="Z18" i="11"/>
  <c r="X18" i="11"/>
  <c r="R18" i="11"/>
  <c r="O18" i="11"/>
  <c r="D18" i="11"/>
  <c r="AG22" i="11" s="1"/>
  <c r="B18" i="11"/>
  <c r="R17" i="11"/>
  <c r="F17" i="11"/>
  <c r="B17" i="11"/>
  <c r="T16" i="11"/>
  <c r="I15" i="11"/>
  <c r="I14" i="11"/>
  <c r="X13" i="11"/>
  <c r="V13" i="11"/>
  <c r="P13" i="11"/>
  <c r="I13" i="11"/>
  <c r="I12" i="11"/>
  <c r="AC10" i="11"/>
  <c r="X10" i="11"/>
  <c r="X21" i="11" s="1"/>
  <c r="V10" i="11"/>
  <c r="V21" i="11" s="1"/>
  <c r="T10" i="11"/>
  <c r="R10" i="11"/>
  <c r="P10" i="11"/>
  <c r="P21" i="11" s="1"/>
  <c r="O10" i="11"/>
  <c r="O21" i="11" s="1"/>
  <c r="O32" i="11" s="1"/>
  <c r="X9" i="11"/>
  <c r="V9" i="11"/>
  <c r="T9" i="11"/>
  <c r="R9" i="11"/>
  <c r="R20" i="11" s="1"/>
  <c r="P9" i="11"/>
  <c r="O9" i="11"/>
  <c r="O31" i="11" s="1"/>
  <c r="L9" i="11"/>
  <c r="X8" i="11"/>
  <c r="V8" i="11"/>
  <c r="T8" i="11"/>
  <c r="R8" i="11"/>
  <c r="P8" i="11"/>
  <c r="O8" i="11"/>
  <c r="Z7" i="11"/>
  <c r="X7" i="11"/>
  <c r="V7" i="11"/>
  <c r="V18" i="11" s="1"/>
  <c r="T7" i="11"/>
  <c r="T18" i="11" s="1"/>
  <c r="R7" i="11"/>
  <c r="P7" i="11"/>
  <c r="P18" i="11" s="1"/>
  <c r="O7" i="11"/>
  <c r="O29" i="11" s="1"/>
  <c r="AC6" i="11"/>
  <c r="Z6" i="11"/>
  <c r="Z17" i="11" s="1"/>
  <c r="X6" i="11"/>
  <c r="X17" i="11" s="1"/>
  <c r="V6" i="11"/>
  <c r="V17" i="11" s="1"/>
  <c r="T6" i="11"/>
  <c r="R6" i="11"/>
  <c r="P6" i="11"/>
  <c r="P17" i="11" s="1"/>
  <c r="O6" i="11"/>
  <c r="O17" i="11" s="1"/>
  <c r="AD5" i="11"/>
  <c r="Z5" i="11"/>
  <c r="Z16" i="11" s="1"/>
  <c r="X5" i="11"/>
  <c r="X16" i="11" s="1"/>
  <c r="V5" i="11"/>
  <c r="V16" i="11" s="1"/>
  <c r="T5" i="11"/>
  <c r="R5" i="11"/>
  <c r="AC5" i="11" s="1"/>
  <c r="P5" i="11"/>
  <c r="P16" i="11" s="1"/>
  <c r="O5" i="11"/>
  <c r="O27" i="11" s="1"/>
  <c r="Z4" i="11"/>
  <c r="X4" i="11"/>
  <c r="X15" i="11" s="1"/>
  <c r="V4" i="11"/>
  <c r="V15" i="11" s="1"/>
  <c r="T4" i="11"/>
  <c r="R4" i="11"/>
  <c r="P4" i="11"/>
  <c r="AD4" i="11" s="1"/>
  <c r="O4" i="11"/>
  <c r="O26" i="11" s="1"/>
  <c r="AI3" i="11"/>
  <c r="Z3" i="11"/>
  <c r="X3" i="11"/>
  <c r="X14" i="11" s="1"/>
  <c r="V3" i="11"/>
  <c r="V14" i="11" s="1"/>
  <c r="T3" i="11"/>
  <c r="T14" i="11" s="1"/>
  <c r="R3" i="11"/>
  <c r="AD3" i="11" s="1"/>
  <c r="P3" i="11"/>
  <c r="P14" i="11" s="1"/>
  <c r="O3" i="11"/>
  <c r="O25" i="11" s="1"/>
  <c r="Z2" i="11"/>
  <c r="X2" i="11"/>
  <c r="V2" i="11"/>
  <c r="T2" i="11"/>
  <c r="T13" i="11" s="1"/>
  <c r="R2" i="11"/>
  <c r="AD2" i="11" s="1"/>
  <c r="P2" i="11"/>
  <c r="O2" i="11"/>
  <c r="A34" i="10"/>
  <c r="A33" i="10"/>
  <c r="Y32" i="10"/>
  <c r="U32" i="10"/>
  <c r="Y31" i="10"/>
  <c r="W31" i="10"/>
  <c r="S31" i="10"/>
  <c r="Y30" i="10"/>
  <c r="W30" i="10"/>
  <c r="AA29" i="10"/>
  <c r="W29" i="10"/>
  <c r="Q29" i="10"/>
  <c r="O28" i="10"/>
  <c r="AM27" i="10"/>
  <c r="AT26" i="10" s="1"/>
  <c r="AN27" i="10" s="1"/>
  <c r="AK27" i="10"/>
  <c r="AI27" i="10"/>
  <c r="AH27" i="10"/>
  <c r="AQ26" i="10" s="1"/>
  <c r="AJ27" i="10" s="1"/>
  <c r="W27" i="10"/>
  <c r="Q27" i="10"/>
  <c r="AU26" i="10"/>
  <c r="AR26" i="10"/>
  <c r="AP26" i="10"/>
  <c r="AM26" i="10"/>
  <c r="AK26" i="10"/>
  <c r="AR25" i="10" s="1"/>
  <c r="AL26" i="10" s="1"/>
  <c r="AI26" i="10"/>
  <c r="AH26" i="10"/>
  <c r="AU25" i="10"/>
  <c r="AT25" i="10"/>
  <c r="AN26" i="10" s="1"/>
  <c r="AS25" i="10"/>
  <c r="AM25" i="10"/>
  <c r="AK25" i="10"/>
  <c r="AS24" i="10" s="1"/>
  <c r="AI25" i="10"/>
  <c r="AH25" i="10"/>
  <c r="Y25" i="10"/>
  <c r="S25" i="10"/>
  <c r="Q25" i="10"/>
  <c r="A25" i="10"/>
  <c r="AM24" i="10"/>
  <c r="AK24" i="10"/>
  <c r="AS23" i="10" s="1"/>
  <c r="AI24" i="10"/>
  <c r="AQ23" i="10" s="1"/>
  <c r="AH24" i="10"/>
  <c r="AP23" i="10" s="1"/>
  <c r="AJ24" i="10" s="1"/>
  <c r="Y24" i="10"/>
  <c r="W24" i="10"/>
  <c r="AR23" i="10"/>
  <c r="AM23" i="10"/>
  <c r="AT22" i="10" s="1"/>
  <c r="AK23" i="10"/>
  <c r="AS22" i="10" s="1"/>
  <c r="AI23" i="10"/>
  <c r="AH23" i="10"/>
  <c r="AA23" i="10"/>
  <c r="AA25" i="10" s="1"/>
  <c r="Y23" i="10"/>
  <c r="Y29" i="10" s="1"/>
  <c r="W23" i="10"/>
  <c r="W25" i="10" s="1"/>
  <c r="U23" i="10"/>
  <c r="U30" i="10" s="1"/>
  <c r="S23" i="10"/>
  <c r="S32" i="10" s="1"/>
  <c r="Q23" i="10"/>
  <c r="Q31" i="10" s="1"/>
  <c r="D23" i="10"/>
  <c r="B23" i="10"/>
  <c r="AU22" i="10"/>
  <c r="AM22" i="10"/>
  <c r="AK22" i="10"/>
  <c r="AI22" i="10"/>
  <c r="AH22" i="10"/>
  <c r="AQ21" i="10" s="1"/>
  <c r="D22" i="10"/>
  <c r="B22" i="10"/>
  <c r="AU21" i="10"/>
  <c r="AT21" i="10"/>
  <c r="AN22" i="10" s="1"/>
  <c r="AS21" i="10"/>
  <c r="AR21" i="10"/>
  <c r="AL22" i="10" s="1"/>
  <c r="AP21" i="10"/>
  <c r="AJ22" i="10" s="1"/>
  <c r="D21" i="10"/>
  <c r="AJ17" i="10" s="1"/>
  <c r="B21" i="10"/>
  <c r="D20" i="10"/>
  <c r="B20" i="10"/>
  <c r="X19" i="10"/>
  <c r="P19" i="10"/>
  <c r="D19" i="10"/>
  <c r="AH17" i="10" s="1"/>
  <c r="B19" i="10"/>
  <c r="D18" i="10"/>
  <c r="B18" i="10"/>
  <c r="AL17" i="10"/>
  <c r="AK17" i="10"/>
  <c r="AI17" i="10"/>
  <c r="AG17" i="10"/>
  <c r="F17" i="10"/>
  <c r="B17" i="10"/>
  <c r="V16" i="10"/>
  <c r="AL15" i="10"/>
  <c r="AK15" i="10"/>
  <c r="AJ15" i="10"/>
  <c r="AI15" i="10"/>
  <c r="AH15" i="10"/>
  <c r="AG15" i="10"/>
  <c r="I15" i="10"/>
  <c r="I13" i="10"/>
  <c r="I12" i="10"/>
  <c r="X10" i="10"/>
  <c r="V10" i="10"/>
  <c r="V21" i="10" s="1"/>
  <c r="T10" i="10"/>
  <c r="R10" i="10"/>
  <c r="P10" i="10"/>
  <c r="O10" i="10"/>
  <c r="O21" i="10" s="1"/>
  <c r="O32" i="10" s="1"/>
  <c r="I10" i="10"/>
  <c r="X9" i="10"/>
  <c r="V9" i="10"/>
  <c r="T9" i="10"/>
  <c r="R9" i="10"/>
  <c r="P9" i="10"/>
  <c r="O9" i="10"/>
  <c r="O31" i="10" s="1"/>
  <c r="L9" i="10"/>
  <c r="AC8" i="10"/>
  <c r="X8" i="10"/>
  <c r="V8" i="10"/>
  <c r="V19" i="10" s="1"/>
  <c r="T8" i="10"/>
  <c r="T19" i="10" s="1"/>
  <c r="R8" i="10"/>
  <c r="P8" i="10"/>
  <c r="O8" i="10"/>
  <c r="O19" i="10" s="1"/>
  <c r="Z7" i="10"/>
  <c r="Z18" i="10" s="1"/>
  <c r="X7" i="10"/>
  <c r="X18" i="10" s="1"/>
  <c r="V7" i="10"/>
  <c r="T7" i="10"/>
  <c r="T18" i="10" s="1"/>
  <c r="R7" i="10"/>
  <c r="R18" i="10" s="1"/>
  <c r="P7" i="10"/>
  <c r="P18" i="10" s="1"/>
  <c r="O7" i="10"/>
  <c r="O18" i="10" s="1"/>
  <c r="Z6" i="10"/>
  <c r="X6" i="10"/>
  <c r="V6" i="10"/>
  <c r="V17" i="10" s="1"/>
  <c r="T6" i="10"/>
  <c r="T17" i="10" s="1"/>
  <c r="R6" i="10"/>
  <c r="P6" i="10"/>
  <c r="O6" i="10"/>
  <c r="O17" i="10" s="1"/>
  <c r="Z5" i="10"/>
  <c r="Z16" i="10" s="1"/>
  <c r="X5" i="10"/>
  <c r="X16" i="10" s="1"/>
  <c r="V5" i="10"/>
  <c r="T5" i="10"/>
  <c r="T16" i="10" s="1"/>
  <c r="R5" i="10"/>
  <c r="R16" i="10" s="1"/>
  <c r="P5" i="10"/>
  <c r="P16" i="10" s="1"/>
  <c r="O5" i="10"/>
  <c r="Z4" i="10"/>
  <c r="Z15" i="10" s="1"/>
  <c r="X4" i="10"/>
  <c r="X15" i="10" s="1"/>
  <c r="V4" i="10"/>
  <c r="V15" i="10" s="1"/>
  <c r="T4" i="10"/>
  <c r="R4" i="10"/>
  <c r="R15" i="10" s="1"/>
  <c r="P4" i="10"/>
  <c r="O4" i="10"/>
  <c r="O15" i="10" s="1"/>
  <c r="Z3" i="10"/>
  <c r="Z14" i="10" s="1"/>
  <c r="X3" i="10"/>
  <c r="V3" i="10"/>
  <c r="V14" i="10" s="1"/>
  <c r="T3" i="10"/>
  <c r="T14" i="10" s="1"/>
  <c r="R3" i="10"/>
  <c r="AC3" i="10" s="1"/>
  <c r="P3" i="10"/>
  <c r="O3" i="10"/>
  <c r="O25" i="10" s="1"/>
  <c r="Z2" i="10"/>
  <c r="X2" i="10"/>
  <c r="V2" i="10"/>
  <c r="V13" i="10" s="1"/>
  <c r="T2" i="10"/>
  <c r="T13" i="10" s="1"/>
  <c r="R2" i="10"/>
  <c r="R13" i="10" s="1"/>
  <c r="P2" i="10"/>
  <c r="O2" i="10"/>
  <c r="A35" i="9"/>
  <c r="A34" i="9"/>
  <c r="AA32" i="9"/>
  <c r="W32" i="9"/>
  <c r="U32" i="9"/>
  <c r="Q32" i="9"/>
  <c r="H32" i="9"/>
  <c r="AA31" i="9"/>
  <c r="U31" i="9"/>
  <c r="Q31" i="9"/>
  <c r="H31" i="9"/>
  <c r="AA30" i="9"/>
  <c r="S30" i="9"/>
  <c r="Q30" i="9"/>
  <c r="H30" i="9"/>
  <c r="AA29" i="9"/>
  <c r="Y29" i="9"/>
  <c r="Q29" i="9"/>
  <c r="H29" i="9"/>
  <c r="O28" i="9"/>
  <c r="H28" i="9"/>
  <c r="AM27" i="9"/>
  <c r="AU26" i="9" s="1"/>
  <c r="AK27" i="9"/>
  <c r="AJ27" i="9"/>
  <c r="AI27" i="9"/>
  <c r="AH27" i="9"/>
  <c r="AA27" i="9"/>
  <c r="U27" i="9"/>
  <c r="S27" i="9"/>
  <c r="Q27" i="9"/>
  <c r="H27" i="9"/>
  <c r="AT26" i="9"/>
  <c r="AQ26" i="9"/>
  <c r="AP26" i="9"/>
  <c r="AM26" i="9"/>
  <c r="AU25" i="9" s="1"/>
  <c r="AK26" i="9"/>
  <c r="AI26" i="9"/>
  <c r="AH26" i="9"/>
  <c r="AP25" i="9" s="1"/>
  <c r="AJ26" i="9" s="1"/>
  <c r="AA26" i="9"/>
  <c r="U26" i="9"/>
  <c r="S26" i="9"/>
  <c r="Q26" i="9"/>
  <c r="H26" i="9"/>
  <c r="A26" i="9"/>
  <c r="AT25" i="9"/>
  <c r="AR25" i="9"/>
  <c r="AQ25" i="9"/>
  <c r="AM25" i="9"/>
  <c r="AT24" i="9" s="1"/>
  <c r="AN25" i="9" s="1"/>
  <c r="AK25" i="9"/>
  <c r="AI25" i="9"/>
  <c r="AH25" i="9"/>
  <c r="AS24" i="9" s="1"/>
  <c r="AU24" i="9"/>
  <c r="AM24" i="9"/>
  <c r="AK24" i="9"/>
  <c r="AI24" i="9"/>
  <c r="AP23" i="9" s="1"/>
  <c r="AJ24" i="9" s="1"/>
  <c r="AH24" i="9"/>
  <c r="AA24" i="9"/>
  <c r="W24" i="9"/>
  <c r="U24" i="9"/>
  <c r="Q24" i="9"/>
  <c r="AS23" i="9"/>
  <c r="AR23" i="9"/>
  <c r="AL24" i="9" s="1"/>
  <c r="AQ23" i="9"/>
  <c r="AM23" i="9"/>
  <c r="AK23" i="9"/>
  <c r="AS22" i="9" s="1"/>
  <c r="AI23" i="9"/>
  <c r="AH23" i="9"/>
  <c r="AR22" i="9" s="1"/>
  <c r="AL23" i="9" s="1"/>
  <c r="AA23" i="9"/>
  <c r="AA28" i="9" s="1"/>
  <c r="Y23" i="9"/>
  <c r="Y31" i="9" s="1"/>
  <c r="W23" i="9"/>
  <c r="W29" i="9" s="1"/>
  <c r="U23" i="9"/>
  <c r="U29" i="9" s="1"/>
  <c r="S23" i="9"/>
  <c r="S32" i="9" s="1"/>
  <c r="Q23" i="9"/>
  <c r="Q28" i="9" s="1"/>
  <c r="D23" i="9"/>
  <c r="B23" i="9"/>
  <c r="AU22" i="9"/>
  <c r="AT22" i="9"/>
  <c r="AM22" i="9"/>
  <c r="AU21" i="9" s="1"/>
  <c r="AK22" i="9"/>
  <c r="AS21" i="9" s="1"/>
  <c r="AI22" i="9"/>
  <c r="AP21" i="9" s="1"/>
  <c r="AJ22" i="9" s="1"/>
  <c r="AH22" i="9"/>
  <c r="AT21" i="9" s="1"/>
  <c r="D22" i="9"/>
  <c r="B22" i="9"/>
  <c r="AR21" i="9"/>
  <c r="AL22" i="9" s="1"/>
  <c r="AQ21" i="9"/>
  <c r="V21" i="9"/>
  <c r="R21" i="9"/>
  <c r="D21" i="9"/>
  <c r="B21" i="9"/>
  <c r="D20" i="9"/>
  <c r="B20" i="9"/>
  <c r="X19" i="9"/>
  <c r="P19" i="9"/>
  <c r="D19" i="9"/>
  <c r="B19" i="9"/>
  <c r="D18" i="9"/>
  <c r="B18" i="9"/>
  <c r="AL17" i="9"/>
  <c r="AK17" i="9"/>
  <c r="AJ17" i="9"/>
  <c r="AI17" i="9"/>
  <c r="AH17" i="9"/>
  <c r="AG17" i="9"/>
  <c r="Z17" i="9"/>
  <c r="V17" i="9"/>
  <c r="R17" i="9"/>
  <c r="F17" i="9"/>
  <c r="B17" i="9"/>
  <c r="X16" i="9"/>
  <c r="P16" i="9"/>
  <c r="AL15" i="9"/>
  <c r="AK15" i="9"/>
  <c r="AJ15" i="9"/>
  <c r="AI15" i="9"/>
  <c r="AH15" i="9"/>
  <c r="AG15" i="9"/>
  <c r="V15" i="9"/>
  <c r="I15" i="9"/>
  <c r="O14" i="9"/>
  <c r="Z13" i="9"/>
  <c r="X13" i="9"/>
  <c r="R13" i="9"/>
  <c r="P13" i="9"/>
  <c r="I12" i="9"/>
  <c r="AC10" i="9"/>
  <c r="X10" i="9"/>
  <c r="V10" i="9"/>
  <c r="T10" i="9"/>
  <c r="R10" i="9"/>
  <c r="P10" i="9"/>
  <c r="O10" i="9"/>
  <c r="O21" i="9" s="1"/>
  <c r="O32" i="9" s="1"/>
  <c r="I10" i="9"/>
  <c r="X9" i="9"/>
  <c r="V9" i="9"/>
  <c r="V20" i="9" s="1"/>
  <c r="T9" i="9"/>
  <c r="R9" i="9"/>
  <c r="R20" i="9" s="1"/>
  <c r="P9" i="9"/>
  <c r="O9" i="9"/>
  <c r="O20" i="9" s="1"/>
  <c r="L9" i="9"/>
  <c r="X8" i="9"/>
  <c r="V8" i="9"/>
  <c r="V19" i="9" s="1"/>
  <c r="T8" i="9"/>
  <c r="T19" i="9" s="1"/>
  <c r="R8" i="9"/>
  <c r="P8" i="9"/>
  <c r="O8" i="9"/>
  <c r="O19" i="9" s="1"/>
  <c r="Z7" i="9"/>
  <c r="Z18" i="9" s="1"/>
  <c r="X7" i="9"/>
  <c r="V7" i="9"/>
  <c r="V18" i="9" s="1"/>
  <c r="T7" i="9"/>
  <c r="T18" i="9" s="1"/>
  <c r="R7" i="9"/>
  <c r="R18" i="9" s="1"/>
  <c r="P7" i="9"/>
  <c r="O7" i="9"/>
  <c r="O18" i="9" s="1"/>
  <c r="AC6" i="9"/>
  <c r="Z6" i="9"/>
  <c r="X6" i="9"/>
  <c r="Y6" i="9" s="1"/>
  <c r="V6" i="9"/>
  <c r="T6" i="9"/>
  <c r="R6" i="9"/>
  <c r="P6" i="9"/>
  <c r="O6" i="9"/>
  <c r="O17" i="9" s="1"/>
  <c r="AD5" i="9"/>
  <c r="Z5" i="9"/>
  <c r="Z16" i="9" s="1"/>
  <c r="X5" i="9"/>
  <c r="V5" i="9"/>
  <c r="V16" i="9" s="1"/>
  <c r="T5" i="9"/>
  <c r="AC5" i="9" s="1"/>
  <c r="R5" i="9"/>
  <c r="R16" i="9" s="1"/>
  <c r="P5" i="9"/>
  <c r="O5" i="9"/>
  <c r="O27" i="9" s="1"/>
  <c r="Z4" i="9"/>
  <c r="X4" i="9"/>
  <c r="AI7" i="9" s="1"/>
  <c r="V4" i="9"/>
  <c r="T4" i="9"/>
  <c r="T15" i="9" s="1"/>
  <c r="R4" i="9"/>
  <c r="AC4" i="9" s="1"/>
  <c r="P4" i="9"/>
  <c r="O4" i="9"/>
  <c r="O26" i="9" s="1"/>
  <c r="Z3" i="9"/>
  <c r="Z14" i="9" s="1"/>
  <c r="X3" i="9"/>
  <c r="X14" i="9" s="1"/>
  <c r="V3" i="9"/>
  <c r="V14" i="9" s="1"/>
  <c r="T3" i="9"/>
  <c r="R3" i="9"/>
  <c r="R14" i="9" s="1"/>
  <c r="P3" i="9"/>
  <c r="AD3" i="9" s="1"/>
  <c r="O3" i="9"/>
  <c r="O25" i="9" s="1"/>
  <c r="Z2" i="9"/>
  <c r="X2" i="9"/>
  <c r="Y1" i="9" s="1"/>
  <c r="V2" i="9"/>
  <c r="V13" i="9" s="1"/>
  <c r="T2" i="9"/>
  <c r="R2" i="9"/>
  <c r="AI4" i="9" s="1"/>
  <c r="P2" i="9"/>
  <c r="AD2" i="9" s="1"/>
  <c r="O2" i="9"/>
  <c r="A35" i="8"/>
  <c r="A34" i="8"/>
  <c r="Y32" i="8"/>
  <c r="U32" i="8"/>
  <c r="S32" i="8"/>
  <c r="H32" i="8"/>
  <c r="AA31" i="8"/>
  <c r="Y31" i="8"/>
  <c r="S31" i="8"/>
  <c r="H31" i="8"/>
  <c r="Y30" i="8"/>
  <c r="Q30" i="8"/>
  <c r="H30" i="8"/>
  <c r="W29" i="8"/>
  <c r="H29" i="8"/>
  <c r="H28" i="8"/>
  <c r="AM27" i="8"/>
  <c r="AK27" i="8"/>
  <c r="AI27" i="8"/>
  <c r="AQ26" i="8" s="1"/>
  <c r="AH27" i="8"/>
  <c r="Y27" i="8"/>
  <c r="Q27" i="8"/>
  <c r="H27" i="8"/>
  <c r="AU26" i="8"/>
  <c r="AN27" i="8" s="1"/>
  <c r="AT26" i="8"/>
  <c r="AS26" i="8"/>
  <c r="AR26" i="8"/>
  <c r="AM26" i="8"/>
  <c r="AK26" i="8"/>
  <c r="AI26" i="8"/>
  <c r="I14" i="8" s="1"/>
  <c r="AH26" i="8"/>
  <c r="Y26" i="8"/>
  <c r="Q26" i="8"/>
  <c r="H26" i="8"/>
  <c r="A26" i="8"/>
  <c r="AU25" i="8"/>
  <c r="AN26" i="8" s="1"/>
  <c r="AT25" i="8"/>
  <c r="AS25" i="8"/>
  <c r="AL26" i="8" s="1"/>
  <c r="AR25" i="8"/>
  <c r="AQ25" i="8"/>
  <c r="AJ26" i="8" s="1"/>
  <c r="AP25" i="8"/>
  <c r="AM25" i="8"/>
  <c r="AK25" i="8"/>
  <c r="AI25" i="8"/>
  <c r="AP24" i="8" s="1"/>
  <c r="AH25" i="8"/>
  <c r="AU24" i="8"/>
  <c r="AM24" i="8"/>
  <c r="AT23" i="8" s="1"/>
  <c r="AN24" i="8" s="1"/>
  <c r="AK24" i="8"/>
  <c r="AS23" i="8" s="1"/>
  <c r="AI24" i="8"/>
  <c r="I12" i="8" s="1"/>
  <c r="AH24" i="8"/>
  <c r="Y24" i="8"/>
  <c r="U24" i="8"/>
  <c r="S24" i="8"/>
  <c r="AU23" i="8"/>
  <c r="AQ23" i="8"/>
  <c r="AP23" i="8"/>
  <c r="AJ24" i="8" s="1"/>
  <c r="AM23" i="8"/>
  <c r="AU22" i="8" s="1"/>
  <c r="AK23" i="8"/>
  <c r="AI23" i="8"/>
  <c r="AH23" i="8"/>
  <c r="AA23" i="8"/>
  <c r="AA28" i="8" s="1"/>
  <c r="Y23" i="8"/>
  <c r="Y28" i="8" s="1"/>
  <c r="W23" i="8"/>
  <c r="W31" i="8" s="1"/>
  <c r="U23" i="8"/>
  <c r="U29" i="8" s="1"/>
  <c r="S23" i="8"/>
  <c r="S29" i="8" s="1"/>
  <c r="Q23" i="8"/>
  <c r="Q32" i="8" s="1"/>
  <c r="D23" i="8"/>
  <c r="B23" i="8"/>
  <c r="AT22" i="8"/>
  <c r="AN23" i="8" s="1"/>
  <c r="AM22" i="8"/>
  <c r="AT21" i="8" s="1"/>
  <c r="AN22" i="8" s="1"/>
  <c r="AK22" i="8"/>
  <c r="AI22" i="8"/>
  <c r="AH22" i="8"/>
  <c r="D22" i="8"/>
  <c r="AK17" i="8" s="1"/>
  <c r="B22" i="8"/>
  <c r="AU21" i="8"/>
  <c r="AQ21" i="8"/>
  <c r="AP21" i="8"/>
  <c r="AJ22" i="8" s="1"/>
  <c r="D21" i="8"/>
  <c r="B21" i="8"/>
  <c r="T20" i="8"/>
  <c r="R20" i="8"/>
  <c r="O20" i="8"/>
  <c r="D20" i="8"/>
  <c r="AI17" i="8" s="1"/>
  <c r="B20" i="8"/>
  <c r="V19" i="8"/>
  <c r="T19" i="8"/>
  <c r="O19" i="8"/>
  <c r="D19" i="8"/>
  <c r="AH17" i="8" s="1"/>
  <c r="B19" i="8"/>
  <c r="Z18" i="8"/>
  <c r="R18" i="8"/>
  <c r="O18" i="8"/>
  <c r="D18" i="8"/>
  <c r="B18" i="8"/>
  <c r="AL17" i="8"/>
  <c r="AJ17" i="8"/>
  <c r="AG17" i="8"/>
  <c r="O17" i="8"/>
  <c r="L17" i="8"/>
  <c r="I17" i="8"/>
  <c r="F17" i="8"/>
  <c r="B17" i="8"/>
  <c r="T16" i="8"/>
  <c r="AL15" i="8"/>
  <c r="AK15" i="8"/>
  <c r="AJ15" i="8"/>
  <c r="AI15" i="8"/>
  <c r="AH15" i="8"/>
  <c r="AG15" i="8"/>
  <c r="O15" i="8"/>
  <c r="I15" i="8"/>
  <c r="V13" i="8"/>
  <c r="I13" i="8"/>
  <c r="I11" i="8"/>
  <c r="X10" i="8"/>
  <c r="X21" i="8" s="1"/>
  <c r="V10" i="8"/>
  <c r="V21" i="8" s="1"/>
  <c r="T10" i="8"/>
  <c r="T21" i="8" s="1"/>
  <c r="R10" i="8"/>
  <c r="S10" i="8" s="1"/>
  <c r="P10" i="8"/>
  <c r="P21" i="8" s="1"/>
  <c r="O10" i="8"/>
  <c r="O21" i="8" s="1"/>
  <c r="O32" i="8" s="1"/>
  <c r="X9" i="8"/>
  <c r="X20" i="8" s="1"/>
  <c r="V9" i="8"/>
  <c r="T9" i="8"/>
  <c r="R9" i="8"/>
  <c r="AC9" i="8" s="1"/>
  <c r="P9" i="8"/>
  <c r="P20" i="8" s="1"/>
  <c r="O9" i="8"/>
  <c r="O31" i="8" s="1"/>
  <c r="L9" i="8"/>
  <c r="X8" i="8"/>
  <c r="V8" i="8"/>
  <c r="T8" i="8"/>
  <c r="R8" i="8"/>
  <c r="R19" i="8" s="1"/>
  <c r="P8" i="8"/>
  <c r="O8" i="8"/>
  <c r="O30" i="8" s="1"/>
  <c r="Z7" i="8"/>
  <c r="X7" i="8"/>
  <c r="X18" i="8" s="1"/>
  <c r="V7" i="8"/>
  <c r="T7" i="8"/>
  <c r="R7" i="8"/>
  <c r="P7" i="8"/>
  <c r="P18" i="8" s="1"/>
  <c r="O7" i="8"/>
  <c r="O29" i="8" s="1"/>
  <c r="AD6" i="8"/>
  <c r="Z6" i="8"/>
  <c r="X6" i="8"/>
  <c r="X17" i="8" s="1"/>
  <c r="V6" i="8"/>
  <c r="V17" i="8" s="1"/>
  <c r="T6" i="8"/>
  <c r="T17" i="8" s="1"/>
  <c r="R6" i="8"/>
  <c r="P6" i="8"/>
  <c r="P17" i="8" s="1"/>
  <c r="O6" i="8"/>
  <c r="O28" i="8" s="1"/>
  <c r="Z5" i="8"/>
  <c r="Z16" i="8" s="1"/>
  <c r="X5" i="8"/>
  <c r="V5" i="8"/>
  <c r="T5" i="8"/>
  <c r="R5" i="8"/>
  <c r="R16" i="8" s="1"/>
  <c r="P5" i="8"/>
  <c r="O5" i="8"/>
  <c r="O27" i="8" s="1"/>
  <c r="AI4" i="8"/>
  <c r="Z4" i="8"/>
  <c r="Z15" i="8" s="1"/>
  <c r="X4" i="8"/>
  <c r="X15" i="8" s="1"/>
  <c r="V4" i="8"/>
  <c r="V15" i="8" s="1"/>
  <c r="T4" i="8"/>
  <c r="R4" i="8"/>
  <c r="R15" i="8" s="1"/>
  <c r="P4" i="8"/>
  <c r="AD4" i="8" s="1"/>
  <c r="O4" i="8"/>
  <c r="O26" i="8" s="1"/>
  <c r="Z3" i="8"/>
  <c r="X3" i="8"/>
  <c r="X14" i="8" s="1"/>
  <c r="V3" i="8"/>
  <c r="V14" i="8" s="1"/>
  <c r="T3" i="8"/>
  <c r="T14" i="8" s="1"/>
  <c r="R3" i="8"/>
  <c r="P3" i="8"/>
  <c r="O3" i="8"/>
  <c r="O14" i="8" s="1"/>
  <c r="Z2" i="8"/>
  <c r="X2" i="8"/>
  <c r="V2" i="8"/>
  <c r="T2" i="8"/>
  <c r="T13" i="8" s="1"/>
  <c r="R2" i="8"/>
  <c r="P2" i="8"/>
  <c r="O2" i="8"/>
  <c r="S1" i="8"/>
  <c r="A35" i="7"/>
  <c r="A34" i="7"/>
  <c r="U32" i="7"/>
  <c r="Q32" i="7"/>
  <c r="H32" i="7"/>
  <c r="U31" i="7"/>
  <c r="Q31" i="7"/>
  <c r="H31" i="7"/>
  <c r="Q30" i="7"/>
  <c r="H30" i="7"/>
  <c r="Y29" i="7"/>
  <c r="S29" i="7"/>
  <c r="Q29" i="7"/>
  <c r="H29" i="7"/>
  <c r="Y28" i="7"/>
  <c r="O28" i="7"/>
  <c r="H28" i="7"/>
  <c r="AM27" i="7"/>
  <c r="AK27" i="7"/>
  <c r="AI27" i="7"/>
  <c r="AH27" i="7"/>
  <c r="Q27" i="7"/>
  <c r="H27" i="7"/>
  <c r="AM26" i="7"/>
  <c r="AK26" i="7"/>
  <c r="AI26" i="7"/>
  <c r="AH26" i="7"/>
  <c r="Q26" i="7"/>
  <c r="H26" i="7"/>
  <c r="A26" i="7"/>
  <c r="AM25" i="7"/>
  <c r="AU24" i="7" s="1"/>
  <c r="AK25" i="7"/>
  <c r="AI25" i="7"/>
  <c r="AQ24" i="7" s="1"/>
  <c r="AH25" i="7"/>
  <c r="AR24" i="7" s="1"/>
  <c r="AL25" i="7" s="1"/>
  <c r="Y25" i="7"/>
  <c r="AT24" i="7"/>
  <c r="AS24" i="7"/>
  <c r="AP24" i="7"/>
  <c r="AJ25" i="7" s="1"/>
  <c r="AM24" i="7"/>
  <c r="AU23" i="7" s="1"/>
  <c r="AK24" i="7"/>
  <c r="AS23" i="7" s="1"/>
  <c r="AI24" i="7"/>
  <c r="I12" i="7" s="1"/>
  <c r="AH24" i="7"/>
  <c r="W24" i="7"/>
  <c r="U24" i="7"/>
  <c r="Q24" i="7"/>
  <c r="AT23" i="7"/>
  <c r="AN24" i="7" s="1"/>
  <c r="AR23" i="7"/>
  <c r="AL24" i="7" s="1"/>
  <c r="AP23" i="7"/>
  <c r="AM23" i="7"/>
  <c r="AU22" i="7" s="1"/>
  <c r="AK23" i="7"/>
  <c r="AI23" i="7"/>
  <c r="AH23" i="7"/>
  <c r="AS22" i="7" s="1"/>
  <c r="AA23" i="7"/>
  <c r="AA25" i="7" s="1"/>
  <c r="Y23" i="7"/>
  <c r="W23" i="7"/>
  <c r="U23" i="7"/>
  <c r="U29" i="7" s="1"/>
  <c r="S23" i="7"/>
  <c r="S27" i="7" s="1"/>
  <c r="Q23" i="7"/>
  <c r="Q28" i="7" s="1"/>
  <c r="D23" i="7"/>
  <c r="B23" i="7"/>
  <c r="AT22" i="7"/>
  <c r="AN23" i="7" s="1"/>
  <c r="AQ22" i="7"/>
  <c r="AM22" i="7"/>
  <c r="AK22" i="7"/>
  <c r="AI22" i="7"/>
  <c r="AP21" i="7" s="1"/>
  <c r="AJ22" i="7" s="1"/>
  <c r="AH22" i="7"/>
  <c r="AU21" i="7" s="1"/>
  <c r="D22" i="7"/>
  <c r="B22" i="7"/>
  <c r="AT21" i="7"/>
  <c r="AN22" i="7" s="1"/>
  <c r="AR21" i="7"/>
  <c r="AQ21" i="7"/>
  <c r="P21" i="7"/>
  <c r="D21" i="7"/>
  <c r="B21" i="7"/>
  <c r="O20" i="7"/>
  <c r="D20" i="7"/>
  <c r="B20" i="7"/>
  <c r="X19" i="7"/>
  <c r="V19" i="7"/>
  <c r="D19" i="7"/>
  <c r="B19" i="7"/>
  <c r="R18" i="7"/>
  <c r="D18" i="7"/>
  <c r="B18" i="7"/>
  <c r="AL17" i="7"/>
  <c r="AK17" i="7"/>
  <c r="AJ17" i="7"/>
  <c r="AI17" i="7"/>
  <c r="AH17" i="7"/>
  <c r="AG17" i="7"/>
  <c r="Z17" i="7"/>
  <c r="R17" i="7"/>
  <c r="P17" i="7"/>
  <c r="L17" i="7"/>
  <c r="I17" i="7"/>
  <c r="F17" i="7"/>
  <c r="B17" i="7"/>
  <c r="T16" i="7"/>
  <c r="AL15" i="7"/>
  <c r="AK15" i="7"/>
  <c r="AJ15" i="7"/>
  <c r="AI15" i="7"/>
  <c r="AH15" i="7"/>
  <c r="AG15" i="7"/>
  <c r="Z15" i="7"/>
  <c r="T15" i="7"/>
  <c r="R15" i="7"/>
  <c r="P15" i="7"/>
  <c r="X14" i="7"/>
  <c r="X13" i="7"/>
  <c r="P13" i="7"/>
  <c r="I11" i="7"/>
  <c r="X10" i="7"/>
  <c r="X21" i="7" s="1"/>
  <c r="V10" i="7"/>
  <c r="V21" i="7" s="1"/>
  <c r="T10" i="7"/>
  <c r="R10" i="7"/>
  <c r="R21" i="7" s="1"/>
  <c r="P10" i="7"/>
  <c r="O10" i="7"/>
  <c r="O21" i="7" s="1"/>
  <c r="O32" i="7" s="1"/>
  <c r="I10" i="7"/>
  <c r="X9" i="7"/>
  <c r="V9" i="7"/>
  <c r="V20" i="7" s="1"/>
  <c r="T9" i="7"/>
  <c r="T20" i="7" s="1"/>
  <c r="R9" i="7"/>
  <c r="R20" i="7" s="1"/>
  <c r="P9" i="7"/>
  <c r="O9" i="7"/>
  <c r="O31" i="7" s="1"/>
  <c r="L9" i="7"/>
  <c r="X8" i="7"/>
  <c r="V8" i="7"/>
  <c r="T8" i="7"/>
  <c r="T19" i="7" s="1"/>
  <c r="R8" i="7"/>
  <c r="P8" i="7"/>
  <c r="O8" i="7"/>
  <c r="O30" i="7" s="1"/>
  <c r="Z7" i="7"/>
  <c r="Z18" i="7" s="1"/>
  <c r="X7" i="7"/>
  <c r="X18" i="7" s="1"/>
  <c r="V7" i="7"/>
  <c r="V18" i="7" s="1"/>
  <c r="T7" i="7"/>
  <c r="T18" i="7" s="1"/>
  <c r="R7" i="7"/>
  <c r="P7" i="7"/>
  <c r="P18" i="7" s="1"/>
  <c r="O7" i="7"/>
  <c r="O29" i="7" s="1"/>
  <c r="Z6" i="7"/>
  <c r="X6" i="7"/>
  <c r="X17" i="7" s="1"/>
  <c r="V6" i="7"/>
  <c r="V17" i="7" s="1"/>
  <c r="T6" i="7"/>
  <c r="R6" i="7"/>
  <c r="P6" i="7"/>
  <c r="O6" i="7"/>
  <c r="O17" i="7" s="1"/>
  <c r="AD5" i="7"/>
  <c r="Z5" i="7"/>
  <c r="Z16" i="7" s="1"/>
  <c r="X5" i="7"/>
  <c r="X16" i="7" s="1"/>
  <c r="V5" i="7"/>
  <c r="V16" i="7" s="1"/>
  <c r="T5" i="7"/>
  <c r="R5" i="7"/>
  <c r="AC5" i="7" s="1"/>
  <c r="P5" i="7"/>
  <c r="P16" i="7" s="1"/>
  <c r="O5" i="7"/>
  <c r="O27" i="7" s="1"/>
  <c r="Z4" i="7"/>
  <c r="X4" i="7"/>
  <c r="X15" i="7" s="1"/>
  <c r="V4" i="7"/>
  <c r="T4" i="7"/>
  <c r="R4" i="7"/>
  <c r="P4" i="7"/>
  <c r="O4" i="7"/>
  <c r="O26" i="7" s="1"/>
  <c r="AI3" i="7"/>
  <c r="Z3" i="7"/>
  <c r="X3" i="7"/>
  <c r="V3" i="7"/>
  <c r="V14" i="7" s="1"/>
  <c r="T3" i="7"/>
  <c r="T14" i="7" s="1"/>
  <c r="R3" i="7"/>
  <c r="AC3" i="7" s="1"/>
  <c r="P3" i="7"/>
  <c r="AD3" i="7" s="1"/>
  <c r="O3" i="7"/>
  <c r="O25" i="7" s="1"/>
  <c r="Z2" i="7"/>
  <c r="X2" i="7"/>
  <c r="Y1" i="7" s="1"/>
  <c r="V2" i="7"/>
  <c r="V13" i="7" s="1"/>
  <c r="T2" i="7"/>
  <c r="T13" i="7" s="1"/>
  <c r="R2" i="7"/>
  <c r="AC2" i="7" s="1"/>
  <c r="P2" i="7"/>
  <c r="AD2" i="7" s="1"/>
  <c r="O2" i="7"/>
  <c r="Z35" i="6"/>
  <c r="X35" i="6"/>
  <c r="V35" i="6"/>
  <c r="T35" i="6"/>
  <c r="R35" i="6"/>
  <c r="P35" i="6"/>
  <c r="Y34" i="6"/>
  <c r="W34" i="6"/>
  <c r="S34" i="6"/>
  <c r="W33" i="6"/>
  <c r="Q33" i="6"/>
  <c r="O32" i="6"/>
  <c r="W31" i="6"/>
  <c r="S31" i="6"/>
  <c r="Q31" i="6"/>
  <c r="AA30" i="6"/>
  <c r="W30" i="6"/>
  <c r="Q30" i="6"/>
  <c r="O30" i="6"/>
  <c r="Y29" i="6"/>
  <c r="O29" i="6"/>
  <c r="AA28" i="6"/>
  <c r="Y28" i="6"/>
  <c r="W28" i="6"/>
  <c r="AA27" i="6"/>
  <c r="Y27" i="6"/>
  <c r="W27" i="6"/>
  <c r="U27" i="6"/>
  <c r="Y26" i="6"/>
  <c r="W26" i="6"/>
  <c r="S26" i="6"/>
  <c r="D26" i="6" a="1"/>
  <c r="D26" i="6" s="1"/>
  <c r="A26" i="6"/>
  <c r="Y25" i="6"/>
  <c r="Y30" i="6" s="1"/>
  <c r="W25" i="6"/>
  <c r="W29" i="6" s="1"/>
  <c r="U25" i="6"/>
  <c r="U28" i="6" s="1"/>
  <c r="S25" i="6"/>
  <c r="S27" i="6" s="1"/>
  <c r="Q25" i="6"/>
  <c r="Q34" i="6" s="1"/>
  <c r="F25" i="6" a="1"/>
  <c r="F25" i="6" s="1"/>
  <c r="A25" i="6"/>
  <c r="AA24" i="6"/>
  <c r="AA31" i="6" s="1"/>
  <c r="G23" i="6"/>
  <c r="E23" i="6"/>
  <c r="C23" i="6"/>
  <c r="V22" i="6"/>
  <c r="T22" i="6"/>
  <c r="O22" i="6"/>
  <c r="O34" i="6" s="1"/>
  <c r="G22" i="6"/>
  <c r="E22" i="6"/>
  <c r="C22" i="6"/>
  <c r="G21" i="6"/>
  <c r="E21" i="6"/>
  <c r="C21" i="6"/>
  <c r="T20" i="6"/>
  <c r="O20" i="6"/>
  <c r="G20" i="6"/>
  <c r="E20" i="6"/>
  <c r="C20" i="6"/>
  <c r="V19" i="6"/>
  <c r="T19" i="6"/>
  <c r="G19" i="6"/>
  <c r="E19" i="6"/>
  <c r="D25" i="6" s="1" a="1"/>
  <c r="D25" i="6" s="1"/>
  <c r="C19" i="6"/>
  <c r="B25" i="6" s="1" a="1"/>
  <c r="B25" i="6" s="1"/>
  <c r="V18" i="6"/>
  <c r="T18" i="6"/>
  <c r="O18" i="6"/>
  <c r="G18" i="6"/>
  <c r="F26" i="6" s="1" a="1"/>
  <c r="F26" i="6" s="1"/>
  <c r="E18" i="6"/>
  <c r="C18" i="6"/>
  <c r="V17" i="6"/>
  <c r="T17" i="6"/>
  <c r="O17" i="6"/>
  <c r="A17" i="6"/>
  <c r="Z15" i="6"/>
  <c r="R15" i="6"/>
  <c r="O15" i="6"/>
  <c r="G15" i="6"/>
  <c r="Z14" i="6"/>
  <c r="R14" i="6"/>
  <c r="O14" i="6"/>
  <c r="G14" i="6"/>
  <c r="G13" i="6"/>
  <c r="G12" i="6"/>
  <c r="G11" i="6"/>
  <c r="Z10" i="6"/>
  <c r="Z22" i="6" s="1"/>
  <c r="X10" i="6"/>
  <c r="X22" i="6" s="1"/>
  <c r="V10" i="6"/>
  <c r="T10" i="6"/>
  <c r="U10" i="6" s="1"/>
  <c r="R10" i="6"/>
  <c r="R22" i="6" s="1"/>
  <c r="P10" i="6"/>
  <c r="P22" i="6" s="1"/>
  <c r="O10" i="6"/>
  <c r="G10" i="6"/>
  <c r="AC9" i="6"/>
  <c r="Z9" i="6"/>
  <c r="X9" i="6"/>
  <c r="X21" i="6" s="1"/>
  <c r="V9" i="6"/>
  <c r="V21" i="6" s="1"/>
  <c r="T9" i="6"/>
  <c r="R9" i="6"/>
  <c r="P9" i="6"/>
  <c r="P21" i="6" s="1"/>
  <c r="O9" i="6"/>
  <c r="O33" i="6" s="1"/>
  <c r="L9" i="6"/>
  <c r="Z8" i="6"/>
  <c r="Z20" i="6" s="1"/>
  <c r="X8" i="6"/>
  <c r="X20" i="6" s="1"/>
  <c r="V8" i="6"/>
  <c r="T8" i="6"/>
  <c r="U8" i="6" s="1"/>
  <c r="R8" i="6"/>
  <c r="R20" i="6" s="1"/>
  <c r="P8" i="6"/>
  <c r="AD8" i="6" s="1"/>
  <c r="O8" i="6"/>
  <c r="AI7" i="6"/>
  <c r="Z7" i="6"/>
  <c r="Z19" i="6" s="1"/>
  <c r="X7" i="6"/>
  <c r="X19" i="6" s="1"/>
  <c r="V7" i="6"/>
  <c r="T7" i="6"/>
  <c r="R7" i="6"/>
  <c r="R19" i="6" s="1"/>
  <c r="P7" i="6"/>
  <c r="AD7" i="6" s="1"/>
  <c r="O7" i="6"/>
  <c r="Z6" i="6"/>
  <c r="Z18" i="6" s="1"/>
  <c r="X6" i="6"/>
  <c r="V6" i="6"/>
  <c r="T6" i="6"/>
  <c r="R6" i="6"/>
  <c r="R18" i="6" s="1"/>
  <c r="P6" i="6"/>
  <c r="O6" i="6"/>
  <c r="Z5" i="6"/>
  <c r="Z17" i="6" s="1"/>
  <c r="X5" i="6"/>
  <c r="X17" i="6" s="1"/>
  <c r="V5" i="6"/>
  <c r="T5" i="6"/>
  <c r="U5" i="6" s="1"/>
  <c r="R5" i="6"/>
  <c r="R17" i="6" s="1"/>
  <c r="P5" i="6"/>
  <c r="P17" i="6" s="1"/>
  <c r="O5" i="6"/>
  <c r="Z4" i="6"/>
  <c r="X4" i="6"/>
  <c r="V4" i="6"/>
  <c r="V16" i="6" s="1"/>
  <c r="T4" i="6"/>
  <c r="T16" i="6" s="1"/>
  <c r="R4" i="6"/>
  <c r="P4" i="6"/>
  <c r="O4" i="6"/>
  <c r="O16" i="6" s="1"/>
  <c r="Z3" i="6"/>
  <c r="X3" i="6"/>
  <c r="V3" i="6"/>
  <c r="V15" i="6" s="1"/>
  <c r="T3" i="6"/>
  <c r="T15" i="6" s="1"/>
  <c r="R3" i="6"/>
  <c r="P3" i="6"/>
  <c r="O3" i="6"/>
  <c r="O27" i="6" s="1"/>
  <c r="Z2" i="6"/>
  <c r="X2" i="6"/>
  <c r="V2" i="6"/>
  <c r="V14" i="6" s="1"/>
  <c r="T2" i="6"/>
  <c r="AI5" i="6" s="1"/>
  <c r="R2" i="6"/>
  <c r="P2" i="6"/>
  <c r="O2" i="6"/>
  <c r="O26" i="6" s="1"/>
  <c r="U1" i="6"/>
  <c r="Z35" i="5"/>
  <c r="X35" i="5"/>
  <c r="V35" i="5"/>
  <c r="T35" i="5"/>
  <c r="R35" i="5"/>
  <c r="P35" i="5"/>
  <c r="Q34" i="5"/>
  <c r="Y33" i="5"/>
  <c r="O33" i="5"/>
  <c r="AA32" i="5"/>
  <c r="W32" i="5"/>
  <c r="AA31" i="5"/>
  <c r="Y31" i="5"/>
  <c r="U31" i="5"/>
  <c r="Y30" i="5"/>
  <c r="U30" i="5"/>
  <c r="S30" i="5"/>
  <c r="W29" i="5"/>
  <c r="U29" i="5"/>
  <c r="S29" i="5"/>
  <c r="Q29" i="5"/>
  <c r="U28" i="5"/>
  <c r="S28" i="5"/>
  <c r="Q28" i="5"/>
  <c r="O28" i="5"/>
  <c r="S27" i="5"/>
  <c r="Q27" i="5"/>
  <c r="AA26" i="5"/>
  <c r="U26" i="5"/>
  <c r="Q26" i="5"/>
  <c r="F26" i="5" a="1"/>
  <c r="F26" i="5"/>
  <c r="A26" i="5"/>
  <c r="AA25" i="5"/>
  <c r="Y25" i="5"/>
  <c r="Y34" i="5" s="1"/>
  <c r="W25" i="5"/>
  <c r="U25" i="5"/>
  <c r="U32" i="5" s="1"/>
  <c r="S25" i="5"/>
  <c r="S31" i="5" s="1"/>
  <c r="Q25" i="5"/>
  <c r="Q30" i="5" s="1"/>
  <c r="D25" i="5" a="1"/>
  <c r="D25" i="5" s="1"/>
  <c r="B25" i="5" a="1"/>
  <c r="B25" i="5" s="1"/>
  <c r="A25" i="5"/>
  <c r="AA24" i="5"/>
  <c r="AA27" i="5" s="1"/>
  <c r="G23" i="5"/>
  <c r="E23" i="5"/>
  <c r="C23" i="5"/>
  <c r="Z22" i="5"/>
  <c r="R22" i="5"/>
  <c r="G22" i="5"/>
  <c r="E22" i="5"/>
  <c r="C22" i="5"/>
  <c r="Z21" i="5"/>
  <c r="X21" i="5"/>
  <c r="G21" i="5"/>
  <c r="E21" i="5"/>
  <c r="C21" i="5"/>
  <c r="Z20" i="5"/>
  <c r="X20" i="5"/>
  <c r="R20" i="5"/>
  <c r="P20" i="5"/>
  <c r="G20" i="5"/>
  <c r="E20" i="5"/>
  <c r="C20" i="5"/>
  <c r="Z19" i="5"/>
  <c r="X19" i="5"/>
  <c r="R19" i="5"/>
  <c r="P19" i="5"/>
  <c r="G19" i="5"/>
  <c r="F25" i="5" s="1" a="1"/>
  <c r="F25" i="5" s="1"/>
  <c r="E19" i="5"/>
  <c r="C19" i="5"/>
  <c r="Z18" i="5"/>
  <c r="X18" i="5"/>
  <c r="R18" i="5"/>
  <c r="P18" i="5"/>
  <c r="G18" i="5"/>
  <c r="E18" i="5"/>
  <c r="D26" i="5" s="1" a="1"/>
  <c r="D26" i="5" s="1"/>
  <c r="C18" i="5"/>
  <c r="B26" i="5" s="1" a="1"/>
  <c r="B26" i="5" s="1"/>
  <c r="Z17" i="5"/>
  <c r="R17" i="5"/>
  <c r="P17" i="5"/>
  <c r="A17" i="5"/>
  <c r="V15" i="5"/>
  <c r="G15" i="5"/>
  <c r="V14" i="5"/>
  <c r="G14" i="5"/>
  <c r="G13" i="5"/>
  <c r="G12" i="5"/>
  <c r="X11" i="5"/>
  <c r="G11" i="5"/>
  <c r="Z10" i="5"/>
  <c r="X10" i="5"/>
  <c r="V10" i="5"/>
  <c r="V22" i="5" s="1"/>
  <c r="T10" i="5"/>
  <c r="T22" i="5" s="1"/>
  <c r="R10" i="5"/>
  <c r="P10" i="5"/>
  <c r="O10" i="5"/>
  <c r="O22" i="5" s="1"/>
  <c r="O34" i="5" s="1"/>
  <c r="G10" i="5"/>
  <c r="Z9" i="5"/>
  <c r="X9" i="5"/>
  <c r="V9" i="5"/>
  <c r="T9" i="5"/>
  <c r="T21" i="5" s="1"/>
  <c r="R9" i="5"/>
  <c r="P9" i="5"/>
  <c r="O9" i="5"/>
  <c r="O21" i="5" s="1"/>
  <c r="L9" i="5"/>
  <c r="AD8" i="5"/>
  <c r="AC8" i="5"/>
  <c r="Z8" i="5"/>
  <c r="X8" i="5"/>
  <c r="V8" i="5"/>
  <c r="V20" i="5" s="1"/>
  <c r="T8" i="5"/>
  <c r="T20" i="5" s="1"/>
  <c r="R8" i="5"/>
  <c r="P8" i="5"/>
  <c r="O8" i="5"/>
  <c r="O20" i="5" s="1"/>
  <c r="AD7" i="5"/>
  <c r="Z7" i="5"/>
  <c r="X7" i="5"/>
  <c r="V7" i="5"/>
  <c r="T7" i="5"/>
  <c r="T19" i="5" s="1"/>
  <c r="R7" i="5"/>
  <c r="P7" i="5"/>
  <c r="O7" i="5"/>
  <c r="O19" i="5" s="1"/>
  <c r="Z6" i="5"/>
  <c r="X6" i="5"/>
  <c r="V6" i="5"/>
  <c r="V18" i="5" s="1"/>
  <c r="T6" i="5"/>
  <c r="R6" i="5"/>
  <c r="P6" i="5"/>
  <c r="O6" i="5"/>
  <c r="Z5" i="5"/>
  <c r="X5" i="5"/>
  <c r="V5" i="5"/>
  <c r="V17" i="5" s="1"/>
  <c r="T5" i="5"/>
  <c r="T17" i="5" s="1"/>
  <c r="R5" i="5"/>
  <c r="P5" i="5"/>
  <c r="O5" i="5"/>
  <c r="Z4" i="5"/>
  <c r="Z16" i="5" s="1"/>
  <c r="X4" i="5"/>
  <c r="X16" i="5" s="1"/>
  <c r="V4" i="5"/>
  <c r="T4" i="5"/>
  <c r="R4" i="5"/>
  <c r="P4" i="5"/>
  <c r="O4" i="5"/>
  <c r="O16" i="5" s="1"/>
  <c r="Z3" i="5"/>
  <c r="X3" i="5"/>
  <c r="X15" i="5" s="1"/>
  <c r="V3" i="5"/>
  <c r="T3" i="5"/>
  <c r="R3" i="5"/>
  <c r="P3" i="5"/>
  <c r="O3" i="5"/>
  <c r="Z2" i="5"/>
  <c r="Z11" i="5" s="1"/>
  <c r="X2" i="5"/>
  <c r="V2" i="5"/>
  <c r="V11" i="5" s="1"/>
  <c r="T2" i="5"/>
  <c r="R2" i="5"/>
  <c r="P2" i="5"/>
  <c r="O2" i="5"/>
  <c r="Z35" i="4"/>
  <c r="X35" i="4"/>
  <c r="V35" i="4"/>
  <c r="T35" i="4"/>
  <c r="R35" i="4"/>
  <c r="P35" i="4"/>
  <c r="Y34" i="4"/>
  <c r="W34" i="4"/>
  <c r="W33" i="4"/>
  <c r="Q33" i="4"/>
  <c r="W31" i="4"/>
  <c r="Q30" i="4"/>
  <c r="O30" i="4"/>
  <c r="Y29" i="4"/>
  <c r="AA28" i="4"/>
  <c r="W28" i="4"/>
  <c r="AA27" i="4"/>
  <c r="Y27" i="4"/>
  <c r="W27" i="4"/>
  <c r="Y26" i="4"/>
  <c r="W26" i="4"/>
  <c r="A26" i="4"/>
  <c r="Y25" i="4"/>
  <c r="Y30" i="4" s="1"/>
  <c r="W25" i="4"/>
  <c r="W29" i="4" s="1"/>
  <c r="U25" i="4"/>
  <c r="S25" i="4"/>
  <c r="Q25" i="4"/>
  <c r="A25" i="4"/>
  <c r="AA24" i="4"/>
  <c r="G23" i="4"/>
  <c r="E23" i="4"/>
  <c r="C23" i="4"/>
  <c r="T22" i="4"/>
  <c r="G22" i="4"/>
  <c r="E22" i="4"/>
  <c r="C22" i="4"/>
  <c r="V21" i="4"/>
  <c r="O21" i="4"/>
  <c r="G21" i="4"/>
  <c r="E21" i="4"/>
  <c r="C21" i="4"/>
  <c r="V20" i="4"/>
  <c r="P20" i="4"/>
  <c r="G20" i="4"/>
  <c r="E20" i="4"/>
  <c r="C20" i="4"/>
  <c r="V19" i="4"/>
  <c r="R19" i="4"/>
  <c r="O19" i="4"/>
  <c r="G19" i="4"/>
  <c r="F25" i="4" s="1" a="1"/>
  <c r="F25" i="4" s="1"/>
  <c r="E19" i="4"/>
  <c r="C19" i="4"/>
  <c r="G18" i="4"/>
  <c r="E18" i="4"/>
  <c r="D26" i="4" s="1" a="1"/>
  <c r="D26" i="4" s="1"/>
  <c r="C18" i="4"/>
  <c r="B26" i="4" s="1" a="1"/>
  <c r="B26" i="4" s="1"/>
  <c r="X17" i="4"/>
  <c r="T17" i="4"/>
  <c r="P17" i="4"/>
  <c r="A17" i="4"/>
  <c r="X15" i="4"/>
  <c r="P15" i="4"/>
  <c r="G15" i="4"/>
  <c r="X14" i="4"/>
  <c r="P14" i="4"/>
  <c r="G14" i="4"/>
  <c r="G13" i="4"/>
  <c r="G12" i="4"/>
  <c r="G11" i="4"/>
  <c r="Z10" i="4"/>
  <c r="X10" i="4"/>
  <c r="X22" i="4" s="1"/>
  <c r="V10" i="4"/>
  <c r="V22" i="4" s="1"/>
  <c r="T10" i="4"/>
  <c r="R10" i="4"/>
  <c r="P10" i="4"/>
  <c r="P22" i="4" s="1"/>
  <c r="O10" i="4"/>
  <c r="O22" i="4" s="1"/>
  <c r="O34" i="4" s="1"/>
  <c r="G10" i="4"/>
  <c r="AD9" i="4"/>
  <c r="Z9" i="4"/>
  <c r="Z21" i="4" s="1"/>
  <c r="X9" i="4"/>
  <c r="X21" i="4" s="1"/>
  <c r="V9" i="4"/>
  <c r="T9" i="4"/>
  <c r="T21" i="4" s="1"/>
  <c r="R9" i="4"/>
  <c r="R21" i="4" s="1"/>
  <c r="P9" i="4"/>
  <c r="P21" i="4" s="1"/>
  <c r="O9" i="4"/>
  <c r="O33" i="4" s="1"/>
  <c r="L9" i="4"/>
  <c r="Z8" i="4"/>
  <c r="Z20" i="4" s="1"/>
  <c r="X8" i="4"/>
  <c r="X20" i="4" s="1"/>
  <c r="V8" i="4"/>
  <c r="T8" i="4"/>
  <c r="R8" i="4"/>
  <c r="R20" i="4" s="1"/>
  <c r="P8" i="4"/>
  <c r="AD8" i="4" s="1"/>
  <c r="O8" i="4"/>
  <c r="Z7" i="4"/>
  <c r="Z19" i="4" s="1"/>
  <c r="X7" i="4"/>
  <c r="V7" i="4"/>
  <c r="T7" i="4"/>
  <c r="T19" i="4" s="1"/>
  <c r="R7" i="4"/>
  <c r="P7" i="4"/>
  <c r="O7" i="4"/>
  <c r="O31" i="4" s="1"/>
  <c r="Z6" i="4"/>
  <c r="Z18" i="4" s="1"/>
  <c r="X6" i="4"/>
  <c r="X18" i="4" s="1"/>
  <c r="V6" i="4"/>
  <c r="T6" i="4"/>
  <c r="T18" i="4" s="1"/>
  <c r="R6" i="4"/>
  <c r="R18" i="4" s="1"/>
  <c r="P6" i="4"/>
  <c r="P18" i="4" s="1"/>
  <c r="O6" i="4"/>
  <c r="O18" i="4" s="1"/>
  <c r="Z5" i="4"/>
  <c r="X5" i="4"/>
  <c r="V5" i="4"/>
  <c r="V11" i="4" s="1"/>
  <c r="T5" i="4"/>
  <c r="R5" i="4"/>
  <c r="P5" i="4"/>
  <c r="O5" i="4"/>
  <c r="O29" i="4" s="1"/>
  <c r="Z4" i="4"/>
  <c r="Z16" i="4" s="1"/>
  <c r="X4" i="4"/>
  <c r="V4" i="4"/>
  <c r="V16" i="4" s="1"/>
  <c r="T4" i="4"/>
  <c r="R4" i="4"/>
  <c r="R16" i="4" s="1"/>
  <c r="P4" i="4"/>
  <c r="O4" i="4"/>
  <c r="O28" i="4" s="1"/>
  <c r="AC3" i="4"/>
  <c r="Z3" i="4"/>
  <c r="Z15" i="4" s="1"/>
  <c r="X3" i="4"/>
  <c r="V3" i="4"/>
  <c r="V15" i="4" s="1"/>
  <c r="T3" i="4"/>
  <c r="R3" i="4"/>
  <c r="R15" i="4" s="1"/>
  <c r="P3" i="4"/>
  <c r="O3" i="4"/>
  <c r="O27" i="4" s="1"/>
  <c r="AC2" i="4"/>
  <c r="Z2" i="4"/>
  <c r="Z11" i="4" s="1"/>
  <c r="X2" i="4"/>
  <c r="AI7" i="4" s="1"/>
  <c r="V2" i="4"/>
  <c r="V14" i="4" s="1"/>
  <c r="T2" i="4"/>
  <c r="R2" i="4"/>
  <c r="R14" i="4" s="1"/>
  <c r="P2" i="4"/>
  <c r="AI3" i="4" s="1"/>
  <c r="O2" i="4"/>
  <c r="O26" i="4" s="1"/>
  <c r="W1" i="4"/>
  <c r="W8" i="4" s="1"/>
  <c r="Z35" i="3"/>
  <c r="X35" i="3"/>
  <c r="V35" i="3"/>
  <c r="T35" i="3"/>
  <c r="R35" i="3"/>
  <c r="P35" i="3"/>
  <c r="W34" i="3"/>
  <c r="AA33" i="3"/>
  <c r="AA32" i="3"/>
  <c r="Y32" i="3"/>
  <c r="W32" i="3"/>
  <c r="S32" i="3"/>
  <c r="Q32" i="3"/>
  <c r="Y31" i="3"/>
  <c r="W31" i="3"/>
  <c r="Q31" i="3"/>
  <c r="O31" i="3"/>
  <c r="AA30" i="3"/>
  <c r="W30" i="3"/>
  <c r="U30" i="3"/>
  <c r="O30" i="3"/>
  <c r="AA29" i="3"/>
  <c r="S29" i="3"/>
  <c r="AA28" i="3"/>
  <c r="Y28" i="3"/>
  <c r="W28" i="3"/>
  <c r="S28" i="3"/>
  <c r="Q28" i="3"/>
  <c r="Y27" i="3"/>
  <c r="W27" i="3"/>
  <c r="Q27" i="3"/>
  <c r="O27" i="3"/>
  <c r="AA26" i="3"/>
  <c r="W26" i="3"/>
  <c r="O26" i="3"/>
  <c r="A26" i="3"/>
  <c r="AA25" i="3"/>
  <c r="Y25" i="3"/>
  <c r="Y33" i="3" s="1"/>
  <c r="W25" i="3"/>
  <c r="W33" i="3" s="1"/>
  <c r="U25" i="3"/>
  <c r="U31" i="3" s="1"/>
  <c r="S25" i="3"/>
  <c r="S30" i="3" s="1"/>
  <c r="Q25" i="3"/>
  <c r="Q29" i="3" s="1"/>
  <c r="A25" i="3"/>
  <c r="AA24" i="3"/>
  <c r="AA27" i="3" s="1"/>
  <c r="G23" i="3"/>
  <c r="E23" i="3"/>
  <c r="C23" i="3"/>
  <c r="T22" i="3"/>
  <c r="G22" i="3"/>
  <c r="E22" i="3"/>
  <c r="C22" i="3"/>
  <c r="Z21" i="3"/>
  <c r="V21" i="3"/>
  <c r="R21" i="3"/>
  <c r="I21" i="3"/>
  <c r="G21" i="3"/>
  <c r="F25" i="3" s="1" a="1"/>
  <c r="F25" i="3" s="1"/>
  <c r="E21" i="3"/>
  <c r="C21" i="3"/>
  <c r="Z20" i="3"/>
  <c r="V20" i="3"/>
  <c r="R20" i="3"/>
  <c r="O20" i="3"/>
  <c r="I20" i="3"/>
  <c r="G20" i="3"/>
  <c r="E20" i="3"/>
  <c r="C20" i="3"/>
  <c r="B25" i="3" s="1" a="1"/>
  <c r="B25" i="3" s="1"/>
  <c r="Z19" i="3"/>
  <c r="V19" i="3"/>
  <c r="R19" i="3"/>
  <c r="O19" i="3"/>
  <c r="G19" i="3"/>
  <c r="E19" i="3"/>
  <c r="D25" i="3" s="1" a="1"/>
  <c r="D25" i="3" s="1"/>
  <c r="C19" i="3"/>
  <c r="G18" i="3"/>
  <c r="F26" i="3" s="1" a="1"/>
  <c r="F26" i="3" s="1"/>
  <c r="E18" i="3"/>
  <c r="D26" i="3" s="1" a="1"/>
  <c r="D26" i="3" s="1"/>
  <c r="C18" i="3"/>
  <c r="B26" i="3" s="1" a="1"/>
  <c r="B26" i="3" s="1"/>
  <c r="Z17" i="3"/>
  <c r="V17" i="3"/>
  <c r="R17" i="3"/>
  <c r="A17" i="3"/>
  <c r="Z16" i="3"/>
  <c r="V16" i="3"/>
  <c r="T16" i="3"/>
  <c r="R16" i="3"/>
  <c r="O16" i="3"/>
  <c r="T15" i="3"/>
  <c r="G15" i="3"/>
  <c r="T14" i="3"/>
  <c r="G14" i="3"/>
  <c r="G13" i="3"/>
  <c r="G12" i="3"/>
  <c r="V11" i="3"/>
  <c r="G11" i="3"/>
  <c r="Z10" i="3"/>
  <c r="Z22" i="3" s="1"/>
  <c r="X10" i="3"/>
  <c r="X22" i="3" s="1"/>
  <c r="V10" i="3"/>
  <c r="V22" i="3" s="1"/>
  <c r="T10" i="3"/>
  <c r="T11" i="3" s="1"/>
  <c r="R10" i="3"/>
  <c r="R22" i="3" s="1"/>
  <c r="P10" i="3"/>
  <c r="P22" i="3" s="1"/>
  <c r="O10" i="3"/>
  <c r="O22" i="3" s="1"/>
  <c r="O34" i="3" s="1"/>
  <c r="G10" i="3"/>
  <c r="Z9" i="3"/>
  <c r="Z11" i="3" s="1"/>
  <c r="X9" i="3"/>
  <c r="X21" i="3" s="1"/>
  <c r="W9" i="3"/>
  <c r="V9" i="3"/>
  <c r="T9" i="3"/>
  <c r="T21" i="3" s="1"/>
  <c r="R9" i="3"/>
  <c r="I19" i="3" s="1"/>
  <c r="P9" i="3"/>
  <c r="AD9" i="3" s="1"/>
  <c r="O9" i="3"/>
  <c r="L9" i="3"/>
  <c r="Z8" i="3"/>
  <c r="X8" i="3"/>
  <c r="V8" i="3"/>
  <c r="T8" i="3"/>
  <c r="T20" i="3" s="1"/>
  <c r="R8" i="3"/>
  <c r="P8" i="3"/>
  <c r="O8" i="3"/>
  <c r="O32" i="3" s="1"/>
  <c r="Z7" i="3"/>
  <c r="X7" i="3"/>
  <c r="V7" i="3"/>
  <c r="T7" i="3"/>
  <c r="T19" i="3" s="1"/>
  <c r="R7" i="3"/>
  <c r="P7" i="3"/>
  <c r="O7" i="3"/>
  <c r="Z6" i="3"/>
  <c r="Z18" i="3" s="1"/>
  <c r="X6" i="3"/>
  <c r="X18" i="3" s="1"/>
  <c r="V6" i="3"/>
  <c r="V18" i="3" s="1"/>
  <c r="T6" i="3"/>
  <c r="T18" i="3" s="1"/>
  <c r="R6" i="3"/>
  <c r="R18" i="3" s="1"/>
  <c r="P6" i="3"/>
  <c r="O6" i="3"/>
  <c r="O18" i="3" s="1"/>
  <c r="Z5" i="3"/>
  <c r="X5" i="3"/>
  <c r="V5" i="3"/>
  <c r="T5" i="3"/>
  <c r="AC5" i="3" s="1"/>
  <c r="R5" i="3"/>
  <c r="P5" i="3"/>
  <c r="O5" i="3"/>
  <c r="O29" i="3" s="1"/>
  <c r="Z4" i="3"/>
  <c r="X4" i="3"/>
  <c r="V4" i="3"/>
  <c r="T4" i="3"/>
  <c r="AC4" i="3" s="1"/>
  <c r="R4" i="3"/>
  <c r="P4" i="3"/>
  <c r="O4" i="3"/>
  <c r="O28" i="3" s="1"/>
  <c r="Z3" i="3"/>
  <c r="Z15" i="3" s="1"/>
  <c r="X3" i="3"/>
  <c r="V3" i="3"/>
  <c r="V15" i="3" s="1"/>
  <c r="T3" i="3"/>
  <c r="R3" i="3"/>
  <c r="R15" i="3" s="1"/>
  <c r="P3" i="3"/>
  <c r="O3" i="3"/>
  <c r="O15" i="3" s="1"/>
  <c r="Z2" i="3"/>
  <c r="Z14" i="3" s="1"/>
  <c r="X2" i="3"/>
  <c r="V2" i="3"/>
  <c r="V14" i="3" s="1"/>
  <c r="T2" i="3"/>
  <c r="R2" i="3"/>
  <c r="R14" i="3" s="1"/>
  <c r="P2" i="3"/>
  <c r="O2" i="3"/>
  <c r="O14" i="3" s="1"/>
  <c r="W1" i="3"/>
  <c r="W8" i="3" s="1"/>
  <c r="AK247" i="2"/>
  <c r="Y247" i="2" s="1"/>
  <c r="AI247" i="2"/>
  <c r="AG247" i="2"/>
  <c r="AE247" i="2"/>
  <c r="S247" i="2" s="1"/>
  <c r="AC247" i="2"/>
  <c r="Q247" i="2" s="1"/>
  <c r="AA247" i="2"/>
  <c r="W247" i="2"/>
  <c r="U247" i="2"/>
  <c r="O247" i="2"/>
  <c r="AK246" i="2"/>
  <c r="Y246" i="2" s="1"/>
  <c r="AI246" i="2"/>
  <c r="AG246" i="2"/>
  <c r="AE246" i="2"/>
  <c r="S246" i="2" s="1"/>
  <c r="AC246" i="2"/>
  <c r="Q246" i="2" s="1"/>
  <c r="AA246" i="2"/>
  <c r="W246" i="2"/>
  <c r="U246" i="2"/>
  <c r="O246" i="2"/>
  <c r="AK245" i="2"/>
  <c r="Y245" i="2" s="1"/>
  <c r="AI245" i="2"/>
  <c r="AG245" i="2"/>
  <c r="AE245" i="2"/>
  <c r="S245" i="2" s="1"/>
  <c r="AC245" i="2"/>
  <c r="Q245" i="2" s="1"/>
  <c r="AA245" i="2"/>
  <c r="W245" i="2"/>
  <c r="U245" i="2"/>
  <c r="O245" i="2"/>
  <c r="AK244" i="2"/>
  <c r="Y244" i="2" s="1"/>
  <c r="AI244" i="2"/>
  <c r="AG244" i="2"/>
  <c r="AE244" i="2"/>
  <c r="S244" i="2" s="1"/>
  <c r="AC244" i="2"/>
  <c r="Q244" i="2" s="1"/>
  <c r="AA244" i="2"/>
  <c r="W244" i="2"/>
  <c r="U244" i="2"/>
  <c r="O244" i="2"/>
  <c r="AK243" i="2"/>
  <c r="Y243" i="2" s="1"/>
  <c r="AI243" i="2"/>
  <c r="AG243" i="2"/>
  <c r="AE243" i="2"/>
  <c r="S243" i="2" s="1"/>
  <c r="AC243" i="2"/>
  <c r="Q243" i="2" s="1"/>
  <c r="AA243" i="2"/>
  <c r="W243" i="2"/>
  <c r="U243" i="2"/>
  <c r="O243" i="2"/>
  <c r="AK242" i="2"/>
  <c r="Y242" i="2" s="1"/>
  <c r="AI242" i="2"/>
  <c r="AG242" i="2"/>
  <c r="AE242" i="2"/>
  <c r="S242" i="2" s="1"/>
  <c r="AC242" i="2"/>
  <c r="Q242" i="2" s="1"/>
  <c r="AA242" i="2"/>
  <c r="W242" i="2"/>
  <c r="U242" i="2"/>
  <c r="O242" i="2"/>
  <c r="AK241" i="2"/>
  <c r="Y241" i="2" s="1"/>
  <c r="AI241" i="2"/>
  <c r="AG241" i="2"/>
  <c r="AE241" i="2"/>
  <c r="S241" i="2" s="1"/>
  <c r="AC241" i="2"/>
  <c r="Q241" i="2" s="1"/>
  <c r="AA241" i="2"/>
  <c r="W241" i="2"/>
  <c r="U241" i="2"/>
  <c r="O241" i="2"/>
  <c r="AK240" i="2"/>
  <c r="Y240" i="2" s="1"/>
  <c r="AI240" i="2"/>
  <c r="AG240" i="2"/>
  <c r="AE240" i="2"/>
  <c r="S240" i="2" s="1"/>
  <c r="AC240" i="2"/>
  <c r="Q240" i="2" s="1"/>
  <c r="AA240" i="2"/>
  <c r="W240" i="2"/>
  <c r="U240" i="2"/>
  <c r="O240" i="2"/>
  <c r="AK239" i="2"/>
  <c r="Y239" i="2" s="1"/>
  <c r="AI239" i="2"/>
  <c r="AG239" i="2"/>
  <c r="AE239" i="2"/>
  <c r="S239" i="2" s="1"/>
  <c r="AC239" i="2"/>
  <c r="Q239" i="2" s="1"/>
  <c r="AA239" i="2"/>
  <c r="W239" i="2"/>
  <c r="U239" i="2"/>
  <c r="O239" i="2"/>
  <c r="AK236" i="2"/>
  <c r="Y236" i="2" s="1"/>
  <c r="AI236" i="2"/>
  <c r="AG236" i="2"/>
  <c r="AE236" i="2"/>
  <c r="S236" i="2" s="1"/>
  <c r="AC236" i="2"/>
  <c r="Q236" i="2" s="1"/>
  <c r="AA236" i="2"/>
  <c r="W236" i="2"/>
  <c r="U236" i="2"/>
  <c r="O236" i="2"/>
  <c r="A236" i="2"/>
  <c r="A225" i="2" s="1"/>
  <c r="A214" i="2" s="1"/>
  <c r="A203" i="2" s="1"/>
  <c r="A192" i="2" s="1"/>
  <c r="A181" i="2" s="1"/>
  <c r="A170" i="2" s="1"/>
  <c r="A159" i="2" s="1"/>
  <c r="A148" i="2" s="1"/>
  <c r="A137" i="2" s="1"/>
  <c r="A126" i="2" s="1"/>
  <c r="A115" i="2" s="1"/>
  <c r="A104" i="2" s="1"/>
  <c r="A93" i="2" s="1"/>
  <c r="A82" i="2" s="1"/>
  <c r="A71" i="2" s="1"/>
  <c r="A60" i="2" s="1"/>
  <c r="A49" i="2" s="1"/>
  <c r="A38" i="2" s="1"/>
  <c r="A27" i="2" s="1"/>
  <c r="AK235" i="2"/>
  <c r="AI235" i="2"/>
  <c r="AG235" i="2"/>
  <c r="U235" i="2" s="1"/>
  <c r="AE235" i="2"/>
  <c r="S235" i="2" s="1"/>
  <c r="AC235" i="2"/>
  <c r="AA235" i="2"/>
  <c r="Y235" i="2"/>
  <c r="W235" i="2"/>
  <c r="Q235" i="2"/>
  <c r="O235" i="2"/>
  <c r="A235" i="2"/>
  <c r="A224" i="2" s="1"/>
  <c r="A213" i="2" s="1"/>
  <c r="A202" i="2" s="1"/>
  <c r="A191" i="2" s="1"/>
  <c r="A180" i="2" s="1"/>
  <c r="A169" i="2" s="1"/>
  <c r="A158" i="2" s="1"/>
  <c r="A147" i="2" s="1"/>
  <c r="A136" i="2" s="1"/>
  <c r="A125" i="2" s="1"/>
  <c r="A114" i="2" s="1"/>
  <c r="A103" i="2" s="1"/>
  <c r="A92" i="2" s="1"/>
  <c r="A81" i="2" s="1"/>
  <c r="A70" i="2" s="1"/>
  <c r="A59" i="2" s="1"/>
  <c r="A48" i="2" s="1"/>
  <c r="A37" i="2" s="1"/>
  <c r="A26" i="2" s="1"/>
  <c r="AK234" i="2"/>
  <c r="AI234" i="2"/>
  <c r="W234" i="2" s="1"/>
  <c r="AG234" i="2"/>
  <c r="U234" i="2" s="1"/>
  <c r="AE234" i="2"/>
  <c r="AC234" i="2"/>
  <c r="AA234" i="2"/>
  <c r="O234" i="2" s="1"/>
  <c r="Y234" i="2"/>
  <c r="S234" i="2"/>
  <c r="Q234" i="2"/>
  <c r="A234" i="2"/>
  <c r="AK233" i="2"/>
  <c r="Y233" i="2" s="1"/>
  <c r="AI233" i="2"/>
  <c r="W233" i="2" s="1"/>
  <c r="AG233" i="2"/>
  <c r="AE233" i="2"/>
  <c r="AC233" i="2"/>
  <c r="Q233" i="2" s="1"/>
  <c r="AA233" i="2"/>
  <c r="O233" i="2" s="1"/>
  <c r="U233" i="2"/>
  <c r="S233" i="2"/>
  <c r="A233" i="2"/>
  <c r="AK232" i="2"/>
  <c r="Y232" i="2" s="1"/>
  <c r="AI232" i="2"/>
  <c r="AG232" i="2"/>
  <c r="AE232" i="2"/>
  <c r="S232" i="2" s="1"/>
  <c r="AC232" i="2"/>
  <c r="Q232" i="2" s="1"/>
  <c r="AA232" i="2"/>
  <c r="W232" i="2"/>
  <c r="U232" i="2"/>
  <c r="O232" i="2"/>
  <c r="A232" i="2"/>
  <c r="A221" i="2" s="1"/>
  <c r="A210" i="2" s="1"/>
  <c r="A199" i="2" s="1"/>
  <c r="A188" i="2" s="1"/>
  <c r="A177" i="2" s="1"/>
  <c r="A166" i="2" s="1"/>
  <c r="A155" i="2" s="1"/>
  <c r="A144" i="2" s="1"/>
  <c r="A133" i="2" s="1"/>
  <c r="A122" i="2" s="1"/>
  <c r="A111" i="2" s="1"/>
  <c r="A100" i="2" s="1"/>
  <c r="A89" i="2" s="1"/>
  <c r="A78" i="2" s="1"/>
  <c r="A67" i="2" s="1"/>
  <c r="A56" i="2" s="1"/>
  <c r="A45" i="2" s="1"/>
  <c r="A34" i="2" s="1"/>
  <c r="A23" i="2" s="1"/>
  <c r="AK231" i="2"/>
  <c r="AI231" i="2"/>
  <c r="AG231" i="2"/>
  <c r="U231" i="2" s="1"/>
  <c r="AE231" i="2"/>
  <c r="S231" i="2" s="1"/>
  <c r="AC231" i="2"/>
  <c r="AA231" i="2"/>
  <c r="Y231" i="2"/>
  <c r="W231" i="2"/>
  <c r="Q231" i="2"/>
  <c r="O231" i="2"/>
  <c r="A231" i="2"/>
  <c r="A220" i="2" s="1"/>
  <c r="AK230" i="2"/>
  <c r="AI230" i="2"/>
  <c r="W230" i="2" s="1"/>
  <c r="AG230" i="2"/>
  <c r="U230" i="2" s="1"/>
  <c r="AE230" i="2"/>
  <c r="AC230" i="2"/>
  <c r="AA230" i="2"/>
  <c r="O230" i="2" s="1"/>
  <c r="Y230" i="2"/>
  <c r="S230" i="2"/>
  <c r="Q230" i="2"/>
  <c r="A230" i="2"/>
  <c r="AK229" i="2"/>
  <c r="Y229" i="2" s="1"/>
  <c r="AI229" i="2"/>
  <c r="W229" i="2" s="1"/>
  <c r="AG229" i="2"/>
  <c r="AE229" i="2"/>
  <c r="AC229" i="2"/>
  <c r="Q229" i="2" s="1"/>
  <c r="AA229" i="2"/>
  <c r="O229" i="2" s="1"/>
  <c r="U229" i="2"/>
  <c r="S229" i="2"/>
  <c r="A229" i="2"/>
  <c r="AK228" i="2"/>
  <c r="Y228" i="2" s="1"/>
  <c r="AI228" i="2"/>
  <c r="AG228" i="2"/>
  <c r="AE228" i="2"/>
  <c r="S228" i="2" s="1"/>
  <c r="AC228" i="2"/>
  <c r="Q228" i="2" s="1"/>
  <c r="AA228" i="2"/>
  <c r="W228" i="2"/>
  <c r="U228" i="2"/>
  <c r="O228" i="2"/>
  <c r="A228" i="2"/>
  <c r="A217" i="2" s="1"/>
  <c r="A206" i="2" s="1"/>
  <c r="A195" i="2" s="1"/>
  <c r="A184" i="2" s="1"/>
  <c r="A173" i="2" s="1"/>
  <c r="A162" i="2" s="1"/>
  <c r="A151" i="2" s="1"/>
  <c r="A140" i="2" s="1"/>
  <c r="A129" i="2" s="1"/>
  <c r="AK225" i="2"/>
  <c r="AI225" i="2"/>
  <c r="AG225" i="2"/>
  <c r="U225" i="2" s="1"/>
  <c r="AE225" i="2"/>
  <c r="S225" i="2" s="1"/>
  <c r="AC225" i="2"/>
  <c r="AA225" i="2"/>
  <c r="Y225" i="2"/>
  <c r="W225" i="2"/>
  <c r="Q225" i="2"/>
  <c r="O225" i="2"/>
  <c r="AK224" i="2"/>
  <c r="AI224" i="2"/>
  <c r="W224" i="2" s="1"/>
  <c r="AG224" i="2"/>
  <c r="U224" i="2" s="1"/>
  <c r="AE224" i="2"/>
  <c r="AC224" i="2"/>
  <c r="AA224" i="2"/>
  <c r="O224" i="2" s="1"/>
  <c r="Y224" i="2"/>
  <c r="S224" i="2"/>
  <c r="Q224" i="2"/>
  <c r="AK223" i="2"/>
  <c r="Y223" i="2" s="1"/>
  <c r="AI223" i="2"/>
  <c r="W223" i="2" s="1"/>
  <c r="AG223" i="2"/>
  <c r="AE223" i="2"/>
  <c r="AC223" i="2"/>
  <c r="Q223" i="2" s="1"/>
  <c r="AA223" i="2"/>
  <c r="O223" i="2" s="1"/>
  <c r="U223" i="2"/>
  <c r="S223" i="2"/>
  <c r="A223" i="2"/>
  <c r="A212" i="2" s="1"/>
  <c r="AK222" i="2"/>
  <c r="Y222" i="2" s="1"/>
  <c r="AI222" i="2"/>
  <c r="AG222" i="2"/>
  <c r="AE222" i="2"/>
  <c r="S222" i="2" s="1"/>
  <c r="AC222" i="2"/>
  <c r="Q222" i="2" s="1"/>
  <c r="AA222" i="2"/>
  <c r="W222" i="2"/>
  <c r="U222" i="2"/>
  <c r="O222" i="2"/>
  <c r="A222" i="2"/>
  <c r="A211" i="2" s="1"/>
  <c r="AK221" i="2"/>
  <c r="AI221" i="2"/>
  <c r="AG221" i="2"/>
  <c r="U221" i="2" s="1"/>
  <c r="AE221" i="2"/>
  <c r="S221" i="2" s="1"/>
  <c r="AC221" i="2"/>
  <c r="AA221" i="2"/>
  <c r="Y221" i="2"/>
  <c r="W221" i="2"/>
  <c r="Q221" i="2"/>
  <c r="O221" i="2"/>
  <c r="AK220" i="2"/>
  <c r="AI220" i="2"/>
  <c r="W220" i="2" s="1"/>
  <c r="AG220" i="2"/>
  <c r="U220" i="2" s="1"/>
  <c r="AE220" i="2"/>
  <c r="AC220" i="2"/>
  <c r="AA220" i="2"/>
  <c r="O220" i="2" s="1"/>
  <c r="Y220" i="2"/>
  <c r="S220" i="2"/>
  <c r="Q220" i="2"/>
  <c r="AK219" i="2"/>
  <c r="Y219" i="2" s="1"/>
  <c r="AI219" i="2"/>
  <c r="W219" i="2" s="1"/>
  <c r="AG219" i="2"/>
  <c r="AE219" i="2"/>
  <c r="AC219" i="2"/>
  <c r="Q219" i="2" s="1"/>
  <c r="AA219" i="2"/>
  <c r="O219" i="2" s="1"/>
  <c r="U219" i="2"/>
  <c r="S219" i="2"/>
  <c r="A219" i="2"/>
  <c r="A208" i="2" s="1"/>
  <c r="AK218" i="2"/>
  <c r="Y218" i="2" s="1"/>
  <c r="AI218" i="2"/>
  <c r="AG218" i="2"/>
  <c r="AE218" i="2"/>
  <c r="S218" i="2" s="1"/>
  <c r="AC218" i="2"/>
  <c r="Q218" i="2" s="1"/>
  <c r="AA218" i="2"/>
  <c r="W218" i="2"/>
  <c r="U218" i="2"/>
  <c r="O218" i="2"/>
  <c r="A218" i="2"/>
  <c r="A207" i="2" s="1"/>
  <c r="AK217" i="2"/>
  <c r="AI217" i="2"/>
  <c r="AG217" i="2"/>
  <c r="U217" i="2" s="1"/>
  <c r="AE217" i="2"/>
  <c r="S217" i="2" s="1"/>
  <c r="AC217" i="2"/>
  <c r="AA217" i="2"/>
  <c r="Y217" i="2"/>
  <c r="W217" i="2"/>
  <c r="Q217" i="2"/>
  <c r="O217" i="2"/>
  <c r="AM216" i="2"/>
  <c r="AK214" i="2"/>
  <c r="Y214" i="2" s="1"/>
  <c r="AI214" i="2"/>
  <c r="AG214" i="2"/>
  <c r="AE214" i="2"/>
  <c r="AC214" i="2"/>
  <c r="AA214" i="2"/>
  <c r="AK213" i="2"/>
  <c r="AI213" i="2"/>
  <c r="AG213" i="2"/>
  <c r="AE213" i="2"/>
  <c r="AC213" i="2"/>
  <c r="AA213" i="2"/>
  <c r="U213" i="2"/>
  <c r="AK212" i="2"/>
  <c r="AI212" i="2"/>
  <c r="AG212" i="2"/>
  <c r="AE212" i="2"/>
  <c r="AC212" i="2"/>
  <c r="AA212" i="2"/>
  <c r="AK211" i="2"/>
  <c r="AI211" i="2"/>
  <c r="AG211" i="2"/>
  <c r="AE211" i="2"/>
  <c r="AC211" i="2"/>
  <c r="AA211" i="2"/>
  <c r="AK210" i="2"/>
  <c r="AI210" i="2"/>
  <c r="AG210" i="2"/>
  <c r="AE210" i="2"/>
  <c r="AC210" i="2"/>
  <c r="AA210" i="2"/>
  <c r="AK209" i="2"/>
  <c r="AI209" i="2"/>
  <c r="AG209" i="2"/>
  <c r="AE209" i="2"/>
  <c r="AC209" i="2"/>
  <c r="AA209" i="2"/>
  <c r="U209" i="2"/>
  <c r="A209" i="2"/>
  <c r="A198" i="2" s="1"/>
  <c r="A187" i="2" s="1"/>
  <c r="A176" i="2" s="1"/>
  <c r="A165" i="2" s="1"/>
  <c r="A154" i="2" s="1"/>
  <c r="A143" i="2" s="1"/>
  <c r="A132" i="2" s="1"/>
  <c r="A121" i="2" s="1"/>
  <c r="A110" i="2" s="1"/>
  <c r="A99" i="2" s="1"/>
  <c r="A88" i="2" s="1"/>
  <c r="A77" i="2" s="1"/>
  <c r="A66" i="2" s="1"/>
  <c r="A55" i="2" s="1"/>
  <c r="A44" i="2" s="1"/>
  <c r="A33" i="2" s="1"/>
  <c r="A22" i="2" s="1"/>
  <c r="AK208" i="2"/>
  <c r="AI208" i="2"/>
  <c r="AG208" i="2"/>
  <c r="AE208" i="2"/>
  <c r="AC208" i="2"/>
  <c r="AA208" i="2"/>
  <c r="Y208" i="2"/>
  <c r="W208" i="2"/>
  <c r="AK207" i="2"/>
  <c r="AI207" i="2"/>
  <c r="AG207" i="2"/>
  <c r="AE207" i="2"/>
  <c r="AC207" i="2"/>
  <c r="AA207" i="2"/>
  <c r="O207" i="2" s="1"/>
  <c r="AK206" i="2"/>
  <c r="AI206" i="2"/>
  <c r="AG206" i="2"/>
  <c r="AE206" i="2"/>
  <c r="AC206" i="2"/>
  <c r="Q206" i="2" s="1"/>
  <c r="AA206" i="2"/>
  <c r="AM205" i="2"/>
  <c r="O213" i="2" s="1"/>
  <c r="AK203" i="2"/>
  <c r="AI203" i="2"/>
  <c r="AG203" i="2"/>
  <c r="U203" i="2" s="1"/>
  <c r="AE203" i="2"/>
  <c r="S203" i="2" s="1"/>
  <c r="AC203" i="2"/>
  <c r="AA203" i="2"/>
  <c r="Y203" i="2"/>
  <c r="W203" i="2"/>
  <c r="Q203" i="2"/>
  <c r="O203" i="2"/>
  <c r="AK202" i="2"/>
  <c r="AI202" i="2"/>
  <c r="W202" i="2" s="1"/>
  <c r="AG202" i="2"/>
  <c r="U202" i="2" s="1"/>
  <c r="AE202" i="2"/>
  <c r="AC202" i="2"/>
  <c r="AA202" i="2"/>
  <c r="O202" i="2" s="1"/>
  <c r="Y202" i="2"/>
  <c r="S202" i="2"/>
  <c r="Q202" i="2"/>
  <c r="AK201" i="2"/>
  <c r="Y201" i="2" s="1"/>
  <c r="AI201" i="2"/>
  <c r="W201" i="2" s="1"/>
  <c r="AG201" i="2"/>
  <c r="AE201" i="2"/>
  <c r="AC201" i="2"/>
  <c r="Q201" i="2" s="1"/>
  <c r="AA201" i="2"/>
  <c r="O201" i="2" s="1"/>
  <c r="U201" i="2"/>
  <c r="S201" i="2"/>
  <c r="A201" i="2"/>
  <c r="AK200" i="2"/>
  <c r="Y200" i="2" s="1"/>
  <c r="AI200" i="2"/>
  <c r="AG200" i="2"/>
  <c r="AE200" i="2"/>
  <c r="S200" i="2" s="1"/>
  <c r="AC200" i="2"/>
  <c r="Q200" i="2" s="1"/>
  <c r="AA200" i="2"/>
  <c r="W200" i="2"/>
  <c r="U200" i="2"/>
  <c r="O200" i="2"/>
  <c r="A200" i="2"/>
  <c r="A189" i="2" s="1"/>
  <c r="AK199" i="2"/>
  <c r="AI199" i="2"/>
  <c r="AG199" i="2"/>
  <c r="U199" i="2" s="1"/>
  <c r="AE199" i="2"/>
  <c r="S199" i="2" s="1"/>
  <c r="AC199" i="2"/>
  <c r="AA199" i="2"/>
  <c r="Y199" i="2"/>
  <c r="W199" i="2"/>
  <c r="Q199" i="2"/>
  <c r="O199" i="2"/>
  <c r="AK198" i="2"/>
  <c r="AI198" i="2"/>
  <c r="W198" i="2" s="1"/>
  <c r="AG198" i="2"/>
  <c r="U198" i="2" s="1"/>
  <c r="AE198" i="2"/>
  <c r="AC198" i="2"/>
  <c r="AA198" i="2"/>
  <c r="O198" i="2" s="1"/>
  <c r="Y198" i="2"/>
  <c r="S198" i="2"/>
  <c r="Q198" i="2"/>
  <c r="AK197" i="2"/>
  <c r="Y197" i="2" s="1"/>
  <c r="AI197" i="2"/>
  <c r="W197" i="2" s="1"/>
  <c r="AG197" i="2"/>
  <c r="AE197" i="2"/>
  <c r="AC197" i="2"/>
  <c r="Q197" i="2" s="1"/>
  <c r="AA197" i="2"/>
  <c r="O197" i="2" s="1"/>
  <c r="U197" i="2"/>
  <c r="S197" i="2"/>
  <c r="A197" i="2"/>
  <c r="AK196" i="2"/>
  <c r="Y196" i="2" s="1"/>
  <c r="AI196" i="2"/>
  <c r="AG196" i="2"/>
  <c r="AE196" i="2"/>
  <c r="S196" i="2" s="1"/>
  <c r="AC196" i="2"/>
  <c r="Q196" i="2" s="1"/>
  <c r="AA196" i="2"/>
  <c r="W196" i="2"/>
  <c r="U196" i="2"/>
  <c r="O196" i="2"/>
  <c r="A196" i="2"/>
  <c r="A185" i="2" s="1"/>
  <c r="A174" i="2" s="1"/>
  <c r="A163" i="2" s="1"/>
  <c r="A152" i="2" s="1"/>
  <c r="A141" i="2" s="1"/>
  <c r="A130" i="2" s="1"/>
  <c r="A119" i="2" s="1"/>
  <c r="A108" i="2" s="1"/>
  <c r="A97" i="2" s="1"/>
  <c r="A86" i="2" s="1"/>
  <c r="A75" i="2" s="1"/>
  <c r="A64" i="2" s="1"/>
  <c r="A53" i="2" s="1"/>
  <c r="A42" i="2" s="1"/>
  <c r="A31" i="2" s="1"/>
  <c r="A20" i="2" s="1"/>
  <c r="AK195" i="2"/>
  <c r="AI195" i="2"/>
  <c r="AG195" i="2"/>
  <c r="U195" i="2" s="1"/>
  <c r="AE195" i="2"/>
  <c r="S195" i="2" s="1"/>
  <c r="AC195" i="2"/>
  <c r="AA195" i="2"/>
  <c r="Y195" i="2"/>
  <c r="W195" i="2"/>
  <c r="Q195" i="2"/>
  <c r="O195" i="2"/>
  <c r="AK192" i="2"/>
  <c r="AI192" i="2"/>
  <c r="W192" i="2" s="1"/>
  <c r="AG192" i="2"/>
  <c r="U192" i="2" s="1"/>
  <c r="AE192" i="2"/>
  <c r="AC192" i="2"/>
  <c r="AA192" i="2"/>
  <c r="S192" i="2"/>
  <c r="Q192" i="2"/>
  <c r="AK191" i="2"/>
  <c r="Y191" i="2" s="1"/>
  <c r="AI191" i="2"/>
  <c r="W191" i="2" s="1"/>
  <c r="AG191" i="2"/>
  <c r="AE191" i="2"/>
  <c r="AC191" i="2"/>
  <c r="AA191" i="2"/>
  <c r="U191" i="2"/>
  <c r="S191" i="2"/>
  <c r="AK190" i="2"/>
  <c r="Y190" i="2" s="1"/>
  <c r="AI190" i="2"/>
  <c r="AG190" i="2"/>
  <c r="AE190" i="2"/>
  <c r="AC190" i="2"/>
  <c r="AA190" i="2"/>
  <c r="W190" i="2"/>
  <c r="U190" i="2"/>
  <c r="O190" i="2"/>
  <c r="A190" i="2"/>
  <c r="A179" i="2" s="1"/>
  <c r="AK189" i="2"/>
  <c r="AI189" i="2"/>
  <c r="AG189" i="2"/>
  <c r="AE189" i="2"/>
  <c r="S189" i="2" s="1"/>
  <c r="AC189" i="2"/>
  <c r="AA189" i="2"/>
  <c r="Y189" i="2"/>
  <c r="W189" i="2"/>
  <c r="Q189" i="2"/>
  <c r="AK188" i="2"/>
  <c r="AI188" i="2"/>
  <c r="W188" i="2" s="1"/>
  <c r="AG188" i="2"/>
  <c r="U188" i="2" s="1"/>
  <c r="AE188" i="2"/>
  <c r="AC188" i="2"/>
  <c r="AA188" i="2"/>
  <c r="O188" i="2" s="1"/>
  <c r="Y188" i="2"/>
  <c r="AK187" i="2"/>
  <c r="Y187" i="2" s="1"/>
  <c r="AI187" i="2"/>
  <c r="W187" i="2" s="1"/>
  <c r="AG187" i="2"/>
  <c r="AE187" i="2"/>
  <c r="AC187" i="2"/>
  <c r="Q187" i="2" s="1"/>
  <c r="AA187" i="2"/>
  <c r="O187" i="2" s="1"/>
  <c r="AK186" i="2"/>
  <c r="Y186" i="2" s="1"/>
  <c r="AI186" i="2"/>
  <c r="AG186" i="2"/>
  <c r="AE186" i="2"/>
  <c r="S186" i="2" s="1"/>
  <c r="AC186" i="2"/>
  <c r="Q186" i="2" s="1"/>
  <c r="AA186" i="2"/>
  <c r="U186" i="2"/>
  <c r="O186" i="2"/>
  <c r="A186" i="2"/>
  <c r="A175" i="2" s="1"/>
  <c r="AK185" i="2"/>
  <c r="AI185" i="2"/>
  <c r="AG185" i="2"/>
  <c r="U185" i="2" s="1"/>
  <c r="AE185" i="2"/>
  <c r="AC185" i="2"/>
  <c r="AA185" i="2"/>
  <c r="Y185" i="2"/>
  <c r="W185" i="2"/>
  <c r="Q185" i="2"/>
  <c r="O185" i="2"/>
  <c r="AK184" i="2"/>
  <c r="AI184" i="2"/>
  <c r="AG184" i="2"/>
  <c r="AE184" i="2"/>
  <c r="AC184" i="2"/>
  <c r="AA184" i="2"/>
  <c r="O184" i="2" s="1"/>
  <c r="Y184" i="2"/>
  <c r="S184" i="2"/>
  <c r="Q184" i="2"/>
  <c r="AM183" i="2"/>
  <c r="O189" i="2" s="1"/>
  <c r="AK181" i="2"/>
  <c r="AI181" i="2"/>
  <c r="AG181" i="2"/>
  <c r="AE181" i="2"/>
  <c r="AC181" i="2"/>
  <c r="AA181" i="2"/>
  <c r="W181" i="2"/>
  <c r="AK180" i="2"/>
  <c r="Y180" i="2" s="1"/>
  <c r="AI180" i="2"/>
  <c r="AG180" i="2"/>
  <c r="U180" i="2" s="1"/>
  <c r="AE180" i="2"/>
  <c r="AC180" i="2"/>
  <c r="AA180" i="2"/>
  <c r="AK179" i="2"/>
  <c r="AI179" i="2"/>
  <c r="AG179" i="2"/>
  <c r="AE179" i="2"/>
  <c r="AC179" i="2"/>
  <c r="AA179" i="2"/>
  <c r="O179" i="2" s="1"/>
  <c r="S179" i="2"/>
  <c r="AK178" i="2"/>
  <c r="Y178" i="2" s="1"/>
  <c r="AI178" i="2"/>
  <c r="AG178" i="2"/>
  <c r="U178" i="2" s="1"/>
  <c r="AE178" i="2"/>
  <c r="AC178" i="2"/>
  <c r="Q178" i="2" s="1"/>
  <c r="AA178" i="2"/>
  <c r="O178" i="2" s="1"/>
  <c r="A178" i="2"/>
  <c r="AK177" i="2"/>
  <c r="AI177" i="2"/>
  <c r="W177" i="2" s="1"/>
  <c r="AG177" i="2"/>
  <c r="AE177" i="2"/>
  <c r="AC177" i="2"/>
  <c r="AA177" i="2"/>
  <c r="O177" i="2"/>
  <c r="AK176" i="2"/>
  <c r="AI176" i="2"/>
  <c r="AG176" i="2"/>
  <c r="U176" i="2" s="1"/>
  <c r="AE176" i="2"/>
  <c r="AC176" i="2"/>
  <c r="Q176" i="2" s="1"/>
  <c r="AA176" i="2"/>
  <c r="Y176" i="2"/>
  <c r="W176" i="2"/>
  <c r="AK175" i="2"/>
  <c r="AI175" i="2"/>
  <c r="W175" i="2" s="1"/>
  <c r="AG175" i="2"/>
  <c r="U175" i="2" s="1"/>
  <c r="AE175" i="2"/>
  <c r="S175" i="2" s="1"/>
  <c r="AC175" i="2"/>
  <c r="AA175" i="2"/>
  <c r="O175" i="2"/>
  <c r="AK174" i="2"/>
  <c r="Y174" i="2" s="1"/>
  <c r="AI174" i="2"/>
  <c r="AG174" i="2"/>
  <c r="AE174" i="2"/>
  <c r="AC174" i="2"/>
  <c r="Q174" i="2" s="1"/>
  <c r="AA174" i="2"/>
  <c r="O174" i="2" s="1"/>
  <c r="U174" i="2"/>
  <c r="S174" i="2"/>
  <c r="AK173" i="2"/>
  <c r="AI173" i="2"/>
  <c r="W173" i="2" s="1"/>
  <c r="AG173" i="2"/>
  <c r="AE173" i="2"/>
  <c r="S173" i="2" s="1"/>
  <c r="AC173" i="2"/>
  <c r="Q173" i="2" s="1"/>
  <c r="AA173" i="2"/>
  <c r="O173" i="2" s="1"/>
  <c r="AM172" i="2"/>
  <c r="U181" i="2" s="1"/>
  <c r="AK170" i="2"/>
  <c r="AI170" i="2"/>
  <c r="W170" i="2" s="1"/>
  <c r="AG170" i="2"/>
  <c r="AE170" i="2"/>
  <c r="AC170" i="2"/>
  <c r="AA170" i="2"/>
  <c r="O170" i="2" s="1"/>
  <c r="Y170" i="2"/>
  <c r="S170" i="2"/>
  <c r="Q170" i="2"/>
  <c r="AK169" i="2"/>
  <c r="AI169" i="2"/>
  <c r="W169" i="2" s="1"/>
  <c r="AG169" i="2"/>
  <c r="U169" i="2" s="1"/>
  <c r="AE169" i="2"/>
  <c r="AC169" i="2"/>
  <c r="AA169" i="2"/>
  <c r="O169" i="2" s="1"/>
  <c r="Y169" i="2"/>
  <c r="Q169" i="2"/>
  <c r="AK168" i="2"/>
  <c r="Y168" i="2" s="1"/>
  <c r="AI168" i="2"/>
  <c r="W168" i="2" s="1"/>
  <c r="AG168" i="2"/>
  <c r="AE168" i="2"/>
  <c r="S168" i="2" s="1"/>
  <c r="AC168" i="2"/>
  <c r="AA168" i="2"/>
  <c r="O168" i="2"/>
  <c r="A168" i="2"/>
  <c r="A157" i="2" s="1"/>
  <c r="AK167" i="2"/>
  <c r="Y167" i="2" s="1"/>
  <c r="AI167" i="2"/>
  <c r="AG167" i="2"/>
  <c r="AE167" i="2"/>
  <c r="S167" i="2" s="1"/>
  <c r="AC167" i="2"/>
  <c r="Q167" i="2" s="1"/>
  <c r="AA167" i="2"/>
  <c r="W167" i="2"/>
  <c r="U167" i="2"/>
  <c r="A167" i="2"/>
  <c r="A156" i="2" s="1"/>
  <c r="AK166" i="2"/>
  <c r="AI166" i="2"/>
  <c r="W166" i="2" s="1"/>
  <c r="AG166" i="2"/>
  <c r="U166" i="2" s="1"/>
  <c r="AE166" i="2"/>
  <c r="S166" i="2" s="1"/>
  <c r="AC166" i="2"/>
  <c r="AA166" i="2"/>
  <c r="Q166" i="2"/>
  <c r="O166" i="2"/>
  <c r="AK165" i="2"/>
  <c r="Y165" i="2" s="1"/>
  <c r="AI165" i="2"/>
  <c r="W165" i="2" s="1"/>
  <c r="AG165" i="2"/>
  <c r="AE165" i="2"/>
  <c r="AC165" i="2"/>
  <c r="AA165" i="2"/>
  <c r="O165" i="2" s="1"/>
  <c r="U165" i="2"/>
  <c r="S165" i="2"/>
  <c r="Q165" i="2"/>
  <c r="AK164" i="2"/>
  <c r="AI164" i="2"/>
  <c r="AG164" i="2"/>
  <c r="AE164" i="2"/>
  <c r="S164" i="2" s="1"/>
  <c r="AC164" i="2"/>
  <c r="Q164" i="2" s="1"/>
  <c r="AA164" i="2"/>
  <c r="O164" i="2" s="1"/>
  <c r="W164" i="2"/>
  <c r="A164" i="2"/>
  <c r="AK163" i="2"/>
  <c r="Y163" i="2" s="1"/>
  <c r="AI163" i="2"/>
  <c r="AG163" i="2"/>
  <c r="U163" i="2" s="1"/>
  <c r="AE163" i="2"/>
  <c r="S163" i="2" s="1"/>
  <c r="AC163" i="2"/>
  <c r="AA163" i="2"/>
  <c r="W163" i="2"/>
  <c r="Q163" i="2"/>
  <c r="O163" i="2"/>
  <c r="AK162" i="2"/>
  <c r="AI162" i="2"/>
  <c r="AG162" i="2"/>
  <c r="U162" i="2" s="1"/>
  <c r="AE162" i="2"/>
  <c r="S162" i="2" s="1"/>
  <c r="AC162" i="2"/>
  <c r="AA162" i="2"/>
  <c r="Y162" i="2"/>
  <c r="W162" i="2"/>
  <c r="O162" i="2"/>
  <c r="AM161" i="2"/>
  <c r="AK159" i="2"/>
  <c r="Y159" i="2" s="1"/>
  <c r="AI159" i="2"/>
  <c r="AG159" i="2"/>
  <c r="AE159" i="2"/>
  <c r="S159" i="2" s="1"/>
  <c r="AC159" i="2"/>
  <c r="Q159" i="2" s="1"/>
  <c r="AA159" i="2"/>
  <c r="W159" i="2"/>
  <c r="U159" i="2"/>
  <c r="O159" i="2"/>
  <c r="AK158" i="2"/>
  <c r="Y158" i="2" s="1"/>
  <c r="AI158" i="2"/>
  <c r="AG158" i="2"/>
  <c r="AE158" i="2"/>
  <c r="S158" i="2" s="1"/>
  <c r="AC158" i="2"/>
  <c r="Q158" i="2" s="1"/>
  <c r="AA158" i="2"/>
  <c r="W158" i="2"/>
  <c r="U158" i="2"/>
  <c r="AK157" i="2"/>
  <c r="AI157" i="2"/>
  <c r="AG157" i="2"/>
  <c r="U157" i="2" s="1"/>
  <c r="AE157" i="2"/>
  <c r="S157" i="2" s="1"/>
  <c r="AC157" i="2"/>
  <c r="AA157" i="2"/>
  <c r="W157" i="2"/>
  <c r="Q157" i="2"/>
  <c r="O157" i="2"/>
  <c r="AK156" i="2"/>
  <c r="Y156" i="2" s="1"/>
  <c r="AI156" i="2"/>
  <c r="W156" i="2" s="1"/>
  <c r="AG156" i="2"/>
  <c r="AE156" i="2"/>
  <c r="AC156" i="2"/>
  <c r="AA156" i="2"/>
  <c r="U156" i="2"/>
  <c r="S156" i="2"/>
  <c r="Q156" i="2"/>
  <c r="AK155" i="2"/>
  <c r="AI155" i="2"/>
  <c r="AG155" i="2"/>
  <c r="AE155" i="2"/>
  <c r="AC155" i="2"/>
  <c r="Q155" i="2" s="1"/>
  <c r="AA155" i="2"/>
  <c r="O155" i="2" s="1"/>
  <c r="Y155" i="2"/>
  <c r="U155" i="2"/>
  <c r="S155" i="2"/>
  <c r="AK154" i="2"/>
  <c r="Y154" i="2" s="1"/>
  <c r="AI154" i="2"/>
  <c r="AG154" i="2"/>
  <c r="AE154" i="2"/>
  <c r="S154" i="2" s="1"/>
  <c r="AC154" i="2"/>
  <c r="Q154" i="2" s="1"/>
  <c r="AA154" i="2"/>
  <c r="W154" i="2"/>
  <c r="U154" i="2"/>
  <c r="O154" i="2"/>
  <c r="AK153" i="2"/>
  <c r="Y153" i="2" s="1"/>
  <c r="AI153" i="2"/>
  <c r="AG153" i="2"/>
  <c r="AE153" i="2"/>
  <c r="S153" i="2" s="1"/>
  <c r="AC153" i="2"/>
  <c r="Q153" i="2" s="1"/>
  <c r="AA153" i="2"/>
  <c r="W153" i="2"/>
  <c r="U153" i="2"/>
  <c r="O153" i="2"/>
  <c r="A153" i="2"/>
  <c r="A142" i="2" s="1"/>
  <c r="AK152" i="2"/>
  <c r="AI152" i="2"/>
  <c r="W152" i="2" s="1"/>
  <c r="AG152" i="2"/>
  <c r="U152" i="2" s="1"/>
  <c r="AE152" i="2"/>
  <c r="S152" i="2" s="1"/>
  <c r="AC152" i="2"/>
  <c r="AA152" i="2"/>
  <c r="Y152" i="2"/>
  <c r="Q152" i="2"/>
  <c r="O152" i="2"/>
  <c r="AK151" i="2"/>
  <c r="AI151" i="2"/>
  <c r="W151" i="2" s="1"/>
  <c r="AG151" i="2"/>
  <c r="U151" i="2" s="1"/>
  <c r="AE151" i="2"/>
  <c r="AC151" i="2"/>
  <c r="Q151" i="2" s="1"/>
  <c r="AA151" i="2"/>
  <c r="O151" i="2" s="1"/>
  <c r="Y151" i="2"/>
  <c r="S151" i="2"/>
  <c r="AM150" i="2"/>
  <c r="AK148" i="2"/>
  <c r="Y148" i="2" s="1"/>
  <c r="AI148" i="2"/>
  <c r="AG148" i="2"/>
  <c r="AE148" i="2"/>
  <c r="S148" i="2" s="1"/>
  <c r="AC148" i="2"/>
  <c r="Q148" i="2" s="1"/>
  <c r="AA148" i="2"/>
  <c r="W148" i="2"/>
  <c r="U148" i="2"/>
  <c r="O148" i="2"/>
  <c r="AK147" i="2"/>
  <c r="AI147" i="2"/>
  <c r="W147" i="2" s="1"/>
  <c r="AG147" i="2"/>
  <c r="U147" i="2" s="1"/>
  <c r="AE147" i="2"/>
  <c r="S147" i="2" s="1"/>
  <c r="AC147" i="2"/>
  <c r="AA147" i="2"/>
  <c r="Y147" i="2"/>
  <c r="Q147" i="2"/>
  <c r="O147" i="2"/>
  <c r="AK146" i="2"/>
  <c r="AI146" i="2"/>
  <c r="W146" i="2" s="1"/>
  <c r="AG146" i="2"/>
  <c r="U146" i="2" s="1"/>
  <c r="AE146" i="2"/>
  <c r="AC146" i="2"/>
  <c r="Q146" i="2" s="1"/>
  <c r="AA146" i="2"/>
  <c r="O146" i="2" s="1"/>
  <c r="Y146" i="2"/>
  <c r="S146" i="2"/>
  <c r="A146" i="2"/>
  <c r="AK145" i="2"/>
  <c r="Y145" i="2" s="1"/>
  <c r="AI145" i="2"/>
  <c r="W145" i="2" s="1"/>
  <c r="AG145" i="2"/>
  <c r="AE145" i="2"/>
  <c r="AC145" i="2"/>
  <c r="Q145" i="2" s="1"/>
  <c r="AA145" i="2"/>
  <c r="O145" i="2" s="1"/>
  <c r="U145" i="2"/>
  <c r="S145" i="2"/>
  <c r="A145" i="2"/>
  <c r="A134" i="2" s="1"/>
  <c r="A123" i="2" s="1"/>
  <c r="A112" i="2" s="1"/>
  <c r="A101" i="2" s="1"/>
  <c r="A90" i="2" s="1"/>
  <c r="A79" i="2" s="1"/>
  <c r="A68" i="2" s="1"/>
  <c r="A57" i="2" s="1"/>
  <c r="A46" i="2" s="1"/>
  <c r="A35" i="2" s="1"/>
  <c r="A24" i="2" s="1"/>
  <c r="AK144" i="2"/>
  <c r="Y144" i="2" s="1"/>
  <c r="AI144" i="2"/>
  <c r="AG144" i="2"/>
  <c r="U144" i="2" s="1"/>
  <c r="AE144" i="2"/>
  <c r="S144" i="2" s="1"/>
  <c r="AC144" i="2"/>
  <c r="Q144" i="2" s="1"/>
  <c r="AA144" i="2"/>
  <c r="W144" i="2"/>
  <c r="O144" i="2"/>
  <c r="AK143" i="2"/>
  <c r="AI143" i="2"/>
  <c r="AG143" i="2"/>
  <c r="U143" i="2" s="1"/>
  <c r="AE143" i="2"/>
  <c r="S143" i="2" s="1"/>
  <c r="AC143" i="2"/>
  <c r="AA143" i="2"/>
  <c r="O143" i="2" s="1"/>
  <c r="Y143" i="2"/>
  <c r="W143" i="2"/>
  <c r="Q143" i="2"/>
  <c r="AK142" i="2"/>
  <c r="Y142" i="2" s="1"/>
  <c r="AI142" i="2"/>
  <c r="W142" i="2" s="1"/>
  <c r="AG142" i="2"/>
  <c r="U142" i="2" s="1"/>
  <c r="AE142" i="2"/>
  <c r="AC142" i="2"/>
  <c r="AA142" i="2"/>
  <c r="O142" i="2" s="1"/>
  <c r="S142" i="2"/>
  <c r="Q142" i="2"/>
  <c r="AK141" i="2"/>
  <c r="Y141" i="2" s="1"/>
  <c r="AI141" i="2"/>
  <c r="W141" i="2" s="1"/>
  <c r="AG141" i="2"/>
  <c r="AE141" i="2"/>
  <c r="S141" i="2" s="1"/>
  <c r="AC141" i="2"/>
  <c r="Q141" i="2" s="1"/>
  <c r="AA141" i="2"/>
  <c r="O141" i="2" s="1"/>
  <c r="U141" i="2"/>
  <c r="AK140" i="2"/>
  <c r="Y140" i="2" s="1"/>
  <c r="AI140" i="2"/>
  <c r="AG140" i="2"/>
  <c r="AE140" i="2"/>
  <c r="S140" i="2" s="1"/>
  <c r="AC140" i="2"/>
  <c r="Q140" i="2" s="1"/>
  <c r="AA140" i="2"/>
  <c r="W140" i="2"/>
  <c r="U140" i="2"/>
  <c r="O140" i="2"/>
  <c r="AM139" i="2"/>
  <c r="AK137" i="2"/>
  <c r="Y137" i="2" s="1"/>
  <c r="AI137" i="2"/>
  <c r="W137" i="2" s="1"/>
  <c r="AG137" i="2"/>
  <c r="U137" i="2" s="1"/>
  <c r="AE137" i="2"/>
  <c r="AC137" i="2"/>
  <c r="AA137" i="2"/>
  <c r="O137" i="2" s="1"/>
  <c r="S137" i="2"/>
  <c r="Q137" i="2"/>
  <c r="AK136" i="2"/>
  <c r="Y136" i="2" s="1"/>
  <c r="AI136" i="2"/>
  <c r="W136" i="2" s="1"/>
  <c r="AG136" i="2"/>
  <c r="AE136" i="2"/>
  <c r="S136" i="2" s="1"/>
  <c r="AC136" i="2"/>
  <c r="Q136" i="2" s="1"/>
  <c r="AA136" i="2"/>
  <c r="O136" i="2" s="1"/>
  <c r="U136" i="2"/>
  <c r="AK135" i="2"/>
  <c r="Y135" i="2" s="1"/>
  <c r="AI135" i="2"/>
  <c r="AG135" i="2"/>
  <c r="AE135" i="2"/>
  <c r="S135" i="2" s="1"/>
  <c r="AC135" i="2"/>
  <c r="Q135" i="2" s="1"/>
  <c r="AA135" i="2"/>
  <c r="W135" i="2"/>
  <c r="U135" i="2"/>
  <c r="O135" i="2"/>
  <c r="A135" i="2"/>
  <c r="A124" i="2" s="1"/>
  <c r="A113" i="2" s="1"/>
  <c r="A102" i="2" s="1"/>
  <c r="A91" i="2" s="1"/>
  <c r="A80" i="2" s="1"/>
  <c r="A69" i="2" s="1"/>
  <c r="A58" i="2" s="1"/>
  <c r="A47" i="2" s="1"/>
  <c r="A36" i="2" s="1"/>
  <c r="A25" i="2" s="1"/>
  <c r="AK134" i="2"/>
  <c r="AI134" i="2"/>
  <c r="W134" i="2" s="1"/>
  <c r="AG134" i="2"/>
  <c r="U134" i="2" s="1"/>
  <c r="AE134" i="2"/>
  <c r="S134" i="2" s="1"/>
  <c r="AC134" i="2"/>
  <c r="AA134" i="2"/>
  <c r="Y134" i="2"/>
  <c r="Q134" i="2"/>
  <c r="O134" i="2"/>
  <c r="AK133" i="2"/>
  <c r="AI133" i="2"/>
  <c r="W133" i="2" s="1"/>
  <c r="AG133" i="2"/>
  <c r="U133" i="2" s="1"/>
  <c r="AE133" i="2"/>
  <c r="AC133" i="2"/>
  <c r="Q133" i="2" s="1"/>
  <c r="AA133" i="2"/>
  <c r="O133" i="2" s="1"/>
  <c r="Y133" i="2"/>
  <c r="S133" i="2"/>
  <c r="AK132" i="2"/>
  <c r="Y132" i="2" s="1"/>
  <c r="AI132" i="2"/>
  <c r="W132" i="2" s="1"/>
  <c r="AG132" i="2"/>
  <c r="AE132" i="2"/>
  <c r="AC132" i="2"/>
  <c r="Q132" i="2" s="1"/>
  <c r="AA132" i="2"/>
  <c r="O132" i="2" s="1"/>
  <c r="U132" i="2"/>
  <c r="S132" i="2"/>
  <c r="AK131" i="2"/>
  <c r="Y131" i="2" s="1"/>
  <c r="AI131" i="2"/>
  <c r="AG131" i="2"/>
  <c r="U131" i="2" s="1"/>
  <c r="AE131" i="2"/>
  <c r="S131" i="2" s="1"/>
  <c r="AC131" i="2"/>
  <c r="Q131" i="2" s="1"/>
  <c r="AA131" i="2"/>
  <c r="W131" i="2"/>
  <c r="O131" i="2"/>
  <c r="A131" i="2"/>
  <c r="A120" i="2" s="1"/>
  <c r="A109" i="2" s="1"/>
  <c r="A98" i="2" s="1"/>
  <c r="AK130" i="2"/>
  <c r="AI130" i="2"/>
  <c r="AG130" i="2"/>
  <c r="U130" i="2" s="1"/>
  <c r="AE130" i="2"/>
  <c r="S130" i="2" s="1"/>
  <c r="AC130" i="2"/>
  <c r="AA130" i="2"/>
  <c r="O130" i="2" s="1"/>
  <c r="Y130" i="2"/>
  <c r="W130" i="2"/>
  <c r="Q130" i="2"/>
  <c r="AK129" i="2"/>
  <c r="Y129" i="2" s="1"/>
  <c r="AI129" i="2"/>
  <c r="W129" i="2" s="1"/>
  <c r="AG129" i="2"/>
  <c r="U129" i="2" s="1"/>
  <c r="AE129" i="2"/>
  <c r="AC129" i="2"/>
  <c r="AA129" i="2"/>
  <c r="O129" i="2" s="1"/>
  <c r="S129" i="2"/>
  <c r="Q129" i="2"/>
  <c r="AM128" i="2"/>
  <c r="AM117" i="2" s="1"/>
  <c r="AM106" i="2" s="1"/>
  <c r="AM95" i="2" s="1"/>
  <c r="AM84" i="2" s="1"/>
  <c r="AM73" i="2" s="1"/>
  <c r="AM62" i="2" s="1"/>
  <c r="AM51" i="2" s="1"/>
  <c r="AM40" i="2" s="1"/>
  <c r="AM29" i="2" s="1"/>
  <c r="AM18" i="2" s="1"/>
  <c r="AK126" i="2"/>
  <c r="Y126" i="2" s="1"/>
  <c r="AI126" i="2"/>
  <c r="AG126" i="2"/>
  <c r="U126" i="2" s="1"/>
  <c r="AE126" i="2"/>
  <c r="S126" i="2" s="1"/>
  <c r="AC126" i="2"/>
  <c r="Q126" i="2" s="1"/>
  <c r="AA126" i="2"/>
  <c r="W126" i="2"/>
  <c r="O126" i="2"/>
  <c r="AK125" i="2"/>
  <c r="AI125" i="2"/>
  <c r="AG125" i="2"/>
  <c r="U125" i="2" s="1"/>
  <c r="AE125" i="2"/>
  <c r="S125" i="2" s="1"/>
  <c r="AC125" i="2"/>
  <c r="AA125" i="2"/>
  <c r="O125" i="2" s="1"/>
  <c r="Y125" i="2"/>
  <c r="W125" i="2"/>
  <c r="Q125" i="2"/>
  <c r="AK124" i="2"/>
  <c r="Y124" i="2" s="1"/>
  <c r="AI124" i="2"/>
  <c r="W124" i="2" s="1"/>
  <c r="AG124" i="2"/>
  <c r="U124" i="2" s="1"/>
  <c r="AE124" i="2"/>
  <c r="AC124" i="2"/>
  <c r="AA124" i="2"/>
  <c r="O124" i="2" s="1"/>
  <c r="S124" i="2"/>
  <c r="Q124" i="2"/>
  <c r="AK123" i="2"/>
  <c r="Y123" i="2" s="1"/>
  <c r="AI123" i="2"/>
  <c r="W123" i="2" s="1"/>
  <c r="AG123" i="2"/>
  <c r="AE123" i="2"/>
  <c r="S123" i="2" s="1"/>
  <c r="AC123" i="2"/>
  <c r="Q123" i="2" s="1"/>
  <c r="AA123" i="2"/>
  <c r="O123" i="2" s="1"/>
  <c r="U123" i="2"/>
  <c r="AK122" i="2"/>
  <c r="Y122" i="2" s="1"/>
  <c r="AI122" i="2"/>
  <c r="AG122" i="2"/>
  <c r="AE122" i="2"/>
  <c r="S122" i="2" s="1"/>
  <c r="AC122" i="2"/>
  <c r="Q122" i="2" s="1"/>
  <c r="AA122" i="2"/>
  <c r="W122" i="2"/>
  <c r="U122" i="2"/>
  <c r="O122" i="2"/>
  <c r="AK121" i="2"/>
  <c r="AI121" i="2"/>
  <c r="W121" i="2" s="1"/>
  <c r="AG121" i="2"/>
  <c r="U121" i="2" s="1"/>
  <c r="AE121" i="2"/>
  <c r="S121" i="2" s="1"/>
  <c r="AC121" i="2"/>
  <c r="AA121" i="2"/>
  <c r="Y121" i="2"/>
  <c r="Q121" i="2"/>
  <c r="O121" i="2"/>
  <c r="AK120" i="2"/>
  <c r="AI120" i="2"/>
  <c r="W120" i="2" s="1"/>
  <c r="AG120" i="2"/>
  <c r="U120" i="2" s="1"/>
  <c r="AE120" i="2"/>
  <c r="AC120" i="2"/>
  <c r="Q120" i="2" s="1"/>
  <c r="AA120" i="2"/>
  <c r="O120" i="2" s="1"/>
  <c r="Y120" i="2"/>
  <c r="S120" i="2"/>
  <c r="AK119" i="2"/>
  <c r="Y119" i="2" s="1"/>
  <c r="AI119" i="2"/>
  <c r="W119" i="2" s="1"/>
  <c r="AG119" i="2"/>
  <c r="AE119" i="2"/>
  <c r="AC119" i="2"/>
  <c r="Q119" i="2" s="1"/>
  <c r="AA119" i="2"/>
  <c r="O119" i="2" s="1"/>
  <c r="U119" i="2"/>
  <c r="S119" i="2"/>
  <c r="AK118" i="2"/>
  <c r="Y118" i="2" s="1"/>
  <c r="AI118" i="2"/>
  <c r="AG118" i="2"/>
  <c r="U118" i="2" s="1"/>
  <c r="AE118" i="2"/>
  <c r="S118" i="2" s="1"/>
  <c r="AC118" i="2"/>
  <c r="Q118" i="2" s="1"/>
  <c r="AA118" i="2"/>
  <c r="W118" i="2"/>
  <c r="O118" i="2"/>
  <c r="A118" i="2"/>
  <c r="A107" i="2" s="1"/>
  <c r="A96" i="2" s="1"/>
  <c r="A85" i="2" s="1"/>
  <c r="A74" i="2" s="1"/>
  <c r="A63" i="2" s="1"/>
  <c r="A52" i="2" s="1"/>
  <c r="A41" i="2" s="1"/>
  <c r="A30" i="2" s="1"/>
  <c r="A19" i="2" s="1"/>
  <c r="AK115" i="2"/>
  <c r="AI115" i="2"/>
  <c r="W115" i="2" s="1"/>
  <c r="AG115" i="2"/>
  <c r="U115" i="2" s="1"/>
  <c r="AE115" i="2"/>
  <c r="AC115" i="2"/>
  <c r="Q115" i="2" s="1"/>
  <c r="AA115" i="2"/>
  <c r="O115" i="2" s="1"/>
  <c r="Y115" i="2"/>
  <c r="S115" i="2"/>
  <c r="AK114" i="2"/>
  <c r="Y114" i="2" s="1"/>
  <c r="AI114" i="2"/>
  <c r="W114" i="2" s="1"/>
  <c r="AG114" i="2"/>
  <c r="AE114" i="2"/>
  <c r="AC114" i="2"/>
  <c r="Q114" i="2" s="1"/>
  <c r="AA114" i="2"/>
  <c r="O114" i="2" s="1"/>
  <c r="U114" i="2"/>
  <c r="S114" i="2"/>
  <c r="AK113" i="2"/>
  <c r="Y113" i="2" s="1"/>
  <c r="AI113" i="2"/>
  <c r="AG113" i="2"/>
  <c r="U113" i="2" s="1"/>
  <c r="AE113" i="2"/>
  <c r="S113" i="2" s="1"/>
  <c r="AC113" i="2"/>
  <c r="Q113" i="2" s="1"/>
  <c r="AA113" i="2"/>
  <c r="W113" i="2"/>
  <c r="O113" i="2"/>
  <c r="AK112" i="2"/>
  <c r="AI112" i="2"/>
  <c r="AG112" i="2"/>
  <c r="U112" i="2" s="1"/>
  <c r="AE112" i="2"/>
  <c r="S112" i="2" s="1"/>
  <c r="AC112" i="2"/>
  <c r="AA112" i="2"/>
  <c r="O112" i="2" s="1"/>
  <c r="Y112" i="2"/>
  <c r="W112" i="2"/>
  <c r="Q112" i="2"/>
  <c r="AK111" i="2"/>
  <c r="Y111" i="2" s="1"/>
  <c r="AI111" i="2"/>
  <c r="W111" i="2" s="1"/>
  <c r="AG111" i="2"/>
  <c r="U111" i="2" s="1"/>
  <c r="AE111" i="2"/>
  <c r="AC111" i="2"/>
  <c r="AA111" i="2"/>
  <c r="O111" i="2" s="1"/>
  <c r="S111" i="2"/>
  <c r="Q111" i="2"/>
  <c r="AK110" i="2"/>
  <c r="Y110" i="2" s="1"/>
  <c r="AI110" i="2"/>
  <c r="W110" i="2" s="1"/>
  <c r="AG110" i="2"/>
  <c r="AE110" i="2"/>
  <c r="AC110" i="2"/>
  <c r="AA110" i="2"/>
  <c r="O110" i="2" s="1"/>
  <c r="U110" i="2"/>
  <c r="S110" i="2"/>
  <c r="Q110" i="2"/>
  <c r="AK109" i="2"/>
  <c r="Y109" i="2" s="1"/>
  <c r="AI109" i="2"/>
  <c r="AG109" i="2"/>
  <c r="AE109" i="2"/>
  <c r="S109" i="2" s="1"/>
  <c r="AC109" i="2"/>
  <c r="Q109" i="2" s="1"/>
  <c r="AA109" i="2"/>
  <c r="O109" i="2" s="1"/>
  <c r="W109" i="2"/>
  <c r="U109" i="2"/>
  <c r="AK108" i="2"/>
  <c r="Y108" i="2" s="1"/>
  <c r="AI108" i="2"/>
  <c r="AG108" i="2"/>
  <c r="AE108" i="2"/>
  <c r="S108" i="2" s="1"/>
  <c r="AC108" i="2"/>
  <c r="AA108" i="2"/>
  <c r="W108" i="2"/>
  <c r="U108" i="2"/>
  <c r="Q108" i="2"/>
  <c r="O108" i="2"/>
  <c r="AK107" i="2"/>
  <c r="AI107" i="2"/>
  <c r="W107" i="2" s="1"/>
  <c r="AG107" i="2"/>
  <c r="U107" i="2" s="1"/>
  <c r="AE107" i="2"/>
  <c r="S107" i="2" s="1"/>
  <c r="AC107" i="2"/>
  <c r="AA107" i="2"/>
  <c r="Y107" i="2"/>
  <c r="Q107" i="2"/>
  <c r="O107" i="2"/>
  <c r="AK104" i="2"/>
  <c r="Y104" i="2" s="1"/>
  <c r="AI104" i="2"/>
  <c r="AG104" i="2"/>
  <c r="AE104" i="2"/>
  <c r="S104" i="2" s="1"/>
  <c r="AC104" i="2"/>
  <c r="Q104" i="2" s="1"/>
  <c r="AA104" i="2"/>
  <c r="O104" i="2" s="1"/>
  <c r="W104" i="2"/>
  <c r="U104" i="2"/>
  <c r="AK103" i="2"/>
  <c r="Y103" i="2" s="1"/>
  <c r="AI103" i="2"/>
  <c r="AG103" i="2"/>
  <c r="AE103" i="2"/>
  <c r="S103" i="2" s="1"/>
  <c r="AC103" i="2"/>
  <c r="AA103" i="2"/>
  <c r="W103" i="2"/>
  <c r="U103" i="2"/>
  <c r="Q103" i="2"/>
  <c r="O103" i="2"/>
  <c r="AK102" i="2"/>
  <c r="AI102" i="2"/>
  <c r="W102" i="2" s="1"/>
  <c r="AG102" i="2"/>
  <c r="U102" i="2" s="1"/>
  <c r="AE102" i="2"/>
  <c r="S102" i="2" s="1"/>
  <c r="AC102" i="2"/>
  <c r="AA102" i="2"/>
  <c r="Y102" i="2"/>
  <c r="Q102" i="2"/>
  <c r="O102" i="2"/>
  <c r="AK101" i="2"/>
  <c r="AI101" i="2"/>
  <c r="W101" i="2" s="1"/>
  <c r="AG101" i="2"/>
  <c r="AE101" i="2"/>
  <c r="AC101" i="2"/>
  <c r="Q101" i="2" s="1"/>
  <c r="AA101" i="2"/>
  <c r="O101" i="2" s="1"/>
  <c r="Y101" i="2"/>
  <c r="U101" i="2"/>
  <c r="S101" i="2"/>
  <c r="AK100" i="2"/>
  <c r="Y100" i="2" s="1"/>
  <c r="AI100" i="2"/>
  <c r="W100" i="2" s="1"/>
  <c r="AG100" i="2"/>
  <c r="AE100" i="2"/>
  <c r="AC100" i="2"/>
  <c r="Q100" i="2" s="1"/>
  <c r="AA100" i="2"/>
  <c r="U100" i="2"/>
  <c r="S100" i="2"/>
  <c r="O100" i="2"/>
  <c r="AK99" i="2"/>
  <c r="AI99" i="2"/>
  <c r="AG99" i="2"/>
  <c r="U99" i="2" s="1"/>
  <c r="AE99" i="2"/>
  <c r="S99" i="2" s="1"/>
  <c r="AC99" i="2"/>
  <c r="Q99" i="2" s="1"/>
  <c r="AA99" i="2"/>
  <c r="Y99" i="2"/>
  <c r="W99" i="2"/>
  <c r="O99" i="2"/>
  <c r="AK98" i="2"/>
  <c r="AI98" i="2"/>
  <c r="AG98" i="2"/>
  <c r="U98" i="2" s="1"/>
  <c r="AE98" i="2"/>
  <c r="AC98" i="2"/>
  <c r="AA98" i="2"/>
  <c r="O98" i="2" s="1"/>
  <c r="Y98" i="2"/>
  <c r="W98" i="2"/>
  <c r="S98" i="2"/>
  <c r="Q98" i="2"/>
  <c r="AK97" i="2"/>
  <c r="Y97" i="2" s="1"/>
  <c r="AI97" i="2"/>
  <c r="W97" i="2" s="1"/>
  <c r="AG97" i="2"/>
  <c r="U97" i="2" s="1"/>
  <c r="AE97" i="2"/>
  <c r="AC97" i="2"/>
  <c r="AA97" i="2"/>
  <c r="O97" i="2" s="1"/>
  <c r="S97" i="2"/>
  <c r="Q97" i="2"/>
  <c r="AK96" i="2"/>
  <c r="Y96" i="2" s="1"/>
  <c r="AI96" i="2"/>
  <c r="AG96" i="2"/>
  <c r="AE96" i="2"/>
  <c r="S96" i="2" s="1"/>
  <c r="AC96" i="2"/>
  <c r="Q96" i="2" s="1"/>
  <c r="AA96" i="2"/>
  <c r="O96" i="2" s="1"/>
  <c r="W96" i="2"/>
  <c r="U96" i="2"/>
  <c r="AK93" i="2"/>
  <c r="AI93" i="2"/>
  <c r="AG93" i="2"/>
  <c r="U93" i="2" s="1"/>
  <c r="AE93" i="2"/>
  <c r="AC93" i="2"/>
  <c r="AA93" i="2"/>
  <c r="O93" i="2" s="1"/>
  <c r="Y93" i="2"/>
  <c r="W93" i="2"/>
  <c r="S93" i="2"/>
  <c r="Q93" i="2"/>
  <c r="AK92" i="2"/>
  <c r="Y92" i="2" s="1"/>
  <c r="AI92" i="2"/>
  <c r="W92" i="2" s="1"/>
  <c r="AG92" i="2"/>
  <c r="U92" i="2" s="1"/>
  <c r="AE92" i="2"/>
  <c r="AC92" i="2"/>
  <c r="AA92" i="2"/>
  <c r="O92" i="2" s="1"/>
  <c r="S92" i="2"/>
  <c r="Q92" i="2"/>
  <c r="AK91" i="2"/>
  <c r="Y91" i="2" s="1"/>
  <c r="AI91" i="2"/>
  <c r="AG91" i="2"/>
  <c r="AE91" i="2"/>
  <c r="S91" i="2" s="1"/>
  <c r="AC91" i="2"/>
  <c r="Q91" i="2" s="1"/>
  <c r="AA91" i="2"/>
  <c r="O91" i="2" s="1"/>
  <c r="W91" i="2"/>
  <c r="U91" i="2"/>
  <c r="AK90" i="2"/>
  <c r="Y90" i="2" s="1"/>
  <c r="AI90" i="2"/>
  <c r="AG90" i="2"/>
  <c r="AE90" i="2"/>
  <c r="S90" i="2" s="1"/>
  <c r="AC90" i="2"/>
  <c r="AA90" i="2"/>
  <c r="W90" i="2"/>
  <c r="U90" i="2"/>
  <c r="Q90" i="2"/>
  <c r="O90" i="2"/>
  <c r="AK89" i="2"/>
  <c r="AI89" i="2"/>
  <c r="W89" i="2" s="1"/>
  <c r="AG89" i="2"/>
  <c r="U89" i="2" s="1"/>
  <c r="AE89" i="2"/>
  <c r="S89" i="2" s="1"/>
  <c r="AC89" i="2"/>
  <c r="AA89" i="2"/>
  <c r="Y89" i="2"/>
  <c r="Q89" i="2"/>
  <c r="O89" i="2"/>
  <c r="AK88" i="2"/>
  <c r="AI88" i="2"/>
  <c r="W88" i="2" s="1"/>
  <c r="AG88" i="2"/>
  <c r="AE88" i="2"/>
  <c r="AC88" i="2"/>
  <c r="Q88" i="2" s="1"/>
  <c r="AA88" i="2"/>
  <c r="O88" i="2" s="1"/>
  <c r="Y88" i="2"/>
  <c r="U88" i="2"/>
  <c r="S88" i="2"/>
  <c r="AK87" i="2"/>
  <c r="Y87" i="2" s="1"/>
  <c r="AI87" i="2"/>
  <c r="W87" i="2" s="1"/>
  <c r="AG87" i="2"/>
  <c r="AE87" i="2"/>
  <c r="AC87" i="2"/>
  <c r="Q87" i="2" s="1"/>
  <c r="AA87" i="2"/>
  <c r="U87" i="2"/>
  <c r="S87" i="2"/>
  <c r="O87" i="2"/>
  <c r="A87" i="2"/>
  <c r="A76" i="2" s="1"/>
  <c r="A65" i="2" s="1"/>
  <c r="A54" i="2" s="1"/>
  <c r="AK86" i="2"/>
  <c r="AI86" i="2"/>
  <c r="AG86" i="2"/>
  <c r="U86" i="2" s="1"/>
  <c r="AE86" i="2"/>
  <c r="S86" i="2" s="1"/>
  <c r="AC86" i="2"/>
  <c r="Q86" i="2" s="1"/>
  <c r="AA86" i="2"/>
  <c r="Y86" i="2"/>
  <c r="W86" i="2"/>
  <c r="O86" i="2"/>
  <c r="AK85" i="2"/>
  <c r="AI85" i="2"/>
  <c r="AG85" i="2"/>
  <c r="U85" i="2" s="1"/>
  <c r="AE85" i="2"/>
  <c r="AC85" i="2"/>
  <c r="AA85" i="2"/>
  <c r="O85" i="2" s="1"/>
  <c r="Y85" i="2"/>
  <c r="W85" i="2"/>
  <c r="S85" i="2"/>
  <c r="Q85" i="2"/>
  <c r="AK82" i="2"/>
  <c r="Y82" i="2" s="1"/>
  <c r="AI82" i="2"/>
  <c r="W82" i="2" s="1"/>
  <c r="AG82" i="2"/>
  <c r="AE82" i="2"/>
  <c r="AC82" i="2"/>
  <c r="Q82" i="2" s="1"/>
  <c r="AA82" i="2"/>
  <c r="U82" i="2"/>
  <c r="S82" i="2"/>
  <c r="O82" i="2"/>
  <c r="AK81" i="2"/>
  <c r="AI81" i="2"/>
  <c r="AG81" i="2"/>
  <c r="U81" i="2" s="1"/>
  <c r="AE81" i="2"/>
  <c r="S81" i="2" s="1"/>
  <c r="AC81" i="2"/>
  <c r="Q81" i="2" s="1"/>
  <c r="AA81" i="2"/>
  <c r="Y81" i="2"/>
  <c r="W81" i="2"/>
  <c r="O81" i="2"/>
  <c r="AK80" i="2"/>
  <c r="AI80" i="2"/>
  <c r="AG80" i="2"/>
  <c r="U80" i="2" s="1"/>
  <c r="AE80" i="2"/>
  <c r="AC80" i="2"/>
  <c r="AA80" i="2"/>
  <c r="O80" i="2" s="1"/>
  <c r="Y80" i="2"/>
  <c r="W80" i="2"/>
  <c r="S80" i="2"/>
  <c r="Q80" i="2"/>
  <c r="AK79" i="2"/>
  <c r="Y79" i="2" s="1"/>
  <c r="AI79" i="2"/>
  <c r="W79" i="2" s="1"/>
  <c r="AG79" i="2"/>
  <c r="U79" i="2" s="1"/>
  <c r="AE79" i="2"/>
  <c r="AC79" i="2"/>
  <c r="AA79" i="2"/>
  <c r="O79" i="2" s="1"/>
  <c r="S79" i="2"/>
  <c r="Q79" i="2"/>
  <c r="AK78" i="2"/>
  <c r="Y78" i="2" s="1"/>
  <c r="AI78" i="2"/>
  <c r="AG78" i="2"/>
  <c r="AE78" i="2"/>
  <c r="S78" i="2" s="1"/>
  <c r="AC78" i="2"/>
  <c r="Q78" i="2" s="1"/>
  <c r="AA78" i="2"/>
  <c r="O78" i="2" s="1"/>
  <c r="W78" i="2"/>
  <c r="U78" i="2"/>
  <c r="AK77" i="2"/>
  <c r="Y77" i="2" s="1"/>
  <c r="AI77" i="2"/>
  <c r="AG77" i="2"/>
  <c r="AE77" i="2"/>
  <c r="S77" i="2" s="1"/>
  <c r="AC77" i="2"/>
  <c r="AA77" i="2"/>
  <c r="W77" i="2"/>
  <c r="U77" i="2"/>
  <c r="Q77" i="2"/>
  <c r="O77" i="2"/>
  <c r="AK76" i="2"/>
  <c r="AI76" i="2"/>
  <c r="W76" i="2" s="1"/>
  <c r="AG76" i="2"/>
  <c r="U76" i="2" s="1"/>
  <c r="AE76" i="2"/>
  <c r="S76" i="2" s="1"/>
  <c r="AC76" i="2"/>
  <c r="AA76" i="2"/>
  <c r="Y76" i="2"/>
  <c r="Q76" i="2"/>
  <c r="O76" i="2"/>
  <c r="AK75" i="2"/>
  <c r="AI75" i="2"/>
  <c r="W75" i="2" s="1"/>
  <c r="AG75" i="2"/>
  <c r="AE75" i="2"/>
  <c r="AC75" i="2"/>
  <c r="Q75" i="2" s="1"/>
  <c r="AA75" i="2"/>
  <c r="O75" i="2" s="1"/>
  <c r="Y75" i="2"/>
  <c r="U75" i="2"/>
  <c r="S75" i="2"/>
  <c r="AK74" i="2"/>
  <c r="Y74" i="2" s="1"/>
  <c r="AI74" i="2"/>
  <c r="W74" i="2" s="1"/>
  <c r="AG74" i="2"/>
  <c r="AE74" i="2"/>
  <c r="AC74" i="2"/>
  <c r="Q74" i="2" s="1"/>
  <c r="AA74" i="2"/>
  <c r="U74" i="2"/>
  <c r="S74" i="2"/>
  <c r="O74" i="2"/>
  <c r="AK71" i="2"/>
  <c r="AI71" i="2"/>
  <c r="W71" i="2" s="1"/>
  <c r="AG71" i="2"/>
  <c r="U71" i="2" s="1"/>
  <c r="AE71" i="2"/>
  <c r="S71" i="2" s="1"/>
  <c r="AC71" i="2"/>
  <c r="AA71" i="2"/>
  <c r="Y71" i="2"/>
  <c r="Q71" i="2"/>
  <c r="O71" i="2"/>
  <c r="AK70" i="2"/>
  <c r="AI70" i="2"/>
  <c r="W70" i="2" s="1"/>
  <c r="AG70" i="2"/>
  <c r="AE70" i="2"/>
  <c r="AC70" i="2"/>
  <c r="Q70" i="2" s="1"/>
  <c r="AA70" i="2"/>
  <c r="O70" i="2" s="1"/>
  <c r="Y70" i="2"/>
  <c r="U70" i="2"/>
  <c r="S70" i="2"/>
  <c r="AK69" i="2"/>
  <c r="Y69" i="2" s="1"/>
  <c r="AI69" i="2"/>
  <c r="W69" i="2" s="1"/>
  <c r="AG69" i="2"/>
  <c r="AE69" i="2"/>
  <c r="AC69" i="2"/>
  <c r="Q69" i="2" s="1"/>
  <c r="AA69" i="2"/>
  <c r="U69" i="2"/>
  <c r="S69" i="2"/>
  <c r="O69" i="2"/>
  <c r="AK68" i="2"/>
  <c r="AI68" i="2"/>
  <c r="AG68" i="2"/>
  <c r="U68" i="2" s="1"/>
  <c r="AE68" i="2"/>
  <c r="S68" i="2" s="1"/>
  <c r="AC68" i="2"/>
  <c r="Q68" i="2" s="1"/>
  <c r="AA68" i="2"/>
  <c r="Y68" i="2"/>
  <c r="W68" i="2"/>
  <c r="O68" i="2"/>
  <c r="AK67" i="2"/>
  <c r="AI67" i="2"/>
  <c r="AG67" i="2"/>
  <c r="U67" i="2" s="1"/>
  <c r="AE67" i="2"/>
  <c r="AC67" i="2"/>
  <c r="AA67" i="2"/>
  <c r="O67" i="2" s="1"/>
  <c r="Y67" i="2"/>
  <c r="W67" i="2"/>
  <c r="S67" i="2"/>
  <c r="Q67" i="2"/>
  <c r="AK66" i="2"/>
  <c r="Y66" i="2" s="1"/>
  <c r="AI66" i="2"/>
  <c r="W66" i="2" s="1"/>
  <c r="AG66" i="2"/>
  <c r="U66" i="2" s="1"/>
  <c r="AE66" i="2"/>
  <c r="AC66" i="2"/>
  <c r="AA66" i="2"/>
  <c r="O66" i="2" s="1"/>
  <c r="S66" i="2"/>
  <c r="Q66" i="2"/>
  <c r="AK65" i="2"/>
  <c r="Y65" i="2" s="1"/>
  <c r="AI65" i="2"/>
  <c r="AG65" i="2"/>
  <c r="AE65" i="2"/>
  <c r="S65" i="2" s="1"/>
  <c r="AC65" i="2"/>
  <c r="Q65" i="2" s="1"/>
  <c r="AA65" i="2"/>
  <c r="O65" i="2" s="1"/>
  <c r="W65" i="2"/>
  <c r="U65" i="2"/>
  <c r="AK64" i="2"/>
  <c r="Y64" i="2" s="1"/>
  <c r="AI64" i="2"/>
  <c r="AG64" i="2"/>
  <c r="AE64" i="2"/>
  <c r="S64" i="2" s="1"/>
  <c r="AC64" i="2"/>
  <c r="AA64" i="2"/>
  <c r="W64" i="2"/>
  <c r="U64" i="2"/>
  <c r="Q64" i="2"/>
  <c r="O64" i="2"/>
  <c r="AK63" i="2"/>
  <c r="AI63" i="2"/>
  <c r="W63" i="2" s="1"/>
  <c r="AG63" i="2"/>
  <c r="U63" i="2" s="1"/>
  <c r="AE63" i="2"/>
  <c r="S63" i="2" s="1"/>
  <c r="AC63" i="2"/>
  <c r="AA63" i="2"/>
  <c r="Y63" i="2"/>
  <c r="Q63" i="2"/>
  <c r="O63" i="2"/>
  <c r="AK60" i="2"/>
  <c r="Y60" i="2" s="1"/>
  <c r="AI60" i="2"/>
  <c r="AG60" i="2"/>
  <c r="AE60" i="2"/>
  <c r="S60" i="2" s="1"/>
  <c r="AC60" i="2"/>
  <c r="Q60" i="2" s="1"/>
  <c r="AA60" i="2"/>
  <c r="O60" i="2" s="1"/>
  <c r="W60" i="2"/>
  <c r="U60" i="2"/>
  <c r="AK59" i="2"/>
  <c r="Y59" i="2" s="1"/>
  <c r="AI59" i="2"/>
  <c r="AG59" i="2"/>
  <c r="AE59" i="2"/>
  <c r="S59" i="2" s="1"/>
  <c r="AC59" i="2"/>
  <c r="AA59" i="2"/>
  <c r="W59" i="2"/>
  <c r="U59" i="2"/>
  <c r="Q59" i="2"/>
  <c r="O59" i="2"/>
  <c r="AK58" i="2"/>
  <c r="AI58" i="2"/>
  <c r="W58" i="2" s="1"/>
  <c r="AG58" i="2"/>
  <c r="U58" i="2" s="1"/>
  <c r="AE58" i="2"/>
  <c r="S58" i="2" s="1"/>
  <c r="AC58" i="2"/>
  <c r="AA58" i="2"/>
  <c r="Y58" i="2"/>
  <c r="Q58" i="2"/>
  <c r="O58" i="2"/>
  <c r="AK57" i="2"/>
  <c r="AI57" i="2"/>
  <c r="W57" i="2" s="1"/>
  <c r="AG57" i="2"/>
  <c r="AE57" i="2"/>
  <c r="AC57" i="2"/>
  <c r="Q57" i="2" s="1"/>
  <c r="AA57" i="2"/>
  <c r="O57" i="2" s="1"/>
  <c r="Y57" i="2"/>
  <c r="U57" i="2"/>
  <c r="S57" i="2"/>
  <c r="AK56" i="2"/>
  <c r="Y56" i="2" s="1"/>
  <c r="AI56" i="2"/>
  <c r="W56" i="2" s="1"/>
  <c r="AG56" i="2"/>
  <c r="AE56" i="2"/>
  <c r="AC56" i="2"/>
  <c r="Q56" i="2" s="1"/>
  <c r="AA56" i="2"/>
  <c r="U56" i="2"/>
  <c r="S56" i="2"/>
  <c r="O56" i="2"/>
  <c r="AK55" i="2"/>
  <c r="AI55" i="2"/>
  <c r="AG55" i="2"/>
  <c r="U55" i="2" s="1"/>
  <c r="AE55" i="2"/>
  <c r="S55" i="2" s="1"/>
  <c r="AC55" i="2"/>
  <c r="Q55" i="2" s="1"/>
  <c r="AA55" i="2"/>
  <c r="Y55" i="2"/>
  <c r="W55" i="2"/>
  <c r="O55" i="2"/>
  <c r="AK54" i="2"/>
  <c r="AI54" i="2"/>
  <c r="AG54" i="2"/>
  <c r="U54" i="2" s="1"/>
  <c r="AE54" i="2"/>
  <c r="AC54" i="2"/>
  <c r="AA54" i="2"/>
  <c r="O54" i="2" s="1"/>
  <c r="Y54" i="2"/>
  <c r="W54" i="2"/>
  <c r="S54" i="2"/>
  <c r="Q54" i="2"/>
  <c r="AK53" i="2"/>
  <c r="Y53" i="2" s="1"/>
  <c r="AI53" i="2"/>
  <c r="W53" i="2" s="1"/>
  <c r="AG53" i="2"/>
  <c r="U53" i="2" s="1"/>
  <c r="AE53" i="2"/>
  <c r="AC53" i="2"/>
  <c r="AA53" i="2"/>
  <c r="O53" i="2" s="1"/>
  <c r="S53" i="2"/>
  <c r="Q53" i="2"/>
  <c r="AK52" i="2"/>
  <c r="Y52" i="2" s="1"/>
  <c r="AI52" i="2"/>
  <c r="AG52" i="2"/>
  <c r="AE52" i="2"/>
  <c r="S52" i="2" s="1"/>
  <c r="AC52" i="2"/>
  <c r="Q52" i="2" s="1"/>
  <c r="AA52" i="2"/>
  <c r="O52" i="2" s="1"/>
  <c r="W52" i="2"/>
  <c r="U52" i="2"/>
  <c r="AK49" i="2"/>
  <c r="AI49" i="2"/>
  <c r="AG49" i="2"/>
  <c r="U49" i="2" s="1"/>
  <c r="AE49" i="2"/>
  <c r="AC49" i="2"/>
  <c r="AA49" i="2"/>
  <c r="O49" i="2" s="1"/>
  <c r="Y49" i="2"/>
  <c r="W49" i="2"/>
  <c r="S49" i="2"/>
  <c r="Q49" i="2"/>
  <c r="AK48" i="2"/>
  <c r="Y48" i="2" s="1"/>
  <c r="AI48" i="2"/>
  <c r="W48" i="2" s="1"/>
  <c r="AG48" i="2"/>
  <c r="U48" i="2" s="1"/>
  <c r="AE48" i="2"/>
  <c r="AC48" i="2"/>
  <c r="AA48" i="2"/>
  <c r="O48" i="2" s="1"/>
  <c r="S48" i="2"/>
  <c r="Q48" i="2"/>
  <c r="AK47" i="2"/>
  <c r="Y47" i="2" s="1"/>
  <c r="AI47" i="2"/>
  <c r="AG47" i="2"/>
  <c r="AE47" i="2"/>
  <c r="S47" i="2" s="1"/>
  <c r="AC47" i="2"/>
  <c r="Q47" i="2" s="1"/>
  <c r="AA47" i="2"/>
  <c r="O47" i="2" s="1"/>
  <c r="W47" i="2"/>
  <c r="U47" i="2"/>
  <c r="AK46" i="2"/>
  <c r="Y46" i="2" s="1"/>
  <c r="AI46" i="2"/>
  <c r="AG46" i="2"/>
  <c r="AE46" i="2"/>
  <c r="S46" i="2" s="1"/>
  <c r="AC46" i="2"/>
  <c r="AA46" i="2"/>
  <c r="W46" i="2"/>
  <c r="U46" i="2"/>
  <c r="Q46" i="2"/>
  <c r="O46" i="2"/>
  <c r="AK45" i="2"/>
  <c r="AI45" i="2"/>
  <c r="W45" i="2" s="1"/>
  <c r="AG45" i="2"/>
  <c r="U45" i="2" s="1"/>
  <c r="AE45" i="2"/>
  <c r="S45" i="2" s="1"/>
  <c r="AC45" i="2"/>
  <c r="AA45" i="2"/>
  <c r="Y45" i="2"/>
  <c r="Q45" i="2"/>
  <c r="O45" i="2"/>
  <c r="AK44" i="2"/>
  <c r="AI44" i="2"/>
  <c r="W44" i="2" s="1"/>
  <c r="AG44" i="2"/>
  <c r="AE44" i="2"/>
  <c r="AC44" i="2"/>
  <c r="Q44" i="2" s="1"/>
  <c r="AA44" i="2"/>
  <c r="O44" i="2" s="1"/>
  <c r="Y44" i="2"/>
  <c r="U44" i="2"/>
  <c r="S44" i="2"/>
  <c r="AK43" i="2"/>
  <c r="Y43" i="2" s="1"/>
  <c r="AI43" i="2"/>
  <c r="W43" i="2" s="1"/>
  <c r="AG43" i="2"/>
  <c r="AE43" i="2"/>
  <c r="AC43" i="2"/>
  <c r="Q43" i="2" s="1"/>
  <c r="AA43" i="2"/>
  <c r="U43" i="2"/>
  <c r="S43" i="2"/>
  <c r="O43" i="2"/>
  <c r="A43" i="2"/>
  <c r="A32" i="2" s="1"/>
  <c r="A21" i="2" s="1"/>
  <c r="AK42" i="2"/>
  <c r="AI42" i="2"/>
  <c r="AG42" i="2"/>
  <c r="U42" i="2" s="1"/>
  <c r="AE42" i="2"/>
  <c r="S42" i="2" s="1"/>
  <c r="AC42" i="2"/>
  <c r="Q42" i="2" s="1"/>
  <c r="AA42" i="2"/>
  <c r="Y42" i="2"/>
  <c r="W42" i="2"/>
  <c r="O42" i="2"/>
  <c r="AK41" i="2"/>
  <c r="AI41" i="2"/>
  <c r="AG41" i="2"/>
  <c r="U41" i="2" s="1"/>
  <c r="AE41" i="2"/>
  <c r="AC41" i="2"/>
  <c r="AA41" i="2"/>
  <c r="O41" i="2" s="1"/>
  <c r="Y41" i="2"/>
  <c r="W41" i="2"/>
  <c r="S41" i="2"/>
  <c r="Q41" i="2"/>
  <c r="AK38" i="2"/>
  <c r="Y38" i="2" s="1"/>
  <c r="AI38" i="2"/>
  <c r="W38" i="2" s="1"/>
  <c r="AG38" i="2"/>
  <c r="AE38" i="2"/>
  <c r="AC38" i="2"/>
  <c r="Q38" i="2" s="1"/>
  <c r="AA38" i="2"/>
  <c r="U38" i="2"/>
  <c r="S38" i="2"/>
  <c r="O38" i="2"/>
  <c r="AK37" i="2"/>
  <c r="AI37" i="2"/>
  <c r="AG37" i="2"/>
  <c r="U37" i="2" s="1"/>
  <c r="AE37" i="2"/>
  <c r="S37" i="2" s="1"/>
  <c r="AC37" i="2"/>
  <c r="Q37" i="2" s="1"/>
  <c r="AA37" i="2"/>
  <c r="Y37" i="2"/>
  <c r="W37" i="2"/>
  <c r="O37" i="2"/>
  <c r="AK36" i="2"/>
  <c r="AI36" i="2"/>
  <c r="AG36" i="2"/>
  <c r="U36" i="2" s="1"/>
  <c r="AE36" i="2"/>
  <c r="AC36" i="2"/>
  <c r="AA36" i="2"/>
  <c r="O36" i="2" s="1"/>
  <c r="Y36" i="2"/>
  <c r="W36" i="2"/>
  <c r="S36" i="2"/>
  <c r="Q36" i="2"/>
  <c r="AK35" i="2"/>
  <c r="Y35" i="2" s="1"/>
  <c r="AI35" i="2"/>
  <c r="W35" i="2" s="1"/>
  <c r="AG35" i="2"/>
  <c r="U35" i="2" s="1"/>
  <c r="AE35" i="2"/>
  <c r="AC35" i="2"/>
  <c r="AA35" i="2"/>
  <c r="O35" i="2" s="1"/>
  <c r="S35" i="2"/>
  <c r="Q35" i="2"/>
  <c r="AK34" i="2"/>
  <c r="Y34" i="2" s="1"/>
  <c r="AI34" i="2"/>
  <c r="AG34" i="2"/>
  <c r="AE34" i="2"/>
  <c r="S34" i="2" s="1"/>
  <c r="AC34" i="2"/>
  <c r="Q34" i="2" s="1"/>
  <c r="AA34" i="2"/>
  <c r="O34" i="2" s="1"/>
  <c r="W34" i="2"/>
  <c r="U34" i="2"/>
  <c r="AK33" i="2"/>
  <c r="Y33" i="2" s="1"/>
  <c r="AI33" i="2"/>
  <c r="AG33" i="2"/>
  <c r="AE33" i="2"/>
  <c r="S33" i="2" s="1"/>
  <c r="AC33" i="2"/>
  <c r="AA33" i="2"/>
  <c r="W33" i="2"/>
  <c r="U33" i="2"/>
  <c r="Q33" i="2"/>
  <c r="O33" i="2"/>
  <c r="AK32" i="2"/>
  <c r="AI32" i="2"/>
  <c r="W32" i="2" s="1"/>
  <c r="AG32" i="2"/>
  <c r="U32" i="2" s="1"/>
  <c r="AE32" i="2"/>
  <c r="S32" i="2" s="1"/>
  <c r="AC32" i="2"/>
  <c r="AA32" i="2"/>
  <c r="Y32" i="2"/>
  <c r="Q32" i="2"/>
  <c r="O32" i="2"/>
  <c r="AK31" i="2"/>
  <c r="AI31" i="2"/>
  <c r="W31" i="2" s="1"/>
  <c r="AG31" i="2"/>
  <c r="AE31" i="2"/>
  <c r="AC31" i="2"/>
  <c r="Q31" i="2" s="1"/>
  <c r="AA31" i="2"/>
  <c r="O31" i="2" s="1"/>
  <c r="Y31" i="2"/>
  <c r="U31" i="2"/>
  <c r="S31" i="2"/>
  <c r="AK30" i="2"/>
  <c r="Y30" i="2" s="1"/>
  <c r="AI30" i="2"/>
  <c r="W30" i="2" s="1"/>
  <c r="AG30" i="2"/>
  <c r="AE30" i="2"/>
  <c r="AC30" i="2"/>
  <c r="Q30" i="2" s="1"/>
  <c r="AA30" i="2"/>
  <c r="U30" i="2"/>
  <c r="S30" i="2"/>
  <c r="O30" i="2"/>
  <c r="AK27" i="2"/>
  <c r="AI27" i="2"/>
  <c r="W27" i="2" s="1"/>
  <c r="AG27" i="2"/>
  <c r="U27" i="2" s="1"/>
  <c r="AE27" i="2"/>
  <c r="S27" i="2" s="1"/>
  <c r="AC27" i="2"/>
  <c r="AA27" i="2"/>
  <c r="Y27" i="2"/>
  <c r="Q27" i="2"/>
  <c r="O27" i="2"/>
  <c r="AK26" i="2"/>
  <c r="AI26" i="2"/>
  <c r="W26" i="2" s="1"/>
  <c r="AG26" i="2"/>
  <c r="AE26" i="2"/>
  <c r="AC26" i="2"/>
  <c r="Q26" i="2" s="1"/>
  <c r="AA26" i="2"/>
  <c r="O26" i="2" s="1"/>
  <c r="Y26" i="2"/>
  <c r="U26" i="2"/>
  <c r="S26" i="2"/>
  <c r="AK25" i="2"/>
  <c r="Y25" i="2" s="1"/>
  <c r="AI25" i="2"/>
  <c r="W25" i="2" s="1"/>
  <c r="AG25" i="2"/>
  <c r="AE25" i="2"/>
  <c r="AC25" i="2"/>
  <c r="Q25" i="2" s="1"/>
  <c r="AA25" i="2"/>
  <c r="U25" i="2"/>
  <c r="S25" i="2"/>
  <c r="O25" i="2"/>
  <c r="AK24" i="2"/>
  <c r="AI24" i="2"/>
  <c r="AG24" i="2"/>
  <c r="U24" i="2" s="1"/>
  <c r="AE24" i="2"/>
  <c r="S24" i="2" s="1"/>
  <c r="AC24" i="2"/>
  <c r="Q24" i="2" s="1"/>
  <c r="AA24" i="2"/>
  <c r="Y24" i="2"/>
  <c r="W24" i="2"/>
  <c r="O24" i="2"/>
  <c r="AK23" i="2"/>
  <c r="AI23" i="2"/>
  <c r="AG23" i="2"/>
  <c r="U23" i="2" s="1"/>
  <c r="AE23" i="2"/>
  <c r="AC23" i="2"/>
  <c r="AA23" i="2"/>
  <c r="O23" i="2" s="1"/>
  <c r="Y23" i="2"/>
  <c r="W23" i="2"/>
  <c r="S23" i="2"/>
  <c r="Q23" i="2"/>
  <c r="AK22" i="2"/>
  <c r="Y22" i="2" s="1"/>
  <c r="AI22" i="2"/>
  <c r="W22" i="2" s="1"/>
  <c r="AG22" i="2"/>
  <c r="U22" i="2" s="1"/>
  <c r="AE22" i="2"/>
  <c r="AC22" i="2"/>
  <c r="AA22" i="2"/>
  <c r="O22" i="2" s="1"/>
  <c r="S22" i="2"/>
  <c r="Q22" i="2"/>
  <c r="AK21" i="2"/>
  <c r="Y21" i="2" s="1"/>
  <c r="AI21" i="2"/>
  <c r="AG21" i="2"/>
  <c r="AE21" i="2"/>
  <c r="S21" i="2" s="1"/>
  <c r="AC21" i="2"/>
  <c r="Q21" i="2" s="1"/>
  <c r="AA21" i="2"/>
  <c r="O21" i="2" s="1"/>
  <c r="W21" i="2"/>
  <c r="U21" i="2"/>
  <c r="AK20" i="2"/>
  <c r="Y20" i="2" s="1"/>
  <c r="AI20" i="2"/>
  <c r="AG20" i="2"/>
  <c r="AE20" i="2"/>
  <c r="S20" i="2" s="1"/>
  <c r="AC20" i="2"/>
  <c r="AA20" i="2"/>
  <c r="W20" i="2"/>
  <c r="U20" i="2"/>
  <c r="Q20" i="2"/>
  <c r="O20" i="2"/>
  <c r="AK19" i="2"/>
  <c r="AI19" i="2"/>
  <c r="W19" i="2" s="1"/>
  <c r="AG19" i="2"/>
  <c r="U19" i="2" s="1"/>
  <c r="AE19" i="2"/>
  <c r="S19" i="2" s="1"/>
  <c r="AC19" i="2"/>
  <c r="AA19" i="2"/>
  <c r="Y19" i="2"/>
  <c r="Q19" i="2"/>
  <c r="O19" i="2"/>
  <c r="Z35" i="1"/>
  <c r="X35" i="1"/>
  <c r="V35" i="1"/>
  <c r="T35" i="1"/>
  <c r="R35" i="1"/>
  <c r="P35" i="1"/>
  <c r="W34" i="1"/>
  <c r="U34" i="1"/>
  <c r="AA33" i="1"/>
  <c r="AA32" i="1"/>
  <c r="W32" i="1"/>
  <c r="Q32" i="1"/>
  <c r="W31" i="1"/>
  <c r="Q31" i="1"/>
  <c r="O31" i="1"/>
  <c r="AA30" i="1"/>
  <c r="W30" i="1"/>
  <c r="AA29" i="1"/>
  <c r="Q29" i="1"/>
  <c r="AA28" i="1"/>
  <c r="Y28" i="1"/>
  <c r="Q28" i="1"/>
  <c r="AA27" i="1"/>
  <c r="W27" i="1"/>
  <c r="Q27" i="1"/>
  <c r="AA26" i="1"/>
  <c r="W26" i="1"/>
  <c r="U26" i="1"/>
  <c r="A26" i="1"/>
  <c r="AA25" i="1"/>
  <c r="Y25" i="1"/>
  <c r="Y29" i="1" s="1"/>
  <c r="W25" i="1"/>
  <c r="W28" i="1" s="1"/>
  <c r="U25" i="1"/>
  <c r="U27" i="1" s="1"/>
  <c r="S25" i="1"/>
  <c r="Q25" i="1"/>
  <c r="Q33" i="1" s="1"/>
  <c r="A25" i="1"/>
  <c r="AA24" i="1"/>
  <c r="AA31" i="1" s="1"/>
  <c r="G23" i="1"/>
  <c r="E23" i="1"/>
  <c r="C23" i="1"/>
  <c r="G22" i="1"/>
  <c r="E22" i="1"/>
  <c r="C22" i="1"/>
  <c r="G21" i="1"/>
  <c r="E21" i="1"/>
  <c r="C21" i="1"/>
  <c r="Z20" i="1"/>
  <c r="R20" i="1"/>
  <c r="G20" i="1"/>
  <c r="F25" i="1" s="1" a="1"/>
  <c r="E20" i="1"/>
  <c r="C20" i="1"/>
  <c r="V19" i="1"/>
  <c r="G19" i="1"/>
  <c r="E19" i="1"/>
  <c r="D25" i="1" s="1" a="1"/>
  <c r="C19" i="1"/>
  <c r="B25" i="1" s="1" a="1"/>
  <c r="G18" i="1"/>
  <c r="F26" i="1" s="1" a="1"/>
  <c r="E18" i="1"/>
  <c r="D26" i="1" s="1" a="1"/>
  <c r="C18" i="1"/>
  <c r="A17" i="1"/>
  <c r="V16" i="1"/>
  <c r="X15" i="1"/>
  <c r="P15" i="1"/>
  <c r="G15" i="1"/>
  <c r="X14" i="1"/>
  <c r="P14" i="1"/>
  <c r="G14" i="1"/>
  <c r="G13" i="1"/>
  <c r="G12" i="1"/>
  <c r="R11" i="1"/>
  <c r="G11" i="1"/>
  <c r="AA10" i="1"/>
  <c r="Z10" i="1"/>
  <c r="Z22" i="1" s="1"/>
  <c r="X10" i="1"/>
  <c r="V10" i="1"/>
  <c r="V22" i="1" s="1"/>
  <c r="T10" i="1"/>
  <c r="T22" i="1" s="1"/>
  <c r="S10" i="1"/>
  <c r="R10" i="1"/>
  <c r="R22" i="1" s="1"/>
  <c r="P10" i="1"/>
  <c r="O10" i="1"/>
  <c r="O22" i="1" s="1"/>
  <c r="O34" i="1" s="1"/>
  <c r="G10" i="1"/>
  <c r="AA9" i="1"/>
  <c r="Z9" i="1"/>
  <c r="Z21" i="1" s="1"/>
  <c r="X9" i="1"/>
  <c r="X21" i="1" s="1"/>
  <c r="V9" i="1"/>
  <c r="V21" i="1" s="1"/>
  <c r="T9" i="1"/>
  <c r="T21" i="1" s="1"/>
  <c r="S9" i="1"/>
  <c r="R9" i="1"/>
  <c r="R21" i="1" s="1"/>
  <c r="P9" i="1"/>
  <c r="P21" i="1" s="1"/>
  <c r="O9" i="1"/>
  <c r="O33" i="1" s="1"/>
  <c r="L9" i="1"/>
  <c r="Z8" i="1"/>
  <c r="X8" i="1"/>
  <c r="X20" i="1" s="1"/>
  <c r="V8" i="1"/>
  <c r="V20" i="1" s="1"/>
  <c r="T8" i="1"/>
  <c r="R8" i="1"/>
  <c r="P8" i="1"/>
  <c r="P20" i="1" s="1"/>
  <c r="O8" i="1"/>
  <c r="O32" i="1" s="1"/>
  <c r="Z7" i="1"/>
  <c r="Z19" i="1" s="1"/>
  <c r="X7" i="1"/>
  <c r="X19" i="1" s="1"/>
  <c r="V7" i="1"/>
  <c r="AC7" i="1" s="1"/>
  <c r="T7" i="1"/>
  <c r="R7" i="1"/>
  <c r="R19" i="1" s="1"/>
  <c r="P7" i="1"/>
  <c r="P19" i="1" s="1"/>
  <c r="O7" i="1"/>
  <c r="O19" i="1" s="1"/>
  <c r="Z6" i="1"/>
  <c r="Z18" i="1" s="1"/>
  <c r="X6" i="1"/>
  <c r="V6" i="1"/>
  <c r="V18" i="1" s="1"/>
  <c r="T6" i="1"/>
  <c r="T18" i="1" s="1"/>
  <c r="R6" i="1"/>
  <c r="R18" i="1" s="1"/>
  <c r="P6" i="1"/>
  <c r="O6" i="1"/>
  <c r="O18" i="1" s="1"/>
  <c r="Z5" i="1"/>
  <c r="Z17" i="1" s="1"/>
  <c r="X5" i="1"/>
  <c r="V5" i="1"/>
  <c r="V17" i="1" s="1"/>
  <c r="T5" i="1"/>
  <c r="R5" i="1"/>
  <c r="R17" i="1" s="1"/>
  <c r="P5" i="1"/>
  <c r="O5" i="1"/>
  <c r="O29" i="1" s="1"/>
  <c r="Z4" i="1"/>
  <c r="Z16" i="1" s="1"/>
  <c r="X4" i="1"/>
  <c r="X16" i="1" s="1"/>
  <c r="V4" i="1"/>
  <c r="AC4" i="1" s="1"/>
  <c r="T4" i="1"/>
  <c r="R4" i="1"/>
  <c r="R16" i="1" s="1"/>
  <c r="P4" i="1"/>
  <c r="P16" i="1" s="1"/>
  <c r="O4" i="1"/>
  <c r="O16" i="1" s="1"/>
  <c r="Z3" i="1"/>
  <c r="Z15" i="1" s="1"/>
  <c r="X3" i="1"/>
  <c r="V3" i="1"/>
  <c r="V15" i="1" s="1"/>
  <c r="T3" i="1"/>
  <c r="R3" i="1"/>
  <c r="R15" i="1" s="1"/>
  <c r="P3" i="1"/>
  <c r="O3" i="1"/>
  <c r="O15" i="1" s="1"/>
  <c r="Z2" i="1"/>
  <c r="I23" i="1" s="1"/>
  <c r="X2" i="1"/>
  <c r="V2" i="1"/>
  <c r="V14" i="1" s="1"/>
  <c r="T2" i="1"/>
  <c r="R2" i="1"/>
  <c r="S2" i="1" s="1"/>
  <c r="P2" i="1"/>
  <c r="O2" i="1"/>
  <c r="O14" i="1" s="1"/>
  <c r="AA1" i="1"/>
  <c r="AA8" i="1" s="1"/>
  <c r="W1" i="1"/>
  <c r="S1" i="1"/>
  <c r="S8" i="1" s="1"/>
  <c r="AC2" i="1" l="1"/>
  <c r="AC3" i="1"/>
  <c r="AE5" i="1" s="1"/>
  <c r="AC5" i="1"/>
  <c r="AC6" i="1"/>
  <c r="AC8" i="1"/>
  <c r="B25" i="1"/>
  <c r="F26" i="1"/>
  <c r="F25" i="1"/>
  <c r="P23" i="22"/>
  <c r="Q13" i="22"/>
  <c r="Q14" i="22" s="1"/>
  <c r="Q15" i="22"/>
  <c r="Q17" i="22"/>
  <c r="Q18" i="22"/>
  <c r="Q20" i="22"/>
  <c r="AE7" i="22"/>
  <c r="Q21" i="22"/>
  <c r="Q22" i="22"/>
  <c r="Q19" i="22"/>
  <c r="Y21" i="22"/>
  <c r="U7" i="22"/>
  <c r="U2" i="22"/>
  <c r="U8" i="22"/>
  <c r="U6" i="22"/>
  <c r="U4" i="22"/>
  <c r="U10" i="22"/>
  <c r="U5" i="22"/>
  <c r="U3" i="22"/>
  <c r="S9" i="22"/>
  <c r="Q16" i="22"/>
  <c r="W5" i="22"/>
  <c r="Y19" i="22"/>
  <c r="Y14" i="22"/>
  <c r="X23" i="22"/>
  <c r="Y13" i="22"/>
  <c r="Y22" i="22" s="1"/>
  <c r="Y15" i="22"/>
  <c r="Y17" i="22"/>
  <c r="Y18" i="22"/>
  <c r="W9" i="22"/>
  <c r="Y16" i="22"/>
  <c r="Y10" i="22"/>
  <c r="U33" i="22"/>
  <c r="U9" i="22"/>
  <c r="R22" i="22"/>
  <c r="Z22" i="22"/>
  <c r="W2" i="22"/>
  <c r="W3" i="22"/>
  <c r="W4" i="22"/>
  <c r="W6" i="22"/>
  <c r="W7" i="22"/>
  <c r="W8" i="22"/>
  <c r="S10" i="22"/>
  <c r="R11" i="22"/>
  <c r="I19" i="22"/>
  <c r="J26" i="22" s="1"/>
  <c r="T21" i="22"/>
  <c r="AA26" i="22"/>
  <c r="O28" i="22"/>
  <c r="S30" i="22"/>
  <c r="U31" i="22"/>
  <c r="W32" i="22"/>
  <c r="Y33" i="22"/>
  <c r="AD9" i="22"/>
  <c r="W33" i="22"/>
  <c r="AC10" i="22"/>
  <c r="AE10" i="22" s="1"/>
  <c r="T11" i="22"/>
  <c r="T14" i="22"/>
  <c r="O19" i="22"/>
  <c r="I20" i="22"/>
  <c r="AA25" i="22"/>
  <c r="O27" i="22"/>
  <c r="Q28" i="22"/>
  <c r="S29" i="22"/>
  <c r="U30" i="22"/>
  <c r="W31" i="22"/>
  <c r="Y32" i="22"/>
  <c r="AA33" i="22"/>
  <c r="Q2" i="22"/>
  <c r="Y2" i="22"/>
  <c r="Q3" i="22"/>
  <c r="Y3" i="22"/>
  <c r="Q4" i="22"/>
  <c r="Y4" i="22"/>
  <c r="Q5" i="22"/>
  <c r="Y5" i="22"/>
  <c r="Q6" i="22"/>
  <c r="Y6" i="22"/>
  <c r="Q7" i="22"/>
  <c r="Y7" i="22"/>
  <c r="AD10" i="22"/>
  <c r="V11" i="22"/>
  <c r="I21" i="22"/>
  <c r="O26" i="22"/>
  <c r="U29" i="22"/>
  <c r="W30" i="22"/>
  <c r="Q9" i="22"/>
  <c r="Y9" i="22"/>
  <c r="X11" i="22"/>
  <c r="V14" i="22"/>
  <c r="R18" i="22"/>
  <c r="Z18" i="22"/>
  <c r="O21" i="22"/>
  <c r="I22" i="22"/>
  <c r="V22" i="22"/>
  <c r="Q26" i="22"/>
  <c r="D10" i="22" s="1"/>
  <c r="E10" i="22" s="1"/>
  <c r="S27" i="22"/>
  <c r="U28" i="22"/>
  <c r="W29" i="22"/>
  <c r="Y30" i="22"/>
  <c r="AA31" i="22"/>
  <c r="Q34" i="22"/>
  <c r="S2" i="22"/>
  <c r="AA2" i="22"/>
  <c r="S3" i="22"/>
  <c r="S4" i="22"/>
  <c r="AA4" i="22"/>
  <c r="S5" i="22"/>
  <c r="S6" i="22"/>
  <c r="S7" i="22"/>
  <c r="AA7" i="22"/>
  <c r="S8" i="22"/>
  <c r="Z11" i="22"/>
  <c r="R16" i="22"/>
  <c r="R19" i="22"/>
  <c r="S26" i="22"/>
  <c r="U27" i="22"/>
  <c r="W28" i="22"/>
  <c r="D13" i="22" s="1"/>
  <c r="E13" i="22" s="1"/>
  <c r="Y29" i="22"/>
  <c r="D14" i="22" s="1"/>
  <c r="E14" i="22" s="1"/>
  <c r="AA30" i="22"/>
  <c r="Q33" i="22"/>
  <c r="S34" i="22"/>
  <c r="U32" i="22"/>
  <c r="AC8" i="22"/>
  <c r="AE4" i="22" s="1"/>
  <c r="U26" i="22"/>
  <c r="D26" i="1"/>
  <c r="D25" i="1"/>
  <c r="S34" i="1"/>
  <c r="S26" i="1"/>
  <c r="S27" i="1"/>
  <c r="S28" i="1"/>
  <c r="S29" i="1"/>
  <c r="S30" i="1"/>
  <c r="S31" i="1"/>
  <c r="S32" i="1"/>
  <c r="D15" i="1"/>
  <c r="E15" i="1" s="1"/>
  <c r="S33" i="1"/>
  <c r="R15" i="5"/>
  <c r="AC3" i="5"/>
  <c r="S1" i="5"/>
  <c r="U1" i="1"/>
  <c r="U10" i="1" s="1"/>
  <c r="I20" i="1"/>
  <c r="T14" i="1"/>
  <c r="T11" i="1"/>
  <c r="U2" i="1"/>
  <c r="T15" i="1"/>
  <c r="T16" i="1"/>
  <c r="U4" i="1"/>
  <c r="T17" i="1"/>
  <c r="U5" i="1"/>
  <c r="U6" i="1"/>
  <c r="T19" i="1"/>
  <c r="AD7" i="1"/>
  <c r="T20" i="1"/>
  <c r="AD8" i="1"/>
  <c r="U8" i="1"/>
  <c r="V23" i="3"/>
  <c r="W13" i="3"/>
  <c r="X15" i="3"/>
  <c r="AD7" i="3"/>
  <c r="P19" i="3"/>
  <c r="V23" i="1"/>
  <c r="W13" i="1"/>
  <c r="W14" i="1" s="1"/>
  <c r="W15" i="1"/>
  <c r="W17" i="1"/>
  <c r="W18" i="1"/>
  <c r="W20" i="1"/>
  <c r="AD10" i="1"/>
  <c r="I22" i="1"/>
  <c r="Y3" i="1"/>
  <c r="Y13" i="1"/>
  <c r="Y21" i="1" s="1"/>
  <c r="P22" i="1"/>
  <c r="W10" i="1"/>
  <c r="W8" i="1"/>
  <c r="W7" i="1"/>
  <c r="W6" i="1"/>
  <c r="W5" i="1"/>
  <c r="W4" i="1"/>
  <c r="W3" i="1"/>
  <c r="W2" i="1"/>
  <c r="W21" i="1"/>
  <c r="B26" i="1" a="1"/>
  <c r="B26" i="1" s="1"/>
  <c r="W19" i="1"/>
  <c r="X22" i="1"/>
  <c r="Y1" i="1"/>
  <c r="Y10" i="1" s="1"/>
  <c r="AD2" i="1"/>
  <c r="AD3" i="1"/>
  <c r="AD4" i="1"/>
  <c r="AD5" i="1"/>
  <c r="AD6" i="1"/>
  <c r="AC9" i="1"/>
  <c r="Y27" i="1"/>
  <c r="O30" i="1"/>
  <c r="U33" i="1"/>
  <c r="W179" i="2"/>
  <c r="S180" i="2"/>
  <c r="O209" i="2"/>
  <c r="Y209" i="2"/>
  <c r="W210" i="2"/>
  <c r="U211" i="2"/>
  <c r="W213" i="2"/>
  <c r="S214" i="2"/>
  <c r="Y1" i="3"/>
  <c r="Y10" i="3" s="1"/>
  <c r="X14" i="3"/>
  <c r="I22" i="3"/>
  <c r="J25" i="3" s="1"/>
  <c r="X11" i="3"/>
  <c r="Y2" i="3"/>
  <c r="AA15" i="3"/>
  <c r="AD6" i="3"/>
  <c r="W6" i="4"/>
  <c r="R19" i="7"/>
  <c r="S1" i="7"/>
  <c r="AC8" i="7"/>
  <c r="AQ26" i="7"/>
  <c r="AP26" i="7"/>
  <c r="AJ27" i="7" s="1"/>
  <c r="AT26" i="7"/>
  <c r="U9" i="1"/>
  <c r="AD9" i="1"/>
  <c r="P11" i="1"/>
  <c r="R14" i="1"/>
  <c r="Z14" i="1"/>
  <c r="O17" i="1"/>
  <c r="I18" i="1"/>
  <c r="Y26" i="1"/>
  <c r="Q30" i="1"/>
  <c r="U32" i="1"/>
  <c r="W33" i="1"/>
  <c r="Y34" i="1"/>
  <c r="Q175" i="2"/>
  <c r="S177" i="2"/>
  <c r="Y177" i="2"/>
  <c r="Y179" i="2"/>
  <c r="O180" i="2"/>
  <c r="Q181" i="2"/>
  <c r="Y210" i="2"/>
  <c r="W211" i="2"/>
  <c r="S212" i="2"/>
  <c r="U214" i="2"/>
  <c r="AA13" i="3"/>
  <c r="Z23" i="3"/>
  <c r="P17" i="3"/>
  <c r="AD5" i="3"/>
  <c r="Y4" i="4"/>
  <c r="X19" i="4"/>
  <c r="Y1" i="4"/>
  <c r="R22" i="4"/>
  <c r="AD10" i="4"/>
  <c r="AC10" i="4"/>
  <c r="S10" i="4"/>
  <c r="S27" i="4"/>
  <c r="S28" i="4"/>
  <c r="S29" i="4"/>
  <c r="S30" i="4"/>
  <c r="S33" i="4"/>
  <c r="S32" i="4"/>
  <c r="S26" i="4"/>
  <c r="D11" i="4" s="1"/>
  <c r="E11" i="4" s="1"/>
  <c r="S31" i="4"/>
  <c r="AI8" i="6"/>
  <c r="AA4" i="6"/>
  <c r="AA1" i="6"/>
  <c r="Z16" i="6"/>
  <c r="P17" i="1"/>
  <c r="P23" i="1" s="1"/>
  <c r="X17" i="1"/>
  <c r="X23" i="1" s="1"/>
  <c r="I19" i="1"/>
  <c r="O28" i="1"/>
  <c r="U31" i="1"/>
  <c r="Y33" i="1"/>
  <c r="U177" i="2"/>
  <c r="Q180" i="2"/>
  <c r="S181" i="2"/>
  <c r="W206" i="2"/>
  <c r="U207" i="2"/>
  <c r="W209" i="2"/>
  <c r="S210" i="2"/>
  <c r="Q211" i="2"/>
  <c r="U212" i="2"/>
  <c r="Q213" i="2"/>
  <c r="O214" i="2"/>
  <c r="AD4" i="3"/>
  <c r="P16" i="3"/>
  <c r="X20" i="3"/>
  <c r="Y8" i="3"/>
  <c r="AD10" i="3"/>
  <c r="P18" i="3"/>
  <c r="W7" i="4"/>
  <c r="W10" i="4"/>
  <c r="W5" i="4"/>
  <c r="W4" i="4"/>
  <c r="W3" i="4"/>
  <c r="W2" i="4"/>
  <c r="Z17" i="4"/>
  <c r="W9" i="4"/>
  <c r="T17" i="7"/>
  <c r="AI5" i="7"/>
  <c r="AD6" i="7"/>
  <c r="AC6" i="7"/>
  <c r="AE6" i="7" s="1"/>
  <c r="AU23" i="9"/>
  <c r="AT23" i="9"/>
  <c r="AN24" i="9" s="1"/>
  <c r="W9" i="1"/>
  <c r="AC10" i="1"/>
  <c r="P18" i="1"/>
  <c r="X18" i="1"/>
  <c r="O27" i="1"/>
  <c r="U30" i="1"/>
  <c r="Y32" i="1"/>
  <c r="U168" i="2"/>
  <c r="S176" i="2"/>
  <c r="W178" i="2"/>
  <c r="Y206" i="2"/>
  <c r="W207" i="2"/>
  <c r="S208" i="2"/>
  <c r="U210" i="2"/>
  <c r="S211" i="2"/>
  <c r="O212" i="2"/>
  <c r="S213" i="2"/>
  <c r="Q214" i="2"/>
  <c r="AD3" i="3"/>
  <c r="P15" i="3"/>
  <c r="X19" i="3"/>
  <c r="Y7" i="3"/>
  <c r="W22" i="3"/>
  <c r="AA21" i="3"/>
  <c r="O20" i="4"/>
  <c r="O32" i="4"/>
  <c r="AI8" i="4"/>
  <c r="V15" i="7"/>
  <c r="W1" i="7"/>
  <c r="AI6" i="7"/>
  <c r="W4" i="7"/>
  <c r="Q1" i="1"/>
  <c r="Q8" i="1" s="1"/>
  <c r="Y2" i="1"/>
  <c r="Y4" i="1"/>
  <c r="V11" i="1"/>
  <c r="O20" i="1"/>
  <c r="I21" i="1"/>
  <c r="O26" i="1"/>
  <c r="U29" i="1"/>
  <c r="Y31" i="1"/>
  <c r="Y173" i="2"/>
  <c r="Y175" i="2"/>
  <c r="O176" i="2"/>
  <c r="S178" i="2"/>
  <c r="W180" i="2"/>
  <c r="S206" i="2"/>
  <c r="Q207" i="2"/>
  <c r="U208" i="2"/>
  <c r="Q209" i="2"/>
  <c r="O210" i="2"/>
  <c r="Y211" i="2"/>
  <c r="Q212" i="2"/>
  <c r="I18" i="3"/>
  <c r="P11" i="3"/>
  <c r="AD2" i="3"/>
  <c r="P14" i="3"/>
  <c r="Q1" i="3"/>
  <c r="Q10" i="3" s="1"/>
  <c r="Y6" i="3"/>
  <c r="Q4" i="4"/>
  <c r="Y9" i="1"/>
  <c r="X11" i="1"/>
  <c r="O21" i="1"/>
  <c r="Q26" i="1"/>
  <c r="U28" i="1"/>
  <c r="W29" i="1"/>
  <c r="D13" i="1" s="1"/>
  <c r="E13" i="1" s="1"/>
  <c r="Y30" i="1"/>
  <c r="Q34" i="1"/>
  <c r="W155" i="2"/>
  <c r="Y157" i="2"/>
  <c r="O158" i="2"/>
  <c r="Q162" i="2"/>
  <c r="Y164" i="2"/>
  <c r="Y166" i="2"/>
  <c r="O167" i="2"/>
  <c r="S169" i="2"/>
  <c r="U173" i="2"/>
  <c r="Q177" i="2"/>
  <c r="U179" i="2"/>
  <c r="O181" i="2"/>
  <c r="Y181" i="2"/>
  <c r="U184" i="2"/>
  <c r="W186" i="2"/>
  <c r="S187" i="2"/>
  <c r="Q188" i="2"/>
  <c r="U189" i="2"/>
  <c r="Q190" i="2"/>
  <c r="O191" i="2"/>
  <c r="Y192" i="2"/>
  <c r="U206" i="2"/>
  <c r="S207" i="2"/>
  <c r="O208" i="2"/>
  <c r="S209" i="2"/>
  <c r="Q210" i="2"/>
  <c r="O211" i="2"/>
  <c r="W212" i="2"/>
  <c r="R23" i="3"/>
  <c r="S13" i="3"/>
  <c r="AC3" i="3"/>
  <c r="X17" i="3"/>
  <c r="Y5" i="3"/>
  <c r="AA18" i="3"/>
  <c r="O33" i="3"/>
  <c r="O21" i="3"/>
  <c r="AA22" i="3"/>
  <c r="S13" i="4"/>
  <c r="S16" i="4" s="1"/>
  <c r="S14" i="4"/>
  <c r="S15" i="4"/>
  <c r="AD7" i="4"/>
  <c r="Q1" i="4"/>
  <c r="P19" i="4"/>
  <c r="Q7" i="4"/>
  <c r="Z22" i="4"/>
  <c r="P23" i="4"/>
  <c r="S34" i="4"/>
  <c r="AA2" i="1"/>
  <c r="S3" i="1"/>
  <c r="AA3" i="1"/>
  <c r="S4" i="1"/>
  <c r="AA4" i="1"/>
  <c r="S5" i="1"/>
  <c r="AA5" i="1"/>
  <c r="S6" i="1"/>
  <c r="AA6" i="1"/>
  <c r="S7" i="1"/>
  <c r="AA7" i="1"/>
  <c r="Z11" i="1"/>
  <c r="U164" i="2"/>
  <c r="Q168" i="2"/>
  <c r="U170" i="2"/>
  <c r="W174" i="2"/>
  <c r="Q179" i="2"/>
  <c r="W184" i="2"/>
  <c r="S185" i="2"/>
  <c r="U187" i="2"/>
  <c r="S188" i="2"/>
  <c r="S190" i="2"/>
  <c r="Q191" i="2"/>
  <c r="O192" i="2"/>
  <c r="O206" i="2"/>
  <c r="Y207" i="2"/>
  <c r="Q208" i="2"/>
  <c r="Y212" i="2"/>
  <c r="Y213" i="2"/>
  <c r="W214" i="2"/>
  <c r="AC2" i="3"/>
  <c r="W15" i="3"/>
  <c r="X16" i="3"/>
  <c r="Y4" i="3"/>
  <c r="AD8" i="3"/>
  <c r="P20" i="3"/>
  <c r="Q8" i="3"/>
  <c r="AC10" i="3"/>
  <c r="AA17" i="3"/>
  <c r="U1" i="4"/>
  <c r="AI5" i="4"/>
  <c r="T14" i="4"/>
  <c r="T11" i="4"/>
  <c r="AD2" i="4"/>
  <c r="T15" i="4"/>
  <c r="AD3" i="4"/>
  <c r="U3" i="4"/>
  <c r="R17" i="4"/>
  <c r="AI4" i="4"/>
  <c r="AD5" i="4"/>
  <c r="AC5" i="4"/>
  <c r="S5" i="4"/>
  <c r="S18" i="4"/>
  <c r="T18" i="5"/>
  <c r="AD6" i="5"/>
  <c r="T11" i="5"/>
  <c r="AC6" i="5"/>
  <c r="AI5" i="5"/>
  <c r="AD9" i="5"/>
  <c r="Q9" i="5"/>
  <c r="P21" i="5"/>
  <c r="Q1" i="5"/>
  <c r="U29" i="3"/>
  <c r="AC4" i="4"/>
  <c r="AE4" i="4" s="1"/>
  <c r="P11" i="4"/>
  <c r="T16" i="4"/>
  <c r="V17" i="4"/>
  <c r="V23" i="4" s="1"/>
  <c r="F26" i="4" a="1"/>
  <c r="F26" i="4" s="1"/>
  <c r="V18" i="4"/>
  <c r="U28" i="4"/>
  <c r="U29" i="4"/>
  <c r="U30" i="4"/>
  <c r="U31" i="4"/>
  <c r="U34" i="4"/>
  <c r="U26" i="4"/>
  <c r="AD4" i="5"/>
  <c r="Q7" i="5"/>
  <c r="AC9" i="5"/>
  <c r="X22" i="5"/>
  <c r="O19" i="6"/>
  <c r="O31" i="6"/>
  <c r="AA9" i="6"/>
  <c r="Y7" i="7"/>
  <c r="Y10" i="7"/>
  <c r="Y6" i="7"/>
  <c r="Y4" i="7"/>
  <c r="Y3" i="7"/>
  <c r="Y2" i="7"/>
  <c r="T21" i="7"/>
  <c r="AP25" i="7"/>
  <c r="AQ25" i="7"/>
  <c r="AT25" i="7"/>
  <c r="W14" i="9"/>
  <c r="S1" i="3"/>
  <c r="Q9" i="3"/>
  <c r="Y9" i="3"/>
  <c r="Q26" i="3"/>
  <c r="S27" i="3"/>
  <c r="U28" i="3"/>
  <c r="W29" i="3"/>
  <c r="D13" i="3" s="1"/>
  <c r="E13" i="3" s="1"/>
  <c r="Y30" i="3"/>
  <c r="AA31" i="3"/>
  <c r="D15" i="3" s="1"/>
  <c r="E15" i="3" s="1"/>
  <c r="Q34" i="3"/>
  <c r="AA1" i="4"/>
  <c r="AA5" i="4" s="1"/>
  <c r="AD4" i="4"/>
  <c r="S6" i="4"/>
  <c r="Q8" i="4"/>
  <c r="Y8" i="4"/>
  <c r="R11" i="4"/>
  <c r="Z14" i="4"/>
  <c r="O17" i="4"/>
  <c r="Y1" i="5"/>
  <c r="Q4" i="5"/>
  <c r="O29" i="5"/>
  <c r="O17" i="5"/>
  <c r="AA5" i="5"/>
  <c r="W6" i="5"/>
  <c r="Y8" i="5"/>
  <c r="AA10" i="5"/>
  <c r="W33" i="5"/>
  <c r="W34" i="5"/>
  <c r="W26" i="5"/>
  <c r="W27" i="5"/>
  <c r="W28" i="5"/>
  <c r="W30" i="5"/>
  <c r="W31" i="5"/>
  <c r="O14" i="7"/>
  <c r="AI6" i="8"/>
  <c r="V16" i="8"/>
  <c r="U1" i="3"/>
  <c r="W10" i="3"/>
  <c r="T17" i="3"/>
  <c r="P21" i="3"/>
  <c r="I23" i="3"/>
  <c r="S26" i="3"/>
  <c r="U27" i="3"/>
  <c r="Y29" i="3"/>
  <c r="Q33" i="3"/>
  <c r="S34" i="3"/>
  <c r="AC6" i="4"/>
  <c r="T20" i="4"/>
  <c r="AA31" i="4"/>
  <c r="AA32" i="4"/>
  <c r="AA25" i="4"/>
  <c r="AA33" i="4"/>
  <c r="AA26" i="4"/>
  <c r="AA29" i="4"/>
  <c r="O14" i="5"/>
  <c r="O26" i="5"/>
  <c r="AC4" i="5"/>
  <c r="AE4" i="5" s="1"/>
  <c r="Q5" i="5"/>
  <c r="AD5" i="5"/>
  <c r="AA8" i="5"/>
  <c r="Q10" i="5"/>
  <c r="AD10" i="5"/>
  <c r="P16" i="5"/>
  <c r="AD6" i="6"/>
  <c r="P18" i="6"/>
  <c r="P11" i="6"/>
  <c r="B26" i="6" a="1"/>
  <c r="B26" i="6" s="1"/>
  <c r="O13" i="7"/>
  <c r="O24" i="7"/>
  <c r="Y8" i="7"/>
  <c r="X20" i="7"/>
  <c r="Y9" i="7"/>
  <c r="AC6" i="3"/>
  <c r="AC7" i="3"/>
  <c r="AC8" i="3"/>
  <c r="AE8" i="3" s="1"/>
  <c r="U26" i="3"/>
  <c r="S33" i="3"/>
  <c r="U34" i="3"/>
  <c r="AD6" i="4"/>
  <c r="AC7" i="4"/>
  <c r="O16" i="4"/>
  <c r="S19" i="4"/>
  <c r="U27" i="4"/>
  <c r="U32" i="4"/>
  <c r="P11" i="5"/>
  <c r="Z14" i="5"/>
  <c r="AA1" i="5"/>
  <c r="AI8" i="5"/>
  <c r="AA2" i="5"/>
  <c r="AC5" i="5"/>
  <c r="AA6" i="5"/>
  <c r="AC10" i="5"/>
  <c r="X17" i="5"/>
  <c r="S1" i="6"/>
  <c r="AI4" i="6"/>
  <c r="AI10" i="6" s="1"/>
  <c r="R11" i="6"/>
  <c r="AD4" i="6"/>
  <c r="AC4" i="6"/>
  <c r="AC10" i="7"/>
  <c r="W31" i="7"/>
  <c r="W30" i="7"/>
  <c r="W25" i="7"/>
  <c r="C13" i="7" s="1"/>
  <c r="C21" i="7" s="1"/>
  <c r="W27" i="7"/>
  <c r="W26" i="7"/>
  <c r="W32" i="7"/>
  <c r="W28" i="7"/>
  <c r="W29" i="7"/>
  <c r="AC9" i="3"/>
  <c r="U33" i="3"/>
  <c r="AC8" i="4"/>
  <c r="S21" i="4"/>
  <c r="X11" i="4"/>
  <c r="P16" i="4"/>
  <c r="X16" i="4"/>
  <c r="O15" i="5"/>
  <c r="O27" i="5"/>
  <c r="W1" i="5"/>
  <c r="W4" i="5"/>
  <c r="O18" i="5"/>
  <c r="O30" i="5"/>
  <c r="Q8" i="5"/>
  <c r="V16" i="5"/>
  <c r="R16" i="6"/>
  <c r="AD4" i="7"/>
  <c r="AR25" i="7"/>
  <c r="X13" i="8"/>
  <c r="Y1" i="8"/>
  <c r="AI7" i="8"/>
  <c r="Y2" i="8"/>
  <c r="Z14" i="8"/>
  <c r="AA1" i="3"/>
  <c r="U9" i="3"/>
  <c r="O17" i="3"/>
  <c r="Y26" i="3"/>
  <c r="D14" i="3" s="1"/>
  <c r="E14" i="3" s="1"/>
  <c r="Q30" i="3"/>
  <c r="S31" i="3"/>
  <c r="U32" i="3"/>
  <c r="Y34" i="3"/>
  <c r="S1" i="4"/>
  <c r="AI6" i="4"/>
  <c r="S9" i="4"/>
  <c r="AA9" i="4"/>
  <c r="B25" i="4" a="1"/>
  <c r="B25" i="4" s="1"/>
  <c r="AA30" i="4"/>
  <c r="U33" i="4"/>
  <c r="R14" i="5"/>
  <c r="R11" i="5"/>
  <c r="AC2" i="5"/>
  <c r="AI4" i="5"/>
  <c r="AD3" i="5"/>
  <c r="Z15" i="5"/>
  <c r="AA3" i="5"/>
  <c r="V19" i="5"/>
  <c r="W13" i="5" s="1"/>
  <c r="W7" i="5"/>
  <c r="R21" i="5"/>
  <c r="P22" i="5"/>
  <c r="U7" i="6"/>
  <c r="U6" i="6"/>
  <c r="U4" i="6"/>
  <c r="U3" i="6"/>
  <c r="U2" i="6"/>
  <c r="X11" i="6"/>
  <c r="V20" i="6"/>
  <c r="AD9" i="6"/>
  <c r="U9" i="6"/>
  <c r="T21" i="6"/>
  <c r="D14" i="6"/>
  <c r="E14" i="6" s="1"/>
  <c r="U12" i="7"/>
  <c r="U13" i="7"/>
  <c r="AS21" i="8"/>
  <c r="AR21" i="8"/>
  <c r="I10" i="8"/>
  <c r="W2" i="3"/>
  <c r="W3" i="3"/>
  <c r="W4" i="3"/>
  <c r="W5" i="3"/>
  <c r="W6" i="3"/>
  <c r="W7" i="3"/>
  <c r="R11" i="3"/>
  <c r="AC9" i="4"/>
  <c r="O14" i="4"/>
  <c r="O15" i="4"/>
  <c r="D25" i="4" a="1"/>
  <c r="D25" i="4" s="1"/>
  <c r="Q34" i="4"/>
  <c r="Q26" i="4"/>
  <c r="Q27" i="4"/>
  <c r="Q28" i="4"/>
  <c r="Q29" i="4"/>
  <c r="Q32" i="4"/>
  <c r="Q31" i="4"/>
  <c r="AI3" i="5"/>
  <c r="AI6" i="5"/>
  <c r="Z11" i="6"/>
  <c r="Y3" i="6"/>
  <c r="X18" i="6"/>
  <c r="Y1" i="6"/>
  <c r="Y6" i="6" s="1"/>
  <c r="S6" i="7"/>
  <c r="Q8" i="7"/>
  <c r="P20" i="7"/>
  <c r="W12" i="7"/>
  <c r="W19" i="7" s="1"/>
  <c r="AN25" i="7"/>
  <c r="Y28" i="4"/>
  <c r="AC7" i="5"/>
  <c r="T14" i="5"/>
  <c r="T15" i="5"/>
  <c r="Y32" i="5"/>
  <c r="AA33" i="5"/>
  <c r="W1" i="6"/>
  <c r="AC2" i="6"/>
  <c r="AE9" i="6" s="1"/>
  <c r="AC3" i="6"/>
  <c r="P14" i="6"/>
  <c r="X14" i="6"/>
  <c r="P15" i="6"/>
  <c r="X15" i="6"/>
  <c r="U26" i="6"/>
  <c r="AA29" i="6"/>
  <c r="Q32" i="6"/>
  <c r="S33" i="6"/>
  <c r="U34" i="6"/>
  <c r="AI4" i="7"/>
  <c r="AC7" i="7"/>
  <c r="P14" i="7"/>
  <c r="R16" i="7"/>
  <c r="AR22" i="7"/>
  <c r="AL23" i="7" s="1"/>
  <c r="Y31" i="7"/>
  <c r="Y30" i="7"/>
  <c r="Y27" i="7"/>
  <c r="Y26" i="7"/>
  <c r="Y32" i="7"/>
  <c r="Y24" i="7"/>
  <c r="AQ23" i="7"/>
  <c r="AJ24" i="7" s="1"/>
  <c r="AA24" i="7"/>
  <c r="S28" i="7"/>
  <c r="Z13" i="8"/>
  <c r="X16" i="8"/>
  <c r="Y5" i="8"/>
  <c r="Q4" i="9"/>
  <c r="AN26" i="9"/>
  <c r="AD4" i="10"/>
  <c r="P15" i="10"/>
  <c r="Q10" i="10"/>
  <c r="AD2" i="6"/>
  <c r="AD3" i="6"/>
  <c r="S32" i="6"/>
  <c r="U33" i="6"/>
  <c r="Q1" i="7"/>
  <c r="AD7" i="7"/>
  <c r="R13" i="7"/>
  <c r="Z13" i="7"/>
  <c r="Z14" i="7"/>
  <c r="AA28" i="7"/>
  <c r="AA30" i="7"/>
  <c r="AA29" i="7"/>
  <c r="S7" i="8"/>
  <c r="S5" i="8"/>
  <c r="S4" i="8"/>
  <c r="AN22" i="9"/>
  <c r="I14" i="9"/>
  <c r="AS25" i="9"/>
  <c r="AL26" i="9" s="1"/>
  <c r="P14" i="10"/>
  <c r="AD3" i="10"/>
  <c r="Q3" i="10"/>
  <c r="AC5" i="6"/>
  <c r="AC10" i="6"/>
  <c r="O21" i="6"/>
  <c r="U32" i="6"/>
  <c r="R14" i="7"/>
  <c r="AS25" i="7"/>
  <c r="AR26" i="7"/>
  <c r="AL27" i="7" s="1"/>
  <c r="AA32" i="7"/>
  <c r="O13" i="8"/>
  <c r="O24" i="8"/>
  <c r="AD3" i="8"/>
  <c r="Q3" i="8"/>
  <c r="V18" i="8"/>
  <c r="W7" i="8"/>
  <c r="S8" i="8"/>
  <c r="P14" i="8"/>
  <c r="W13" i="9"/>
  <c r="AE5" i="9"/>
  <c r="P20" i="9"/>
  <c r="Q1" i="9"/>
  <c r="Q9" i="9"/>
  <c r="Q10" i="9"/>
  <c r="W12" i="9"/>
  <c r="W21" i="9" s="1"/>
  <c r="W15" i="9"/>
  <c r="I11" i="9"/>
  <c r="AQ22" i="9"/>
  <c r="AP22" i="9"/>
  <c r="AJ23" i="9" s="1"/>
  <c r="AI3" i="10"/>
  <c r="AD2" i="10"/>
  <c r="P13" i="10"/>
  <c r="Q1" i="10"/>
  <c r="Q4" i="10" s="1"/>
  <c r="R17" i="10"/>
  <c r="AC6" i="10"/>
  <c r="S1" i="10"/>
  <c r="U29" i="11"/>
  <c r="U25" i="11"/>
  <c r="U24" i="11"/>
  <c r="U28" i="11"/>
  <c r="U31" i="11"/>
  <c r="U27" i="11"/>
  <c r="U30" i="11"/>
  <c r="U32" i="11"/>
  <c r="U26" i="11"/>
  <c r="W32" i="4"/>
  <c r="Y33" i="4"/>
  <c r="U1" i="5"/>
  <c r="AI7" i="5"/>
  <c r="R16" i="5"/>
  <c r="S26" i="5"/>
  <c r="U27" i="5"/>
  <c r="Y29" i="5"/>
  <c r="AA30" i="5"/>
  <c r="O32" i="5"/>
  <c r="Q33" i="5"/>
  <c r="S34" i="5"/>
  <c r="W2" i="6"/>
  <c r="AI3" i="6"/>
  <c r="AD5" i="6"/>
  <c r="AC6" i="6"/>
  <c r="S7" i="6"/>
  <c r="AA7" i="6"/>
  <c r="AD10" i="6"/>
  <c r="T11" i="6"/>
  <c r="P19" i="6"/>
  <c r="P20" i="6"/>
  <c r="AA26" i="6"/>
  <c r="O28" i="6"/>
  <c r="Q29" i="6"/>
  <c r="S30" i="6"/>
  <c r="U31" i="6"/>
  <c r="W32" i="6"/>
  <c r="D13" i="6" s="1"/>
  <c r="E13" i="6" s="1"/>
  <c r="Y33" i="6"/>
  <c r="U1" i="7"/>
  <c r="U6" i="7" s="1"/>
  <c r="S2" i="7"/>
  <c r="S3" i="7"/>
  <c r="Q5" i="7"/>
  <c r="Y5" i="7"/>
  <c r="W7" i="7"/>
  <c r="AI7" i="7"/>
  <c r="AC9" i="7"/>
  <c r="O19" i="7"/>
  <c r="AS21" i="7"/>
  <c r="AL22" i="7" s="1"/>
  <c r="AP22" i="7"/>
  <c r="AJ23" i="7" s="1"/>
  <c r="AU25" i="7"/>
  <c r="AU26" i="7"/>
  <c r="AA31" i="7"/>
  <c r="P13" i="8"/>
  <c r="AI3" i="8"/>
  <c r="AD2" i="8"/>
  <c r="Q2" i="8"/>
  <c r="Q1" i="8"/>
  <c r="AC3" i="8"/>
  <c r="AE3" i="8" s="1"/>
  <c r="S3" i="8"/>
  <c r="R14" i="8"/>
  <c r="AS22" i="8"/>
  <c r="AR22" i="8"/>
  <c r="AL23" i="8" s="1"/>
  <c r="AQ22" i="8"/>
  <c r="AP22" i="8"/>
  <c r="AJ23" i="8" s="1"/>
  <c r="AT24" i="8"/>
  <c r="AN25" i="8" s="1"/>
  <c r="AS24" i="8"/>
  <c r="AR24" i="8"/>
  <c r="AL25" i="8" s="1"/>
  <c r="AQ24" i="8"/>
  <c r="AJ25" i="8" s="1"/>
  <c r="AD4" i="9"/>
  <c r="W4" i="9"/>
  <c r="T17" i="9"/>
  <c r="U6" i="9"/>
  <c r="R19" i="9"/>
  <c r="AC8" i="9"/>
  <c r="I13" i="9"/>
  <c r="AQ24" i="9"/>
  <c r="AP24" i="9"/>
  <c r="AJ25" i="9" s="1"/>
  <c r="Y32" i="4"/>
  <c r="P14" i="5"/>
  <c r="X14" i="5"/>
  <c r="P15" i="5"/>
  <c r="Y28" i="5"/>
  <c r="AA29" i="5"/>
  <c r="O31" i="5"/>
  <c r="Q32" i="5"/>
  <c r="S33" i="5"/>
  <c r="U34" i="5"/>
  <c r="AC7" i="6"/>
  <c r="V11" i="6"/>
  <c r="T14" i="6"/>
  <c r="Q28" i="6"/>
  <c r="S29" i="6"/>
  <c r="U30" i="6"/>
  <c r="Y32" i="6"/>
  <c r="AA33" i="6"/>
  <c r="P19" i="7"/>
  <c r="S26" i="7"/>
  <c r="AC2" i="8"/>
  <c r="S2" i="8"/>
  <c r="R13" i="8"/>
  <c r="AD5" i="8"/>
  <c r="P16" i="8"/>
  <c r="Q5" i="8"/>
  <c r="Y8" i="9"/>
  <c r="Y5" i="9"/>
  <c r="Y3" i="9"/>
  <c r="Y2" i="9"/>
  <c r="W16" i="9"/>
  <c r="U9" i="9"/>
  <c r="T21" i="9"/>
  <c r="U10" i="9"/>
  <c r="W9" i="10"/>
  <c r="V20" i="10"/>
  <c r="W1" i="10"/>
  <c r="W30" i="4"/>
  <c r="D13" i="4" s="1"/>
  <c r="E13" i="4" s="1"/>
  <c r="Y31" i="4"/>
  <c r="AD2" i="5"/>
  <c r="S10" i="5"/>
  <c r="T16" i="5"/>
  <c r="V21" i="5"/>
  <c r="Y27" i="5"/>
  <c r="AA28" i="5"/>
  <c r="D15" i="5" s="1"/>
  <c r="E15" i="5" s="1"/>
  <c r="Q31" i="5"/>
  <c r="D10" i="5" s="1"/>
  <c r="E10" i="5" s="1"/>
  <c r="S32" i="5"/>
  <c r="U33" i="5"/>
  <c r="Q1" i="6"/>
  <c r="Y2" i="6"/>
  <c r="AC8" i="6"/>
  <c r="AE8" i="6" s="1"/>
  <c r="P16" i="6"/>
  <c r="X16" i="6"/>
  <c r="R21" i="6"/>
  <c r="Z21" i="6"/>
  <c r="AA25" i="6"/>
  <c r="Q27" i="6"/>
  <c r="S28" i="6"/>
  <c r="D11" i="6" s="1"/>
  <c r="E11" i="6" s="1"/>
  <c r="U29" i="6"/>
  <c r="Y31" i="6"/>
  <c r="AA32" i="6"/>
  <c r="AC4" i="7"/>
  <c r="AE2" i="7" s="1"/>
  <c r="I13" i="7"/>
  <c r="I15" i="7"/>
  <c r="O18" i="7"/>
  <c r="S32" i="7"/>
  <c r="S31" i="7"/>
  <c r="S24" i="7"/>
  <c r="S25" i="7"/>
  <c r="S30" i="7"/>
  <c r="S6" i="8"/>
  <c r="AC7" i="8"/>
  <c r="W18" i="9"/>
  <c r="W19" i="9"/>
  <c r="W20" i="9"/>
  <c r="W10" i="9"/>
  <c r="AN27" i="9"/>
  <c r="X14" i="10"/>
  <c r="Y3" i="10"/>
  <c r="Y26" i="5"/>
  <c r="D14" i="5" s="1"/>
  <c r="E14" i="5" s="1"/>
  <c r="AI6" i="6"/>
  <c r="Q26" i="6"/>
  <c r="W9" i="7"/>
  <c r="S10" i="7"/>
  <c r="I14" i="7"/>
  <c r="O15" i="7"/>
  <c r="O16" i="7"/>
  <c r="AA26" i="7"/>
  <c r="AS26" i="7"/>
  <c r="AA27" i="7"/>
  <c r="Y3" i="8"/>
  <c r="Y8" i="8"/>
  <c r="S9" i="8"/>
  <c r="T18" i="8"/>
  <c r="AL27" i="8"/>
  <c r="O13" i="9"/>
  <c r="O24" i="9"/>
  <c r="AI3" i="9"/>
  <c r="Y7" i="9"/>
  <c r="X20" i="9"/>
  <c r="Y9" i="9"/>
  <c r="Y10" i="9"/>
  <c r="AN23" i="9"/>
  <c r="AS26" i="9"/>
  <c r="AR26" i="9"/>
  <c r="AL27" i="9" s="1"/>
  <c r="AI7" i="10"/>
  <c r="X13" i="10"/>
  <c r="Y1" i="10"/>
  <c r="Y2" i="10"/>
  <c r="Q25" i="7"/>
  <c r="C10" i="7" s="1"/>
  <c r="C18" i="7" s="1"/>
  <c r="U26" i="7"/>
  <c r="U27" i="7"/>
  <c r="U30" i="7"/>
  <c r="AI5" i="8"/>
  <c r="AI10" i="8" s="1"/>
  <c r="AD7" i="8"/>
  <c r="AC8" i="8"/>
  <c r="P15" i="8"/>
  <c r="P19" i="8"/>
  <c r="X19" i="8"/>
  <c r="AR23" i="8"/>
  <c r="AL24" i="8" s="1"/>
  <c r="W24" i="8"/>
  <c r="O25" i="8"/>
  <c r="S26" i="8"/>
  <c r="S27" i="8"/>
  <c r="Y29" i="8"/>
  <c r="S30" i="8"/>
  <c r="W32" i="8"/>
  <c r="AD6" i="9"/>
  <c r="AC7" i="9"/>
  <c r="P14" i="9"/>
  <c r="O15" i="9"/>
  <c r="T16" i="9"/>
  <c r="T20" i="9"/>
  <c r="Y24" i="9"/>
  <c r="Q25" i="9"/>
  <c r="C10" i="9" s="1"/>
  <c r="C18" i="9" s="1"/>
  <c r="U30" i="9"/>
  <c r="O31" i="9"/>
  <c r="Y32" i="9"/>
  <c r="AI6" i="10"/>
  <c r="Q8" i="10"/>
  <c r="X20" i="10"/>
  <c r="Y9" i="10"/>
  <c r="S10" i="10"/>
  <c r="R21" i="10"/>
  <c r="O14" i="10"/>
  <c r="V18" i="10"/>
  <c r="O24" i="11"/>
  <c r="O13" i="11"/>
  <c r="X20" i="11"/>
  <c r="Y9" i="11"/>
  <c r="Q25" i="8"/>
  <c r="U26" i="8"/>
  <c r="U27" i="8"/>
  <c r="Q28" i="8"/>
  <c r="AA29" i="8"/>
  <c r="U30" i="8"/>
  <c r="AI5" i="9"/>
  <c r="AI10" i="9" s="1"/>
  <c r="AD7" i="9"/>
  <c r="P15" i="9"/>
  <c r="X15" i="9"/>
  <c r="P17" i="9"/>
  <c r="X17" i="9"/>
  <c r="P21" i="9"/>
  <c r="X21" i="9"/>
  <c r="S25" i="9"/>
  <c r="W26" i="9"/>
  <c r="W27" i="9"/>
  <c r="S28" i="9"/>
  <c r="W30" i="9"/>
  <c r="Z13" i="10"/>
  <c r="R19" i="10"/>
  <c r="S8" i="10"/>
  <c r="T21" i="10"/>
  <c r="U10" i="10"/>
  <c r="R14" i="10"/>
  <c r="AU24" i="10"/>
  <c r="AT24" i="10"/>
  <c r="AQ24" i="10"/>
  <c r="AP24" i="10"/>
  <c r="AJ25" i="10" s="1"/>
  <c r="O26" i="10"/>
  <c r="O14" i="11"/>
  <c r="U25" i="7"/>
  <c r="C12" i="7" s="1"/>
  <c r="C20" i="7" s="1"/>
  <c r="U28" i="7"/>
  <c r="U1" i="8"/>
  <c r="U4" i="8" s="1"/>
  <c r="O16" i="8"/>
  <c r="AA24" i="8"/>
  <c r="S25" i="8"/>
  <c r="C11" i="8" s="1"/>
  <c r="C19" i="8" s="1"/>
  <c r="W26" i="8"/>
  <c r="W27" i="8"/>
  <c r="S28" i="8"/>
  <c r="W30" i="8"/>
  <c r="Q31" i="8"/>
  <c r="AA32" i="8"/>
  <c r="S1" i="9"/>
  <c r="Y4" i="9"/>
  <c r="AI6" i="9"/>
  <c r="S9" i="9"/>
  <c r="U25" i="9"/>
  <c r="C12" i="9" s="1"/>
  <c r="C20" i="9" s="1"/>
  <c r="Y26" i="9"/>
  <c r="Y27" i="9"/>
  <c r="U28" i="9"/>
  <c r="O29" i="9"/>
  <c r="Y30" i="9"/>
  <c r="S31" i="9"/>
  <c r="U1" i="10"/>
  <c r="S2" i="10"/>
  <c r="S3" i="10"/>
  <c r="S4" i="10"/>
  <c r="AC4" i="10"/>
  <c r="AD5" i="10"/>
  <c r="W1" i="8"/>
  <c r="V20" i="8"/>
  <c r="U25" i="8"/>
  <c r="U28" i="8"/>
  <c r="U1" i="9"/>
  <c r="AC9" i="9"/>
  <c r="T13" i="9"/>
  <c r="R15" i="9"/>
  <c r="Z15" i="9"/>
  <c r="O16" i="9"/>
  <c r="AR24" i="9"/>
  <c r="AL25" i="9" s="1"/>
  <c r="W25" i="9"/>
  <c r="C13" i="9" s="1"/>
  <c r="C21" i="9" s="1"/>
  <c r="W28" i="9"/>
  <c r="AC2" i="10"/>
  <c r="T15" i="10"/>
  <c r="U12" i="10" s="1"/>
  <c r="P20" i="10"/>
  <c r="Q9" i="10"/>
  <c r="I11" i="10"/>
  <c r="AQ22" i="10"/>
  <c r="AP22" i="10"/>
  <c r="AJ23" i="10" s="1"/>
  <c r="AP25" i="10"/>
  <c r="I14" i="10"/>
  <c r="S4" i="11"/>
  <c r="AC4" i="8"/>
  <c r="T15" i="8"/>
  <c r="U12" i="8" s="1"/>
  <c r="R17" i="8"/>
  <c r="Z17" i="8"/>
  <c r="R21" i="8"/>
  <c r="W25" i="8"/>
  <c r="AA26" i="8"/>
  <c r="AP26" i="8"/>
  <c r="AJ27" i="8" s="1"/>
  <c r="AA27" i="8"/>
  <c r="W28" i="8"/>
  <c r="Q29" i="8"/>
  <c r="AA30" i="8"/>
  <c r="U31" i="8"/>
  <c r="W1" i="9"/>
  <c r="W6" i="9" s="1"/>
  <c r="AC2" i="9"/>
  <c r="AE2" i="9" s="1"/>
  <c r="AC3" i="9"/>
  <c r="W8" i="9"/>
  <c r="T14" i="9"/>
  <c r="P18" i="9"/>
  <c r="X18" i="9"/>
  <c r="Y25" i="9"/>
  <c r="Y28" i="9"/>
  <c r="S29" i="9"/>
  <c r="W31" i="9"/>
  <c r="AI4" i="10"/>
  <c r="AI5" i="10"/>
  <c r="Y6" i="10"/>
  <c r="R20" i="10"/>
  <c r="AC9" i="10"/>
  <c r="Y10" i="10"/>
  <c r="AU23" i="10"/>
  <c r="AT23" i="10"/>
  <c r="AN24" i="10" s="1"/>
  <c r="U4" i="11"/>
  <c r="S6" i="11"/>
  <c r="P20" i="11"/>
  <c r="S10" i="11"/>
  <c r="O27" i="12"/>
  <c r="O16" i="12"/>
  <c r="F20" i="12"/>
  <c r="E12" i="12" s="1"/>
  <c r="E20" i="12"/>
  <c r="G12" i="12"/>
  <c r="AI21" i="12"/>
  <c r="AC5" i="8"/>
  <c r="Q24" i="8"/>
  <c r="Y25" i="8"/>
  <c r="C14" i="8" s="1"/>
  <c r="C22" i="8" s="1"/>
  <c r="S24" i="9"/>
  <c r="AA25" i="9"/>
  <c r="C15" i="9" s="1"/>
  <c r="C23" i="9" s="1"/>
  <c r="O30" i="9"/>
  <c r="W4" i="10"/>
  <c r="O27" i="10"/>
  <c r="O16" i="10"/>
  <c r="Z17" i="10"/>
  <c r="AD7" i="10"/>
  <c r="Y8" i="10"/>
  <c r="S9" i="10"/>
  <c r="AN23" i="10"/>
  <c r="AQ25" i="10"/>
  <c r="W1" i="11"/>
  <c r="W4" i="11" s="1"/>
  <c r="AI6" i="11"/>
  <c r="T17" i="11"/>
  <c r="U6" i="11"/>
  <c r="R19" i="11"/>
  <c r="S1" i="11"/>
  <c r="AC8" i="11"/>
  <c r="S8" i="11"/>
  <c r="T21" i="11"/>
  <c r="U10" i="11"/>
  <c r="AC6" i="8"/>
  <c r="AC10" i="8"/>
  <c r="AA25" i="8"/>
  <c r="O13" i="10"/>
  <c r="O24" i="10"/>
  <c r="Q6" i="10"/>
  <c r="P17" i="10"/>
  <c r="AD6" i="10"/>
  <c r="U9" i="10"/>
  <c r="AC10" i="10"/>
  <c r="AL24" i="10"/>
  <c r="AI7" i="11"/>
  <c r="U9" i="11"/>
  <c r="AC7" i="10"/>
  <c r="T20" i="10"/>
  <c r="Q26" i="10"/>
  <c r="AS26" i="10"/>
  <c r="AL27" i="10" s="1"/>
  <c r="S27" i="10"/>
  <c r="Q28" i="10"/>
  <c r="U31" i="10"/>
  <c r="W32" i="10"/>
  <c r="AI4" i="11"/>
  <c r="AD6" i="11"/>
  <c r="AC7" i="11"/>
  <c r="O15" i="11"/>
  <c r="R16" i="11"/>
  <c r="R21" i="11"/>
  <c r="W29" i="11"/>
  <c r="W25" i="11"/>
  <c r="W24" i="11"/>
  <c r="W28" i="11"/>
  <c r="W32" i="11"/>
  <c r="W26" i="11"/>
  <c r="O28" i="11"/>
  <c r="O20" i="12"/>
  <c r="O31" i="12"/>
  <c r="R15" i="14"/>
  <c r="AF4" i="14"/>
  <c r="S4" i="14"/>
  <c r="X17" i="10"/>
  <c r="P21" i="10"/>
  <c r="X21" i="10"/>
  <c r="AA24" i="10"/>
  <c r="S26" i="10"/>
  <c r="U27" i="10"/>
  <c r="S28" i="10"/>
  <c r="O29" i="10"/>
  <c r="AA30" i="10"/>
  <c r="Q1" i="11"/>
  <c r="Q9" i="11" s="1"/>
  <c r="AI5" i="11"/>
  <c r="AD7" i="11"/>
  <c r="R13" i="11"/>
  <c r="Z13" i="11"/>
  <c r="P15" i="11"/>
  <c r="V19" i="11"/>
  <c r="T20" i="11"/>
  <c r="Y28" i="11"/>
  <c r="C14" i="11" s="1"/>
  <c r="C22" i="11" s="1"/>
  <c r="Y31" i="11"/>
  <c r="Y27" i="11"/>
  <c r="Y30" i="11"/>
  <c r="Y26" i="11"/>
  <c r="W30" i="11"/>
  <c r="Y26" i="12"/>
  <c r="Y31" i="12"/>
  <c r="Y25" i="12"/>
  <c r="Y24" i="12"/>
  <c r="Y30" i="12"/>
  <c r="Y29" i="12"/>
  <c r="Y32" i="12"/>
  <c r="Y28" i="12"/>
  <c r="Y27" i="12"/>
  <c r="Y15" i="13"/>
  <c r="AA10" i="13"/>
  <c r="U26" i="10"/>
  <c r="U28" i="10"/>
  <c r="AA32" i="10"/>
  <c r="R14" i="11"/>
  <c r="Z14" i="11"/>
  <c r="X19" i="11"/>
  <c r="Y12" i="11" s="1"/>
  <c r="Z13" i="13"/>
  <c r="AA1" i="13"/>
  <c r="AA2" i="13" s="1"/>
  <c r="I29" i="13"/>
  <c r="Z17" i="13"/>
  <c r="Y19" i="13"/>
  <c r="J6" i="15"/>
  <c r="O20" i="10"/>
  <c r="AR24" i="10"/>
  <c r="AL25" i="10" s="1"/>
  <c r="U25" i="10"/>
  <c r="W26" i="10"/>
  <c r="C13" i="10" s="1"/>
  <c r="C21" i="10" s="1"/>
  <c r="Y27" i="10"/>
  <c r="W28" i="10"/>
  <c r="S29" i="10"/>
  <c r="O30" i="10"/>
  <c r="AA31" i="10"/>
  <c r="U1" i="11"/>
  <c r="S2" i="11"/>
  <c r="S3" i="11"/>
  <c r="W7" i="11"/>
  <c r="AC9" i="11"/>
  <c r="R15" i="11"/>
  <c r="Z15" i="11"/>
  <c r="P19" i="11"/>
  <c r="V20" i="11"/>
  <c r="Y25" i="11"/>
  <c r="W8" i="10"/>
  <c r="AR22" i="10"/>
  <c r="AL23" i="10" s="1"/>
  <c r="Q24" i="10"/>
  <c r="Y26" i="10"/>
  <c r="C14" i="10" s="1"/>
  <c r="C22" i="10" s="1"/>
  <c r="AA27" i="10"/>
  <c r="Y28" i="10"/>
  <c r="U29" i="10"/>
  <c r="Q30" i="10"/>
  <c r="AC2" i="11"/>
  <c r="AE5" i="11" s="1"/>
  <c r="AC3" i="11"/>
  <c r="AE3" i="11" s="1"/>
  <c r="Y6" i="11"/>
  <c r="O19" i="11"/>
  <c r="O30" i="11"/>
  <c r="Y10" i="11"/>
  <c r="S24" i="10"/>
  <c r="AA26" i="10"/>
  <c r="AA28" i="10"/>
  <c r="S30" i="10"/>
  <c r="Q32" i="10"/>
  <c r="Y1" i="11"/>
  <c r="AC4" i="11"/>
  <c r="T15" i="11"/>
  <c r="O16" i="11"/>
  <c r="Y29" i="11"/>
  <c r="AD9" i="13"/>
  <c r="P20" i="13"/>
  <c r="Q1" i="13"/>
  <c r="AC5" i="10"/>
  <c r="AE5" i="10" s="1"/>
  <c r="U24" i="10"/>
  <c r="S30" i="11"/>
  <c r="S26" i="11"/>
  <c r="S29" i="11"/>
  <c r="S25" i="11"/>
  <c r="S24" i="11"/>
  <c r="W27" i="11"/>
  <c r="S32" i="11"/>
  <c r="AC2" i="13"/>
  <c r="R13" i="13"/>
  <c r="Y18" i="13"/>
  <c r="AC8" i="13"/>
  <c r="R19" i="13"/>
  <c r="P21" i="13"/>
  <c r="Q12" i="13" s="1"/>
  <c r="AD10" i="13"/>
  <c r="B32" i="13" a="1"/>
  <c r="B32" i="13" s="1"/>
  <c r="AF3" i="14"/>
  <c r="R14" i="14"/>
  <c r="Z18" i="14"/>
  <c r="AA7" i="14"/>
  <c r="Q28" i="11"/>
  <c r="O26" i="12"/>
  <c r="AA27" i="12"/>
  <c r="S1" i="13"/>
  <c r="S2" i="13"/>
  <c r="AD2" i="13"/>
  <c r="R17" i="13"/>
  <c r="AD6" i="13"/>
  <c r="AC6" i="13"/>
  <c r="AE6" i="13" s="1"/>
  <c r="U8" i="13"/>
  <c r="R20" i="13"/>
  <c r="AC9" i="13"/>
  <c r="S9" i="13"/>
  <c r="R13" i="14"/>
  <c r="AF2" i="14"/>
  <c r="I22" i="14"/>
  <c r="S1" i="14"/>
  <c r="S3" i="14" s="1"/>
  <c r="W15" i="14"/>
  <c r="Z17" i="14"/>
  <c r="AA6" i="14"/>
  <c r="Y14" i="14"/>
  <c r="U7" i="13"/>
  <c r="U6" i="13"/>
  <c r="U5" i="13"/>
  <c r="U4" i="13"/>
  <c r="W3" i="13"/>
  <c r="V14" i="13"/>
  <c r="Y16" i="13"/>
  <c r="AC10" i="13"/>
  <c r="S10" i="13"/>
  <c r="Y12" i="13"/>
  <c r="Y14" i="13" s="1"/>
  <c r="I25" i="13"/>
  <c r="Z16" i="14"/>
  <c r="AC8" i="14"/>
  <c r="Q24" i="11"/>
  <c r="Q25" i="11"/>
  <c r="Q29" i="11"/>
  <c r="AA32" i="11"/>
  <c r="C15" i="11" s="1"/>
  <c r="C23" i="11" s="1"/>
  <c r="W24" i="12"/>
  <c r="W25" i="12"/>
  <c r="S26" i="12"/>
  <c r="C11" i="12" s="1"/>
  <c r="C19" i="12" s="1"/>
  <c r="AA28" i="12"/>
  <c r="W31" i="12"/>
  <c r="AA32" i="12"/>
  <c r="U2" i="13"/>
  <c r="AD4" i="13"/>
  <c r="AC4" i="13"/>
  <c r="Y5" i="13"/>
  <c r="AA7" i="13"/>
  <c r="U10" i="13"/>
  <c r="Y13" i="13"/>
  <c r="Z15" i="14"/>
  <c r="AA4" i="14"/>
  <c r="Q30" i="14"/>
  <c r="Q19" i="14"/>
  <c r="Q31" i="14"/>
  <c r="Q20" i="14"/>
  <c r="U32" i="14"/>
  <c r="U28" i="14"/>
  <c r="U26" i="14"/>
  <c r="U30" i="14"/>
  <c r="U31" i="14"/>
  <c r="U27" i="14"/>
  <c r="U24" i="14"/>
  <c r="W16" i="15"/>
  <c r="AA27" i="11"/>
  <c r="AA31" i="11"/>
  <c r="O18" i="12"/>
  <c r="Q27" i="12"/>
  <c r="C10" i="12" s="1"/>
  <c r="C18" i="12" s="1"/>
  <c r="AA30" i="12"/>
  <c r="V13" i="13"/>
  <c r="W2" i="13"/>
  <c r="W1" i="13"/>
  <c r="W7" i="13" s="1"/>
  <c r="Y3" i="13"/>
  <c r="S4" i="13"/>
  <c r="W6" i="13"/>
  <c r="R18" i="13"/>
  <c r="AD7" i="13"/>
  <c r="AC7" i="13"/>
  <c r="Y8" i="13"/>
  <c r="R15" i="13"/>
  <c r="B31" i="13" a="1"/>
  <c r="B31" i="13" s="1"/>
  <c r="Z14" i="14"/>
  <c r="AA3" i="14"/>
  <c r="R18" i="14"/>
  <c r="AF7" i="14"/>
  <c r="I23" i="15"/>
  <c r="I30" i="15" s="1"/>
  <c r="Q1" i="15"/>
  <c r="P12" i="15"/>
  <c r="AB2" i="15"/>
  <c r="AA2" i="15"/>
  <c r="Q26" i="11"/>
  <c r="Q30" i="11"/>
  <c r="G11" i="12"/>
  <c r="AA24" i="12"/>
  <c r="AA25" i="12"/>
  <c r="W26" i="12"/>
  <c r="S27" i="12"/>
  <c r="AA31" i="12"/>
  <c r="I28" i="13"/>
  <c r="AA5" i="13"/>
  <c r="S7" i="13"/>
  <c r="AA8" i="13"/>
  <c r="Z19" i="13"/>
  <c r="Y9" i="13"/>
  <c r="Y21" i="13"/>
  <c r="I27" i="13"/>
  <c r="I26" i="14"/>
  <c r="AA1" i="14"/>
  <c r="AA5" i="14" s="1"/>
  <c r="Z13" i="14"/>
  <c r="AA2" i="14"/>
  <c r="R17" i="14"/>
  <c r="AF6" i="14"/>
  <c r="S6" i="14"/>
  <c r="I24" i="13"/>
  <c r="Y2" i="13"/>
  <c r="AC3" i="13"/>
  <c r="W4" i="13"/>
  <c r="R16" i="13"/>
  <c r="AD5" i="13"/>
  <c r="AC5" i="13"/>
  <c r="Y6" i="13"/>
  <c r="AD8" i="13"/>
  <c r="Z20" i="13"/>
  <c r="AA9" i="13"/>
  <c r="R16" i="14"/>
  <c r="AF5" i="14"/>
  <c r="S5" i="14"/>
  <c r="Y12" i="14"/>
  <c r="O31" i="13"/>
  <c r="W26" i="14"/>
  <c r="W24" i="14"/>
  <c r="W30" i="14"/>
  <c r="W31" i="14"/>
  <c r="W29" i="14"/>
  <c r="W27" i="14"/>
  <c r="W25" i="14"/>
  <c r="S13" i="15"/>
  <c r="S14" i="15"/>
  <c r="S16" i="15"/>
  <c r="W15" i="15"/>
  <c r="V17" i="13"/>
  <c r="T21" i="13"/>
  <c r="Q25" i="13"/>
  <c r="Q27" i="13"/>
  <c r="Q29" i="13"/>
  <c r="Q31" i="13"/>
  <c r="I23" i="14"/>
  <c r="T13" i="14"/>
  <c r="I27" i="14"/>
  <c r="AB13" i="14"/>
  <c r="S8" i="14"/>
  <c r="AA8" i="14"/>
  <c r="AA9" i="14"/>
  <c r="AA10" i="14"/>
  <c r="R20" i="14"/>
  <c r="U3" i="15"/>
  <c r="T16" i="15"/>
  <c r="U6" i="15"/>
  <c r="U1" i="15"/>
  <c r="S18" i="15"/>
  <c r="S12" i="15"/>
  <c r="W16" i="16"/>
  <c r="M18" i="16"/>
  <c r="V16" i="13"/>
  <c r="O17" i="13"/>
  <c r="V18" i="13"/>
  <c r="S25" i="13"/>
  <c r="AA26" i="13"/>
  <c r="S27" i="13"/>
  <c r="AA28" i="13"/>
  <c r="S29" i="13"/>
  <c r="U30" i="13"/>
  <c r="S31" i="13"/>
  <c r="Q32" i="13"/>
  <c r="U2" i="14"/>
  <c r="AC2" i="14"/>
  <c r="U3" i="14"/>
  <c r="U4" i="14"/>
  <c r="AC4" i="14"/>
  <c r="U5" i="14"/>
  <c r="AC5" i="14"/>
  <c r="U6" i="14"/>
  <c r="Y13" i="14"/>
  <c r="T14" i="14"/>
  <c r="V20" i="14"/>
  <c r="W12" i="14" s="1"/>
  <c r="W11" i="15"/>
  <c r="W12" i="15"/>
  <c r="W13" i="15"/>
  <c r="W1" i="15"/>
  <c r="V14" i="15"/>
  <c r="S8" i="15"/>
  <c r="S19" i="15"/>
  <c r="D29" i="15" a="1"/>
  <c r="D29" i="15" s="1"/>
  <c r="AD3" i="13"/>
  <c r="T13" i="13"/>
  <c r="V15" i="13"/>
  <c r="T19" i="13"/>
  <c r="U25" i="13"/>
  <c r="AI13" i="13" s="1"/>
  <c r="U27" i="13"/>
  <c r="U29" i="13"/>
  <c r="I15" i="13" s="1"/>
  <c r="W30" i="13"/>
  <c r="U31" i="13"/>
  <c r="S32" i="13"/>
  <c r="AE2" i="14"/>
  <c r="AE4" i="14"/>
  <c r="AE5" i="14"/>
  <c r="AE6" i="14"/>
  <c r="AG6" i="14" s="1"/>
  <c r="W18" i="14"/>
  <c r="AE7" i="14"/>
  <c r="U8" i="14"/>
  <c r="U9" i="14"/>
  <c r="AC9" i="14"/>
  <c r="U10" i="14"/>
  <c r="AC10" i="14"/>
  <c r="Q13" i="14"/>
  <c r="Q15" i="14"/>
  <c r="Q18" i="14"/>
  <c r="T19" i="14"/>
  <c r="AC30" i="14"/>
  <c r="AC31" i="14"/>
  <c r="AC29" i="14"/>
  <c r="AC27" i="14"/>
  <c r="AC25" i="14"/>
  <c r="AC32" i="14"/>
  <c r="AC28" i="14"/>
  <c r="W28" i="14"/>
  <c r="X12" i="15"/>
  <c r="I27" i="15"/>
  <c r="Y1" i="15"/>
  <c r="Y5" i="15" s="1"/>
  <c r="Y2" i="15"/>
  <c r="W17" i="15"/>
  <c r="U8" i="15"/>
  <c r="C30" i="15" a="1"/>
  <c r="C30" i="15" s="1"/>
  <c r="I30" i="16"/>
  <c r="U9" i="13"/>
  <c r="O15" i="13"/>
  <c r="O24" i="13"/>
  <c r="W25" i="13"/>
  <c r="W27" i="13"/>
  <c r="W29" i="13"/>
  <c r="I16" i="13" s="1"/>
  <c r="W31" i="13"/>
  <c r="W2" i="14"/>
  <c r="W3" i="14"/>
  <c r="W4" i="14"/>
  <c r="W5" i="14"/>
  <c r="W6" i="14"/>
  <c r="AE9" i="14"/>
  <c r="AE10" i="14"/>
  <c r="AG9" i="14" s="1"/>
  <c r="S6" i="15"/>
  <c r="S3" i="15"/>
  <c r="Y7" i="15"/>
  <c r="W18" i="15"/>
  <c r="S17" i="15"/>
  <c r="D30" i="15" a="1"/>
  <c r="D30" i="15" s="1"/>
  <c r="Q24" i="13"/>
  <c r="Y25" i="13"/>
  <c r="Q26" i="13"/>
  <c r="Y27" i="13"/>
  <c r="Y29" i="13"/>
  <c r="AA30" i="13"/>
  <c r="AC1" i="14"/>
  <c r="AC3" i="14" s="1"/>
  <c r="I25" i="14"/>
  <c r="W8" i="14"/>
  <c r="AF8" i="14"/>
  <c r="W10" i="14"/>
  <c r="Q17" i="14"/>
  <c r="W32" i="14"/>
  <c r="W19" i="15"/>
  <c r="R2" i="16"/>
  <c r="S24" i="13"/>
  <c r="AA25" i="13"/>
  <c r="S26" i="13"/>
  <c r="AA27" i="13"/>
  <c r="AA29" i="13"/>
  <c r="Y2" i="14"/>
  <c r="Y3" i="14"/>
  <c r="Y4" i="14"/>
  <c r="Q27" i="14"/>
  <c r="Q16" i="14"/>
  <c r="Y5" i="14"/>
  <c r="Y6" i="14"/>
  <c r="Y19" i="14"/>
  <c r="B30" i="14" a="1"/>
  <c r="B30" i="14" s="1"/>
  <c r="AC26" i="14"/>
  <c r="O1" i="15"/>
  <c r="AB4" i="15"/>
  <c r="N14" i="15"/>
  <c r="I26" i="15"/>
  <c r="Y28" i="14"/>
  <c r="Y32" i="14"/>
  <c r="T12" i="15"/>
  <c r="P16" i="15"/>
  <c r="X16" i="15"/>
  <c r="V11" i="16"/>
  <c r="V12" i="16" s="1"/>
  <c r="V11" i="17"/>
  <c r="V12" i="17"/>
  <c r="V16" i="17"/>
  <c r="R16" i="18"/>
  <c r="X18" i="20"/>
  <c r="Y25" i="14"/>
  <c r="Y27" i="14"/>
  <c r="Y29" i="14"/>
  <c r="Y31" i="14"/>
  <c r="Y3" i="15"/>
  <c r="U7" i="15"/>
  <c r="U9" i="15"/>
  <c r="P15" i="15"/>
  <c r="S23" i="15"/>
  <c r="I24" i="15"/>
  <c r="Q26" i="15"/>
  <c r="O28" i="15"/>
  <c r="O29" i="15"/>
  <c r="N1" i="16"/>
  <c r="N2" i="16" s="1"/>
  <c r="R4" i="16"/>
  <c r="P5" i="16"/>
  <c r="X5" i="16"/>
  <c r="X12" i="16"/>
  <c r="X18" i="16"/>
  <c r="X13" i="16"/>
  <c r="X14" i="16"/>
  <c r="X15" i="16"/>
  <c r="X16" i="16"/>
  <c r="X5" i="17"/>
  <c r="X4" i="17"/>
  <c r="X8" i="17"/>
  <c r="X7" i="17"/>
  <c r="X6" i="17"/>
  <c r="S24" i="14"/>
  <c r="AA25" i="14"/>
  <c r="S26" i="14"/>
  <c r="AA27" i="14"/>
  <c r="AA29" i="14"/>
  <c r="Y30" i="14"/>
  <c r="AA31" i="14"/>
  <c r="S2" i="15"/>
  <c r="AA3" i="15"/>
  <c r="Y4" i="15"/>
  <c r="O6" i="15"/>
  <c r="N12" i="15"/>
  <c r="O24" i="15"/>
  <c r="S26" i="15"/>
  <c r="Q28" i="15"/>
  <c r="Q29" i="15"/>
  <c r="P1" i="16"/>
  <c r="Q15" i="16"/>
  <c r="I24" i="16"/>
  <c r="I29" i="16" s="1"/>
  <c r="Q16" i="16"/>
  <c r="R6" i="16"/>
  <c r="M14" i="16"/>
  <c r="O16" i="16"/>
  <c r="D30" i="16" a="1"/>
  <c r="D30" i="16" s="1"/>
  <c r="V15" i="17"/>
  <c r="AB3" i="15"/>
  <c r="AA4" i="15"/>
  <c r="O27" i="15"/>
  <c r="S28" i="15"/>
  <c r="S29" i="15"/>
  <c r="R1" i="16"/>
  <c r="Q12" i="16"/>
  <c r="S14" i="16"/>
  <c r="U2" i="15"/>
  <c r="S4" i="15"/>
  <c r="O22" i="15"/>
  <c r="Y23" i="15"/>
  <c r="S24" i="15"/>
  <c r="W26" i="15"/>
  <c r="Q27" i="15"/>
  <c r="U28" i="15"/>
  <c r="U29" i="15"/>
  <c r="T1" i="16"/>
  <c r="N7" i="16"/>
  <c r="X7" i="16"/>
  <c r="U18" i="16"/>
  <c r="V8" i="16"/>
  <c r="P24" i="16"/>
  <c r="P27" i="16"/>
  <c r="P23" i="16"/>
  <c r="P28" i="16"/>
  <c r="N11" i="17"/>
  <c r="N13" i="17" s="1"/>
  <c r="N12" i="17"/>
  <c r="V14" i="17"/>
  <c r="V18" i="17"/>
  <c r="Y24" i="14"/>
  <c r="S28" i="14"/>
  <c r="S32" i="14"/>
  <c r="Q22" i="15"/>
  <c r="U24" i="15"/>
  <c r="J5" i="15" s="1"/>
  <c r="Y26" i="15"/>
  <c r="S27" i="15"/>
  <c r="W28" i="15"/>
  <c r="W29" i="15"/>
  <c r="V1" i="16"/>
  <c r="V2" i="16" s="1"/>
  <c r="P3" i="16"/>
  <c r="I27" i="16"/>
  <c r="AA24" i="14"/>
  <c r="S25" i="14"/>
  <c r="S27" i="14"/>
  <c r="S29" i="14"/>
  <c r="AB6" i="15"/>
  <c r="Y28" i="15"/>
  <c r="X1" i="16"/>
  <c r="M15" i="16"/>
  <c r="T27" i="16"/>
  <c r="T23" i="16"/>
  <c r="T26" i="16"/>
  <c r="T22" i="16"/>
  <c r="I5" i="16" s="1"/>
  <c r="T28" i="16"/>
  <c r="B29" i="16" a="1"/>
  <c r="B29" i="16" s="1"/>
  <c r="V13" i="17"/>
  <c r="V17" i="17"/>
  <c r="P7" i="17"/>
  <c r="P8" i="17"/>
  <c r="X1" i="18"/>
  <c r="X3" i="18"/>
  <c r="U15" i="18"/>
  <c r="S18" i="18"/>
  <c r="T11" i="18" s="1"/>
  <c r="T8" i="18"/>
  <c r="AA23" i="18" a="1"/>
  <c r="AA23" i="18" s="1"/>
  <c r="W12" i="19"/>
  <c r="X1" i="19"/>
  <c r="S13" i="19"/>
  <c r="T1" i="19"/>
  <c r="W17" i="19"/>
  <c r="N4" i="20"/>
  <c r="Z21" i="20" a="1"/>
  <c r="Z21" i="20" s="1"/>
  <c r="O17" i="16"/>
  <c r="W17" i="16"/>
  <c r="R25" i="16"/>
  <c r="B30" i="16" a="1"/>
  <c r="B30" i="16" s="1"/>
  <c r="N1" i="17"/>
  <c r="N2" i="17"/>
  <c r="T4" i="17"/>
  <c r="O12" i="17"/>
  <c r="W12" i="17"/>
  <c r="Q14" i="17"/>
  <c r="S16" i="17"/>
  <c r="V1" i="18"/>
  <c r="V5" i="18" s="1"/>
  <c r="W15" i="18"/>
  <c r="U18" i="18"/>
  <c r="X2" i="19"/>
  <c r="M15" i="19"/>
  <c r="N3" i="20"/>
  <c r="M13" i="20"/>
  <c r="N11" i="20" s="1"/>
  <c r="P3" i="20"/>
  <c r="P6" i="20"/>
  <c r="P4" i="20"/>
  <c r="X17" i="20"/>
  <c r="T2" i="18"/>
  <c r="M13" i="18"/>
  <c r="M17" i="18"/>
  <c r="P2" i="20"/>
  <c r="P7" i="20"/>
  <c r="Q18" i="20"/>
  <c r="R8" i="20"/>
  <c r="R22" i="16"/>
  <c r="N23" i="16"/>
  <c r="V25" i="16"/>
  <c r="R26" i="16"/>
  <c r="N27" i="16"/>
  <c r="R1" i="17"/>
  <c r="P2" i="17"/>
  <c r="X2" i="17"/>
  <c r="N4" i="17"/>
  <c r="AA24" i="17" a="1"/>
  <c r="AA24" i="17" s="1"/>
  <c r="P1" i="18"/>
  <c r="M15" i="18"/>
  <c r="T6" i="18"/>
  <c r="O13" i="18"/>
  <c r="Z24" i="18" a="1"/>
  <c r="Z24" i="18" s="1"/>
  <c r="W13" i="19"/>
  <c r="Q15" i="19"/>
  <c r="R5" i="19"/>
  <c r="O18" i="19"/>
  <c r="R11" i="20"/>
  <c r="R15" i="20" s="1"/>
  <c r="R13" i="20"/>
  <c r="R7" i="20"/>
  <c r="Q17" i="20"/>
  <c r="V28" i="16"/>
  <c r="T1" i="17"/>
  <c r="T2" i="17" s="1"/>
  <c r="P3" i="17"/>
  <c r="N5" i="17"/>
  <c r="T8" i="17"/>
  <c r="Z22" i="17" a="1"/>
  <c r="Z22" i="17" s="1"/>
  <c r="Q13" i="18"/>
  <c r="T4" i="18"/>
  <c r="O15" i="18"/>
  <c r="P5" i="18"/>
  <c r="M18" i="18"/>
  <c r="P1" i="19"/>
  <c r="P5" i="19" s="1"/>
  <c r="O17" i="19"/>
  <c r="T3" i="20"/>
  <c r="Z3" i="20" s="1" a="1"/>
  <c r="Z3" i="20" s="1"/>
  <c r="T1" i="20"/>
  <c r="S15" i="20"/>
  <c r="T5" i="20"/>
  <c r="R14" i="20"/>
  <c r="P8" i="16"/>
  <c r="O18" i="16"/>
  <c r="V22" i="16"/>
  <c r="R23" i="16"/>
  <c r="N24" i="16"/>
  <c r="V26" i="16"/>
  <c r="R27" i="16"/>
  <c r="V1" i="17"/>
  <c r="P4" i="17"/>
  <c r="S12" i="17"/>
  <c r="O16" i="17"/>
  <c r="W16" i="17"/>
  <c r="Q17" i="18"/>
  <c r="R7" i="18"/>
  <c r="R12" i="18"/>
  <c r="R8" i="19"/>
  <c r="R7" i="19"/>
  <c r="R6" i="19"/>
  <c r="U15" i="19"/>
  <c r="V5" i="19"/>
  <c r="T16" i="19"/>
  <c r="S18" i="19"/>
  <c r="U13" i="20"/>
  <c r="V11" i="20" s="1"/>
  <c r="V1" i="20"/>
  <c r="T6" i="20"/>
  <c r="X11" i="20"/>
  <c r="X13" i="20" s="1"/>
  <c r="X12" i="20"/>
  <c r="X16" i="20"/>
  <c r="N1" i="18"/>
  <c r="T7" i="18"/>
  <c r="V2" i="19"/>
  <c r="V6" i="19"/>
  <c r="O13" i="19"/>
  <c r="N1" i="19"/>
  <c r="M14" i="19"/>
  <c r="V4" i="19"/>
  <c r="S17" i="19"/>
  <c r="T11" i="19"/>
  <c r="N1" i="20"/>
  <c r="X14" i="20"/>
  <c r="X15" i="20"/>
  <c r="R8" i="16"/>
  <c r="V23" i="16"/>
  <c r="R1" i="18"/>
  <c r="R3" i="18" s="1"/>
  <c r="U13" i="18"/>
  <c r="S15" i="18"/>
  <c r="T5" i="18"/>
  <c r="V7" i="18"/>
  <c r="U17" i="18"/>
  <c r="Q18" i="18"/>
  <c r="R8" i="18"/>
  <c r="R11" i="18"/>
  <c r="R15" i="18" s="1"/>
  <c r="W13" i="18"/>
  <c r="Q13" i="19"/>
  <c r="R3" i="19"/>
  <c r="N4" i="19"/>
  <c r="W18" i="19"/>
  <c r="X8" i="19"/>
  <c r="AA22" i="19" a="1"/>
  <c r="AA22" i="19" s="1"/>
  <c r="N20" i="20"/>
  <c r="Q21" i="20"/>
  <c r="R20" i="20" s="1"/>
  <c r="G14" i="20"/>
  <c r="E14" i="20"/>
  <c r="C14" i="20"/>
  <c r="AA23" i="20" a="1"/>
  <c r="AA23" i="20" s="1"/>
  <c r="S21" i="20"/>
  <c r="T20" i="20" s="1"/>
  <c r="X1" i="20"/>
  <c r="R3" i="20"/>
  <c r="P5" i="20"/>
  <c r="N7" i="20"/>
  <c r="N8" i="20"/>
  <c r="G12" i="20"/>
  <c r="O15" i="20"/>
  <c r="M18" i="20"/>
  <c r="U21" i="20"/>
  <c r="V20" i="20" s="1"/>
  <c r="O14" i="20"/>
  <c r="X5" i="19"/>
  <c r="N7" i="19"/>
  <c r="V7" i="19"/>
  <c r="N8" i="19"/>
  <c r="V8" i="19"/>
  <c r="M13" i="19"/>
  <c r="O15" i="19"/>
  <c r="R5" i="20"/>
  <c r="Z5" i="20" s="1" a="1"/>
  <c r="Z5" i="20" s="1"/>
  <c r="P8" i="20"/>
  <c r="C16" i="20"/>
  <c r="E15" i="20"/>
  <c r="M17" i="20"/>
  <c r="R1" i="20"/>
  <c r="C13" i="20"/>
  <c r="AE10" i="1" l="1"/>
  <c r="AE6" i="22"/>
  <c r="J25" i="22"/>
  <c r="AE9" i="22"/>
  <c r="AE5" i="22"/>
  <c r="D12" i="22"/>
  <c r="E12" i="22" s="1"/>
  <c r="D15" i="22"/>
  <c r="E15" i="22" s="1"/>
  <c r="AE8" i="22"/>
  <c r="D11" i="22"/>
  <c r="E11" i="22" s="1"/>
  <c r="AE3" i="22"/>
  <c r="S19" i="22"/>
  <c r="S18" i="22"/>
  <c r="AA13" i="22"/>
  <c r="AE2" i="22"/>
  <c r="S16" i="22"/>
  <c r="R23" i="22"/>
  <c r="W13" i="22"/>
  <c r="W14" i="22"/>
  <c r="V23" i="22"/>
  <c r="U13" i="22"/>
  <c r="U14" i="22" s="1"/>
  <c r="T23" i="22"/>
  <c r="S13" i="22"/>
  <c r="Z23" i="22"/>
  <c r="S22" i="22"/>
  <c r="Y20" i="22"/>
  <c r="T13" i="18"/>
  <c r="T12" i="18"/>
  <c r="T16" i="18"/>
  <c r="T14" i="18"/>
  <c r="T17" i="18"/>
  <c r="N6" i="18"/>
  <c r="N4" i="18"/>
  <c r="N8" i="18"/>
  <c r="N2" i="18"/>
  <c r="N3" i="18"/>
  <c r="N7" i="18"/>
  <c r="N5" i="18"/>
  <c r="J4" i="15"/>
  <c r="AA2" i="16" a="1"/>
  <c r="AA2" i="16" s="1"/>
  <c r="N12" i="20"/>
  <c r="N16" i="20"/>
  <c r="N15" i="20"/>
  <c r="N14" i="20"/>
  <c r="W2" i="15"/>
  <c r="W9" i="15"/>
  <c r="W8" i="15"/>
  <c r="W7" i="15"/>
  <c r="W3" i="15"/>
  <c r="W4" i="15"/>
  <c r="W6" i="15"/>
  <c r="W5" i="15"/>
  <c r="Q5" i="15"/>
  <c r="Q7" i="15"/>
  <c r="Q8" i="15"/>
  <c r="Q3" i="15"/>
  <c r="Q2" i="15"/>
  <c r="Q4" i="15"/>
  <c r="Q9" i="15"/>
  <c r="Q6" i="15"/>
  <c r="AA16" i="14"/>
  <c r="Q19" i="13"/>
  <c r="Q18" i="13"/>
  <c r="Q17" i="13"/>
  <c r="Q15" i="13"/>
  <c r="Q13" i="13"/>
  <c r="Q16" i="13"/>
  <c r="Q14" i="13"/>
  <c r="AK16" i="8"/>
  <c r="E22" i="8"/>
  <c r="F22" i="8"/>
  <c r="F21" i="9"/>
  <c r="E21" i="9"/>
  <c r="AJ16" i="9"/>
  <c r="E20" i="9"/>
  <c r="AI16" i="9"/>
  <c r="F20" i="9"/>
  <c r="R3" i="17"/>
  <c r="R2" i="17"/>
  <c r="R8" i="17"/>
  <c r="R7" i="17"/>
  <c r="R5" i="17"/>
  <c r="R4" i="17"/>
  <c r="Z4" i="17" s="1" a="1"/>
  <c r="Z4" i="17" s="1"/>
  <c r="R6" i="17"/>
  <c r="AA8" i="19" a="1"/>
  <c r="AA8" i="19" s="1"/>
  <c r="V17" i="18"/>
  <c r="V11" i="18"/>
  <c r="G15" i="15"/>
  <c r="E15" i="15"/>
  <c r="C15" i="15"/>
  <c r="E25" i="15"/>
  <c r="E21" i="10"/>
  <c r="AJ16" i="10"/>
  <c r="F21" i="10"/>
  <c r="E22" i="11"/>
  <c r="AK21" i="11"/>
  <c r="F22" i="11"/>
  <c r="X3" i="16"/>
  <c r="X2" i="16"/>
  <c r="X4" i="16"/>
  <c r="X8" i="16"/>
  <c r="X6" i="16"/>
  <c r="I29" i="14"/>
  <c r="W20" i="5"/>
  <c r="W22" i="5"/>
  <c r="W15" i="5"/>
  <c r="W17" i="5"/>
  <c r="W18" i="5"/>
  <c r="W14" i="5"/>
  <c r="AA4" i="17" a="1"/>
  <c r="AA4" i="17" s="1"/>
  <c r="T18" i="18"/>
  <c r="AC4" i="15"/>
  <c r="AC5" i="15"/>
  <c r="O11" i="15"/>
  <c r="O14" i="15"/>
  <c r="E27" i="13"/>
  <c r="AJ14" i="13"/>
  <c r="AJ15" i="13" s="1"/>
  <c r="H16" i="13"/>
  <c r="F16" i="13"/>
  <c r="D16" i="13"/>
  <c r="AL21" i="11"/>
  <c r="E23" i="11"/>
  <c r="F23" i="11"/>
  <c r="Y16" i="11"/>
  <c r="Y17" i="11"/>
  <c r="Y18" i="11"/>
  <c r="Y14" i="11"/>
  <c r="Y15" i="11"/>
  <c r="Y13" i="11"/>
  <c r="Y21" i="11"/>
  <c r="U17" i="8"/>
  <c r="U14" i="8"/>
  <c r="U21" i="8"/>
  <c r="U16" i="8"/>
  <c r="U20" i="8"/>
  <c r="U13" i="8"/>
  <c r="U19" i="8"/>
  <c r="E19" i="8"/>
  <c r="AH16" i="8"/>
  <c r="F19" i="8"/>
  <c r="V5" i="20"/>
  <c r="V6" i="20"/>
  <c r="V2" i="20"/>
  <c r="V4" i="20"/>
  <c r="V7" i="20"/>
  <c r="V3" i="20"/>
  <c r="AA3" i="20" s="1" a="1"/>
  <c r="AA3" i="20" s="1"/>
  <c r="V8" i="20"/>
  <c r="V8" i="17"/>
  <c r="V7" i="17"/>
  <c r="V6" i="17"/>
  <c r="V3" i="17"/>
  <c r="V2" i="17"/>
  <c r="V4" i="17"/>
  <c r="V5" i="17"/>
  <c r="N11" i="18"/>
  <c r="AI14" i="13"/>
  <c r="AI15" i="13" s="1"/>
  <c r="E26" i="13"/>
  <c r="H15" i="13"/>
  <c r="F15" i="13"/>
  <c r="D15" i="13"/>
  <c r="W16" i="14"/>
  <c r="W13" i="14"/>
  <c r="W19" i="14"/>
  <c r="W14" i="14"/>
  <c r="W21" i="14"/>
  <c r="W17" i="14"/>
  <c r="T15" i="19"/>
  <c r="T14" i="19"/>
  <c r="T12" i="19"/>
  <c r="V15" i="20"/>
  <c r="V17" i="20"/>
  <c r="V18" i="20"/>
  <c r="V16" i="20"/>
  <c r="V12" i="20"/>
  <c r="V14" i="20"/>
  <c r="Z2" i="17" a="1"/>
  <c r="Z2" i="17" s="1"/>
  <c r="T5" i="19"/>
  <c r="Z5" i="19" s="1" a="1"/>
  <c r="Z5" i="19" s="1"/>
  <c r="T4" i="19"/>
  <c r="T6" i="19"/>
  <c r="T2" i="19"/>
  <c r="T8" i="19"/>
  <c r="T7" i="19"/>
  <c r="T3" i="19"/>
  <c r="E15" i="16"/>
  <c r="C15" i="16"/>
  <c r="E25" i="16"/>
  <c r="G15" i="16"/>
  <c r="T11" i="16"/>
  <c r="Z5" i="16" a="1"/>
  <c r="Z5" i="16" s="1"/>
  <c r="I45" i="14"/>
  <c r="AC7" i="15"/>
  <c r="U16" i="10"/>
  <c r="U19" i="10"/>
  <c r="U18" i="10"/>
  <c r="U13" i="10"/>
  <c r="U17" i="10"/>
  <c r="U14" i="10"/>
  <c r="AJ16" i="7"/>
  <c r="F21" i="7"/>
  <c r="E21" i="7"/>
  <c r="AE8" i="13"/>
  <c r="AE9" i="11"/>
  <c r="AE6" i="11"/>
  <c r="E18" i="7"/>
  <c r="AG16" i="7"/>
  <c r="Q9" i="6"/>
  <c r="Q8" i="6"/>
  <c r="Q7" i="6"/>
  <c r="Q10" i="6"/>
  <c r="Q5" i="6"/>
  <c r="Q12" i="10"/>
  <c r="Q13" i="10"/>
  <c r="W5" i="6"/>
  <c r="W4" i="6"/>
  <c r="W9" i="6"/>
  <c r="W7" i="6"/>
  <c r="AA15" i="5"/>
  <c r="Z23" i="5"/>
  <c r="AA13" i="5"/>
  <c r="AA14" i="5"/>
  <c r="D11" i="3"/>
  <c r="E11" i="3" s="1"/>
  <c r="Q3" i="6"/>
  <c r="U7" i="4"/>
  <c r="U6" i="4"/>
  <c r="U10" i="4"/>
  <c r="U5" i="4"/>
  <c r="U9" i="4"/>
  <c r="S20" i="3"/>
  <c r="S19" i="3"/>
  <c r="S16" i="3"/>
  <c r="AE8" i="7"/>
  <c r="Y16" i="1"/>
  <c r="U4" i="4"/>
  <c r="W19" i="3"/>
  <c r="W16" i="3"/>
  <c r="S4" i="5"/>
  <c r="S7" i="5"/>
  <c r="E26" i="15"/>
  <c r="G16" i="15"/>
  <c r="E16" i="15"/>
  <c r="C16" i="15"/>
  <c r="AE10" i="10"/>
  <c r="Q12" i="11"/>
  <c r="C10" i="8"/>
  <c r="C18" i="8" s="1"/>
  <c r="AE2" i="10"/>
  <c r="W3" i="8"/>
  <c r="W2" i="8"/>
  <c r="W8" i="8"/>
  <c r="W4" i="8"/>
  <c r="W10" i="8"/>
  <c r="W6" i="8"/>
  <c r="Y20" i="11"/>
  <c r="Q15" i="8"/>
  <c r="Y7" i="10"/>
  <c r="Y5" i="10"/>
  <c r="Y4" i="10"/>
  <c r="U18" i="8"/>
  <c r="D15" i="6"/>
  <c r="E15" i="6" s="1"/>
  <c r="S5" i="5"/>
  <c r="W3" i="10"/>
  <c r="W2" i="10"/>
  <c r="W10" i="10"/>
  <c r="W6" i="10"/>
  <c r="Q19" i="7"/>
  <c r="T23" i="6"/>
  <c r="U13" i="6"/>
  <c r="U14" i="6" s="1"/>
  <c r="Q7" i="8"/>
  <c r="Q10" i="8"/>
  <c r="Q6" i="8"/>
  <c r="Q9" i="8"/>
  <c r="Q4" i="8"/>
  <c r="S7" i="10"/>
  <c r="S5" i="10"/>
  <c r="W18" i="8"/>
  <c r="W9" i="11"/>
  <c r="W17" i="9"/>
  <c r="C14" i="7"/>
  <c r="C22" i="7" s="1"/>
  <c r="D12" i="6"/>
  <c r="E12" i="6" s="1"/>
  <c r="Y4" i="6"/>
  <c r="S6" i="5"/>
  <c r="AL22" i="8"/>
  <c r="U18" i="7"/>
  <c r="U20" i="7"/>
  <c r="W6" i="6"/>
  <c r="AE3" i="7"/>
  <c r="S8" i="6"/>
  <c r="S6" i="6"/>
  <c r="S10" i="6"/>
  <c r="S5" i="6"/>
  <c r="S3" i="6"/>
  <c r="S2" i="6"/>
  <c r="Q6" i="6"/>
  <c r="Y6" i="5"/>
  <c r="Y4" i="5"/>
  <c r="Y3" i="5"/>
  <c r="Y2" i="5"/>
  <c r="D10" i="3"/>
  <c r="E10" i="3" s="1"/>
  <c r="U21" i="7"/>
  <c r="Q2" i="6"/>
  <c r="U8" i="4"/>
  <c r="AE2" i="3"/>
  <c r="J26" i="3"/>
  <c r="U19" i="7"/>
  <c r="AE10" i="4"/>
  <c r="AA20" i="3"/>
  <c r="AA19" i="3"/>
  <c r="AA16" i="3"/>
  <c r="D14" i="1"/>
  <c r="E14" i="1" s="1"/>
  <c r="S5" i="7"/>
  <c r="S4" i="7"/>
  <c r="S9" i="7"/>
  <c r="S7" i="7"/>
  <c r="AE9" i="1"/>
  <c r="U19" i="1"/>
  <c r="S3" i="5"/>
  <c r="AE2" i="1"/>
  <c r="I18" i="13"/>
  <c r="AL13" i="13"/>
  <c r="AG21" i="12"/>
  <c r="G10" i="12"/>
  <c r="F18" i="12"/>
  <c r="E10" i="12" s="1"/>
  <c r="E18" i="12"/>
  <c r="C10" i="11"/>
  <c r="C18" i="11" s="1"/>
  <c r="AG3" i="14"/>
  <c r="Q5" i="13"/>
  <c r="Q3" i="13"/>
  <c r="Q7" i="13"/>
  <c r="Q4" i="13"/>
  <c r="Q6" i="13"/>
  <c r="Q8" i="13"/>
  <c r="Q2" i="13"/>
  <c r="X3" i="20"/>
  <c r="X6" i="20"/>
  <c r="X4" i="20"/>
  <c r="N17" i="18"/>
  <c r="V15" i="18"/>
  <c r="N15" i="17"/>
  <c r="J2" i="15"/>
  <c r="N14" i="16"/>
  <c r="O2" i="15"/>
  <c r="O9" i="15"/>
  <c r="O8" i="15"/>
  <c r="O7" i="15"/>
  <c r="O3" i="15"/>
  <c r="I14" i="13"/>
  <c r="AH13" i="13"/>
  <c r="AG5" i="14"/>
  <c r="Q9" i="13"/>
  <c r="Y7" i="11"/>
  <c r="Y4" i="11"/>
  <c r="Y3" i="11"/>
  <c r="Y2" i="11"/>
  <c r="Q10" i="11"/>
  <c r="Y5" i="11"/>
  <c r="AE7" i="11"/>
  <c r="AE5" i="8"/>
  <c r="AI10" i="10"/>
  <c r="U12" i="9"/>
  <c r="U13" i="9" s="1"/>
  <c r="S10" i="9"/>
  <c r="S6" i="9"/>
  <c r="S3" i="9"/>
  <c r="S2" i="9"/>
  <c r="S7" i="9"/>
  <c r="C15" i="8"/>
  <c r="C23" i="8" s="1"/>
  <c r="Y8" i="11"/>
  <c r="AE8" i="8"/>
  <c r="Y13" i="10"/>
  <c r="Y12" i="10"/>
  <c r="Y20" i="9"/>
  <c r="AE9" i="8"/>
  <c r="AA21" i="6"/>
  <c r="Q12" i="9"/>
  <c r="U9" i="5"/>
  <c r="U10" i="5"/>
  <c r="U5" i="5"/>
  <c r="U7" i="5"/>
  <c r="U8" i="5"/>
  <c r="AE6" i="10"/>
  <c r="S12" i="7"/>
  <c r="S16" i="7" s="1"/>
  <c r="Q14" i="7"/>
  <c r="D10" i="4"/>
  <c r="E10" i="4" s="1"/>
  <c r="AI10" i="5"/>
  <c r="W13" i="6"/>
  <c r="AE5" i="5"/>
  <c r="D12" i="3"/>
  <c r="E12" i="3" s="1"/>
  <c r="W5" i="8"/>
  <c r="S9" i="5"/>
  <c r="AA3" i="4"/>
  <c r="AA2" i="4"/>
  <c r="AA8" i="4"/>
  <c r="AA7" i="4"/>
  <c r="AA4" i="4"/>
  <c r="AN26" i="7"/>
  <c r="W17" i="7"/>
  <c r="Y5" i="5"/>
  <c r="AE10" i="3"/>
  <c r="T6" i="17"/>
  <c r="Q10" i="4"/>
  <c r="Q5" i="4"/>
  <c r="Q3" i="4"/>
  <c r="Q2" i="4"/>
  <c r="Q9" i="4"/>
  <c r="Q6" i="4"/>
  <c r="S14" i="3"/>
  <c r="D12" i="1"/>
  <c r="E12" i="1" s="1"/>
  <c r="AE4" i="3"/>
  <c r="AA17" i="4"/>
  <c r="Z23" i="6"/>
  <c r="S22" i="3"/>
  <c r="AA14" i="3"/>
  <c r="J26" i="1"/>
  <c r="Q7" i="3"/>
  <c r="AE3" i="5"/>
  <c r="Q6" i="1"/>
  <c r="N8" i="17"/>
  <c r="AA8" i="17" s="1" a="1"/>
  <c r="AA8" i="17" s="1"/>
  <c r="N7" i="17"/>
  <c r="N6" i="17"/>
  <c r="AA6" i="17" s="1" a="1"/>
  <c r="AA6" i="17" s="1"/>
  <c r="N3" i="17"/>
  <c r="X4" i="19"/>
  <c r="X6" i="19"/>
  <c r="T7" i="17"/>
  <c r="J3" i="15"/>
  <c r="N17" i="17"/>
  <c r="I3" i="16"/>
  <c r="T5" i="16"/>
  <c r="T6" i="16"/>
  <c r="T8" i="16"/>
  <c r="Z8" i="16" s="1" a="1"/>
  <c r="Z8" i="16" s="1"/>
  <c r="T4" i="16"/>
  <c r="T7" i="16"/>
  <c r="T2" i="16"/>
  <c r="P2" i="16"/>
  <c r="P4" i="16"/>
  <c r="Z4" i="16" s="1" a="1"/>
  <c r="Z4" i="16" s="1"/>
  <c r="T3" i="16"/>
  <c r="N18" i="17"/>
  <c r="U11" i="15"/>
  <c r="U12" i="15"/>
  <c r="AG4" i="14"/>
  <c r="AC8" i="15"/>
  <c r="Y21" i="14"/>
  <c r="Y17" i="14"/>
  <c r="Y18" i="14"/>
  <c r="I32" i="13"/>
  <c r="S7" i="14"/>
  <c r="E19" i="12"/>
  <c r="AH21" i="12"/>
  <c r="S2" i="14"/>
  <c r="Q10" i="13"/>
  <c r="W5" i="13"/>
  <c r="AC6" i="15"/>
  <c r="S13" i="13"/>
  <c r="S12" i="13"/>
  <c r="Q20" i="13"/>
  <c r="Q5" i="11"/>
  <c r="AA3" i="13"/>
  <c r="AA4" i="13"/>
  <c r="S12" i="11"/>
  <c r="S19" i="11" s="1"/>
  <c r="S13" i="11"/>
  <c r="C13" i="11"/>
  <c r="C21" i="11" s="1"/>
  <c r="U20" i="10"/>
  <c r="U17" i="11"/>
  <c r="U15" i="8"/>
  <c r="AE9" i="9"/>
  <c r="U21" i="10"/>
  <c r="Q14" i="9"/>
  <c r="AE7" i="8"/>
  <c r="AE4" i="7"/>
  <c r="S21" i="6"/>
  <c r="AE7" i="6"/>
  <c r="Y13" i="5"/>
  <c r="Y14" i="5" s="1"/>
  <c r="X23" i="5"/>
  <c r="S12" i="10"/>
  <c r="S21" i="10" s="1"/>
  <c r="S8" i="9"/>
  <c r="C12" i="11"/>
  <c r="C20" i="11" s="1"/>
  <c r="S17" i="10"/>
  <c r="AE7" i="7"/>
  <c r="AI11" i="5"/>
  <c r="S2" i="5"/>
  <c r="V23" i="6"/>
  <c r="AE10" i="7"/>
  <c r="U4" i="5"/>
  <c r="AE6" i="4"/>
  <c r="U17" i="3"/>
  <c r="AA14" i="4"/>
  <c r="AA13" i="4"/>
  <c r="Z23" i="4"/>
  <c r="W16" i="7"/>
  <c r="W18" i="4"/>
  <c r="AE6" i="5"/>
  <c r="U2" i="4"/>
  <c r="Y13" i="4"/>
  <c r="Y16" i="4" s="1"/>
  <c r="D10" i="1"/>
  <c r="E10" i="1" s="1"/>
  <c r="Q13" i="4"/>
  <c r="S15" i="3"/>
  <c r="Q12" i="7"/>
  <c r="Q20" i="7" s="1"/>
  <c r="AE3" i="4"/>
  <c r="W21" i="3"/>
  <c r="AA8" i="6"/>
  <c r="AA6" i="6"/>
  <c r="AA10" i="6"/>
  <c r="AA5" i="6"/>
  <c r="AA3" i="6"/>
  <c r="AA2" i="6"/>
  <c r="S22" i="4"/>
  <c r="S19" i="7"/>
  <c r="S21" i="3"/>
  <c r="U13" i="3"/>
  <c r="U14" i="1"/>
  <c r="T23" i="1"/>
  <c r="U13" i="1"/>
  <c r="U20" i="1" s="1"/>
  <c r="Q5" i="1"/>
  <c r="N13" i="20"/>
  <c r="V4" i="18"/>
  <c r="V6" i="18"/>
  <c r="V2" i="18"/>
  <c r="I31" i="13"/>
  <c r="T17" i="19"/>
  <c r="R4" i="20"/>
  <c r="Z4" i="20" s="1" a="1"/>
  <c r="Z4" i="20" s="1"/>
  <c r="R2" i="20"/>
  <c r="Z2" i="20" s="1" a="1"/>
  <c r="Z2" i="20" s="1"/>
  <c r="R6" i="20"/>
  <c r="Z6" i="20" s="1" a="1"/>
  <c r="Z6" i="20" s="1"/>
  <c r="P14" i="20"/>
  <c r="T15" i="18"/>
  <c r="X7" i="20"/>
  <c r="I7" i="20"/>
  <c r="R17" i="18"/>
  <c r="N11" i="19"/>
  <c r="R14" i="18"/>
  <c r="AA5" i="17" a="1"/>
  <c r="AA5" i="17" s="1"/>
  <c r="P11" i="20"/>
  <c r="R12" i="20"/>
  <c r="X11" i="18"/>
  <c r="N17" i="20"/>
  <c r="V11" i="19"/>
  <c r="V15" i="19" s="1"/>
  <c r="V3" i="18"/>
  <c r="X16" i="17"/>
  <c r="R13" i="18"/>
  <c r="I4" i="18" s="1"/>
  <c r="X3" i="19"/>
  <c r="N15" i="18"/>
  <c r="I2" i="16"/>
  <c r="V8" i="18"/>
  <c r="X11" i="17"/>
  <c r="X12" i="17"/>
  <c r="X11" i="19"/>
  <c r="X6" i="18"/>
  <c r="X2" i="18"/>
  <c r="X8" i="18"/>
  <c r="X7" i="18"/>
  <c r="X4" i="18"/>
  <c r="R11" i="17"/>
  <c r="R14" i="17" s="1"/>
  <c r="R5" i="16"/>
  <c r="R3" i="16"/>
  <c r="Z3" i="16" s="1" a="1"/>
  <c r="Z3" i="16" s="1"/>
  <c r="R7" i="16"/>
  <c r="R16" i="16"/>
  <c r="Y9" i="15"/>
  <c r="I17" i="13"/>
  <c r="AK13" i="13"/>
  <c r="I17" i="14"/>
  <c r="Y20" i="13"/>
  <c r="I30" i="14"/>
  <c r="AE2" i="13"/>
  <c r="AA12" i="13"/>
  <c r="AA20" i="13" s="1"/>
  <c r="C15" i="10"/>
  <c r="C23" i="10" s="1"/>
  <c r="F19" i="12"/>
  <c r="E11" i="12" s="1"/>
  <c r="AI10" i="11"/>
  <c r="AE7" i="10"/>
  <c r="AE10" i="8"/>
  <c r="AL16" i="9"/>
  <c r="F23" i="9"/>
  <c r="E23" i="9"/>
  <c r="S4" i="9"/>
  <c r="AE4" i="8"/>
  <c r="U4" i="9"/>
  <c r="U7" i="9"/>
  <c r="U5" i="9"/>
  <c r="U5" i="8"/>
  <c r="U3" i="8"/>
  <c r="U2" i="8"/>
  <c r="U9" i="8"/>
  <c r="U8" i="8"/>
  <c r="U10" i="8"/>
  <c r="U6" i="8"/>
  <c r="Y20" i="10"/>
  <c r="Y14" i="10"/>
  <c r="C11" i="7"/>
  <c r="C19" i="7" s="1"/>
  <c r="P23" i="5"/>
  <c r="Q14" i="5"/>
  <c r="Q13" i="5"/>
  <c r="Q15" i="5" s="1"/>
  <c r="AE8" i="9"/>
  <c r="AE9" i="7"/>
  <c r="U3" i="7"/>
  <c r="U2" i="7"/>
  <c r="U9" i="7"/>
  <c r="U8" i="7"/>
  <c r="U7" i="7"/>
  <c r="U5" i="7"/>
  <c r="AE6" i="6"/>
  <c r="S6" i="10"/>
  <c r="Q8" i="9"/>
  <c r="Q5" i="9"/>
  <c r="Q3" i="9"/>
  <c r="Q2" i="9"/>
  <c r="Q14" i="10"/>
  <c r="Q7" i="9"/>
  <c r="Q7" i="7"/>
  <c r="Q10" i="7"/>
  <c r="Q6" i="7"/>
  <c r="Q4" i="7"/>
  <c r="Q3" i="7"/>
  <c r="Q2" i="7"/>
  <c r="AI10" i="7"/>
  <c r="X23" i="6"/>
  <c r="Y13" i="6"/>
  <c r="Y14" i="6" s="1"/>
  <c r="U13" i="5"/>
  <c r="T23" i="5"/>
  <c r="U14" i="5"/>
  <c r="U16" i="7"/>
  <c r="U4" i="7"/>
  <c r="U2" i="5"/>
  <c r="F18" i="7"/>
  <c r="S8" i="5"/>
  <c r="AE2" i="5"/>
  <c r="Y7" i="8"/>
  <c r="Y10" i="8"/>
  <c r="Y6" i="8"/>
  <c r="Y9" i="8"/>
  <c r="Y4" i="8"/>
  <c r="S16" i="6"/>
  <c r="S13" i="6"/>
  <c r="S4" i="6"/>
  <c r="AE7" i="3"/>
  <c r="W21" i="7"/>
  <c r="S10" i="3"/>
  <c r="S9" i="3"/>
  <c r="S8" i="3"/>
  <c r="S7" i="3"/>
  <c r="S6" i="3"/>
  <c r="S5" i="3"/>
  <c r="S4" i="3"/>
  <c r="S3" i="3"/>
  <c r="S2" i="3"/>
  <c r="AJ26" i="7"/>
  <c r="W10" i="6"/>
  <c r="U3" i="5"/>
  <c r="AE5" i="4"/>
  <c r="X23" i="4"/>
  <c r="Q7" i="1"/>
  <c r="W18" i="3"/>
  <c r="U17" i="7"/>
  <c r="AE2" i="4"/>
  <c r="W20" i="3"/>
  <c r="Q4" i="3"/>
  <c r="Y10" i="4"/>
  <c r="Y5" i="4"/>
  <c r="Y3" i="4"/>
  <c r="Y2" i="4"/>
  <c r="Y9" i="4"/>
  <c r="Y6" i="4"/>
  <c r="S18" i="3"/>
  <c r="Z23" i="1"/>
  <c r="AA13" i="1"/>
  <c r="AA14" i="1" s="1"/>
  <c r="AN27" i="7"/>
  <c r="Y13" i="3"/>
  <c r="Y20" i="3" s="1"/>
  <c r="X23" i="3"/>
  <c r="T23" i="3"/>
  <c r="AE6" i="1"/>
  <c r="Y20" i="1"/>
  <c r="U17" i="1"/>
  <c r="Y15" i="1"/>
  <c r="P6" i="19"/>
  <c r="Z6" i="19" s="1" a="1"/>
  <c r="Z6" i="19" s="1"/>
  <c r="P2" i="19"/>
  <c r="Z2" i="19" s="1" a="1"/>
  <c r="Z2" i="19" s="1"/>
  <c r="P4" i="19"/>
  <c r="Z4" i="19" s="1" a="1"/>
  <c r="Z4" i="19" s="1"/>
  <c r="G45" i="14"/>
  <c r="I15" i="14"/>
  <c r="R11" i="16"/>
  <c r="R12" i="16"/>
  <c r="AE4" i="11"/>
  <c r="V13" i="18"/>
  <c r="N2" i="19"/>
  <c r="AA2" i="19" s="1" a="1"/>
  <c r="AA2" i="19" s="1"/>
  <c r="N6" i="19"/>
  <c r="N3" i="19"/>
  <c r="AA3" i="19" s="1" a="1"/>
  <c r="AA3" i="19" s="1"/>
  <c r="R11" i="19"/>
  <c r="I6" i="16"/>
  <c r="P11" i="18"/>
  <c r="P15" i="18" s="1"/>
  <c r="T5" i="17"/>
  <c r="T3" i="17"/>
  <c r="R17" i="20"/>
  <c r="X13" i="19"/>
  <c r="I4" i="16"/>
  <c r="P11" i="19"/>
  <c r="N5" i="19"/>
  <c r="AA5" i="19" s="1" a="1"/>
  <c r="AA5" i="19" s="1"/>
  <c r="V18" i="18"/>
  <c r="P11" i="17"/>
  <c r="P16" i="17" s="1"/>
  <c r="P12" i="17"/>
  <c r="Z8" i="17" a="1"/>
  <c r="Z8" i="17" s="1"/>
  <c r="V6" i="16"/>
  <c r="V4" i="16"/>
  <c r="V7" i="16"/>
  <c r="V3" i="16"/>
  <c r="V5" i="16"/>
  <c r="AC3" i="15"/>
  <c r="D45" i="14"/>
  <c r="I12" i="14"/>
  <c r="N14" i="17"/>
  <c r="I2" i="17" s="1"/>
  <c r="I13" i="13"/>
  <c r="AG13" i="13"/>
  <c r="Y11" i="15"/>
  <c r="Y12" i="15" s="1"/>
  <c r="AG2" i="14"/>
  <c r="AC9" i="15"/>
  <c r="S10" i="14"/>
  <c r="AC12" i="14"/>
  <c r="AC13" i="14"/>
  <c r="F45" i="14"/>
  <c r="I14" i="14"/>
  <c r="AE5" i="13"/>
  <c r="AC2" i="15"/>
  <c r="S18" i="14"/>
  <c r="W10" i="13"/>
  <c r="W9" i="13"/>
  <c r="W8" i="13"/>
  <c r="AE4" i="13"/>
  <c r="C13" i="12"/>
  <c r="C21" i="12" s="1"/>
  <c r="AE10" i="13"/>
  <c r="AE9" i="13"/>
  <c r="Q21" i="13"/>
  <c r="C12" i="10"/>
  <c r="C20" i="10" s="1"/>
  <c r="Q19" i="11"/>
  <c r="C14" i="12"/>
  <c r="C22" i="12" s="1"/>
  <c r="Y21" i="10"/>
  <c r="Q17" i="10"/>
  <c r="AE6" i="8"/>
  <c r="C11" i="9"/>
  <c r="C19" i="9" s="1"/>
  <c r="AE9" i="10"/>
  <c r="AE3" i="9"/>
  <c r="U12" i="11"/>
  <c r="U15" i="11" s="1"/>
  <c r="Q20" i="10"/>
  <c r="U3" i="10"/>
  <c r="U2" i="10"/>
  <c r="U8" i="10"/>
  <c r="U5" i="10"/>
  <c r="U6" i="10"/>
  <c r="U7" i="10"/>
  <c r="AN25" i="10"/>
  <c r="S19" i="10"/>
  <c r="AE7" i="9"/>
  <c r="C13" i="8"/>
  <c r="C21" i="8" s="1"/>
  <c r="Q16" i="6"/>
  <c r="W5" i="10"/>
  <c r="S12" i="8"/>
  <c r="S17" i="8" s="1"/>
  <c r="S19" i="9"/>
  <c r="Q12" i="8"/>
  <c r="Q13" i="8" s="1"/>
  <c r="AE3" i="10"/>
  <c r="Q6" i="9"/>
  <c r="Q15" i="10"/>
  <c r="Q13" i="6"/>
  <c r="Q19" i="6" s="1"/>
  <c r="P23" i="6"/>
  <c r="Q14" i="6"/>
  <c r="AE7" i="5"/>
  <c r="W14" i="7"/>
  <c r="U15" i="7"/>
  <c r="S3" i="4"/>
  <c r="S2" i="4"/>
  <c r="S8" i="4"/>
  <c r="S7" i="4"/>
  <c r="S4" i="4"/>
  <c r="AA10" i="3"/>
  <c r="AA9" i="3"/>
  <c r="AA8" i="3"/>
  <c r="AA7" i="3"/>
  <c r="AA6" i="3"/>
  <c r="AA5" i="3"/>
  <c r="AA4" i="3"/>
  <c r="AA3" i="3"/>
  <c r="AA2" i="3"/>
  <c r="Y12" i="8"/>
  <c r="Y13" i="8"/>
  <c r="R23" i="6"/>
  <c r="W16" i="5"/>
  <c r="V23" i="5"/>
  <c r="W8" i="5"/>
  <c r="W3" i="5"/>
  <c r="W2" i="5"/>
  <c r="W10" i="5"/>
  <c r="W5" i="5"/>
  <c r="AE8" i="4"/>
  <c r="AE4" i="6"/>
  <c r="AE10" i="5"/>
  <c r="AE6" i="3"/>
  <c r="Q4" i="6"/>
  <c r="U8" i="3"/>
  <c r="U7" i="3"/>
  <c r="U6" i="3"/>
  <c r="U5" i="3"/>
  <c r="U4" i="3"/>
  <c r="U3" i="3"/>
  <c r="U2" i="3"/>
  <c r="W20" i="7"/>
  <c r="D13" i="5"/>
  <c r="E13" i="5" s="1"/>
  <c r="Y12" i="7"/>
  <c r="Y10" i="5"/>
  <c r="D12" i="4"/>
  <c r="E12" i="4" s="1"/>
  <c r="W17" i="4"/>
  <c r="U6" i="5"/>
  <c r="AA10" i="4"/>
  <c r="Q2" i="3"/>
  <c r="AE5" i="3"/>
  <c r="J25" i="1"/>
  <c r="Y7" i="4"/>
  <c r="Q5" i="3"/>
  <c r="S13" i="1"/>
  <c r="S14" i="1" s="1"/>
  <c r="R23" i="1"/>
  <c r="Y22" i="1"/>
  <c r="AE4" i="1"/>
  <c r="Y19" i="1"/>
  <c r="Q13" i="1"/>
  <c r="Q18" i="1" s="1"/>
  <c r="Y3" i="3"/>
  <c r="W16" i="1"/>
  <c r="Q3" i="1"/>
  <c r="W22" i="1"/>
  <c r="U16" i="15"/>
  <c r="AE3" i="13"/>
  <c r="AJ13" i="13"/>
  <c r="P18" i="16"/>
  <c r="P7" i="19"/>
  <c r="AA7" i="19" s="1" a="1"/>
  <c r="AA7" i="19" s="1"/>
  <c r="P8" i="19"/>
  <c r="Z8" i="19" s="1" a="1"/>
  <c r="Z8" i="19" s="1"/>
  <c r="P6" i="18"/>
  <c r="Z6" i="18" s="1" a="1"/>
  <c r="Z6" i="18" s="1"/>
  <c r="P8" i="18"/>
  <c r="Z8" i="18" s="1" a="1"/>
  <c r="Z8" i="18" s="1"/>
  <c r="P2" i="18"/>
  <c r="P7" i="18"/>
  <c r="Z7" i="18" s="1" a="1"/>
  <c r="Z7" i="18" s="1"/>
  <c r="P4" i="18"/>
  <c r="N15" i="19"/>
  <c r="X17" i="19"/>
  <c r="N16" i="17"/>
  <c r="R15" i="16"/>
  <c r="N4" i="16"/>
  <c r="N3" i="16"/>
  <c r="N6" i="16"/>
  <c r="AA6" i="16" s="1" a="1"/>
  <c r="AA6" i="16" s="1"/>
  <c r="N5" i="16"/>
  <c r="I6" i="17"/>
  <c r="V15" i="16"/>
  <c r="V17" i="16"/>
  <c r="AA12" i="14"/>
  <c r="AA13" i="14" s="1"/>
  <c r="AE7" i="13"/>
  <c r="S20" i="13"/>
  <c r="S19" i="13"/>
  <c r="E22" i="10"/>
  <c r="AK16" i="10"/>
  <c r="F22" i="10"/>
  <c r="Y19" i="11"/>
  <c r="Q7" i="11"/>
  <c r="Q4" i="11"/>
  <c r="Q3" i="11"/>
  <c r="Q2" i="11"/>
  <c r="Q21" i="10"/>
  <c r="S21" i="11"/>
  <c r="AE8" i="11"/>
  <c r="W10" i="11"/>
  <c r="W6" i="11"/>
  <c r="W5" i="11"/>
  <c r="W3" i="11"/>
  <c r="W2" i="11"/>
  <c r="Q20" i="11"/>
  <c r="S20" i="10"/>
  <c r="U15" i="10"/>
  <c r="C12" i="8"/>
  <c r="C20" i="8" s="1"/>
  <c r="AI16" i="7"/>
  <c r="F20" i="7"/>
  <c r="E20" i="7"/>
  <c r="W12" i="10"/>
  <c r="E18" i="9"/>
  <c r="AG16" i="9"/>
  <c r="F18" i="9"/>
  <c r="AE8" i="10"/>
  <c r="D10" i="6"/>
  <c r="E10" i="6" s="1"/>
  <c r="W12" i="8"/>
  <c r="W16" i="8" s="1"/>
  <c r="W21" i="5"/>
  <c r="AI11" i="6"/>
  <c r="D12" i="5"/>
  <c r="E12" i="5" s="1"/>
  <c r="W8" i="11"/>
  <c r="Q7" i="10"/>
  <c r="Q5" i="10"/>
  <c r="Q20" i="9"/>
  <c r="AE10" i="6"/>
  <c r="U3" i="9"/>
  <c r="U7" i="8"/>
  <c r="W9" i="8"/>
  <c r="AE3" i="6"/>
  <c r="D14" i="4"/>
  <c r="E14" i="4" s="1"/>
  <c r="W13" i="7"/>
  <c r="Y9" i="6"/>
  <c r="Y8" i="6"/>
  <c r="Y7" i="6"/>
  <c r="Y10" i="6"/>
  <c r="Y5" i="6"/>
  <c r="AE5" i="7"/>
  <c r="W19" i="5"/>
  <c r="S13" i="5"/>
  <c r="S16" i="5" s="1"/>
  <c r="R23" i="5"/>
  <c r="AL26" i="7"/>
  <c r="W9" i="5"/>
  <c r="AE7" i="4"/>
  <c r="D15" i="4"/>
  <c r="E15" i="4" s="1"/>
  <c r="AE6" i="9"/>
  <c r="W18" i="7"/>
  <c r="AE9" i="5"/>
  <c r="U16" i="4"/>
  <c r="Q6" i="5"/>
  <c r="Q3" i="5"/>
  <c r="Q2" i="5"/>
  <c r="AI10" i="4"/>
  <c r="U14" i="4"/>
  <c r="T23" i="4"/>
  <c r="U13" i="4"/>
  <c r="U15" i="4" s="1"/>
  <c r="AA22" i="4"/>
  <c r="AI11" i="4"/>
  <c r="P23" i="3"/>
  <c r="Q13" i="3"/>
  <c r="Q22" i="3" s="1"/>
  <c r="Q4" i="1"/>
  <c r="W8" i="7"/>
  <c r="W10" i="7"/>
  <c r="W6" i="7"/>
  <c r="W5" i="7"/>
  <c r="W3" i="7"/>
  <c r="W2" i="7"/>
  <c r="Q3" i="3"/>
  <c r="AE10" i="9"/>
  <c r="Y17" i="1"/>
  <c r="Y19" i="4"/>
  <c r="Q6" i="3"/>
  <c r="Y6" i="1"/>
  <c r="Q10" i="1"/>
  <c r="Y15" i="3"/>
  <c r="Q2" i="1"/>
  <c r="V13" i="20"/>
  <c r="T13" i="19"/>
  <c r="J7" i="15"/>
  <c r="P11" i="16"/>
  <c r="P16" i="16" s="1"/>
  <c r="Y16" i="15"/>
  <c r="I29" i="15"/>
  <c r="AE2" i="11"/>
  <c r="X5" i="20"/>
  <c r="X18" i="19"/>
  <c r="R5" i="18"/>
  <c r="Z5" i="18" s="1" a="1"/>
  <c r="Z5" i="18" s="1"/>
  <c r="R4" i="18"/>
  <c r="R2" i="18"/>
  <c r="T12" i="17"/>
  <c r="T11" i="17"/>
  <c r="T11" i="20"/>
  <c r="N13" i="18"/>
  <c r="R6" i="18"/>
  <c r="Z7" i="17" a="1"/>
  <c r="Z7" i="17" s="1"/>
  <c r="H45" i="14"/>
  <c r="I16" i="14"/>
  <c r="I7" i="16"/>
  <c r="U12" i="13"/>
  <c r="W20" i="14"/>
  <c r="S13" i="14"/>
  <c r="S12" i="14"/>
  <c r="S14" i="14" s="1"/>
  <c r="X8" i="20"/>
  <c r="N18" i="20"/>
  <c r="X2" i="20"/>
  <c r="R18" i="18"/>
  <c r="N5" i="20"/>
  <c r="AA5" i="20" s="1" a="1"/>
  <c r="AA5" i="20" s="1"/>
  <c r="N6" i="20"/>
  <c r="N2" i="20"/>
  <c r="AA2" i="20" s="1" a="1"/>
  <c r="AA2" i="20" s="1"/>
  <c r="P3" i="19"/>
  <c r="Z3" i="19" s="1" a="1"/>
  <c r="Z3" i="19" s="1"/>
  <c r="T18" i="19"/>
  <c r="T8" i="20"/>
  <c r="Z8" i="20" s="1" a="1"/>
  <c r="Z8" i="20" s="1"/>
  <c r="T7" i="20"/>
  <c r="Z7" i="20" s="1" a="1"/>
  <c r="Z7" i="20" s="1"/>
  <c r="T2" i="20"/>
  <c r="T4" i="20"/>
  <c r="P7" i="16"/>
  <c r="R16" i="20"/>
  <c r="P13" i="18"/>
  <c r="P3" i="18"/>
  <c r="Z3" i="18" s="1" a="1"/>
  <c r="Z3" i="18" s="1"/>
  <c r="R18" i="20"/>
  <c r="X5" i="18"/>
  <c r="P17" i="16"/>
  <c r="X7" i="19"/>
  <c r="V18" i="16"/>
  <c r="V16" i="16"/>
  <c r="V13" i="16"/>
  <c r="P6" i="16"/>
  <c r="O5" i="15"/>
  <c r="N11" i="16"/>
  <c r="O4" i="15"/>
  <c r="Y8" i="15"/>
  <c r="AC7" i="14"/>
  <c r="AC6" i="14"/>
  <c r="Y20" i="14"/>
  <c r="Y6" i="15"/>
  <c r="AG7" i="14"/>
  <c r="W14" i="15"/>
  <c r="N8" i="16"/>
  <c r="AA8" i="16" s="1" a="1"/>
  <c r="AA8" i="16" s="1"/>
  <c r="U4" i="15"/>
  <c r="U5" i="15"/>
  <c r="S9" i="14"/>
  <c r="U12" i="14"/>
  <c r="U14" i="14" s="1"/>
  <c r="V14" i="16"/>
  <c r="Y16" i="14"/>
  <c r="S16" i="13"/>
  <c r="AG8" i="14"/>
  <c r="Y17" i="13"/>
  <c r="C15" i="12"/>
  <c r="C23" i="12" s="1"/>
  <c r="Q11" i="15"/>
  <c r="Q15" i="15" s="1"/>
  <c r="AA14" i="14"/>
  <c r="W12" i="13"/>
  <c r="W14" i="13" s="1"/>
  <c r="E45" i="14"/>
  <c r="I13" i="14"/>
  <c r="Y15" i="14"/>
  <c r="AA17" i="14"/>
  <c r="S6" i="13"/>
  <c r="S3" i="13"/>
  <c r="S5" i="13"/>
  <c r="S8" i="13"/>
  <c r="C11" i="11"/>
  <c r="C19" i="11" s="1"/>
  <c r="C11" i="10"/>
  <c r="C19" i="10" s="1"/>
  <c r="Q6" i="11"/>
  <c r="C10" i="10"/>
  <c r="C18" i="10" s="1"/>
  <c r="S15" i="11"/>
  <c r="U3" i="11"/>
  <c r="U2" i="11"/>
  <c r="U8" i="11"/>
  <c r="U7" i="11"/>
  <c r="U5" i="11"/>
  <c r="AA6" i="13"/>
  <c r="U20" i="11"/>
  <c r="Y17" i="10"/>
  <c r="S16" i="11"/>
  <c r="S5" i="11"/>
  <c r="S9" i="11"/>
  <c r="S7" i="11"/>
  <c r="S5" i="9"/>
  <c r="T4" i="12"/>
  <c r="K20" i="12"/>
  <c r="T3" i="12"/>
  <c r="T2" i="12"/>
  <c r="G28" i="12"/>
  <c r="J20" i="12"/>
  <c r="T9" i="12"/>
  <c r="E28" i="12"/>
  <c r="AI23" i="12"/>
  <c r="C28" i="12"/>
  <c r="T8" i="12"/>
  <c r="T7" i="12"/>
  <c r="T6" i="12"/>
  <c r="T10" i="12"/>
  <c r="T5" i="12"/>
  <c r="Q8" i="11"/>
  <c r="W9" i="9"/>
  <c r="W7" i="9"/>
  <c r="W5" i="9"/>
  <c r="W3" i="9"/>
  <c r="W2" i="9"/>
  <c r="AJ26" i="10"/>
  <c r="U4" i="10"/>
  <c r="W20" i="8"/>
  <c r="AE4" i="10"/>
  <c r="U8" i="9"/>
  <c r="AE10" i="11"/>
  <c r="W7" i="10"/>
  <c r="C14" i="9"/>
  <c r="C22" i="9" s="1"/>
  <c r="Y19" i="8"/>
  <c r="Y12" i="9"/>
  <c r="Y21" i="9" s="1"/>
  <c r="U16" i="5"/>
  <c r="W12" i="11"/>
  <c r="S12" i="9"/>
  <c r="AE2" i="8"/>
  <c r="U17" i="9"/>
  <c r="AA13" i="6"/>
  <c r="W3" i="6"/>
  <c r="D11" i="5"/>
  <c r="E11" i="5" s="1"/>
  <c r="Q2" i="10"/>
  <c r="AE5" i="6"/>
  <c r="U2" i="9"/>
  <c r="Q8" i="8"/>
  <c r="C15" i="7"/>
  <c r="C23" i="7" s="1"/>
  <c r="AE2" i="6"/>
  <c r="Q9" i="7"/>
  <c r="Y18" i="6"/>
  <c r="Y7" i="5"/>
  <c r="AE9" i="4"/>
  <c r="AE4" i="9"/>
  <c r="U14" i="7"/>
  <c r="W8" i="6"/>
  <c r="S9" i="6"/>
  <c r="Y9" i="5"/>
  <c r="AE9" i="3"/>
  <c r="AE8" i="5"/>
  <c r="AA4" i="5"/>
  <c r="AA9" i="5"/>
  <c r="AA7" i="5"/>
  <c r="Q16" i="5"/>
  <c r="AA6" i="4"/>
  <c r="U10" i="7"/>
  <c r="Q21" i="5"/>
  <c r="U18" i="5"/>
  <c r="S17" i="4"/>
  <c r="S20" i="4"/>
  <c r="R23" i="4"/>
  <c r="AE3" i="3"/>
  <c r="Q9" i="1"/>
  <c r="W17" i="3"/>
  <c r="W15" i="7"/>
  <c r="S17" i="3"/>
  <c r="Y18" i="1"/>
  <c r="U10" i="3"/>
  <c r="Q17" i="1"/>
  <c r="S8" i="7"/>
  <c r="Y8" i="1"/>
  <c r="Y7" i="1"/>
  <c r="Y14" i="1"/>
  <c r="Y5" i="1"/>
  <c r="W13" i="4"/>
  <c r="AE8" i="1"/>
  <c r="W14" i="3"/>
  <c r="U7" i="1"/>
  <c r="U3" i="1"/>
  <c r="AE3" i="1"/>
  <c r="AE7" i="1"/>
  <c r="D11" i="1"/>
  <c r="E11" i="1" s="1"/>
  <c r="AA16" i="22" l="1"/>
  <c r="AA21" i="22"/>
  <c r="AA15" i="22"/>
  <c r="AA19" i="22"/>
  <c r="AA17" i="22"/>
  <c r="AA14" i="22"/>
  <c r="AA20" i="22"/>
  <c r="U20" i="22"/>
  <c r="U15" i="22"/>
  <c r="U17" i="22"/>
  <c r="U18" i="22"/>
  <c r="U22" i="22"/>
  <c r="U19" i="22"/>
  <c r="U16" i="22"/>
  <c r="W16" i="22"/>
  <c r="W15" i="22"/>
  <c r="W18" i="22"/>
  <c r="W19" i="22"/>
  <c r="W17" i="22"/>
  <c r="W20" i="22"/>
  <c r="W21" i="22"/>
  <c r="AA18" i="22"/>
  <c r="S20" i="22"/>
  <c r="S14" i="22"/>
  <c r="S21" i="22"/>
  <c r="S17" i="22"/>
  <c r="S15" i="22"/>
  <c r="U21" i="22"/>
  <c r="AA22" i="22"/>
  <c r="W22" i="22"/>
  <c r="Q21" i="18"/>
  <c r="R20" i="18" s="1"/>
  <c r="G14" i="18"/>
  <c r="C14" i="18"/>
  <c r="E14" i="18"/>
  <c r="G12" i="17"/>
  <c r="E12" i="17"/>
  <c r="C12" i="17"/>
  <c r="M21" i="17"/>
  <c r="AA22" i="6"/>
  <c r="AA15" i="6"/>
  <c r="AA18" i="6"/>
  <c r="AA19" i="6"/>
  <c r="AA20" i="6"/>
  <c r="AA17" i="6"/>
  <c r="AA14" i="6"/>
  <c r="T17" i="12"/>
  <c r="Q16" i="3"/>
  <c r="H13" i="13"/>
  <c r="F13" i="13"/>
  <c r="E24" i="13"/>
  <c r="AG14" i="13"/>
  <c r="AG15" i="13" s="1"/>
  <c r="D13" i="13"/>
  <c r="E26" i="16"/>
  <c r="G16" i="16"/>
  <c r="E16" i="16"/>
  <c r="C16" i="16"/>
  <c r="N17" i="19"/>
  <c r="N16" i="19"/>
  <c r="N12" i="19"/>
  <c r="N18" i="19"/>
  <c r="AG16" i="8"/>
  <c r="E18" i="8"/>
  <c r="F18" i="8"/>
  <c r="AA17" i="13"/>
  <c r="I5" i="19"/>
  <c r="F11" i="8"/>
  <c r="E11" i="8"/>
  <c r="AH18" i="8"/>
  <c r="AI18" i="9"/>
  <c r="F12" i="9"/>
  <c r="E12" i="9"/>
  <c r="AA4" i="18" a="1"/>
  <c r="AA4" i="18" s="1"/>
  <c r="Q15" i="3"/>
  <c r="Y16" i="3"/>
  <c r="S20" i="9"/>
  <c r="S16" i="9"/>
  <c r="S21" i="9"/>
  <c r="S18" i="9"/>
  <c r="S13" i="9"/>
  <c r="S14" i="9"/>
  <c r="S17" i="9"/>
  <c r="U7" i="12"/>
  <c r="T18" i="12"/>
  <c r="U1" i="12"/>
  <c r="U6" i="12" s="1"/>
  <c r="T13" i="12"/>
  <c r="AI5" i="12"/>
  <c r="W13" i="13"/>
  <c r="AA7" i="16" a="1"/>
  <c r="AA7" i="16" s="1"/>
  <c r="Z7" i="16" a="1"/>
  <c r="Z7" i="16" s="1"/>
  <c r="AA6" i="20" a="1"/>
  <c r="AA6" i="20" s="1"/>
  <c r="W17" i="13"/>
  <c r="Q22" i="1"/>
  <c r="AG18" i="9"/>
  <c r="F10" i="9"/>
  <c r="E10" i="9"/>
  <c r="AI16" i="8"/>
  <c r="E20" i="8"/>
  <c r="F20" i="8"/>
  <c r="AA3" i="16" a="1"/>
  <c r="AA3" i="16" s="1"/>
  <c r="AB8" i="16" s="1"/>
  <c r="Z2" i="18" a="1"/>
  <c r="Z2" i="18" s="1"/>
  <c r="Q18" i="3"/>
  <c r="Y17" i="7"/>
  <c r="Y13" i="7"/>
  <c r="Y21" i="7"/>
  <c r="Y14" i="7"/>
  <c r="Y15" i="7"/>
  <c r="Y18" i="7"/>
  <c r="Y19" i="7"/>
  <c r="Y16" i="7"/>
  <c r="Y21" i="8"/>
  <c r="Y20" i="8"/>
  <c r="Y18" i="8"/>
  <c r="Y15" i="8"/>
  <c r="Y17" i="8"/>
  <c r="Y14" i="8"/>
  <c r="E21" i="8"/>
  <c r="AJ16" i="8"/>
  <c r="F21" i="8"/>
  <c r="C14" i="16"/>
  <c r="E24" i="16"/>
  <c r="G14" i="16"/>
  <c r="E14" i="16"/>
  <c r="R13" i="16"/>
  <c r="R18" i="16"/>
  <c r="R14" i="16"/>
  <c r="R17" i="16"/>
  <c r="Q20" i="3"/>
  <c r="Y17" i="5"/>
  <c r="E22" i="16"/>
  <c r="G12" i="16"/>
  <c r="C12" i="16"/>
  <c r="E12" i="16"/>
  <c r="Q19" i="3"/>
  <c r="Q22" i="4"/>
  <c r="Q21" i="4"/>
  <c r="Q17" i="4"/>
  <c r="Q15" i="4"/>
  <c r="Q18" i="4"/>
  <c r="Q14" i="4"/>
  <c r="Q20" i="4"/>
  <c r="AA18" i="4"/>
  <c r="AA21" i="4"/>
  <c r="AA20" i="4"/>
  <c r="AA16" i="4"/>
  <c r="AA15" i="4"/>
  <c r="AA19" i="4"/>
  <c r="E20" i="11"/>
  <c r="AI21" i="11"/>
  <c r="F20" i="11"/>
  <c r="U21" i="11"/>
  <c r="S20" i="14"/>
  <c r="Z2" i="16" a="1"/>
  <c r="Z2" i="16" s="1"/>
  <c r="AA7" i="17" a="1"/>
  <c r="AA7" i="17" s="1"/>
  <c r="W22" i="6"/>
  <c r="W19" i="6"/>
  <c r="W18" i="6"/>
  <c r="W17" i="6"/>
  <c r="W15" i="6"/>
  <c r="W14" i="6"/>
  <c r="W16" i="6"/>
  <c r="W21" i="6"/>
  <c r="S13" i="7"/>
  <c r="Y15" i="10"/>
  <c r="Y16" i="10"/>
  <c r="Y18" i="10"/>
  <c r="Y19" i="10"/>
  <c r="E25" i="13"/>
  <c r="AH14" i="13"/>
  <c r="AH15" i="13" s="1"/>
  <c r="H14" i="13"/>
  <c r="F14" i="13"/>
  <c r="D14" i="13"/>
  <c r="E22" i="15"/>
  <c r="G12" i="15"/>
  <c r="E12" i="15"/>
  <c r="C12" i="15"/>
  <c r="Q22" i="5"/>
  <c r="U16" i="9"/>
  <c r="T15" i="16"/>
  <c r="T13" i="16"/>
  <c r="T12" i="16"/>
  <c r="T18" i="16"/>
  <c r="T17" i="16"/>
  <c r="T16" i="16"/>
  <c r="F15" i="11"/>
  <c r="E15" i="11"/>
  <c r="AA4" i="19" a="1"/>
  <c r="AA4" i="19" s="1"/>
  <c r="S16" i="14"/>
  <c r="Z6" i="17" a="1"/>
  <c r="Z6" i="17" s="1"/>
  <c r="E14" i="15"/>
  <c r="C14" i="15"/>
  <c r="E24" i="15"/>
  <c r="G14" i="15"/>
  <c r="AA6" i="18" a="1"/>
  <c r="AA6" i="18" s="1"/>
  <c r="D16" i="14"/>
  <c r="E26" i="14"/>
  <c r="H16" i="14"/>
  <c r="F16" i="14"/>
  <c r="H35" i="14"/>
  <c r="H41" i="14" s="1"/>
  <c r="P12" i="19"/>
  <c r="P16" i="19"/>
  <c r="P14" i="19"/>
  <c r="V18" i="19"/>
  <c r="V17" i="19"/>
  <c r="V16" i="19"/>
  <c r="V14" i="19"/>
  <c r="V12" i="19"/>
  <c r="V13" i="19"/>
  <c r="C26" i="12"/>
  <c r="P8" i="12"/>
  <c r="P7" i="12"/>
  <c r="P6" i="12"/>
  <c r="K18" i="12"/>
  <c r="P10" i="12"/>
  <c r="P5" i="12"/>
  <c r="J18" i="12"/>
  <c r="G18" i="12" s="1"/>
  <c r="AG23" i="12"/>
  <c r="P3" i="12"/>
  <c r="P2" i="12"/>
  <c r="G26" i="12"/>
  <c r="P9" i="12"/>
  <c r="E26" i="12"/>
  <c r="P4" i="12"/>
  <c r="W14" i="11"/>
  <c r="W13" i="11"/>
  <c r="W18" i="11"/>
  <c r="W16" i="11"/>
  <c r="W17" i="11"/>
  <c r="W15" i="11"/>
  <c r="W21" i="11"/>
  <c r="T19" i="12"/>
  <c r="U8" i="12"/>
  <c r="U3" i="12"/>
  <c r="T14" i="12"/>
  <c r="N16" i="16"/>
  <c r="N13" i="16"/>
  <c r="N12" i="16"/>
  <c r="N17" i="16"/>
  <c r="Y17" i="3"/>
  <c r="AA19" i="14"/>
  <c r="AA20" i="14"/>
  <c r="AA21" i="14"/>
  <c r="AA4" i="16" a="1"/>
  <c r="AA4" i="16" s="1"/>
  <c r="AB4" i="16" s="1"/>
  <c r="E21" i="12"/>
  <c r="G13" i="12"/>
  <c r="AJ21" i="12"/>
  <c r="F21" i="12"/>
  <c r="E13" i="12" s="1"/>
  <c r="W16" i="13"/>
  <c r="D35" i="14"/>
  <c r="D41" i="14" s="1"/>
  <c r="D12" i="14"/>
  <c r="E22" i="14"/>
  <c r="E30" i="14" s="1" a="1"/>
  <c r="E30" i="14" s="1"/>
  <c r="H12" i="14"/>
  <c r="F12" i="14"/>
  <c r="N15" i="16"/>
  <c r="R18" i="19"/>
  <c r="R17" i="19"/>
  <c r="R14" i="19"/>
  <c r="R12" i="19"/>
  <c r="R16" i="19"/>
  <c r="G35" i="14"/>
  <c r="G41" i="14" s="1"/>
  <c r="F15" i="14"/>
  <c r="D15" i="14"/>
  <c r="E25" i="14"/>
  <c r="H15" i="14"/>
  <c r="U22" i="5"/>
  <c r="U20" i="5"/>
  <c r="U21" i="5"/>
  <c r="U17" i="5"/>
  <c r="U19" i="5"/>
  <c r="Y16" i="6"/>
  <c r="X18" i="18"/>
  <c r="X17" i="18"/>
  <c r="X12" i="18"/>
  <c r="X16" i="18"/>
  <c r="X14" i="18"/>
  <c r="E17" i="20"/>
  <c r="W21" i="20"/>
  <c r="AA21" i="20" s="1" a="1"/>
  <c r="AA21" i="20" s="1"/>
  <c r="C17" i="20"/>
  <c r="G17" i="20"/>
  <c r="U15" i="3"/>
  <c r="U20" i="3"/>
  <c r="U19" i="3"/>
  <c r="U18" i="3"/>
  <c r="U21" i="3"/>
  <c r="U14" i="3"/>
  <c r="U22" i="3"/>
  <c r="U16" i="3"/>
  <c r="U21" i="6"/>
  <c r="S14" i="13"/>
  <c r="S21" i="13"/>
  <c r="W18" i="13"/>
  <c r="C13" i="15"/>
  <c r="E23" i="15"/>
  <c r="E29" i="15" s="1" a="1"/>
  <c r="E29" i="15" s="1"/>
  <c r="G13" i="15"/>
  <c r="E13" i="15"/>
  <c r="S17" i="7"/>
  <c r="S18" i="7"/>
  <c r="S15" i="7"/>
  <c r="S20" i="7"/>
  <c r="S21" i="7"/>
  <c r="S14" i="8"/>
  <c r="S15" i="14"/>
  <c r="AK16" i="7"/>
  <c r="E22" i="7"/>
  <c r="F22" i="7"/>
  <c r="Q18" i="11"/>
  <c r="Q21" i="11"/>
  <c r="Q16" i="11"/>
  <c r="Q14" i="11"/>
  <c r="Q17" i="11"/>
  <c r="Q13" i="11"/>
  <c r="T14" i="16"/>
  <c r="AA7" i="20" a="1"/>
  <c r="AA7" i="20" s="1"/>
  <c r="E19" i="10"/>
  <c r="AH16" i="10"/>
  <c r="F19" i="10"/>
  <c r="G17" i="15"/>
  <c r="E17" i="15"/>
  <c r="C17" i="15"/>
  <c r="E27" i="15"/>
  <c r="E23" i="16"/>
  <c r="E13" i="16"/>
  <c r="G13" i="16"/>
  <c r="C13" i="16"/>
  <c r="U18" i="6"/>
  <c r="U22" i="6"/>
  <c r="U19" i="6"/>
  <c r="U17" i="6"/>
  <c r="U20" i="6"/>
  <c r="U15" i="6"/>
  <c r="U16" i="6"/>
  <c r="Q13" i="15"/>
  <c r="Q19" i="15"/>
  <c r="Q17" i="15"/>
  <c r="Q14" i="15"/>
  <c r="Q18" i="15"/>
  <c r="U15" i="14"/>
  <c r="U21" i="14"/>
  <c r="U17" i="14"/>
  <c r="U16" i="14"/>
  <c r="U20" i="14"/>
  <c r="U18" i="14"/>
  <c r="U17" i="13"/>
  <c r="U20" i="13"/>
  <c r="U14" i="13"/>
  <c r="U18" i="13"/>
  <c r="U15" i="13"/>
  <c r="U16" i="13"/>
  <c r="T17" i="20"/>
  <c r="T12" i="20"/>
  <c r="T16" i="20"/>
  <c r="T13" i="20"/>
  <c r="T14" i="20"/>
  <c r="T18" i="20"/>
  <c r="F14" i="10"/>
  <c r="AK18" i="10"/>
  <c r="E14" i="10"/>
  <c r="U19" i="14"/>
  <c r="Q17" i="8"/>
  <c r="Q20" i="8"/>
  <c r="Q21" i="8"/>
  <c r="Q18" i="8"/>
  <c r="AK21" i="12"/>
  <c r="G14" i="12"/>
  <c r="F22" i="12"/>
  <c r="E14" i="12" s="1"/>
  <c r="E22" i="12"/>
  <c r="H14" i="14"/>
  <c r="F35" i="14"/>
  <c r="F41" i="14" s="1"/>
  <c r="F14" i="14"/>
  <c r="D14" i="14"/>
  <c r="E24" i="14"/>
  <c r="W15" i="13"/>
  <c r="D42" i="14"/>
  <c r="D43" i="14"/>
  <c r="D44" i="14"/>
  <c r="D40" i="14"/>
  <c r="G43" i="14"/>
  <c r="G44" i="14"/>
  <c r="G40" i="14"/>
  <c r="G42" i="14"/>
  <c r="S14" i="6"/>
  <c r="S15" i="6"/>
  <c r="S17" i="6"/>
  <c r="S18" i="6"/>
  <c r="S20" i="6"/>
  <c r="S22" i="6"/>
  <c r="S19" i="6"/>
  <c r="AH16" i="7"/>
  <c r="E19" i="7"/>
  <c r="F19" i="7"/>
  <c r="R6" i="12"/>
  <c r="R10" i="12"/>
  <c r="R5" i="12"/>
  <c r="R4" i="12"/>
  <c r="R3" i="12"/>
  <c r="R2" i="12"/>
  <c r="G27" i="12"/>
  <c r="AH23" i="12"/>
  <c r="R9" i="12"/>
  <c r="E27" i="12"/>
  <c r="C27" i="12"/>
  <c r="K19" i="12"/>
  <c r="R8" i="12"/>
  <c r="J19" i="12"/>
  <c r="R7" i="12"/>
  <c r="AA19" i="13"/>
  <c r="R15" i="19"/>
  <c r="P13" i="19"/>
  <c r="Y22" i="4"/>
  <c r="Y17" i="4"/>
  <c r="Y18" i="4"/>
  <c r="Y15" i="4"/>
  <c r="Y20" i="4"/>
  <c r="Y14" i="4"/>
  <c r="Y21" i="4"/>
  <c r="S16" i="10"/>
  <c r="S18" i="10"/>
  <c r="S15" i="10"/>
  <c r="S13" i="10"/>
  <c r="AJ21" i="11"/>
  <c r="F21" i="11"/>
  <c r="E21" i="11"/>
  <c r="S17" i="14"/>
  <c r="S21" i="5"/>
  <c r="Q16" i="9"/>
  <c r="Q13" i="9"/>
  <c r="Q19" i="9"/>
  <c r="Y16" i="8"/>
  <c r="U15" i="1"/>
  <c r="O16" i="15"/>
  <c r="O17" i="15"/>
  <c r="O15" i="15"/>
  <c r="O18" i="15"/>
  <c r="O19" i="15"/>
  <c r="O13" i="15"/>
  <c r="N18" i="16"/>
  <c r="F14" i="11"/>
  <c r="E14" i="11"/>
  <c r="Z5" i="17" a="1"/>
  <c r="Z5" i="17" s="1"/>
  <c r="AA5" i="18" a="1"/>
  <c r="AA5" i="18" s="1"/>
  <c r="Y14" i="9"/>
  <c r="Y19" i="9"/>
  <c r="Y16" i="9"/>
  <c r="Y13" i="9"/>
  <c r="Y18" i="9"/>
  <c r="T15" i="12"/>
  <c r="U4" i="12"/>
  <c r="E18" i="10"/>
  <c r="AG16" i="10"/>
  <c r="F18" i="10"/>
  <c r="Q12" i="15"/>
  <c r="U13" i="14"/>
  <c r="Z6" i="16" a="1"/>
  <c r="Z6" i="16" s="1"/>
  <c r="U13" i="13"/>
  <c r="T15" i="20"/>
  <c r="U16" i="1"/>
  <c r="U17" i="4"/>
  <c r="U21" i="4"/>
  <c r="U22" i="4"/>
  <c r="U18" i="4"/>
  <c r="U19" i="4"/>
  <c r="S14" i="5"/>
  <c r="W19" i="10"/>
  <c r="W14" i="10"/>
  <c r="W17" i="10"/>
  <c r="W15" i="10"/>
  <c r="W13" i="10"/>
  <c r="W16" i="10"/>
  <c r="W21" i="10"/>
  <c r="S18" i="1"/>
  <c r="S16" i="1"/>
  <c r="S19" i="1"/>
  <c r="S21" i="1"/>
  <c r="S20" i="1"/>
  <c r="S22" i="1"/>
  <c r="S15" i="1"/>
  <c r="S17" i="1"/>
  <c r="U19" i="11"/>
  <c r="U16" i="11"/>
  <c r="U13" i="11"/>
  <c r="U14" i="11"/>
  <c r="U18" i="11"/>
  <c r="AA15" i="14"/>
  <c r="F43" i="14"/>
  <c r="F44" i="14"/>
  <c r="F40" i="14"/>
  <c r="F42" i="14"/>
  <c r="AA6" i="19" a="1"/>
  <c r="AA6" i="19" s="1"/>
  <c r="AG18" i="7"/>
  <c r="F10" i="7"/>
  <c r="E10" i="7"/>
  <c r="Y22" i="6"/>
  <c r="Y21" i="6"/>
  <c r="Y19" i="6"/>
  <c r="Y20" i="6"/>
  <c r="Y17" i="6"/>
  <c r="AL16" i="10"/>
  <c r="E23" i="10"/>
  <c r="F23" i="10"/>
  <c r="E27" i="14"/>
  <c r="I35" i="14"/>
  <c r="I41" i="14" s="1"/>
  <c r="H17" i="14"/>
  <c r="F17" i="14"/>
  <c r="D17" i="14"/>
  <c r="X15" i="19"/>
  <c r="X16" i="19"/>
  <c r="X14" i="19"/>
  <c r="R13" i="19"/>
  <c r="U15" i="5"/>
  <c r="Y15" i="9"/>
  <c r="AA16" i="6"/>
  <c r="Y22" i="5"/>
  <c r="S17" i="13"/>
  <c r="AA4" i="20" a="1"/>
  <c r="AA4" i="20" s="1"/>
  <c r="E29" i="13"/>
  <c r="H18" i="13"/>
  <c r="AL14" i="13"/>
  <c r="AL15" i="13" s="1"/>
  <c r="F18" i="13"/>
  <c r="D18" i="13"/>
  <c r="Q16" i="8"/>
  <c r="Y17" i="9"/>
  <c r="S15" i="9"/>
  <c r="Q15" i="11"/>
  <c r="W20" i="6"/>
  <c r="Q19" i="10"/>
  <c r="Q18" i="10"/>
  <c r="Q16" i="10"/>
  <c r="S21" i="8"/>
  <c r="S18" i="13"/>
  <c r="O12" i="15"/>
  <c r="AA7" i="18" a="1"/>
  <c r="AA7" i="18" s="1"/>
  <c r="W19" i="13"/>
  <c r="W21" i="13"/>
  <c r="W20" i="13"/>
  <c r="Q14" i="3"/>
  <c r="AA19" i="1"/>
  <c r="AA16" i="1"/>
  <c r="AA21" i="1"/>
  <c r="AA22" i="1"/>
  <c r="AA20" i="1"/>
  <c r="AA15" i="1"/>
  <c r="AA17" i="1"/>
  <c r="AA18" i="1"/>
  <c r="Q17" i="3"/>
  <c r="E23" i="12"/>
  <c r="AL21" i="12"/>
  <c r="G15" i="12"/>
  <c r="F23" i="12"/>
  <c r="E15" i="12" s="1"/>
  <c r="G17" i="16"/>
  <c r="E17" i="16"/>
  <c r="C17" i="16"/>
  <c r="E27" i="16"/>
  <c r="T13" i="17"/>
  <c r="T14" i="17"/>
  <c r="T18" i="17"/>
  <c r="T17" i="17"/>
  <c r="T15" i="17"/>
  <c r="I5" i="17" s="1"/>
  <c r="Q14" i="8"/>
  <c r="W15" i="8"/>
  <c r="W19" i="8"/>
  <c r="W17" i="8"/>
  <c r="W14" i="8"/>
  <c r="W13" i="8"/>
  <c r="W21" i="8"/>
  <c r="W18" i="10"/>
  <c r="Z7" i="19" a="1"/>
  <c r="Z7" i="19" s="1"/>
  <c r="Q17" i="6"/>
  <c r="Q22" i="6"/>
  <c r="Q21" i="6"/>
  <c r="S13" i="8"/>
  <c r="E20" i="10"/>
  <c r="F20" i="10"/>
  <c r="AI16" i="10"/>
  <c r="U21" i="13"/>
  <c r="P15" i="17"/>
  <c r="P14" i="17"/>
  <c r="I3" i="17" s="1"/>
  <c r="P17" i="17"/>
  <c r="P13" i="17"/>
  <c r="P18" i="17"/>
  <c r="Y14" i="3"/>
  <c r="Q20" i="6"/>
  <c r="F15" i="9"/>
  <c r="AL18" i="9"/>
  <c r="E15" i="9"/>
  <c r="AA13" i="13"/>
  <c r="U19" i="13"/>
  <c r="X12" i="19"/>
  <c r="P13" i="20"/>
  <c r="P16" i="20"/>
  <c r="P12" i="20"/>
  <c r="P17" i="20"/>
  <c r="P18" i="20"/>
  <c r="X13" i="18"/>
  <c r="S15" i="5"/>
  <c r="Q18" i="6"/>
  <c r="Q15" i="6"/>
  <c r="S20" i="11"/>
  <c r="S17" i="11"/>
  <c r="S18" i="11"/>
  <c r="U15" i="15"/>
  <c r="U17" i="15"/>
  <c r="U13" i="15"/>
  <c r="U14" i="15"/>
  <c r="U19" i="15"/>
  <c r="U18" i="15"/>
  <c r="Y15" i="6"/>
  <c r="W20" i="10"/>
  <c r="Q17" i="9"/>
  <c r="U18" i="9"/>
  <c r="U19" i="9"/>
  <c r="U15" i="9"/>
  <c r="S15" i="13"/>
  <c r="T16" i="17"/>
  <c r="P15" i="19"/>
  <c r="Q19" i="4"/>
  <c r="U21" i="9"/>
  <c r="S14" i="10"/>
  <c r="Y20" i="7"/>
  <c r="Q19" i="8"/>
  <c r="Q18" i="9"/>
  <c r="F13" i="9"/>
  <c r="AJ18" i="9"/>
  <c r="E13" i="9"/>
  <c r="AA3" i="18" a="1"/>
  <c r="AA3" i="18" s="1"/>
  <c r="I5" i="18"/>
  <c r="E23" i="8"/>
  <c r="AL16" i="8"/>
  <c r="F23" i="8"/>
  <c r="E18" i="11"/>
  <c r="AG21" i="11"/>
  <c r="F18" i="11"/>
  <c r="U20" i="9"/>
  <c r="W19" i="11"/>
  <c r="F13" i="7"/>
  <c r="E13" i="7"/>
  <c r="AJ18" i="7"/>
  <c r="X15" i="18"/>
  <c r="N14" i="18"/>
  <c r="N16" i="18"/>
  <c r="N12" i="18"/>
  <c r="I2" i="18" s="1"/>
  <c r="AA8" i="20" a="1"/>
  <c r="AA8" i="20" s="1"/>
  <c r="F13" i="10"/>
  <c r="AJ18" i="10"/>
  <c r="E13" i="10"/>
  <c r="V16" i="18"/>
  <c r="V14" i="18"/>
  <c r="V12" i="18"/>
  <c r="AA2" i="17" a="1"/>
  <c r="AA2" i="17" s="1"/>
  <c r="AK18" i="8"/>
  <c r="F14" i="8"/>
  <c r="E14" i="8"/>
  <c r="P15" i="20"/>
  <c r="AA2" i="18" a="1"/>
  <c r="AA2" i="18" s="1"/>
  <c r="E22" i="9"/>
  <c r="AK16" i="9"/>
  <c r="F22" i="9"/>
  <c r="T16" i="12"/>
  <c r="U5" i="12"/>
  <c r="U9" i="12"/>
  <c r="T20" i="12"/>
  <c r="E35" i="14"/>
  <c r="E41" i="14" s="1"/>
  <c r="E23" i="14"/>
  <c r="E29" i="14" s="1" a="1"/>
  <c r="E29" i="14" s="1"/>
  <c r="H13" i="14"/>
  <c r="F13" i="14"/>
  <c r="D13" i="14"/>
  <c r="S19" i="5"/>
  <c r="S18" i="5"/>
  <c r="S17" i="5"/>
  <c r="S22" i="5"/>
  <c r="S20" i="5"/>
  <c r="U21" i="17"/>
  <c r="V20" i="17" s="1"/>
  <c r="G16" i="17"/>
  <c r="E16" i="17"/>
  <c r="C16" i="17"/>
  <c r="Q20" i="1"/>
  <c r="Q16" i="1"/>
  <c r="Q14" i="1"/>
  <c r="Q21" i="1"/>
  <c r="Q15" i="1"/>
  <c r="Q19" i="1"/>
  <c r="S15" i="8"/>
  <c r="S19" i="8"/>
  <c r="S16" i="8"/>
  <c r="S18" i="8"/>
  <c r="S20" i="8"/>
  <c r="Y17" i="15"/>
  <c r="Y14" i="15"/>
  <c r="Y13" i="15"/>
  <c r="Y19" i="15"/>
  <c r="Y15" i="15"/>
  <c r="Y18" i="15"/>
  <c r="P17" i="18"/>
  <c r="P18" i="18"/>
  <c r="P14" i="18"/>
  <c r="P12" i="18"/>
  <c r="P16" i="18"/>
  <c r="Y18" i="3"/>
  <c r="Y21" i="3"/>
  <c r="Y22" i="3"/>
  <c r="AA21" i="13"/>
  <c r="AA18" i="13"/>
  <c r="AA15" i="13"/>
  <c r="AA14" i="13"/>
  <c r="AA16" i="13"/>
  <c r="R18" i="17"/>
  <c r="R17" i="17"/>
  <c r="R12" i="17"/>
  <c r="R16" i="17"/>
  <c r="R15" i="17"/>
  <c r="R13" i="17"/>
  <c r="N14" i="19"/>
  <c r="U22" i="1"/>
  <c r="U21" i="1"/>
  <c r="U18" i="1"/>
  <c r="Y19" i="3"/>
  <c r="Y16" i="5"/>
  <c r="Y15" i="5"/>
  <c r="Y18" i="5"/>
  <c r="Y20" i="5"/>
  <c r="Y19" i="5"/>
  <c r="Y21" i="5"/>
  <c r="Q21" i="3"/>
  <c r="W19" i="4"/>
  <c r="W20" i="4"/>
  <c r="W15" i="4"/>
  <c r="W16" i="4"/>
  <c r="W21" i="4"/>
  <c r="W14" i="4"/>
  <c r="W22" i="4"/>
  <c r="AL16" i="7"/>
  <c r="F23" i="7"/>
  <c r="E23" i="7"/>
  <c r="T21" i="12"/>
  <c r="U10" i="12"/>
  <c r="G20" i="12"/>
  <c r="E19" i="11"/>
  <c r="AH21" i="11"/>
  <c r="F19" i="11"/>
  <c r="E42" i="14"/>
  <c r="E43" i="14"/>
  <c r="E44" i="14"/>
  <c r="E40" i="14"/>
  <c r="P18" i="19"/>
  <c r="S21" i="14"/>
  <c r="S19" i="14"/>
  <c r="I44" i="14"/>
  <c r="I40" i="14"/>
  <c r="H44" i="14"/>
  <c r="H40" i="14"/>
  <c r="I42" i="14"/>
  <c r="H42" i="14"/>
  <c r="I43" i="14"/>
  <c r="H43" i="14"/>
  <c r="P14" i="16"/>
  <c r="P15" i="16"/>
  <c r="P12" i="16"/>
  <c r="P13" i="16"/>
  <c r="AI18" i="7"/>
  <c r="F12" i="7"/>
  <c r="E12" i="7"/>
  <c r="AA5" i="16" a="1"/>
  <c r="AA5" i="16" s="1"/>
  <c r="Z4" i="18" a="1"/>
  <c r="Z4" i="18" s="1"/>
  <c r="E19" i="9"/>
  <c r="AH16" i="9"/>
  <c r="F19" i="9"/>
  <c r="AA18" i="14"/>
  <c r="AC20" i="14"/>
  <c r="AC17" i="14"/>
  <c r="AC18" i="14"/>
  <c r="AC21" i="14"/>
  <c r="AC15" i="14"/>
  <c r="AC14" i="14"/>
  <c r="AC16" i="14"/>
  <c r="AC19" i="14"/>
  <c r="P17" i="19"/>
  <c r="Q19" i="5"/>
  <c r="Q17" i="5"/>
  <c r="Q20" i="5"/>
  <c r="Q18" i="5"/>
  <c r="Q15" i="9"/>
  <c r="W20" i="11"/>
  <c r="D17" i="13"/>
  <c r="AK14" i="13"/>
  <c r="AK15" i="13" s="1"/>
  <c r="E28" i="13"/>
  <c r="H17" i="13"/>
  <c r="F17" i="13"/>
  <c r="X18" i="17"/>
  <c r="X14" i="17"/>
  <c r="X15" i="17"/>
  <c r="X17" i="17"/>
  <c r="X13" i="17"/>
  <c r="I7" i="17" s="1"/>
  <c r="N13" i="19"/>
  <c r="Q16" i="7"/>
  <c r="Q18" i="7"/>
  <c r="Q21" i="7"/>
  <c r="Q13" i="7"/>
  <c r="Q15" i="7"/>
  <c r="Q17" i="7"/>
  <c r="S14" i="7"/>
  <c r="AA3" i="17" a="1"/>
  <c r="AA3" i="17" s="1"/>
  <c r="Q16" i="15"/>
  <c r="U20" i="4"/>
  <c r="Q16" i="4"/>
  <c r="U14" i="9"/>
  <c r="AA18" i="5"/>
  <c r="AA22" i="5"/>
  <c r="AA19" i="5"/>
  <c r="AA16" i="5"/>
  <c r="AA21" i="5"/>
  <c r="AA20" i="5"/>
  <c r="AA17" i="5"/>
  <c r="Q21" i="9"/>
  <c r="S14" i="11"/>
  <c r="N18" i="18"/>
  <c r="Z3" i="17" a="1"/>
  <c r="Z3" i="17" s="1"/>
  <c r="AA8" i="18" a="1"/>
  <c r="AA8" i="18" s="1"/>
  <c r="W21" i="17" l="1"/>
  <c r="C17" i="17"/>
  <c r="G17" i="17"/>
  <c r="E17" i="17"/>
  <c r="S21" i="17"/>
  <c r="T20" i="17" s="1"/>
  <c r="G15" i="17"/>
  <c r="E15" i="17"/>
  <c r="C15" i="17"/>
  <c r="G13" i="17"/>
  <c r="E13" i="17"/>
  <c r="O21" i="17"/>
  <c r="C13" i="17"/>
  <c r="P18" i="12"/>
  <c r="AI18" i="8"/>
  <c r="E12" i="8"/>
  <c r="F12" i="8"/>
  <c r="N20" i="17"/>
  <c r="I3" i="18"/>
  <c r="I6" i="18"/>
  <c r="F10" i="11"/>
  <c r="E10" i="11"/>
  <c r="J21" i="9"/>
  <c r="G30" i="9"/>
  <c r="E30" i="9"/>
  <c r="C30" i="9"/>
  <c r="K21" i="9"/>
  <c r="B33" i="12" a="1"/>
  <c r="B33" i="12" s="1"/>
  <c r="R16" i="12"/>
  <c r="E29" i="16" a="1"/>
  <c r="E29" i="16" s="1"/>
  <c r="I4" i="19"/>
  <c r="U14" i="12"/>
  <c r="P14" i="12"/>
  <c r="P19" i="12"/>
  <c r="G31" i="11"/>
  <c r="K23" i="11"/>
  <c r="E31" i="11"/>
  <c r="J23" i="11"/>
  <c r="G23" i="11" s="1"/>
  <c r="C31" i="11"/>
  <c r="AL23" i="11"/>
  <c r="Z10" i="11"/>
  <c r="Z9" i="11"/>
  <c r="Z8" i="11"/>
  <c r="E30" i="16" a="1"/>
  <c r="E30" i="16" s="1"/>
  <c r="G28" i="8"/>
  <c r="K19" i="8"/>
  <c r="E28" i="8"/>
  <c r="J19" i="8"/>
  <c r="C28" i="8"/>
  <c r="I2" i="19"/>
  <c r="F14" i="9"/>
  <c r="AK18" i="9"/>
  <c r="E14" i="9"/>
  <c r="AG18" i="10"/>
  <c r="F10" i="10"/>
  <c r="E10" i="10"/>
  <c r="R15" i="12"/>
  <c r="U21" i="12"/>
  <c r="AC9" i="12"/>
  <c r="S9" i="12"/>
  <c r="R20" i="12"/>
  <c r="R17" i="12"/>
  <c r="I3" i="19"/>
  <c r="E31" i="13" a="1"/>
  <c r="E31" i="13" s="1"/>
  <c r="G27" i="9"/>
  <c r="E27" i="9"/>
  <c r="K18" i="9"/>
  <c r="C27" i="9"/>
  <c r="J18" i="9"/>
  <c r="G18" i="9" s="1"/>
  <c r="E15" i="19"/>
  <c r="C15" i="19"/>
  <c r="S21" i="19"/>
  <c r="T20" i="19" s="1"/>
  <c r="G15" i="19"/>
  <c r="D33" i="12" a="1"/>
  <c r="D33" i="12" s="1"/>
  <c r="AB7" i="16"/>
  <c r="F15" i="7"/>
  <c r="AL18" i="7"/>
  <c r="E15" i="7"/>
  <c r="U20" i="12"/>
  <c r="C29" i="10"/>
  <c r="J21" i="10"/>
  <c r="G21" i="10" s="1"/>
  <c r="G29" i="10"/>
  <c r="E29" i="10"/>
  <c r="K21" i="10"/>
  <c r="AL18" i="8"/>
  <c r="F15" i="8"/>
  <c r="E15" i="8"/>
  <c r="F12" i="10"/>
  <c r="E12" i="10"/>
  <c r="AI18" i="10"/>
  <c r="E31" i="12"/>
  <c r="AL23" i="12"/>
  <c r="Z6" i="12"/>
  <c r="C31" i="12"/>
  <c r="Z10" i="12"/>
  <c r="Z5" i="12"/>
  <c r="Z4" i="12"/>
  <c r="Z3" i="12"/>
  <c r="Z2" i="12"/>
  <c r="K23" i="12"/>
  <c r="Z9" i="12"/>
  <c r="J23" i="12"/>
  <c r="G23" i="12" s="1"/>
  <c r="Z8" i="12"/>
  <c r="Z7" i="12"/>
  <c r="G31" i="12"/>
  <c r="G30" i="11"/>
  <c r="C30" i="11"/>
  <c r="K22" i="11"/>
  <c r="J22" i="11"/>
  <c r="G22" i="11" s="1"/>
  <c r="E30" i="11"/>
  <c r="F11" i="7"/>
  <c r="E11" i="7"/>
  <c r="AH18" i="7"/>
  <c r="E29" i="12"/>
  <c r="V9" i="12"/>
  <c r="G29" i="12"/>
  <c r="C29" i="12"/>
  <c r="B34" i="12" s="1" a="1"/>
  <c r="B34" i="12" s="1"/>
  <c r="V8" i="12"/>
  <c r="V7" i="12"/>
  <c r="V10" i="12"/>
  <c r="AC10" i="12" s="1"/>
  <c r="V5" i="12"/>
  <c r="AC5" i="12" s="1"/>
  <c r="K21" i="12"/>
  <c r="V4" i="12"/>
  <c r="AC4" i="12" s="1"/>
  <c r="V6" i="12"/>
  <c r="J21" i="12"/>
  <c r="G21" i="12" s="1"/>
  <c r="V2" i="12"/>
  <c r="V3" i="12"/>
  <c r="U19" i="12"/>
  <c r="P15" i="12"/>
  <c r="P16" i="12"/>
  <c r="I6" i="19"/>
  <c r="AJ18" i="8"/>
  <c r="F13" i="8"/>
  <c r="E13" i="8"/>
  <c r="AB2" i="16"/>
  <c r="G12" i="18"/>
  <c r="C12" i="18"/>
  <c r="M21" i="18"/>
  <c r="E12" i="18"/>
  <c r="F14" i="7"/>
  <c r="E14" i="7"/>
  <c r="AK18" i="7"/>
  <c r="E32" i="13" a="1"/>
  <c r="E32" i="13" s="1"/>
  <c r="F11" i="11"/>
  <c r="E11" i="11"/>
  <c r="I4" i="17"/>
  <c r="E31" i="8"/>
  <c r="C31" i="8"/>
  <c r="K22" i="8"/>
  <c r="J22" i="8"/>
  <c r="G22" i="8" s="1"/>
  <c r="G31" i="8"/>
  <c r="G30" i="7"/>
  <c r="E30" i="7"/>
  <c r="K21" i="7"/>
  <c r="J21" i="7"/>
  <c r="C30" i="7"/>
  <c r="I7" i="19"/>
  <c r="F13" i="11"/>
  <c r="E13" i="11"/>
  <c r="R18" i="12"/>
  <c r="G30" i="12"/>
  <c r="F34" i="12" s="1" a="1"/>
  <c r="F34" i="12" s="1"/>
  <c r="X8" i="12"/>
  <c r="E30" i="12"/>
  <c r="X7" i="12"/>
  <c r="C30" i="12"/>
  <c r="X6" i="12"/>
  <c r="K22" i="12"/>
  <c r="X10" i="12"/>
  <c r="X5" i="12"/>
  <c r="J22" i="12"/>
  <c r="X3" i="12"/>
  <c r="X2" i="12"/>
  <c r="X9" i="12"/>
  <c r="X4" i="12"/>
  <c r="G30" i="10"/>
  <c r="K22" i="10"/>
  <c r="E30" i="10"/>
  <c r="J22" i="10"/>
  <c r="C30" i="10"/>
  <c r="D34" i="12" a="1"/>
  <c r="D34" i="12" s="1"/>
  <c r="P21" i="12"/>
  <c r="F12" i="11"/>
  <c r="E12" i="11"/>
  <c r="U12" i="12"/>
  <c r="U15" i="12" s="1"/>
  <c r="U13" i="12"/>
  <c r="C29" i="9"/>
  <c r="K20" i="9"/>
  <c r="J20" i="9"/>
  <c r="G20" i="9" s="1"/>
  <c r="G29" i="9"/>
  <c r="E29" i="9"/>
  <c r="E10" i="8"/>
  <c r="F10" i="8"/>
  <c r="AG18" i="8"/>
  <c r="P13" i="12"/>
  <c r="AI3" i="12"/>
  <c r="Q1" i="12"/>
  <c r="Q3" i="12" s="1"/>
  <c r="F11" i="9"/>
  <c r="E11" i="9"/>
  <c r="AH18" i="9"/>
  <c r="R21" i="12"/>
  <c r="AB6" i="16"/>
  <c r="I7" i="18"/>
  <c r="AB5" i="16"/>
  <c r="F15" i="10"/>
  <c r="AL18" i="10"/>
  <c r="E15" i="10"/>
  <c r="E27" i="7"/>
  <c r="K18" i="7"/>
  <c r="J18" i="7"/>
  <c r="G18" i="7" s="1"/>
  <c r="G27" i="7"/>
  <c r="C27" i="7"/>
  <c r="G19" i="12"/>
  <c r="R13" i="12"/>
  <c r="S1" i="12"/>
  <c r="S5" i="12" s="1"/>
  <c r="AI4" i="12"/>
  <c r="AD9" i="12"/>
  <c r="Q9" i="12"/>
  <c r="P20" i="12"/>
  <c r="E30" i="15" a="1"/>
  <c r="E30" i="15" s="1"/>
  <c r="J23" i="9"/>
  <c r="Z10" i="9"/>
  <c r="G32" i="9"/>
  <c r="Z9" i="9"/>
  <c r="E32" i="9"/>
  <c r="K23" i="9"/>
  <c r="C32" i="9"/>
  <c r="Z8" i="9"/>
  <c r="K20" i="7"/>
  <c r="G29" i="7"/>
  <c r="E29" i="7"/>
  <c r="C29" i="7"/>
  <c r="J20" i="7"/>
  <c r="G20" i="7" s="1"/>
  <c r="U16" i="12"/>
  <c r="E15" i="18"/>
  <c r="S21" i="18"/>
  <c r="T20" i="18" s="1"/>
  <c r="G15" i="18"/>
  <c r="C15" i="18"/>
  <c r="R19" i="12"/>
  <c r="AC8" i="12"/>
  <c r="S8" i="12"/>
  <c r="R14" i="12"/>
  <c r="E11" i="10"/>
  <c r="AH18" i="10"/>
  <c r="F11" i="10"/>
  <c r="Q6" i="12"/>
  <c r="AD6" i="12"/>
  <c r="P17" i="12"/>
  <c r="AB3" i="16"/>
  <c r="U2" i="12"/>
  <c r="E28" i="11" l="1"/>
  <c r="AI23" i="11"/>
  <c r="I11" i="11" s="1"/>
  <c r="C28" i="11"/>
  <c r="K20" i="11"/>
  <c r="J20" i="11"/>
  <c r="G28" i="11"/>
  <c r="W21" i="18"/>
  <c r="C17" i="18"/>
  <c r="E17" i="18"/>
  <c r="G17" i="18"/>
  <c r="Q2" i="12"/>
  <c r="X21" i="12"/>
  <c r="F33" i="12" a="1"/>
  <c r="F33" i="12" s="1"/>
  <c r="G21" i="7"/>
  <c r="G16" i="19"/>
  <c r="E16" i="19"/>
  <c r="C16" i="19"/>
  <c r="U21" i="19"/>
  <c r="V20" i="19" s="1"/>
  <c r="V14" i="12"/>
  <c r="V18" i="12"/>
  <c r="AA7" i="12"/>
  <c r="Z18" i="12"/>
  <c r="AA5" i="12"/>
  <c r="Z16" i="12"/>
  <c r="G31" i="9"/>
  <c r="E31" i="9"/>
  <c r="C31" i="9"/>
  <c r="K22" i="9"/>
  <c r="J22" i="9"/>
  <c r="G22" i="9" s="1"/>
  <c r="AD3" i="12"/>
  <c r="E13" i="18"/>
  <c r="O21" i="18"/>
  <c r="G13" i="18"/>
  <c r="C13" i="18"/>
  <c r="AD7" i="12"/>
  <c r="G27" i="8"/>
  <c r="F35" i="8" s="1" a="1"/>
  <c r="F35" i="8" s="1"/>
  <c r="E27" i="8"/>
  <c r="K18" i="8"/>
  <c r="C27" i="8"/>
  <c r="J18" i="8"/>
  <c r="G18" i="8" s="1"/>
  <c r="Z20" i="9"/>
  <c r="AA9" i="9"/>
  <c r="AD9" i="9"/>
  <c r="N20" i="18"/>
  <c r="Z21" i="12"/>
  <c r="X15" i="12"/>
  <c r="Y6" i="12"/>
  <c r="X17" i="12"/>
  <c r="G27" i="11"/>
  <c r="AH23" i="11"/>
  <c r="E27" i="11"/>
  <c r="C27" i="11"/>
  <c r="K19" i="11"/>
  <c r="J19" i="11"/>
  <c r="E32" i="7"/>
  <c r="G32" i="7"/>
  <c r="Z10" i="7"/>
  <c r="C32" i="7"/>
  <c r="K23" i="7"/>
  <c r="J23" i="7"/>
  <c r="G23" i="7" s="1"/>
  <c r="Z9" i="7"/>
  <c r="Z8" i="7"/>
  <c r="G13" i="19"/>
  <c r="E13" i="19"/>
  <c r="O21" i="19"/>
  <c r="C13" i="19"/>
  <c r="S4" i="12"/>
  <c r="Z19" i="11"/>
  <c r="AA1" i="11"/>
  <c r="AI8" i="11"/>
  <c r="AI11" i="11" s="1"/>
  <c r="AD8" i="11"/>
  <c r="C14" i="19"/>
  <c r="Q21" i="19"/>
  <c r="R20" i="19" s="1"/>
  <c r="G14" i="19"/>
  <c r="E14" i="19"/>
  <c r="Q7" i="12"/>
  <c r="Y5" i="12"/>
  <c r="X16" i="12"/>
  <c r="V21" i="12"/>
  <c r="W8" i="12"/>
  <c r="V19" i="12"/>
  <c r="Z8" i="8"/>
  <c r="Z10" i="8"/>
  <c r="G32" i="8"/>
  <c r="E32" i="8"/>
  <c r="C32" i="8"/>
  <c r="K23" i="8"/>
  <c r="Z9" i="8"/>
  <c r="J23" i="8"/>
  <c r="S7" i="12"/>
  <c r="Z21" i="9"/>
  <c r="AD10" i="9"/>
  <c r="S2" i="12"/>
  <c r="Q12" i="12"/>
  <c r="Q18" i="12" s="1"/>
  <c r="Q10" i="12"/>
  <c r="X20" i="12"/>
  <c r="AC7" i="12"/>
  <c r="Q5" i="12"/>
  <c r="V17" i="12"/>
  <c r="W6" i="12"/>
  <c r="AA9" i="12"/>
  <c r="Z20" i="12"/>
  <c r="Z17" i="12"/>
  <c r="S6" i="12"/>
  <c r="M21" i="19"/>
  <c r="G12" i="19"/>
  <c r="E12" i="19"/>
  <c r="C12" i="19"/>
  <c r="Z20" i="11"/>
  <c r="AD9" i="11"/>
  <c r="Q8" i="12"/>
  <c r="U17" i="12"/>
  <c r="G28" i="7"/>
  <c r="F34" i="7" s="1" a="1"/>
  <c r="F34" i="7" s="1"/>
  <c r="E28" i="7"/>
  <c r="C28" i="7"/>
  <c r="B35" i="7" s="1" a="1"/>
  <c r="B35" i="7" s="1"/>
  <c r="K19" i="7"/>
  <c r="J19" i="7"/>
  <c r="G19" i="7" s="1"/>
  <c r="G28" i="10"/>
  <c r="E28" i="10"/>
  <c r="C28" i="10"/>
  <c r="K20" i="10"/>
  <c r="J20" i="10"/>
  <c r="Q14" i="12"/>
  <c r="W1" i="12"/>
  <c r="W10" i="12" s="1"/>
  <c r="AI6" i="12"/>
  <c r="AI11" i="12" s="1"/>
  <c r="V13" i="12"/>
  <c r="W2" i="12"/>
  <c r="G23" i="9"/>
  <c r="AC2" i="12"/>
  <c r="AE8" i="12" s="1"/>
  <c r="J23" i="10"/>
  <c r="G31" i="10"/>
  <c r="E31" i="10"/>
  <c r="C31" i="10"/>
  <c r="Z8" i="10"/>
  <c r="Z10" i="10"/>
  <c r="K23" i="10"/>
  <c r="Z9" i="10"/>
  <c r="S10" i="12"/>
  <c r="AD2" i="12"/>
  <c r="Y1" i="12"/>
  <c r="Y10" i="12" s="1"/>
  <c r="X13" i="12"/>
  <c r="AI7" i="12"/>
  <c r="Y2" i="12"/>
  <c r="Y7" i="12"/>
  <c r="X18" i="12"/>
  <c r="G29" i="11"/>
  <c r="K21" i="11"/>
  <c r="J21" i="11"/>
  <c r="E29" i="11"/>
  <c r="C29" i="11"/>
  <c r="AD4" i="12"/>
  <c r="V15" i="12"/>
  <c r="W4" i="12"/>
  <c r="V20" i="12"/>
  <c r="W9" i="12"/>
  <c r="AC6" i="12"/>
  <c r="Z21" i="11"/>
  <c r="AD10" i="11"/>
  <c r="G21" i="9"/>
  <c r="U18" i="12"/>
  <c r="P20" i="17"/>
  <c r="Q21" i="17"/>
  <c r="Z21" i="17" s="1" a="1"/>
  <c r="Z21" i="17" s="1"/>
  <c r="G14" i="17"/>
  <c r="E14" i="17"/>
  <c r="C14" i="17"/>
  <c r="S3" i="12"/>
  <c r="AA1" i="9"/>
  <c r="Z19" i="9"/>
  <c r="AA8" i="9"/>
  <c r="AD8" i="9"/>
  <c r="AI8" i="9"/>
  <c r="AI11" i="9" s="1"/>
  <c r="S12" i="12"/>
  <c r="S19" i="12" s="1"/>
  <c r="X14" i="12"/>
  <c r="Y3" i="12"/>
  <c r="G30" i="8"/>
  <c r="E30" i="8"/>
  <c r="C30" i="8"/>
  <c r="K21" i="8"/>
  <c r="J21" i="8"/>
  <c r="G21" i="8" s="1"/>
  <c r="Q4" i="12"/>
  <c r="Z13" i="12"/>
  <c r="AI8" i="12"/>
  <c r="AA1" i="12"/>
  <c r="AA10" i="12" s="1"/>
  <c r="G26" i="10"/>
  <c r="F34" i="10" s="1" a="1"/>
  <c r="F34" i="10" s="1"/>
  <c r="E26" i="10"/>
  <c r="C26" i="10"/>
  <c r="J18" i="10"/>
  <c r="G18" i="10" s="1"/>
  <c r="K18" i="10"/>
  <c r="G19" i="8"/>
  <c r="AD8" i="12"/>
  <c r="AG23" i="11"/>
  <c r="G26" i="11"/>
  <c r="E26" i="11"/>
  <c r="D34" i="11" s="1" a="1"/>
  <c r="D34" i="11" s="1"/>
  <c r="K18" i="11"/>
  <c r="C26" i="11"/>
  <c r="B34" i="11" s="1" a="1"/>
  <c r="B34" i="11" s="1"/>
  <c r="J18" i="11"/>
  <c r="G18" i="11" s="1"/>
  <c r="Z15" i="12"/>
  <c r="U21" i="18"/>
  <c r="V20" i="18" s="1"/>
  <c r="G16" i="18"/>
  <c r="C16" i="18"/>
  <c r="E16" i="18"/>
  <c r="AD10" i="12"/>
  <c r="AD5" i="12"/>
  <c r="Z19" i="12"/>
  <c r="AA8" i="12"/>
  <c r="G27" i="10"/>
  <c r="F33" i="10" s="1" a="1"/>
  <c r="F33" i="10" s="1"/>
  <c r="K19" i="10"/>
  <c r="E27" i="10"/>
  <c r="D33" i="10" s="1" a="1"/>
  <c r="D33" i="10" s="1"/>
  <c r="J19" i="10"/>
  <c r="G19" i="10" s="1"/>
  <c r="C27" i="10"/>
  <c r="B33" i="10" s="1" a="1"/>
  <c r="B33" i="10" s="1"/>
  <c r="AC3" i="12"/>
  <c r="AE3" i="12" s="1"/>
  <c r="G28" i="9"/>
  <c r="F34" i="9" s="1" a="1"/>
  <c r="F34" i="9" s="1"/>
  <c r="K19" i="9"/>
  <c r="E28" i="9"/>
  <c r="D34" i="9" s="1" a="1"/>
  <c r="D34" i="9" s="1"/>
  <c r="J19" i="9"/>
  <c r="G19" i="9" s="1"/>
  <c r="C28" i="9"/>
  <c r="B34" i="9" s="1" a="1"/>
  <c r="B34" i="9" s="1"/>
  <c r="G22" i="10"/>
  <c r="G22" i="12"/>
  <c r="X19" i="12"/>
  <c r="Y8" i="12"/>
  <c r="G17" i="19"/>
  <c r="E17" i="19"/>
  <c r="W21" i="19"/>
  <c r="C17" i="19"/>
  <c r="E31" i="7"/>
  <c r="D35" i="7" s="1" a="1"/>
  <c r="D35" i="7" s="1"/>
  <c r="C31" i="7"/>
  <c r="K22" i="7"/>
  <c r="J22" i="7"/>
  <c r="G22" i="7" s="1"/>
  <c r="G31" i="7"/>
  <c r="V16" i="12"/>
  <c r="W5" i="12"/>
  <c r="Z14" i="12"/>
  <c r="AA3" i="12"/>
  <c r="K20" i="8"/>
  <c r="J20" i="8"/>
  <c r="G29" i="8"/>
  <c r="F34" i="8" s="1" a="1"/>
  <c r="F34" i="8" s="1"/>
  <c r="E29" i="8"/>
  <c r="D34" i="8" s="1" a="1"/>
  <c r="D34" i="8" s="1"/>
  <c r="C29" i="8"/>
  <c r="B34" i="8" s="1" a="1"/>
  <c r="B34" i="8" s="1"/>
  <c r="Z19" i="8" l="1"/>
  <c r="AD8" i="8"/>
  <c r="AA1" i="8"/>
  <c r="AI8" i="8"/>
  <c r="AI11" i="8" s="1"/>
  <c r="AA5" i="11"/>
  <c r="AA7" i="11"/>
  <c r="AA2" i="11"/>
  <c r="AA3" i="11"/>
  <c r="AA6" i="11"/>
  <c r="AA4" i="11"/>
  <c r="Z19" i="7"/>
  <c r="AI8" i="7"/>
  <c r="AI11" i="7" s="1"/>
  <c r="AD8" i="7"/>
  <c r="AA1" i="7"/>
  <c r="AA9" i="7" s="1"/>
  <c r="Q16" i="12"/>
  <c r="Q17" i="12"/>
  <c r="AA4" i="12"/>
  <c r="S16" i="12"/>
  <c r="S17" i="12"/>
  <c r="Q19" i="12"/>
  <c r="G23" i="10"/>
  <c r="G20" i="10"/>
  <c r="D34" i="7" a="1"/>
  <c r="D34" i="7" s="1"/>
  <c r="Q13" i="12"/>
  <c r="G23" i="8"/>
  <c r="W19" i="12"/>
  <c r="AA8" i="11"/>
  <c r="Z20" i="7"/>
  <c r="AD9" i="7"/>
  <c r="G19" i="11"/>
  <c r="Y4" i="12"/>
  <c r="AA18" i="12"/>
  <c r="AA15" i="12"/>
  <c r="AA21" i="11"/>
  <c r="N20" i="19"/>
  <c r="AA21" i="19" a="1"/>
  <c r="AA21" i="19" s="1"/>
  <c r="S18" i="12"/>
  <c r="B33" i="11" a="1"/>
  <c r="B33" i="11" s="1"/>
  <c r="Q21" i="12"/>
  <c r="AA20" i="9"/>
  <c r="W18" i="12"/>
  <c r="S21" i="12"/>
  <c r="AA19" i="11"/>
  <c r="AA12" i="11"/>
  <c r="G20" i="8"/>
  <c r="Q15" i="12"/>
  <c r="AA2" i="12"/>
  <c r="AA12" i="9"/>
  <c r="AA10" i="11"/>
  <c r="AA10" i="10"/>
  <c r="Z21" i="10"/>
  <c r="AD10" i="10"/>
  <c r="AE7" i="12"/>
  <c r="AI10" i="12"/>
  <c r="D33" i="11" a="1"/>
  <c r="D33" i="11" s="1"/>
  <c r="Z21" i="18" a="1"/>
  <c r="Z21" i="18" s="1"/>
  <c r="P20" i="18"/>
  <c r="W7" i="12"/>
  <c r="F35" i="7" a="1"/>
  <c r="F35" i="7" s="1"/>
  <c r="S14" i="12"/>
  <c r="AE2" i="12"/>
  <c r="AA6" i="9"/>
  <c r="AA3" i="9"/>
  <c r="AA2" i="9"/>
  <c r="AA7" i="9"/>
  <c r="AA5" i="9"/>
  <c r="AA4" i="9"/>
  <c r="Z19" i="10"/>
  <c r="AA8" i="10"/>
  <c r="AD8" i="10"/>
  <c r="AA1" i="10"/>
  <c r="AI8" i="10"/>
  <c r="AI11" i="10" s="1"/>
  <c r="W12" i="12"/>
  <c r="W20" i="12" s="1"/>
  <c r="AA6" i="12"/>
  <c r="Y20" i="12"/>
  <c r="W21" i="12"/>
  <c r="Z21" i="19" a="1"/>
  <c r="Z21" i="19" s="1"/>
  <c r="P20" i="19"/>
  <c r="Z21" i="7"/>
  <c r="AD10" i="7"/>
  <c r="AA21" i="12"/>
  <c r="B35" i="8" a="1"/>
  <c r="B35" i="8" s="1"/>
  <c r="AE9" i="12"/>
  <c r="W3" i="12"/>
  <c r="D35" i="9" a="1"/>
  <c r="D35" i="9" s="1"/>
  <c r="AE5" i="12"/>
  <c r="B34" i="7" a="1"/>
  <c r="B34" i="7" s="1"/>
  <c r="R20" i="17"/>
  <c r="AA21" i="17" a="1"/>
  <c r="AA21" i="17" s="1"/>
  <c r="AA13" i="12"/>
  <c r="AA12" i="12"/>
  <c r="AA14" i="12" s="1"/>
  <c r="Y14" i="12"/>
  <c r="S15" i="12"/>
  <c r="Y12" i="12"/>
  <c r="Y18" i="12" s="1"/>
  <c r="AA9" i="11"/>
  <c r="AA17" i="12"/>
  <c r="Y9" i="12"/>
  <c r="AA21" i="9"/>
  <c r="F33" i="11" a="1"/>
  <c r="F33" i="11" s="1"/>
  <c r="F35" i="9" a="1"/>
  <c r="F35" i="9" s="1"/>
  <c r="W14" i="12"/>
  <c r="AE4" i="12"/>
  <c r="B35" i="9" a="1"/>
  <c r="B35" i="9" s="1"/>
  <c r="Z20" i="10"/>
  <c r="AA9" i="10"/>
  <c r="AD9" i="10"/>
  <c r="AA9" i="8"/>
  <c r="Z20" i="8"/>
  <c r="AD9" i="8"/>
  <c r="B34" i="10" a="1"/>
  <c r="B34" i="10" s="1"/>
  <c r="S20" i="12"/>
  <c r="Y19" i="12"/>
  <c r="Q20" i="12"/>
  <c r="F34" i="11" a="1"/>
  <c r="F34" i="11" s="1"/>
  <c r="D34" i="10" a="1"/>
  <c r="D34" i="10" s="1"/>
  <c r="S13" i="12"/>
  <c r="AE6" i="12"/>
  <c r="G21" i="11"/>
  <c r="AA20" i="11"/>
  <c r="AA20" i="12"/>
  <c r="AA10" i="9"/>
  <c r="AA10" i="8"/>
  <c r="Z21" i="8"/>
  <c r="AD10" i="8"/>
  <c r="Y17" i="12"/>
  <c r="AA21" i="18" a="1"/>
  <c r="AA21" i="18" s="1"/>
  <c r="D35" i="8" a="1"/>
  <c r="D35" i="8" s="1"/>
  <c r="AA16" i="12"/>
  <c r="G20" i="11"/>
  <c r="AE10" i="12"/>
  <c r="Y16" i="12" l="1"/>
  <c r="Y15" i="12"/>
  <c r="Y13" i="12"/>
  <c r="W16" i="12"/>
  <c r="AA21" i="10"/>
  <c r="AA18" i="11"/>
  <c r="AA16" i="11"/>
  <c r="AA17" i="11"/>
  <c r="AA13" i="11"/>
  <c r="AA14" i="11"/>
  <c r="AA15" i="11"/>
  <c r="AA8" i="7"/>
  <c r="W13" i="12"/>
  <c r="AA19" i="12"/>
  <c r="AA12" i="7"/>
  <c r="AA7" i="8"/>
  <c r="AA5" i="8"/>
  <c r="AA4" i="8"/>
  <c r="AA6" i="8"/>
  <c r="AA2" i="8"/>
  <c r="AA3" i="8"/>
  <c r="AA20" i="10"/>
  <c r="AA19" i="10"/>
  <c r="AA12" i="10"/>
  <c r="AA8" i="8"/>
  <c r="AA10" i="7"/>
  <c r="AA16" i="9"/>
  <c r="AA14" i="9"/>
  <c r="AA13" i="9"/>
  <c r="AA18" i="9"/>
  <c r="AA17" i="9"/>
  <c r="AA15" i="9"/>
  <c r="W17" i="12"/>
  <c r="AA5" i="7"/>
  <c r="AA4" i="7"/>
  <c r="AA7" i="7"/>
  <c r="AA6" i="7"/>
  <c r="AA2" i="7"/>
  <c r="AA3" i="7"/>
  <c r="Y21" i="12"/>
  <c r="AA7" i="10"/>
  <c r="AA5" i="10"/>
  <c r="AA4" i="10"/>
  <c r="AA6" i="10"/>
  <c r="AA2" i="10"/>
  <c r="AA3" i="10"/>
  <c r="AA19" i="9"/>
  <c r="W15" i="12"/>
  <c r="AA19" i="8"/>
  <c r="AA12" i="8"/>
  <c r="AA16" i="7" l="1"/>
  <c r="AA15" i="7"/>
  <c r="AA18" i="7"/>
  <c r="AA17" i="7"/>
  <c r="AA13" i="7"/>
  <c r="AA14" i="7"/>
  <c r="AA19" i="7"/>
  <c r="AA16" i="8"/>
  <c r="AA18" i="8"/>
  <c r="AA15" i="8"/>
  <c r="AA13" i="8"/>
  <c r="AA17" i="8"/>
  <c r="AA14" i="8"/>
  <c r="AA20" i="7"/>
  <c r="AA21" i="8"/>
  <c r="AA21" i="7"/>
  <c r="AA20" i="8"/>
  <c r="AA14" i="10"/>
  <c r="AA16" i="10"/>
  <c r="AA18" i="10"/>
  <c r="AA15" i="10"/>
  <c r="AA17" i="10"/>
  <c r="AA13" i="10"/>
</calcChain>
</file>

<file path=xl/sharedStrings.xml><?xml version="1.0" encoding="utf-8"?>
<sst xmlns="http://schemas.openxmlformats.org/spreadsheetml/2006/main" count="2339" uniqueCount="152">
  <si>
    <t>model</t>
  </si>
  <si>
    <t>PyCaret</t>
  </si>
  <si>
    <t>ARIMAX</t>
  </si>
  <si>
    <t>PCE</t>
  </si>
  <si>
    <t>LSTM</t>
  </si>
  <si>
    <t>GARCH</t>
  </si>
  <si>
    <t>VAR</t>
  </si>
  <si>
    <t>RW</t>
  </si>
  <si>
    <t>ETS</t>
  </si>
  <si>
    <t>DynaMix</t>
  </si>
  <si>
    <t>26-Q1-07</t>
  </si>
  <si>
    <t>Accuracy</t>
  </si>
  <si>
    <t>TNX</t>
  </si>
  <si>
    <t>DJI</t>
  </si>
  <si>
    <t>SPX</t>
  </si>
  <si>
    <t>VIX</t>
  </si>
  <si>
    <t>QQQ</t>
  </si>
  <si>
    <t>AAPL</t>
  </si>
  <si>
    <t>AVR-4</t>
  </si>
  <si>
    <t>AVR-6</t>
  </si>
  <si>
    <t>2026/02/24</t>
  </si>
  <si>
    <t>ML</t>
  </si>
  <si>
    <t>Close YF</t>
  </si>
  <si>
    <t>Oraclum</t>
  </si>
  <si>
    <t>LLM</t>
  </si>
  <si>
    <t xml:space="preserve">+3-day </t>
  </si>
  <si>
    <t>AVR :</t>
  </si>
  <si>
    <t xml:space="preserve">
</t>
  </si>
  <si>
    <t>Update</t>
  </si>
  <si>
    <t>Value</t>
  </si>
  <si>
    <t>Assign</t>
  </si>
  <si>
    <t>RD</t>
  </si>
  <si>
    <t>MICH</t>
  </si>
  <si>
    <t>max-Q</t>
  </si>
  <si>
    <t>G</t>
  </si>
  <si>
    <t>R</t>
  </si>
  <si>
    <t>A</t>
  </si>
  <si>
    <t>E</t>
  </si>
  <si>
    <t>V</t>
  </si>
  <si>
    <t>max-Q AVR-4</t>
  </si>
  <si>
    <t>History</t>
  </si>
  <si>
    <t>max AVR-6</t>
  </si>
  <si>
    <t>https://feargreedmeter.com/fear-and-greed-index</t>
  </si>
  <si>
    <t>Scale</t>
  </si>
  <si>
    <t>Extreme Fear</t>
  </si>
  <si>
    <t>Fear</t>
  </si>
  <si>
    <t>Neutral</t>
  </si>
  <si>
    <t>Greed</t>
  </si>
  <si>
    <t>Extreme Greed</t>
  </si>
  <si>
    <t>1-09</t>
  </si>
  <si>
    <t>1-08</t>
  </si>
  <si>
    <t>1-07</t>
  </si>
  <si>
    <t>1-06</t>
  </si>
  <si>
    <t>1-05</t>
  </si>
  <si>
    <t>1-04</t>
  </si>
  <si>
    <t>1-03</t>
  </si>
  <si>
    <t>1-02</t>
  </si>
  <si>
    <t>1-01</t>
  </si>
  <si>
    <t>4-12</t>
  </si>
  <si>
    <t>4-11</t>
  </si>
  <si>
    <t>4-10</t>
  </si>
  <si>
    <t>4-O9</t>
  </si>
  <si>
    <t>4-O8</t>
  </si>
  <si>
    <t>4-07'</t>
  </si>
  <si>
    <t>4-06'</t>
  </si>
  <si>
    <t>4-05</t>
  </si>
  <si>
    <t>4-04</t>
  </si>
  <si>
    <t>4-03</t>
  </si>
  <si>
    <t>4-02</t>
  </si>
  <si>
    <t>4-01</t>
  </si>
  <si>
    <t>26-Q1-06</t>
  </si>
  <si>
    <t>2026/02/17</t>
  </si>
  <si>
    <t>26-Q1-05</t>
  </si>
  <si>
    <t>2026/02/10</t>
  </si>
  <si>
    <t>26-Q1-04</t>
  </si>
  <si>
    <t>2026/02/03</t>
  </si>
  <si>
    <t>26-Q1-03</t>
  </si>
  <si>
    <t>2026/01/27</t>
  </si>
  <si>
    <t>26-Q1-02</t>
  </si>
  <si>
    <t>2026/01/20</t>
  </si>
  <si>
    <t>ML-&gt;LLM</t>
  </si>
  <si>
    <t>LLM-&gt; +3</t>
  </si>
  <si>
    <t>+3-DAY</t>
  </si>
  <si>
    <t>Mob</t>
  </si>
  <si>
    <t>Prebaci u LLM XL</t>
  </si>
  <si>
    <t>2 LLM =&gt;</t>
  </si>
  <si>
    <t>Δ(M-Comb)</t>
  </si>
  <si>
    <t>LLM-ML</t>
  </si>
  <si>
    <t>Correction</t>
  </si>
  <si>
    <t>PRE -</t>
  </si>
  <si>
    <t>POST -</t>
  </si>
  <si>
    <t>ML-12</t>
  </si>
  <si>
    <t>ML-1</t>
  </si>
  <si>
    <t>26-Q1-01</t>
  </si>
  <si>
    <t>2026/01/13</t>
  </si>
  <si>
    <t>25-Q4-12</t>
  </si>
  <si>
    <t>2025/12/16</t>
  </si>
  <si>
    <t>PRED.</t>
  </si>
  <si>
    <t>CORR</t>
  </si>
  <si>
    <t xml:space="preserve">PRE - Corr. </t>
  </si>
  <si>
    <t>POST = TRUE Corr</t>
  </si>
  <si>
    <t>ML-11</t>
  </si>
  <si>
    <t>25-Q4-11</t>
  </si>
  <si>
    <t>2025/12/09</t>
  </si>
  <si>
    <t>ML 10</t>
  </si>
  <si>
    <t>25-Q4-10</t>
  </si>
  <si>
    <t>Z+</t>
  </si>
  <si>
    <t>2025/12/02</t>
  </si>
  <si>
    <t>Z-</t>
  </si>
  <si>
    <t>PRE - ML 9</t>
  </si>
  <si>
    <t>POST - ML 10</t>
  </si>
  <si>
    <t>25-Q4-09</t>
  </si>
  <si>
    <t>2025/11/25</t>
  </si>
  <si>
    <t xml:space="preserve">PRE = PRED. Corr. </t>
  </si>
  <si>
    <t>25-Q4-08</t>
  </si>
  <si>
    <t>18/11/2025</t>
  </si>
  <si>
    <t>Comb</t>
  </si>
  <si>
    <t>25-Q4-07</t>
  </si>
  <si>
    <t>L</t>
  </si>
  <si>
    <t>P</t>
  </si>
  <si>
    <t>D</t>
  </si>
  <si>
    <t>O</t>
  </si>
  <si>
    <t>C</t>
  </si>
  <si>
    <t>K</t>
  </si>
  <si>
    <t>Q</t>
  </si>
  <si>
    <t>REAL</t>
  </si>
  <si>
    <t>25-Q4-06</t>
  </si>
  <si>
    <t>K, L</t>
  </si>
  <si>
    <t>Weights</t>
  </si>
  <si>
    <t>&gt; 99.99</t>
  </si>
  <si>
    <t>&gt; 99.5</t>
  </si>
  <si>
    <t>&gt; 99</t>
  </si>
  <si>
    <t>&gt; 98</t>
  </si>
  <si>
    <t>&gt; 97</t>
  </si>
  <si>
    <t>&gt; 96</t>
  </si>
  <si>
    <t>&gt; 95</t>
  </si>
  <si>
    <t>&gt; 93</t>
  </si>
  <si>
    <t>&lt; 93</t>
  </si>
  <si>
    <t>INPUT</t>
  </si>
  <si>
    <t>Model</t>
  </si>
  <si>
    <t>&gt; 99,5</t>
  </si>
  <si>
    <t>max AVR-4</t>
  </si>
  <si>
    <t>G,P</t>
  </si>
  <si>
    <t xml:space="preserve">G </t>
  </si>
  <si>
    <t>C,K</t>
  </si>
  <si>
    <t>O,G,P</t>
  </si>
  <si>
    <t>P,C,4</t>
  </si>
  <si>
    <t>G,P,C,4</t>
  </si>
  <si>
    <t>O,G,P,C,4,K</t>
  </si>
  <si>
    <t>Neutreal</t>
  </si>
  <si>
    <t>26-Q1-08</t>
  </si>
  <si>
    <t>2026/03/03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</si>
</sst>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m/d/yyyy"/>
    <numFmt numFmtId="168" formatCode="0.0%"/>
  </numFmts>
  <fonts count="140" x14ac:knownFonts="1">
    <font>
      <sz val="11"/>
      <color theme="1"/>
      <name val="Aptos Narrow"/>
      <family val="2"/>
      <charset val="238"/>
    </font>
    <font>
      <sz val="10.5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7"/>
      <name val="Aptos Narrow"/>
      <family val="2"/>
      <charset val="1"/>
    </font>
    <font>
      <sz val="7"/>
      <color theme="1"/>
      <name val="Aptos Narrow"/>
      <family val="2"/>
      <charset val="1"/>
    </font>
    <font>
      <sz val="10.5"/>
      <color theme="0" tint="-0.249977111117893"/>
      <name val="Aptos Narrow"/>
      <family val="2"/>
      <charset val="1"/>
    </font>
    <font>
      <b/>
      <sz val="10.5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0" tint="-0.34998626667073579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z val="7"/>
      <color theme="1"/>
      <name val="Aptos Narrow"/>
      <family val="2"/>
      <charset val="1"/>
    </font>
    <font>
      <b/>
      <sz val="10.5"/>
      <color theme="0" tint="-0.249977111117893"/>
      <name val="Aptos Narrow"/>
      <family val="2"/>
      <charset val="1"/>
    </font>
    <font>
      <sz val="9.5"/>
      <color rgb="FFFF0000"/>
      <name val="Aptos Narrow"/>
      <family val="2"/>
      <charset val="1"/>
    </font>
    <font>
      <sz val="10.5"/>
      <color theme="2" tint="-0.249977111117893"/>
      <name val="Aptos Narrow"/>
      <family val="2"/>
      <charset val="1"/>
    </font>
    <font>
      <sz val="10.5"/>
      <color rgb="FFBF819E"/>
      <name val="Aptos Narrow"/>
      <family val="2"/>
      <charset val="1"/>
    </font>
    <font>
      <sz val="8.5"/>
      <color rgb="FFBF819E"/>
      <name val="Aptos Narrow"/>
      <family val="2"/>
      <charset val="1"/>
    </font>
    <font>
      <b/>
      <sz val="8.5"/>
      <color rgb="FFBF819E"/>
      <name val="Aptos Narrow"/>
      <family val="2"/>
      <charset val="1"/>
    </font>
    <font>
      <sz val="10"/>
      <color theme="0" tint="-0.249977111117893"/>
      <name val="Aptos Narrow"/>
      <family val="2"/>
      <charset val="1"/>
    </font>
    <font>
      <b/>
      <sz val="9.5"/>
      <color rgb="FFFF0000"/>
      <name val="Aptos Narrow"/>
      <family val="2"/>
      <charset val="1"/>
    </font>
    <font>
      <b/>
      <sz val="9.5"/>
      <color theme="1"/>
      <name val="Aptos Narrow"/>
      <family val="2"/>
      <charset val="1"/>
    </font>
    <font>
      <b/>
      <sz val="10.5"/>
      <name val="Aptos Narrow"/>
      <family val="2"/>
      <charset val="1"/>
    </font>
    <font>
      <b/>
      <sz val="11.5"/>
      <color theme="1"/>
      <name val="Aptos Narrow"/>
      <family val="2"/>
      <charset val="1"/>
    </font>
    <font>
      <b/>
      <sz val="10.5"/>
      <color theme="2" tint="-0.249977111117893"/>
      <name val="Aptos Narrow"/>
      <family val="2"/>
      <charset val="1"/>
    </font>
    <font>
      <sz val="9"/>
      <color rgb="FFFF7C80"/>
      <name val="Aptos Narrow"/>
      <family val="2"/>
      <charset val="1"/>
    </font>
    <font>
      <sz val="9"/>
      <name val="Aptos Narrow"/>
      <family val="2"/>
      <charset val="1"/>
    </font>
    <font>
      <sz val="9"/>
      <color theme="2" tint="-0.249977111117893"/>
      <name val="Aptos Narrow"/>
      <family val="2"/>
      <charset val="1"/>
    </font>
    <font>
      <sz val="9"/>
      <color rgb="FFFF0000"/>
      <name val="Aptos Narrow"/>
      <family val="2"/>
      <charset val="1"/>
    </font>
    <font>
      <b/>
      <sz val="10.5"/>
      <color rgb="FFFF0000"/>
      <name val="Aptos Narrow"/>
      <family val="2"/>
      <charset val="1"/>
    </font>
    <font>
      <b/>
      <sz val="9"/>
      <name val="Aptos Narrow"/>
      <family val="2"/>
      <charset val="1"/>
    </font>
    <font>
      <b/>
      <sz val="9"/>
      <color rgb="FFFF0000"/>
      <name val="Aptos Narrow"/>
      <family val="2"/>
      <charset val="1"/>
    </font>
    <font>
      <sz val="10"/>
      <color theme="4" tint="0.39948728904080327"/>
      <name val="Aptos Narrow"/>
      <family val="2"/>
      <charset val="1"/>
    </font>
    <font>
      <b/>
      <sz val="10"/>
      <color rgb="FF0070C0"/>
      <name val="Aptos Narrow"/>
      <family val="2"/>
      <charset val="1"/>
    </font>
    <font>
      <b/>
      <sz val="7"/>
      <color rgb="FF0070C0"/>
      <name val="Aptos Narrow"/>
      <family val="2"/>
      <charset val="1"/>
    </font>
    <font>
      <sz val="9.5"/>
      <color theme="4" tint="0.39948728904080327"/>
      <name val="Aptos Narrow"/>
      <family val="2"/>
      <charset val="1"/>
    </font>
    <font>
      <sz val="9.5"/>
      <color rgb="FF5983B0"/>
      <name val="Aptos Narrow"/>
      <family val="2"/>
      <charset val="1"/>
    </font>
    <font>
      <b/>
      <sz val="9.5"/>
      <color rgb="FF0070C0"/>
      <name val="Aptos Narrow"/>
      <family val="2"/>
      <charset val="1"/>
    </font>
    <font>
      <sz val="7"/>
      <color rgb="FF5983B0"/>
      <name val="Aptos Narrow"/>
      <family val="2"/>
      <charset val="1"/>
    </font>
    <font>
      <b/>
      <sz val="10.5"/>
      <color theme="3" tint="0.49949644459364606"/>
      <name val="Aptos Narrow"/>
      <family val="2"/>
      <charset val="1"/>
    </font>
    <font>
      <b/>
      <sz val="9"/>
      <color theme="2" tint="-0.249977111117893"/>
      <name val="Aptos Narrow"/>
      <family val="2"/>
      <charset val="1"/>
    </font>
    <font>
      <sz val="9.5"/>
      <color theme="8" tint="0.59959715567491678"/>
      <name val="Aptos Narrow"/>
      <family val="2"/>
      <charset val="1"/>
    </font>
    <font>
      <sz val="9"/>
      <color rgb="FFFFA7A7"/>
      <name val="Aptos Narrow"/>
      <family val="2"/>
      <charset val="1"/>
    </font>
    <font>
      <b/>
      <sz val="11"/>
      <color rgb="FFDDDDDD"/>
      <name val="Aptos Narrow"/>
      <family val="2"/>
      <charset val="1"/>
    </font>
    <font>
      <b/>
      <sz val="9.5"/>
      <color theme="3" tint="0.49949644459364606"/>
      <name val="Aptos Narrow"/>
      <family val="2"/>
      <charset val="1"/>
    </font>
    <font>
      <sz val="9.5"/>
      <color theme="3" tint="0.49949644459364606"/>
      <name val="Aptos Narrow"/>
      <family val="2"/>
      <charset val="1"/>
    </font>
    <font>
      <b/>
      <sz val="9"/>
      <color theme="1"/>
      <name val="Aptos Narrow"/>
      <family val="2"/>
      <charset val="1"/>
    </font>
    <font>
      <b/>
      <sz val="9.5"/>
      <color theme="8" tint="0.39939573351237523"/>
      <name val="Aptos Narrow"/>
      <family val="2"/>
      <charset val="1"/>
    </font>
    <font>
      <sz val="9.5"/>
      <color theme="1"/>
      <name val="Aptos Narrow"/>
      <family val="2"/>
      <charset val="1"/>
    </font>
    <font>
      <sz val="10.5"/>
      <color theme="8" tint="0.59959715567491678"/>
      <name val="Aptos Narrow"/>
      <family val="2"/>
      <charset val="1"/>
    </font>
    <font>
      <b/>
      <sz val="10"/>
      <color theme="6" tint="0.39948728904080327"/>
      <name val="Aptos Narrow"/>
      <family val="2"/>
      <charset val="1"/>
    </font>
    <font>
      <sz val="7"/>
      <color theme="9"/>
      <name val="Aptos Narrow"/>
      <family val="2"/>
      <charset val="1"/>
    </font>
    <font>
      <b/>
      <sz val="10"/>
      <color theme="9" tint="-0.249977111117893"/>
      <name val="Aptos Narrow"/>
      <family val="2"/>
      <charset val="1"/>
    </font>
    <font>
      <b/>
      <sz val="7"/>
      <color theme="9" tint="-0.249977111117893"/>
      <name val="Aptos Narrow"/>
      <family val="2"/>
      <charset val="1"/>
    </font>
    <font>
      <b/>
      <sz val="9.5"/>
      <color theme="0" tint="-0.249977111117893"/>
      <name val="Aptos Narrow"/>
      <family val="2"/>
      <charset val="1"/>
    </font>
    <font>
      <b/>
      <sz val="9.5"/>
      <color theme="6" tint="0.39948728904080327"/>
      <name val="Aptos Narrow"/>
      <family val="2"/>
      <charset val="1"/>
    </font>
    <font>
      <sz val="9.5"/>
      <color theme="9"/>
      <name val="Aptos Narrow"/>
      <family val="2"/>
      <charset val="1"/>
    </font>
    <font>
      <b/>
      <sz val="9.5"/>
      <color theme="9" tint="-0.249977111117893"/>
      <name val="Aptos Narrow"/>
      <family val="2"/>
      <charset val="1"/>
    </font>
    <font>
      <u/>
      <sz val="11"/>
      <color theme="10"/>
      <name val="Aptos Narrow"/>
      <family val="2"/>
      <charset val="238"/>
    </font>
    <font>
      <sz val="9"/>
      <color theme="0" tint="-0.34998626667073579"/>
      <name val="Aptos Narrow"/>
      <family val="2"/>
      <charset val="1"/>
    </font>
    <font>
      <sz val="10.5"/>
      <color theme="0" tint="-0.34998626667073579"/>
      <name val="Aptos Narrow"/>
      <family val="2"/>
      <charset val="1"/>
    </font>
    <font>
      <sz val="7.5"/>
      <color theme="0" tint="-0.34998626667073579"/>
      <name val="Aptos Narrow"/>
      <family val="2"/>
      <charset val="1"/>
    </font>
    <font>
      <sz val="8"/>
      <color theme="0" tint="-0.249977111117893"/>
      <name val="Aptos Narrow"/>
      <family val="2"/>
      <charset val="1"/>
    </font>
    <font>
      <sz val="7"/>
      <color rgb="FFDDDDDD"/>
      <name val="Aptos Narrow"/>
      <family val="2"/>
      <charset val="1"/>
    </font>
    <font>
      <sz val="9.5"/>
      <color rgb="FF808080"/>
      <name val="Aptos Narrow"/>
      <family val="2"/>
      <charset val="1"/>
    </font>
    <font>
      <sz val="1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1"/>
      <name val="Aptos Narrow"/>
      <family val="2"/>
      <charset val="1"/>
    </font>
    <font>
      <b/>
      <sz val="11"/>
      <color theme="1"/>
      <name val="Aptos Narrow"/>
      <family val="2"/>
      <charset val="238"/>
    </font>
    <font>
      <b/>
      <sz val="7"/>
      <color rgb="FFDDDDDD"/>
      <name val="Aptos Narrow"/>
      <family val="2"/>
      <charset val="1"/>
    </font>
    <font>
      <b/>
      <sz val="9.5"/>
      <color rgb="FF808080"/>
      <name val="Aptos Narrow"/>
      <family val="2"/>
      <charset val="1"/>
    </font>
    <font>
      <b/>
      <sz val="10.5"/>
      <color theme="9"/>
      <name val="Aptos Narrow"/>
      <family val="2"/>
      <charset val="1"/>
    </font>
    <font>
      <sz val="9"/>
      <color theme="9"/>
      <name val="Aptos Narrow"/>
      <family val="2"/>
      <charset val="1"/>
    </font>
    <font>
      <sz val="9"/>
      <color rgb="FFDDDDDD"/>
      <name val="Aptos Narrow"/>
      <family val="2"/>
      <charset val="1"/>
    </font>
    <font>
      <sz val="8.5"/>
      <color theme="0" tint="-0.249977111117893"/>
      <name val="Aptos Narrow"/>
      <family val="2"/>
      <charset val="1"/>
    </font>
    <font>
      <sz val="8.5"/>
      <name val="Aptos Narrow"/>
      <family val="2"/>
      <charset val="1"/>
    </font>
    <font>
      <b/>
      <sz val="8.5"/>
      <name val="Aptos Narrow"/>
      <family val="2"/>
      <charset val="1"/>
    </font>
    <font>
      <sz val="8.5"/>
      <color theme="1"/>
      <name val="Aptos Narrow"/>
      <family val="2"/>
      <charset val="1"/>
    </font>
    <font>
      <sz val="10"/>
      <color theme="7" tint="0.39939573351237523"/>
      <name val="Aptos Narrow"/>
      <family val="2"/>
      <charset val="1"/>
    </font>
    <font>
      <sz val="9.5"/>
      <color theme="7" tint="0.39939573351237523"/>
      <name val="Aptos Narrow"/>
      <family val="2"/>
      <charset val="1"/>
    </font>
    <font>
      <sz val="9.5"/>
      <color rgb="FF0070C0"/>
      <name val="Aptos Narrow"/>
      <family val="2"/>
      <charset val="1"/>
    </font>
    <font>
      <sz val="10"/>
      <color theme="9" tint="0.39939573351237523"/>
      <name val="Aptos Narrow"/>
      <family val="2"/>
      <charset val="1"/>
    </font>
    <font>
      <b/>
      <sz val="10"/>
      <color theme="9"/>
      <name val="Aptos Narrow"/>
      <family val="2"/>
      <charset val="1"/>
    </font>
    <font>
      <b/>
      <sz val="7"/>
      <color theme="9"/>
      <name val="Aptos Narrow"/>
      <family val="2"/>
      <charset val="1"/>
    </font>
    <font>
      <b/>
      <sz val="9.5"/>
      <color theme="9" tint="0.39939573351237523"/>
      <name val="Aptos Narrow"/>
      <family val="2"/>
      <charset val="1"/>
    </font>
    <font>
      <b/>
      <sz val="9.5"/>
      <color theme="9"/>
      <name val="Aptos Narrow"/>
      <family val="2"/>
      <charset val="1"/>
    </font>
    <font>
      <sz val="9.5"/>
      <color theme="9" tint="0.39939573351237523"/>
      <name val="Aptos Narrow"/>
      <family val="2"/>
      <charset val="1"/>
    </font>
    <font>
      <b/>
      <sz val="10.5"/>
      <color theme="8" tint="0.39939573351237523"/>
      <name val="Aptos Narrow"/>
      <family val="2"/>
      <charset val="1"/>
    </font>
    <font>
      <b/>
      <sz val="8"/>
      <color theme="9"/>
      <name val="Aptos Narrow"/>
      <family val="2"/>
      <charset val="1"/>
    </font>
    <font>
      <b/>
      <sz val="8"/>
      <color theme="3" tint="0.49949644459364606"/>
      <name val="Aptos Narrow"/>
      <family val="2"/>
      <charset val="1"/>
    </font>
    <font>
      <sz val="9"/>
      <color theme="3" tint="0.49949644459364606"/>
      <name val="Aptos Narrow"/>
      <family val="2"/>
      <charset val="1"/>
    </font>
    <font>
      <b/>
      <sz val="9"/>
      <color theme="9"/>
      <name val="Aptos Narrow"/>
      <family val="2"/>
      <charset val="1"/>
    </font>
    <font>
      <b/>
      <sz val="11"/>
      <color theme="9" tint="-0.249977111117893"/>
      <name val="Aptos Narrow"/>
      <family val="2"/>
      <charset val="1"/>
    </font>
    <font>
      <sz val="9.5"/>
      <color theme="2" tint="-9.9978637043366805E-2"/>
      <name val="Aptos Narrow"/>
      <family val="2"/>
      <charset val="1"/>
    </font>
    <font>
      <sz val="11"/>
      <color theme="9"/>
      <name val="Aptos Narrow"/>
      <family val="2"/>
      <charset val="1"/>
    </font>
    <font>
      <sz val="10.5"/>
      <color theme="9"/>
      <name val="Aptos Narrow"/>
      <family val="2"/>
      <charset val="1"/>
    </font>
    <font>
      <sz val="9.5"/>
      <color theme="2" tint="-0.249977111117893"/>
      <name val="Aptos Narrow"/>
      <family val="2"/>
      <charset val="238"/>
    </font>
    <font>
      <sz val="9"/>
      <color theme="1"/>
      <name val="Aptos Narrow"/>
      <family val="2"/>
      <charset val="1"/>
    </font>
    <font>
      <sz val="9"/>
      <color theme="2" tint="-9.9978637043366805E-2"/>
      <name val="Aptos Narrow"/>
      <family val="2"/>
      <charset val="1"/>
    </font>
    <font>
      <b/>
      <sz val="9.5"/>
      <color theme="2" tint="-0.249977111117893"/>
      <name val="Aptos Narrow"/>
      <family val="2"/>
      <charset val="1"/>
    </font>
    <font>
      <sz val="8"/>
      <color theme="0" tint="-0.34998626667073579"/>
      <name val="Aptos Narrow"/>
      <family val="2"/>
      <charset val="1"/>
    </font>
    <font>
      <b/>
      <sz val="11.5"/>
      <color theme="0" tint="-0.34998626667073579"/>
      <name val="Aptos Narrow"/>
      <family val="2"/>
      <charset val="1"/>
    </font>
    <font>
      <sz val="9.5"/>
      <name val="Aptos Narrow"/>
      <family val="2"/>
      <charset val="1"/>
    </font>
    <font>
      <sz val="9.5"/>
      <color theme="0" tint="-0.34998626667073579"/>
      <name val="Aptos Narrow"/>
      <family val="2"/>
      <charset val="1"/>
    </font>
    <font>
      <b/>
      <sz val="9.5"/>
      <name val="Aptos Narrow"/>
      <family val="2"/>
      <charset val="1"/>
    </font>
    <font>
      <b/>
      <sz val="9"/>
      <color theme="0" tint="-0.34998626667073579"/>
      <name val="Aptos Narrow"/>
      <family val="2"/>
      <charset val="1"/>
    </font>
    <font>
      <b/>
      <sz val="10.5"/>
      <color theme="9" tint="-0.249977111117893"/>
      <name val="Aptos Narrow"/>
      <family val="2"/>
      <charset val="1"/>
    </font>
    <font>
      <sz val="9"/>
      <color theme="9" tint="-0.249977111117893"/>
      <name val="Aptos Narrow"/>
      <family val="2"/>
      <charset val="1"/>
    </font>
    <font>
      <b/>
      <sz val="9"/>
      <color theme="9" tint="-0.249977111117893"/>
      <name val="Aptos Narrow"/>
      <family val="2"/>
      <charset val="1"/>
    </font>
    <font>
      <sz val="9.5"/>
      <color theme="1"/>
      <name val="Aptos Narrow"/>
      <family val="2"/>
      <charset val="238"/>
    </font>
    <font>
      <sz val="9.5"/>
      <color theme="0" tint="-0.249977111117893"/>
      <name val="Aptos Narrow"/>
      <family val="2"/>
      <charset val="1"/>
    </font>
    <font>
      <b/>
      <sz val="7"/>
      <name val="Aptos Narrow"/>
      <family val="2"/>
      <charset val="1"/>
    </font>
    <font>
      <b/>
      <sz val="10"/>
      <name val="Aptos Narrow"/>
      <family val="2"/>
      <charset val="1"/>
    </font>
    <font>
      <sz val="11"/>
      <color theme="9"/>
      <name val="Aptos Narrow"/>
      <family val="2"/>
      <charset val="238"/>
    </font>
    <font>
      <sz val="10.5"/>
      <color rgb="FFDDDDDD"/>
      <name val="Aptos Narrow"/>
      <family val="2"/>
      <charset val="1"/>
    </font>
    <font>
      <sz val="10.5"/>
      <name val="Aptos Narrow"/>
      <family val="2"/>
      <charset val="1"/>
    </font>
    <font>
      <sz val="9.5"/>
      <color rgb="FFFF7C80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0"/>
      <color rgb="FFFF0000"/>
      <name val="Aptos Narrow"/>
      <family val="2"/>
      <charset val="1"/>
    </font>
    <font>
      <b/>
      <sz val="10"/>
      <color rgb="FFFF0000"/>
      <name val="Aptos Narrow"/>
      <family val="2"/>
      <charset val="1"/>
    </font>
    <font>
      <sz val="10"/>
      <color rgb="FFFF7C80"/>
      <name val="Aptos Narrow"/>
      <family val="2"/>
      <charset val="1"/>
    </font>
    <font>
      <sz val="10"/>
      <color rgb="FF0070C0"/>
      <name val="Aptos Narrow"/>
      <family val="2"/>
      <charset val="1"/>
    </font>
    <font>
      <b/>
      <sz val="8.5"/>
      <color theme="1"/>
      <name val="Aptos Narrow"/>
      <family val="2"/>
      <charset val="1"/>
    </font>
    <font>
      <b/>
      <sz val="10"/>
      <color theme="9" tint="0.39939573351237523"/>
      <name val="Aptos Narrow"/>
      <family val="2"/>
      <charset val="1"/>
    </font>
    <font>
      <sz val="10.5"/>
      <color rgb="FFCCCCCC"/>
      <name val="Aptos Narrow"/>
      <family val="2"/>
      <charset val="1"/>
    </font>
    <font>
      <sz val="10.5"/>
      <color rgb="FFFF0000"/>
      <name val="Aptos Narrow"/>
      <family val="2"/>
      <charset val="1"/>
    </font>
    <font>
      <b/>
      <sz val="10.5"/>
      <color rgb="FF0070C0"/>
      <name val="Aptos Narrow"/>
      <family val="2"/>
      <charset val="1"/>
    </font>
    <font>
      <sz val="10.5"/>
      <color rgb="FFFF7C80"/>
      <name val="Aptos Narrow"/>
      <family val="2"/>
      <charset val="1"/>
    </font>
    <font>
      <sz val="10.5"/>
      <color rgb="FF5983B0"/>
      <name val="Aptos Narrow"/>
      <family val="2"/>
      <charset val="1"/>
    </font>
    <font>
      <sz val="10.5"/>
      <color theme="8" tint="0.79979857783745845"/>
      <name val="Aptos Narrow"/>
      <family val="2"/>
      <charset val="1"/>
    </font>
    <font>
      <b/>
      <sz val="10.5"/>
      <color theme="8" tint="0.79979857783745845"/>
      <name val="Aptos Narrow"/>
      <family val="2"/>
      <charset val="1"/>
    </font>
    <font>
      <sz val="10.5"/>
      <color theme="8" tint="0.39939573351237523"/>
      <name val="Aptos Narrow"/>
      <family val="2"/>
      <charset val="1"/>
    </font>
    <font>
      <sz val="10.5"/>
      <color theme="7" tint="0.39939573351237523"/>
      <name val="Aptos Narrow"/>
      <family val="2"/>
      <charset val="1"/>
    </font>
    <font>
      <sz val="10.5"/>
      <color rgb="FF0070C0"/>
      <name val="Aptos Narrow"/>
      <family val="2"/>
      <charset val="1"/>
    </font>
    <font>
      <sz val="10.5"/>
      <color theme="1" tint="0.49949644459364606"/>
      <name val="Aptos Narrow"/>
      <family val="2"/>
      <charset val="1"/>
    </font>
    <font>
      <b/>
      <sz val="10.5"/>
      <color theme="1" tint="0.49949644459364606"/>
      <name val="Aptos Narrow"/>
      <family val="2"/>
      <charset val="1"/>
    </font>
    <font>
      <sz val="9"/>
      <color theme="1" tint="0.49949644459364606"/>
      <name val="Aptos Narrow"/>
      <family val="2"/>
      <charset val="1"/>
    </font>
    <font>
      <b/>
      <sz val="10.5"/>
      <color theme="7"/>
      <name val="Aptos Narrow"/>
      <family val="2"/>
      <charset val="1"/>
    </font>
    <font>
      <sz val="9"/>
      <color theme="0" tint="-0.249977111117893"/>
      <name val="Aptos Narrow"/>
      <family val="2"/>
      <charset val="1"/>
    </font>
    <font>
      <sz val="10.5"/>
      <color theme="4" tint="0.59959715567491678"/>
      <name val="Aptos Narrow"/>
      <family val="2"/>
      <charset val="1"/>
    </font>
    <font>
      <sz val="10.5"/>
      <color theme="7"/>
      <name val="Aptos Narrow"/>
      <family val="2"/>
      <charset val="1"/>
    </font>
    <font>
      <sz val="11"/>
      <color rgb="FFDDDDDD"/>
      <name val="Aptos Narrow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D7"/>
      </patternFill>
    </fill>
    <fill>
      <patternFill patternType="solid">
        <fgColor rgb="FFFFEFFF"/>
        <bgColor rgb="FFEAEAEA"/>
      </patternFill>
    </fill>
    <fill>
      <patternFill patternType="solid">
        <fgColor rgb="FFDEE7E5"/>
        <bgColor rgb="FFEAEAEA"/>
      </patternFill>
    </fill>
    <fill>
      <patternFill patternType="solid">
        <fgColor rgb="FFCCFFFF"/>
        <bgColor rgb="FFD9F2D0"/>
      </patternFill>
    </fill>
    <fill>
      <patternFill patternType="solid">
        <fgColor theme="9" tint="0.79979857783745845"/>
        <bgColor rgb="FFDEE7E5"/>
      </patternFill>
    </fill>
    <fill>
      <patternFill patternType="solid">
        <fgColor rgb="FFFFFFD7"/>
        <bgColor rgb="FFFFFFCC"/>
      </patternFill>
    </fill>
    <fill>
      <patternFill patternType="solid">
        <fgColor rgb="FFEAEAEA"/>
        <bgColor rgb="FFDEE7E5"/>
      </patternFill>
    </fill>
  </fills>
  <borders count="24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otted">
        <color auto="1"/>
      </bottom>
      <diagonal/>
    </border>
    <border>
      <left/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dotted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/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thin">
        <color auto="1"/>
      </bottom>
      <diagonal/>
    </border>
    <border>
      <left style="hair">
        <color auto="1"/>
      </left>
      <right/>
      <top style="dotted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 style="medium">
        <color auto="1"/>
      </top>
      <bottom/>
      <diagonal/>
    </border>
    <border>
      <left/>
      <right style="dotted">
        <color auto="1"/>
      </right>
      <top style="thin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dotted">
        <color auto="1"/>
      </right>
      <top/>
      <bottom/>
      <diagonal/>
    </border>
    <border>
      <left style="dotted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thin">
        <color auto="1"/>
      </top>
      <bottom style="hair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hair">
        <color auto="1"/>
      </top>
      <bottom style="hair">
        <color auto="1"/>
      </bottom>
      <diagonal/>
    </border>
    <border>
      <left style="dotted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tted">
        <color auto="1"/>
      </right>
      <top style="hair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hair">
        <color auto="1"/>
      </left>
      <right/>
      <top style="medium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hair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medium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medium">
        <color auto="1"/>
      </left>
      <right style="hair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/>
      <right style="dotted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 style="slantDashDot">
        <color auto="1"/>
      </right>
      <top style="medium">
        <color auto="1"/>
      </top>
      <bottom style="dotted">
        <color auto="1"/>
      </bottom>
      <diagonal/>
    </border>
    <border>
      <left/>
      <right style="slantDashDot">
        <color auto="1"/>
      </right>
      <top style="dotted">
        <color auto="1"/>
      </top>
      <bottom style="dotted">
        <color auto="1"/>
      </bottom>
      <diagonal/>
    </border>
    <border>
      <left/>
      <right style="slantDashDot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6" fillId="0" borderId="0" applyBorder="0" applyProtection="0"/>
  </cellStyleXfs>
  <cellXfs count="141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49" fontId="7" fillId="0" borderId="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right" vertical="center"/>
    </xf>
    <xf numFmtId="2" fontId="12" fillId="0" borderId="18" xfId="0" applyNumberFormat="1" applyFont="1" applyBorder="1" applyAlignment="1">
      <alignment horizontal="right" vertical="center"/>
    </xf>
    <xf numFmtId="2" fontId="12" fillId="2" borderId="19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vertical="center"/>
    </xf>
    <xf numFmtId="0" fontId="14" fillId="0" borderId="20" xfId="0" applyFont="1" applyBorder="1" applyAlignment="1">
      <alignment horizontal="center" vertical="center"/>
    </xf>
    <xf numFmtId="2" fontId="15" fillId="3" borderId="21" xfId="0" applyNumberFormat="1" applyFont="1" applyFill="1" applyBorder="1" applyAlignment="1">
      <alignment horizontal="center" vertical="center"/>
    </xf>
    <xf numFmtId="2" fontId="15" fillId="3" borderId="22" xfId="0" applyNumberFormat="1" applyFont="1" applyFill="1" applyBorder="1" applyAlignment="1">
      <alignment horizontal="center" vertical="center"/>
    </xf>
    <xf numFmtId="2" fontId="16" fillId="3" borderId="23" xfId="0" applyNumberFormat="1" applyFont="1" applyFill="1" applyBorder="1" applyAlignment="1">
      <alignment horizontal="center" vertical="center"/>
    </xf>
    <xf numFmtId="2" fontId="16" fillId="3" borderId="24" xfId="0" applyNumberFormat="1" applyFont="1" applyFill="1" applyBorder="1" applyAlignment="1">
      <alignment horizontal="center" vertical="center"/>
    </xf>
    <xf numFmtId="2" fontId="16" fillId="3" borderId="25" xfId="0" applyNumberFormat="1" applyFont="1" applyFill="1" applyBorder="1" applyAlignment="1">
      <alignment horizontal="center" vertical="center"/>
    </xf>
    <xf numFmtId="2" fontId="15" fillId="3" borderId="26" xfId="0" applyNumberFormat="1" applyFont="1" applyFill="1" applyBorder="1" applyAlignment="1">
      <alignment horizontal="center" vertical="center"/>
    </xf>
    <xf numFmtId="2" fontId="15" fillId="3" borderId="27" xfId="0" applyNumberFormat="1" applyFont="1" applyFill="1" applyBorder="1" applyAlignment="1">
      <alignment horizontal="center" vertical="center"/>
    </xf>
    <xf numFmtId="0" fontId="3" fillId="0" borderId="28" xfId="0" applyFont="1" applyBorder="1" applyAlignment="1">
      <alignment vertical="center"/>
    </xf>
    <xf numFmtId="2" fontId="2" fillId="0" borderId="29" xfId="0" applyNumberFormat="1" applyFont="1" applyBorder="1" applyAlignment="1">
      <alignment horizontal="center" vertical="center"/>
    </xf>
    <xf numFmtId="2" fontId="1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1" fontId="18" fillId="0" borderId="32" xfId="0" applyNumberFormat="1" applyFont="1" applyBorder="1" applyAlignment="1">
      <alignment horizontal="right" vertical="center"/>
    </xf>
    <xf numFmtId="1" fontId="18" fillId="0" borderId="33" xfId="0" applyNumberFormat="1" applyFont="1" applyBorder="1" applyAlignment="1">
      <alignment horizontal="right" vertical="center"/>
    </xf>
    <xf numFmtId="1" fontId="18" fillId="2" borderId="34" xfId="0" applyNumberFormat="1" applyFont="1" applyFill="1" applyBorder="1" applyAlignment="1">
      <alignment horizontal="right" vertical="center"/>
    </xf>
    <xf numFmtId="49" fontId="19" fillId="0" borderId="1" xfId="0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2" fontId="15" fillId="3" borderId="13" xfId="0" applyNumberFormat="1" applyFont="1" applyFill="1" applyBorder="1" applyAlignment="1">
      <alignment horizontal="center" vertical="center"/>
    </xf>
    <xf numFmtId="2" fontId="15" fillId="3" borderId="36" xfId="0" applyNumberFormat="1" applyFont="1" applyFill="1" applyBorder="1" applyAlignment="1">
      <alignment horizontal="center" vertical="center"/>
    </xf>
    <xf numFmtId="2" fontId="16" fillId="3" borderId="37" xfId="0" applyNumberFormat="1" applyFont="1" applyFill="1" applyBorder="1" applyAlignment="1">
      <alignment horizontal="center" vertical="center"/>
    </xf>
    <xf numFmtId="2" fontId="16" fillId="3" borderId="38" xfId="0" applyNumberFormat="1" applyFont="1" applyFill="1" applyBorder="1" applyAlignment="1">
      <alignment horizontal="center" vertical="center"/>
    </xf>
    <xf numFmtId="2" fontId="16" fillId="3" borderId="39" xfId="0" applyNumberFormat="1" applyFont="1" applyFill="1" applyBorder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2" fontId="15" fillId="3" borderId="40" xfId="0" applyNumberFormat="1" applyFont="1" applyFill="1" applyBorder="1" applyAlignment="1">
      <alignment horizontal="center" vertical="center"/>
    </xf>
    <xf numFmtId="2" fontId="2" fillId="0" borderId="41" xfId="0" applyNumberFormat="1" applyFont="1" applyBorder="1" applyAlignment="1">
      <alignment horizontal="center" vertical="center"/>
    </xf>
    <xf numFmtId="2" fontId="17" fillId="0" borderId="42" xfId="0" applyNumberFormat="1" applyFont="1" applyBorder="1" applyAlignment="1">
      <alignment horizontal="center" vertical="center"/>
    </xf>
    <xf numFmtId="1" fontId="18" fillId="0" borderId="43" xfId="0" applyNumberFormat="1" applyFont="1" applyBorder="1" applyAlignment="1">
      <alignment horizontal="right" vertical="center"/>
    </xf>
    <xf numFmtId="1" fontId="18" fillId="0" borderId="44" xfId="0" applyNumberFormat="1" applyFont="1" applyBorder="1" applyAlignment="1">
      <alignment horizontal="right" vertical="center"/>
    </xf>
    <xf numFmtId="1" fontId="18" fillId="2" borderId="45" xfId="0" applyNumberFormat="1" applyFont="1" applyFill="1" applyBorder="1" applyAlignment="1">
      <alignment horizontal="right" vertical="center"/>
    </xf>
    <xf numFmtId="2" fontId="18" fillId="0" borderId="43" xfId="0" applyNumberFormat="1" applyFont="1" applyBorder="1" applyAlignment="1">
      <alignment horizontal="right" vertical="center"/>
    </xf>
    <xf numFmtId="2" fontId="18" fillId="0" borderId="44" xfId="0" applyNumberFormat="1" applyFont="1" applyBorder="1" applyAlignment="1">
      <alignment horizontal="right" vertical="center"/>
    </xf>
    <xf numFmtId="2" fontId="18" fillId="2" borderId="45" xfId="0" applyNumberFormat="1" applyFont="1" applyFill="1" applyBorder="1" applyAlignment="1">
      <alignment horizontal="right" vertical="center"/>
    </xf>
    <xf numFmtId="2" fontId="18" fillId="0" borderId="46" xfId="0" applyNumberFormat="1" applyFont="1" applyBorder="1" applyAlignment="1">
      <alignment horizontal="right" vertical="center"/>
    </xf>
    <xf numFmtId="2" fontId="18" fillId="0" borderId="47" xfId="0" applyNumberFormat="1" applyFont="1" applyBorder="1" applyAlignment="1">
      <alignment horizontal="right" vertical="center"/>
    </xf>
    <xf numFmtId="2" fontId="18" fillId="2" borderId="48" xfId="0" applyNumberFormat="1" applyFont="1" applyFill="1" applyBorder="1" applyAlignment="1">
      <alignment horizontal="right" vertical="center"/>
    </xf>
    <xf numFmtId="0" fontId="6" fillId="0" borderId="49" xfId="0" applyFont="1" applyBorder="1" applyAlignment="1">
      <alignment horizontal="center" vertical="center"/>
    </xf>
    <xf numFmtId="2" fontId="12" fillId="0" borderId="50" xfId="0" applyNumberFormat="1" applyFont="1" applyBorder="1" applyAlignment="1">
      <alignment horizontal="right" vertical="center"/>
    </xf>
    <xf numFmtId="2" fontId="12" fillId="0" borderId="51" xfId="0" applyNumberFormat="1" applyFont="1" applyBorder="1" applyAlignment="1">
      <alignment horizontal="right" vertical="center"/>
    </xf>
    <xf numFmtId="2" fontId="12" fillId="2" borderId="52" xfId="0" applyNumberFormat="1" applyFont="1" applyFill="1" applyBorder="1" applyAlignment="1">
      <alignment horizontal="right" vertical="center"/>
    </xf>
    <xf numFmtId="0" fontId="1" fillId="4" borderId="14" xfId="0" applyFont="1" applyFill="1" applyBorder="1" applyAlignment="1">
      <alignment horizontal="right" vertical="center"/>
    </xf>
    <xf numFmtId="0" fontId="19" fillId="4" borderId="15" xfId="0" applyFont="1" applyFill="1" applyBorder="1" applyAlignment="1">
      <alignment horizontal="center" vertical="center"/>
    </xf>
    <xf numFmtId="49" fontId="20" fillId="4" borderId="15" xfId="0" applyNumberFormat="1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15" fillId="3" borderId="40" xfId="0" applyFont="1" applyFill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3" fillId="4" borderId="54" xfId="0" applyFont="1" applyFill="1" applyBorder="1" applyAlignment="1">
      <alignment horizontal="right" vertical="center"/>
    </xf>
    <xf numFmtId="0" fontId="23" fillId="4" borderId="27" xfId="0" applyFont="1" applyFill="1" applyBorder="1" applyAlignment="1">
      <alignment horizontal="right" vertical="center"/>
    </xf>
    <xf numFmtId="164" fontId="24" fillId="0" borderId="55" xfId="0" applyNumberFormat="1" applyFont="1" applyBorder="1" applyAlignment="1">
      <alignment horizontal="right" vertical="center"/>
    </xf>
    <xf numFmtId="10" fontId="25" fillId="0" borderId="56" xfId="0" applyNumberFormat="1" applyFont="1" applyBorder="1" applyAlignment="1">
      <alignment horizontal="center" vertical="center"/>
    </xf>
    <xf numFmtId="164" fontId="26" fillId="0" borderId="55" xfId="0" applyNumberFormat="1" applyFont="1" applyBorder="1" applyAlignment="1">
      <alignment horizontal="right" vertical="center"/>
    </xf>
    <xf numFmtId="164" fontId="26" fillId="4" borderId="27" xfId="0" applyNumberFormat="1" applyFont="1" applyFill="1" applyBorder="1" applyAlignment="1">
      <alignment horizontal="right" vertical="center"/>
    </xf>
    <xf numFmtId="1" fontId="27" fillId="0" borderId="0" xfId="0" applyNumberFormat="1" applyFont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2" fontId="15" fillId="3" borderId="58" xfId="0" applyNumberFormat="1" applyFont="1" applyFill="1" applyBorder="1" applyAlignment="1">
      <alignment horizontal="center" vertical="center"/>
    </xf>
    <xf numFmtId="2" fontId="15" fillId="3" borderId="59" xfId="0" applyNumberFormat="1" applyFont="1" applyFill="1" applyBorder="1" applyAlignment="1">
      <alignment horizontal="center" vertical="center"/>
    </xf>
    <xf numFmtId="2" fontId="16" fillId="3" borderId="60" xfId="0" applyNumberFormat="1" applyFont="1" applyFill="1" applyBorder="1" applyAlignment="1">
      <alignment horizontal="center" vertical="center"/>
    </xf>
    <xf numFmtId="2" fontId="16" fillId="3" borderId="61" xfId="0" applyNumberFormat="1" applyFont="1" applyFill="1" applyBorder="1" applyAlignment="1">
      <alignment horizontal="center" vertical="center"/>
    </xf>
    <xf numFmtId="2" fontId="16" fillId="3" borderId="62" xfId="0" applyNumberFormat="1" applyFont="1" applyFill="1" applyBorder="1" applyAlignment="1">
      <alignment horizontal="center" vertical="center"/>
    </xf>
    <xf numFmtId="2" fontId="15" fillId="3" borderId="63" xfId="0" applyNumberFormat="1" applyFont="1" applyFill="1" applyBorder="1" applyAlignment="1">
      <alignment horizontal="center" vertical="center"/>
    </xf>
    <xf numFmtId="2" fontId="15" fillId="3" borderId="64" xfId="0" applyNumberFormat="1" applyFont="1" applyFill="1" applyBorder="1" applyAlignment="1">
      <alignment horizontal="center" vertical="center"/>
    </xf>
    <xf numFmtId="0" fontId="3" fillId="0" borderId="65" xfId="0" applyFont="1" applyBorder="1" applyAlignment="1">
      <alignment vertical="center"/>
    </xf>
    <xf numFmtId="2" fontId="2" fillId="0" borderId="66" xfId="0" applyNumberFormat="1" applyFont="1" applyBorder="1" applyAlignment="1">
      <alignment horizontal="center" vertical="center"/>
    </xf>
    <xf numFmtId="2" fontId="17" fillId="0" borderId="67" xfId="0" applyNumberFormat="1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26" fillId="4" borderId="69" xfId="0" applyFont="1" applyFill="1" applyBorder="1" applyAlignment="1">
      <alignment horizontal="right" vertical="center"/>
    </xf>
    <xf numFmtId="0" fontId="26" fillId="4" borderId="70" xfId="0" applyFont="1" applyFill="1" applyBorder="1" applyAlignment="1">
      <alignment horizontal="right" vertical="center"/>
    </xf>
    <xf numFmtId="2" fontId="28" fillId="0" borderId="71" xfId="0" applyNumberFormat="1" applyFont="1" applyBorder="1" applyAlignment="1">
      <alignment horizontal="right" vertical="center"/>
    </xf>
    <xf numFmtId="10" fontId="24" fillId="0" borderId="72" xfId="0" applyNumberFormat="1" applyFont="1" applyBorder="1" applyAlignment="1">
      <alignment horizontal="center" vertical="center"/>
    </xf>
    <xf numFmtId="2" fontId="29" fillId="0" borderId="71" xfId="0" applyNumberFormat="1" applyFont="1" applyBorder="1" applyAlignment="1">
      <alignment horizontal="right" vertical="center"/>
    </xf>
    <xf numFmtId="2" fontId="26" fillId="4" borderId="70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6" fillId="0" borderId="73" xfId="0" applyFont="1" applyBorder="1" applyAlignment="1">
      <alignment horizontal="center" vertical="center"/>
    </xf>
    <xf numFmtId="0" fontId="26" fillId="4" borderId="74" xfId="0" applyFont="1" applyFill="1" applyBorder="1" applyAlignment="1">
      <alignment horizontal="right" vertical="center"/>
    </xf>
    <xf numFmtId="0" fontId="26" fillId="4" borderId="75" xfId="0" applyFont="1" applyFill="1" applyBorder="1" applyAlignment="1">
      <alignment horizontal="right" vertical="center"/>
    </xf>
    <xf numFmtId="2" fontId="28" fillId="0" borderId="76" xfId="0" applyNumberFormat="1" applyFont="1" applyBorder="1" applyAlignment="1">
      <alignment horizontal="right" vertical="center"/>
    </xf>
    <xf numFmtId="10" fontId="24" fillId="0" borderId="77" xfId="0" applyNumberFormat="1" applyFont="1" applyBorder="1" applyAlignment="1">
      <alignment horizontal="center" vertical="center"/>
    </xf>
    <xf numFmtId="2" fontId="29" fillId="0" borderId="76" xfId="0" applyNumberFormat="1" applyFont="1" applyBorder="1" applyAlignment="1">
      <alignment horizontal="right" vertical="center"/>
    </xf>
    <xf numFmtId="2" fontId="26" fillId="4" borderId="75" xfId="0" applyNumberFormat="1" applyFont="1" applyFill="1" applyBorder="1" applyAlignment="1">
      <alignment horizontal="right" vertical="center"/>
    </xf>
    <xf numFmtId="2" fontId="26" fillId="4" borderId="74" xfId="0" applyNumberFormat="1" applyFont="1" applyFill="1" applyBorder="1" applyAlignment="1">
      <alignment horizontal="right" vertical="center"/>
    </xf>
    <xf numFmtId="0" fontId="30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1" fillId="0" borderId="11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78" xfId="0" applyFont="1" applyBorder="1" applyAlignment="1">
      <alignment horizontal="center" vertical="center"/>
    </xf>
    <xf numFmtId="2" fontId="26" fillId="4" borderId="79" xfId="0" applyNumberFormat="1" applyFont="1" applyFill="1" applyBorder="1" applyAlignment="1">
      <alignment horizontal="right" vertical="center"/>
    </xf>
    <xf numFmtId="2" fontId="12" fillId="4" borderId="80" xfId="0" applyNumberFormat="1" applyFont="1" applyFill="1" applyBorder="1" applyAlignment="1">
      <alignment horizontal="right" vertical="center"/>
    </xf>
    <xf numFmtId="2" fontId="28" fillId="0" borderId="81" xfId="0" applyNumberFormat="1" applyFont="1" applyBorder="1" applyAlignment="1">
      <alignment horizontal="right" vertical="center"/>
    </xf>
    <xf numFmtId="10" fontId="24" fillId="0" borderId="82" xfId="0" applyNumberFormat="1" applyFont="1" applyBorder="1" applyAlignment="1">
      <alignment horizontal="center" vertical="center"/>
    </xf>
    <xf numFmtId="2" fontId="29" fillId="0" borderId="81" xfId="0" applyNumberFormat="1" applyFont="1" applyBorder="1" applyAlignment="1">
      <alignment horizontal="right" vertical="center"/>
    </xf>
    <xf numFmtId="2" fontId="26" fillId="4" borderId="80" xfId="0" applyNumberFormat="1" applyFont="1" applyFill="1" applyBorder="1" applyAlignment="1">
      <alignment horizontal="right" vertical="center"/>
    </xf>
    <xf numFmtId="0" fontId="1" fillId="0" borderId="20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5" fillId="0" borderId="83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2" fillId="0" borderId="84" xfId="0" applyFont="1" applyBorder="1" applyAlignment="1">
      <alignment horizontal="center" vertical="center"/>
    </xf>
    <xf numFmtId="2" fontId="23" fillId="4" borderId="85" xfId="0" applyNumberFormat="1" applyFont="1" applyFill="1" applyBorder="1" applyAlignment="1">
      <alignment horizontal="right" vertical="center"/>
    </xf>
    <xf numFmtId="2" fontId="12" fillId="4" borderId="64" xfId="0" applyNumberFormat="1" applyFont="1" applyFill="1" applyBorder="1" applyAlignment="1">
      <alignment horizontal="right" vertical="center"/>
    </xf>
    <xf numFmtId="2" fontId="24" fillId="0" borderId="86" xfId="0" applyNumberFormat="1" applyFont="1" applyBorder="1" applyAlignment="1">
      <alignment horizontal="right" vertical="center"/>
    </xf>
    <xf numFmtId="10" fontId="25" fillId="0" borderId="87" xfId="0" applyNumberFormat="1" applyFont="1" applyBorder="1" applyAlignment="1">
      <alignment horizontal="center" vertical="center"/>
    </xf>
    <xf numFmtId="2" fontId="26" fillId="0" borderId="86" xfId="0" applyNumberFormat="1" applyFont="1" applyBorder="1" applyAlignment="1">
      <alignment horizontal="right" vertical="center"/>
    </xf>
    <xf numFmtId="2" fontId="26" fillId="4" borderId="64" xfId="0" applyNumberFormat="1" applyFont="1" applyFill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34" fillId="0" borderId="36" xfId="0" applyFont="1" applyBorder="1" applyAlignment="1">
      <alignment horizontal="center" vertical="center"/>
    </xf>
    <xf numFmtId="0" fontId="35" fillId="0" borderId="88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49" fontId="37" fillId="0" borderId="0" xfId="0" applyNumberFormat="1" applyFont="1" applyAlignment="1">
      <alignment horizontal="right" vertical="center"/>
    </xf>
    <xf numFmtId="49" fontId="37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3" fillId="0" borderId="55" xfId="0" applyFont="1" applyBorder="1" applyAlignment="1">
      <alignment horizontal="right" vertical="center"/>
    </xf>
    <xf numFmtId="10" fontId="38" fillId="0" borderId="25" xfId="0" applyNumberFormat="1" applyFont="1" applyBorder="1" applyAlignment="1">
      <alignment horizontal="center" vertical="center"/>
    </xf>
    <xf numFmtId="0" fontId="22" fillId="0" borderId="55" xfId="0" applyFont="1" applyBorder="1" applyAlignment="1">
      <alignment horizontal="center" vertical="center"/>
    </xf>
    <xf numFmtId="2" fontId="39" fillId="0" borderId="24" xfId="0" applyNumberFormat="1" applyFont="1" applyBorder="1" applyAlignment="1">
      <alignment horizontal="center" vertical="center"/>
    </xf>
    <xf numFmtId="0" fontId="40" fillId="0" borderId="5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65" fontId="42" fillId="0" borderId="0" xfId="0" applyNumberFormat="1" applyFont="1" applyAlignment="1">
      <alignment vertical="center"/>
    </xf>
    <xf numFmtId="165" fontId="43" fillId="0" borderId="0" xfId="0" applyNumberFormat="1" applyFont="1" applyAlignment="1">
      <alignment vertical="center"/>
    </xf>
    <xf numFmtId="0" fontId="6" fillId="0" borderId="89" xfId="0" applyFont="1" applyBorder="1" applyAlignment="1">
      <alignment horizontal="center" vertical="center"/>
    </xf>
    <xf numFmtId="0" fontId="26" fillId="0" borderId="90" xfId="0" applyFont="1" applyBorder="1" applyAlignment="1">
      <alignment horizontal="right" vertical="center"/>
    </xf>
    <xf numFmtId="10" fontId="44" fillId="0" borderId="91" xfId="0" applyNumberFormat="1" applyFont="1" applyBorder="1" applyAlignment="1">
      <alignment horizontal="center" vertical="center"/>
    </xf>
    <xf numFmtId="0" fontId="6" fillId="0" borderId="90" xfId="0" applyFont="1" applyBorder="1" applyAlignment="1">
      <alignment horizontal="center" vertical="center"/>
    </xf>
    <xf numFmtId="2" fontId="45" fillId="0" borderId="92" xfId="0" applyNumberFormat="1" applyFont="1" applyBorder="1" applyAlignment="1">
      <alignment horizontal="center" vertical="center"/>
    </xf>
    <xf numFmtId="0" fontId="29" fillId="0" borderId="72" xfId="0" applyFont="1" applyBorder="1" applyAlignment="1">
      <alignment horizontal="center" vertical="center"/>
    </xf>
    <xf numFmtId="0" fontId="26" fillId="0" borderId="93" xfId="0" applyFont="1" applyBorder="1" applyAlignment="1">
      <alignment horizontal="right" vertical="center"/>
    </xf>
    <xf numFmtId="10" fontId="44" fillId="0" borderId="94" xfId="0" applyNumberFormat="1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2" fontId="45" fillId="0" borderId="95" xfId="0" applyNumberFormat="1" applyFont="1" applyBorder="1" applyAlignment="1">
      <alignment horizontal="center" vertical="center"/>
    </xf>
    <xf numFmtId="0" fontId="29" fillId="0" borderId="77" xfId="0" applyFont="1" applyBorder="1" applyAlignment="1">
      <alignment horizontal="center" vertical="center"/>
    </xf>
    <xf numFmtId="0" fontId="6" fillId="0" borderId="96" xfId="0" applyFont="1" applyBorder="1" applyAlignment="1">
      <alignment horizontal="center" vertical="center"/>
    </xf>
    <xf numFmtId="0" fontId="26" fillId="0" borderId="97" xfId="0" applyFont="1" applyBorder="1" applyAlignment="1">
      <alignment horizontal="right" vertical="center"/>
    </xf>
    <xf numFmtId="10" fontId="44" fillId="0" borderId="98" xfId="0" applyNumberFormat="1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2" fontId="45" fillId="0" borderId="99" xfId="0" applyNumberFormat="1" applyFont="1" applyBorder="1" applyAlignment="1">
      <alignment horizontal="center" vertical="center"/>
    </xf>
    <xf numFmtId="0" fontId="29" fillId="0" borderId="82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0" fontId="34" fillId="0" borderId="59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63" xfId="0" applyFont="1" applyBorder="1" applyAlignment="1">
      <alignment horizontal="center" vertical="center"/>
    </xf>
    <xf numFmtId="0" fontId="34" fillId="0" borderId="63" xfId="0" applyFont="1" applyBorder="1" applyAlignment="1">
      <alignment horizontal="center" vertical="center"/>
    </xf>
    <xf numFmtId="0" fontId="33" fillId="0" borderId="64" xfId="0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/>
    </xf>
    <xf numFmtId="0" fontId="23" fillId="0" borderId="86" xfId="0" applyFont="1" applyBorder="1" applyAlignment="1">
      <alignment horizontal="right" vertical="center"/>
    </xf>
    <xf numFmtId="10" fontId="38" fillId="0" borderId="62" xfId="0" applyNumberFormat="1" applyFont="1" applyBorder="1" applyAlignment="1">
      <alignment horizontal="center" vertical="center"/>
    </xf>
    <xf numFmtId="0" fontId="22" fillId="0" borderId="86" xfId="0" applyFont="1" applyBorder="1" applyAlignment="1">
      <alignment horizontal="center" vertical="center"/>
    </xf>
    <xf numFmtId="2" fontId="39" fillId="0" borderId="61" xfId="0" applyNumberFormat="1" applyFont="1" applyBorder="1" applyAlignment="1">
      <alignment horizontal="center" vertical="center"/>
    </xf>
    <xf numFmtId="0" fontId="40" fillId="0" borderId="87" xfId="0" applyFont="1" applyBorder="1" applyAlignment="1">
      <alignment horizontal="center" vertical="center"/>
    </xf>
    <xf numFmtId="1" fontId="33" fillId="0" borderId="58" xfId="0" applyNumberFormat="1" applyFont="1" applyBorder="1" applyAlignment="1">
      <alignment horizontal="center" vertical="center"/>
    </xf>
    <xf numFmtId="1" fontId="34" fillId="0" borderId="59" xfId="0" applyNumberFormat="1" applyFont="1" applyBorder="1" applyAlignment="1">
      <alignment horizontal="center" vertical="center"/>
    </xf>
    <xf numFmtId="1" fontId="35" fillId="0" borderId="100" xfId="0" applyNumberFormat="1" applyFont="1" applyBorder="1" applyAlignment="1">
      <alignment horizontal="center" vertical="center"/>
    </xf>
    <xf numFmtId="1" fontId="35" fillId="0" borderId="63" xfId="0" applyNumberFormat="1" applyFont="1" applyBorder="1" applyAlignment="1">
      <alignment horizontal="center" vertical="center"/>
    </xf>
    <xf numFmtId="1" fontId="34" fillId="0" borderId="63" xfId="0" applyNumberFormat="1" applyFont="1" applyBorder="1" applyAlignment="1">
      <alignment horizontal="center" vertical="center"/>
    </xf>
    <xf numFmtId="1" fontId="33" fillId="0" borderId="64" xfId="0" applyNumberFormat="1" applyFont="1" applyBorder="1" applyAlignment="1">
      <alignment horizontal="center" vertical="center"/>
    </xf>
    <xf numFmtId="0" fontId="46" fillId="0" borderId="0" xfId="0" applyFont="1" applyAlignment="1">
      <alignment vertical="center"/>
    </xf>
    <xf numFmtId="2" fontId="47" fillId="0" borderId="0" xfId="0" applyNumberFormat="1" applyFont="1" applyAlignment="1">
      <alignment horizontal="center" vertical="center"/>
    </xf>
    <xf numFmtId="0" fontId="37" fillId="0" borderId="0" xfId="0" applyFont="1" applyAlignment="1">
      <alignment horizontal="right" vertical="center"/>
    </xf>
    <xf numFmtId="1" fontId="6" fillId="0" borderId="101" xfId="0" applyNumberFormat="1" applyFont="1" applyBorder="1" applyAlignment="1">
      <alignment horizontal="center" vertical="center"/>
    </xf>
    <xf numFmtId="2" fontId="19" fillId="0" borderId="103" xfId="0" applyNumberFormat="1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9" fillId="0" borderId="6" xfId="0" applyFont="1" applyBorder="1" applyAlignment="1">
      <alignment horizontal="center" vertical="center"/>
    </xf>
    <xf numFmtId="0" fontId="50" fillId="0" borderId="11" xfId="0" applyFont="1" applyBorder="1" applyAlignment="1">
      <alignment horizontal="center" vertical="center"/>
    </xf>
    <xf numFmtId="0" fontId="51" fillId="0" borderId="10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1" fontId="6" fillId="0" borderId="104" xfId="0" applyNumberFormat="1" applyFont="1" applyBorder="1" applyAlignment="1">
      <alignment horizontal="center" vertical="center"/>
    </xf>
    <xf numFmtId="2" fontId="52" fillId="0" borderId="106" xfId="0" applyNumberFormat="1" applyFont="1" applyBorder="1" applyAlignment="1">
      <alignment horizontal="center" vertical="center"/>
    </xf>
    <xf numFmtId="166" fontId="53" fillId="0" borderId="21" xfId="0" applyNumberFormat="1" applyFont="1" applyBorder="1" applyAlignment="1">
      <alignment horizontal="center" vertical="center"/>
    </xf>
    <xf numFmtId="166" fontId="54" fillId="0" borderId="22" xfId="0" applyNumberFormat="1" applyFont="1" applyBorder="1" applyAlignment="1">
      <alignment horizontal="center" vertical="center"/>
    </xf>
    <xf numFmtId="166" fontId="55" fillId="0" borderId="83" xfId="0" applyNumberFormat="1" applyFont="1" applyBorder="1" applyAlignment="1">
      <alignment horizontal="center" vertical="center"/>
    </xf>
    <xf numFmtId="166" fontId="55" fillId="0" borderId="26" xfId="0" applyNumberFormat="1" applyFont="1" applyBorder="1" applyAlignment="1">
      <alignment horizontal="center" vertical="center"/>
    </xf>
    <xf numFmtId="166" fontId="54" fillId="0" borderId="26" xfId="0" applyNumberFormat="1" applyFont="1" applyBorder="1" applyAlignment="1">
      <alignment horizontal="center" vertical="center"/>
    </xf>
    <xf numFmtId="166" fontId="53" fillId="0" borderId="27" xfId="0" applyNumberFormat="1" applyFont="1" applyBorder="1" applyAlignment="1">
      <alignment horizontal="center" vertical="center"/>
    </xf>
    <xf numFmtId="166" fontId="53" fillId="0" borderId="13" xfId="0" applyNumberFormat="1" applyFont="1" applyBorder="1" applyAlignment="1">
      <alignment horizontal="center" vertical="center"/>
    </xf>
    <xf numFmtId="166" fontId="54" fillId="0" borderId="36" xfId="0" applyNumberFormat="1" applyFont="1" applyBorder="1" applyAlignment="1">
      <alignment horizontal="center" vertical="center"/>
    </xf>
    <xf numFmtId="166" fontId="55" fillId="0" borderId="88" xfId="0" applyNumberFormat="1" applyFont="1" applyBorder="1" applyAlignment="1">
      <alignment horizontal="center" vertical="center"/>
    </xf>
    <xf numFmtId="166" fontId="55" fillId="0" borderId="0" xfId="0" applyNumberFormat="1" applyFont="1" applyAlignment="1">
      <alignment horizontal="center" vertical="center"/>
    </xf>
    <xf numFmtId="166" fontId="54" fillId="0" borderId="0" xfId="0" applyNumberFormat="1" applyFont="1" applyAlignment="1">
      <alignment horizontal="center" vertical="center"/>
    </xf>
    <xf numFmtId="166" fontId="53" fillId="0" borderId="40" xfId="0" applyNumberFormat="1" applyFont="1" applyBorder="1" applyAlignment="1">
      <alignment horizontal="center" vertical="center"/>
    </xf>
    <xf numFmtId="0" fontId="56" fillId="0" borderId="0" xfId="1" applyBorder="1" applyAlignment="1" applyProtection="1">
      <alignment vertical="center"/>
    </xf>
    <xf numFmtId="0" fontId="57" fillId="0" borderId="0" xfId="0" applyFont="1" applyAlignment="1">
      <alignment horizontal="center" vertical="center"/>
    </xf>
    <xf numFmtId="1" fontId="58" fillId="0" borderId="0" xfId="0" applyNumberFormat="1" applyFont="1" applyAlignment="1">
      <alignment horizontal="center" vertical="center"/>
    </xf>
    <xf numFmtId="0" fontId="59" fillId="0" borderId="0" xfId="0" applyFont="1" applyAlignment="1">
      <alignment horizontal="left" vertical="center"/>
    </xf>
    <xf numFmtId="0" fontId="2" fillId="0" borderId="67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6" fontId="53" fillId="0" borderId="58" xfId="0" applyNumberFormat="1" applyFont="1" applyBorder="1" applyAlignment="1">
      <alignment horizontal="center" vertical="center"/>
    </xf>
    <xf numFmtId="166" fontId="54" fillId="0" borderId="59" xfId="0" applyNumberFormat="1" applyFont="1" applyBorder="1" applyAlignment="1">
      <alignment horizontal="center" vertical="center"/>
    </xf>
    <xf numFmtId="166" fontId="55" fillId="0" borderId="100" xfId="0" applyNumberFormat="1" applyFont="1" applyBorder="1" applyAlignment="1">
      <alignment horizontal="center" vertical="center"/>
    </xf>
    <xf numFmtId="166" fontId="55" fillId="0" borderId="63" xfId="0" applyNumberFormat="1" applyFont="1" applyBorder="1" applyAlignment="1">
      <alignment horizontal="center" vertical="center"/>
    </xf>
    <xf numFmtId="166" fontId="54" fillId="0" borderId="63" xfId="0" applyNumberFormat="1" applyFont="1" applyBorder="1" applyAlignment="1">
      <alignment horizontal="center" vertical="center"/>
    </xf>
    <xf numFmtId="166" fontId="53" fillId="0" borderId="64" xfId="0" applyNumberFormat="1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49" fontId="63" fillId="0" borderId="0" xfId="0" applyNumberFormat="1" applyFont="1" applyAlignment="1">
      <alignment horizontal="center"/>
    </xf>
    <xf numFmtId="0" fontId="0" fillId="5" borderId="44" xfId="0" applyFill="1" applyBorder="1" applyAlignment="1">
      <alignment horizontal="center"/>
    </xf>
    <xf numFmtId="0" fontId="61" fillId="5" borderId="44" xfId="0" applyFont="1" applyFill="1" applyBorder="1" applyAlignment="1">
      <alignment horizontal="center"/>
    </xf>
    <xf numFmtId="0" fontId="64" fillId="6" borderId="44" xfId="0" applyFont="1" applyFill="1" applyBorder="1" applyAlignment="1">
      <alignment horizontal="center"/>
    </xf>
    <xf numFmtId="0" fontId="7" fillId="6" borderId="44" xfId="0" applyFont="1" applyFill="1" applyBorder="1" applyAlignment="1">
      <alignment horizontal="center"/>
    </xf>
    <xf numFmtId="49" fontId="65" fillId="0" borderId="0" xfId="0" applyNumberFormat="1" applyFont="1" applyAlignment="1">
      <alignment horizontal="center"/>
    </xf>
    <xf numFmtId="0" fontId="66" fillId="5" borderId="44" xfId="0" applyFont="1" applyFill="1" applyBorder="1" applyAlignment="1">
      <alignment horizontal="center"/>
    </xf>
    <xf numFmtId="0" fontId="67" fillId="5" borderId="44" xfId="0" applyFont="1" applyFill="1" applyBorder="1" applyAlignment="1">
      <alignment horizontal="center"/>
    </xf>
    <xf numFmtId="0" fontId="66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7" fillId="5" borderId="44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49" fontId="38" fillId="0" borderId="0" xfId="0" applyNumberFormat="1" applyFont="1" applyAlignment="1">
      <alignment horizontal="center"/>
    </xf>
    <xf numFmtId="0" fontId="64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0" fontId="7" fillId="0" borderId="0" xfId="0" applyFont="1"/>
    <xf numFmtId="0" fontId="1" fillId="4" borderId="5" xfId="0" applyFont="1" applyFill="1" applyBorder="1" applyAlignment="1">
      <alignment horizontal="right" vertical="center"/>
    </xf>
    <xf numFmtId="0" fontId="19" fillId="4" borderId="1" xfId="0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right" vertical="center"/>
    </xf>
    <xf numFmtId="0" fontId="26" fillId="4" borderId="107" xfId="0" applyFont="1" applyFill="1" applyBorder="1" applyAlignment="1">
      <alignment horizontal="right" vertical="center"/>
    </xf>
    <xf numFmtId="0" fontId="26" fillId="4" borderId="108" xfId="0" applyFont="1" applyFill="1" applyBorder="1" applyAlignment="1">
      <alignment horizontal="right" vertical="center"/>
    </xf>
    <xf numFmtId="2" fontId="26" fillId="4" borderId="108" xfId="0" applyNumberFormat="1" applyFont="1" applyFill="1" applyBorder="1" applyAlignment="1">
      <alignment horizontal="right" vertical="center"/>
    </xf>
    <xf numFmtId="2" fontId="26" fillId="4" borderId="109" xfId="0" applyNumberFormat="1" applyFont="1" applyFill="1" applyBorder="1" applyAlignment="1">
      <alignment horizontal="right" vertical="center"/>
    </xf>
    <xf numFmtId="2" fontId="12" fillId="4" borderId="78" xfId="0" applyNumberFormat="1" applyFont="1" applyFill="1" applyBorder="1" applyAlignment="1">
      <alignment horizontal="right" vertical="center"/>
    </xf>
    <xf numFmtId="2" fontId="23" fillId="4" borderId="58" xfId="0" applyNumberFormat="1" applyFont="1" applyFill="1" applyBorder="1" applyAlignment="1">
      <alignment horizontal="right" vertical="center"/>
    </xf>
    <xf numFmtId="2" fontId="12" fillId="4" borderId="84" xfId="0" applyNumberFormat="1" applyFont="1" applyFill="1" applyBorder="1" applyAlignment="1">
      <alignment horizontal="right" vertical="center"/>
    </xf>
    <xf numFmtId="2" fontId="19" fillId="0" borderId="111" xfId="0" applyNumberFormat="1" applyFont="1" applyBorder="1" applyAlignment="1">
      <alignment horizontal="center" vertical="center"/>
    </xf>
    <xf numFmtId="2" fontId="52" fillId="0" borderId="113" xfId="0" applyNumberFormat="1" applyFont="1" applyBorder="1" applyAlignment="1">
      <alignment horizontal="center" vertical="center"/>
    </xf>
    <xf numFmtId="0" fontId="40" fillId="0" borderId="114" xfId="0" applyFont="1" applyBorder="1" applyAlignment="1">
      <alignment horizontal="center" vertical="center"/>
    </xf>
    <xf numFmtId="2" fontId="39" fillId="0" borderId="19" xfId="0" applyNumberFormat="1" applyFont="1" applyBorder="1" applyAlignment="1">
      <alignment horizontal="center" vertical="center"/>
    </xf>
    <xf numFmtId="0" fontId="29" fillId="0" borderId="115" xfId="0" applyFont="1" applyBorder="1" applyAlignment="1">
      <alignment horizontal="center" vertical="center"/>
    </xf>
    <xf numFmtId="2" fontId="45" fillId="0" borderId="34" xfId="0" applyNumberFormat="1" applyFont="1" applyBorder="1" applyAlignment="1">
      <alignment horizontal="center" vertical="center"/>
    </xf>
    <xf numFmtId="0" fontId="29" fillId="0" borderId="116" xfId="0" applyFont="1" applyBorder="1" applyAlignment="1">
      <alignment horizontal="center" vertical="center"/>
    </xf>
    <xf numFmtId="2" fontId="45" fillId="0" borderId="45" xfId="0" applyNumberFormat="1" applyFont="1" applyBorder="1" applyAlignment="1">
      <alignment horizontal="center" vertical="center"/>
    </xf>
    <xf numFmtId="0" fontId="29" fillId="0" borderId="117" xfId="0" applyFont="1" applyBorder="1" applyAlignment="1">
      <alignment horizontal="center" vertical="center"/>
    </xf>
    <xf numFmtId="2" fontId="45" fillId="0" borderId="48" xfId="0" applyNumberFormat="1" applyFont="1" applyBorder="1" applyAlignment="1">
      <alignment horizontal="center" vertical="center"/>
    </xf>
    <xf numFmtId="0" fontId="40" fillId="0" borderId="50" xfId="0" applyFont="1" applyBorder="1" applyAlignment="1">
      <alignment horizontal="center" vertical="center"/>
    </xf>
    <xf numFmtId="2" fontId="39" fillId="0" borderId="52" xfId="0" applyNumberFormat="1" applyFont="1" applyBorder="1" applyAlignment="1">
      <alignment horizontal="center" vertical="center"/>
    </xf>
    <xf numFmtId="0" fontId="1" fillId="0" borderId="118" xfId="0" applyFont="1" applyBorder="1" applyAlignment="1">
      <alignment vertical="center"/>
    </xf>
    <xf numFmtId="0" fontId="21" fillId="0" borderId="119" xfId="0" applyFont="1" applyBorder="1" applyAlignment="1">
      <alignment vertical="center"/>
    </xf>
    <xf numFmtId="1" fontId="27" fillId="0" borderId="120" xfId="0" applyNumberFormat="1" applyFont="1" applyBorder="1" applyAlignment="1">
      <alignment horizontal="center" vertical="center"/>
    </xf>
    <xf numFmtId="164" fontId="24" fillId="0" borderId="54" xfId="0" applyNumberFormat="1" applyFont="1" applyBorder="1" applyAlignment="1">
      <alignment horizontal="right" vertical="center"/>
    </xf>
    <xf numFmtId="10" fontId="25" fillId="0" borderId="27" xfId="0" applyNumberFormat="1" applyFont="1" applyBorder="1" applyAlignment="1">
      <alignment horizontal="center" vertical="center"/>
    </xf>
    <xf numFmtId="164" fontId="26" fillId="0" borderId="54" xfId="0" applyNumberFormat="1" applyFont="1" applyBorder="1" applyAlignment="1">
      <alignment horizontal="right" vertical="center"/>
    </xf>
    <xf numFmtId="2" fontId="28" fillId="0" borderId="69" xfId="0" applyNumberFormat="1" applyFont="1" applyBorder="1" applyAlignment="1">
      <alignment horizontal="right" vertical="center"/>
    </xf>
    <xf numFmtId="10" fontId="24" fillId="0" borderId="121" xfId="0" applyNumberFormat="1" applyFont="1" applyBorder="1" applyAlignment="1">
      <alignment horizontal="center" vertical="center"/>
    </xf>
    <xf numFmtId="2" fontId="29" fillId="0" borderId="69" xfId="0" applyNumberFormat="1" applyFont="1" applyBorder="1" applyAlignment="1">
      <alignment horizontal="right" vertical="center"/>
    </xf>
    <xf numFmtId="2" fontId="28" fillId="0" borderId="74" xfId="0" applyNumberFormat="1" applyFont="1" applyBorder="1" applyAlignment="1">
      <alignment horizontal="right" vertical="center"/>
    </xf>
    <xf numFmtId="10" fontId="24" fillId="0" borderId="42" xfId="0" applyNumberFormat="1" applyFont="1" applyBorder="1" applyAlignment="1">
      <alignment horizontal="center" vertical="center"/>
    </xf>
    <xf numFmtId="2" fontId="29" fillId="0" borderId="74" xfId="0" applyNumberFormat="1" applyFont="1" applyBorder="1" applyAlignment="1">
      <alignment horizontal="right" vertical="center"/>
    </xf>
    <xf numFmtId="0" fontId="12" fillId="4" borderId="73" xfId="0" applyFont="1" applyFill="1" applyBorder="1" applyAlignment="1">
      <alignment horizontal="right" vertical="center"/>
    </xf>
    <xf numFmtId="0" fontId="26" fillId="4" borderId="109" xfId="0" applyFont="1" applyFill="1" applyBorder="1" applyAlignment="1">
      <alignment horizontal="right" vertical="center"/>
    </xf>
    <xf numFmtId="0" fontId="12" fillId="4" borderId="78" xfId="0" applyFont="1" applyFill="1" applyBorder="1" applyAlignment="1">
      <alignment horizontal="right" vertical="center"/>
    </xf>
    <xf numFmtId="2" fontId="28" fillId="0" borderId="79" xfId="0" applyNumberFormat="1" applyFont="1" applyBorder="1" applyAlignment="1">
      <alignment horizontal="right" vertical="center"/>
    </xf>
    <xf numFmtId="10" fontId="24" fillId="0" borderId="122" xfId="0" applyNumberFormat="1" applyFont="1" applyBorder="1" applyAlignment="1">
      <alignment horizontal="center" vertical="center"/>
    </xf>
    <xf numFmtId="2" fontId="29" fillId="0" borderId="79" xfId="0" applyNumberFormat="1" applyFont="1" applyBorder="1" applyAlignment="1">
      <alignment horizontal="right" vertical="center"/>
    </xf>
    <xf numFmtId="0" fontId="23" fillId="4" borderId="58" xfId="0" applyFont="1" applyFill="1" applyBorder="1" applyAlignment="1">
      <alignment horizontal="right" vertical="center"/>
    </xf>
    <xf numFmtId="0" fontId="12" fillId="4" borderId="84" xfId="0" applyFont="1" applyFill="1" applyBorder="1" applyAlignment="1">
      <alignment horizontal="right" vertical="center"/>
    </xf>
    <xf numFmtId="2" fontId="24" fillId="0" borderId="85" xfId="0" applyNumberFormat="1" applyFont="1" applyBorder="1" applyAlignment="1">
      <alignment horizontal="right" vertical="center"/>
    </xf>
    <xf numFmtId="10" fontId="25" fillId="0" borderId="64" xfId="0" applyNumberFormat="1" applyFont="1" applyBorder="1" applyAlignment="1">
      <alignment horizontal="center" vertical="center"/>
    </xf>
    <xf numFmtId="2" fontId="26" fillId="0" borderId="85" xfId="0" applyNumberFormat="1" applyFont="1" applyBorder="1" applyAlignment="1">
      <alignment horizontal="right" vertical="center"/>
    </xf>
    <xf numFmtId="0" fontId="69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 indent="1"/>
    </xf>
    <xf numFmtId="0" fontId="70" fillId="0" borderId="0" xfId="0" applyFont="1"/>
    <xf numFmtId="2" fontId="44" fillId="0" borderId="0" xfId="0" applyNumberFormat="1" applyFont="1" applyAlignment="1">
      <alignment horizontal="right" vertical="center" indent="1"/>
    </xf>
    <xf numFmtId="10" fontId="71" fillId="0" borderId="0" xfId="0" applyNumberFormat="1" applyFont="1" applyAlignment="1">
      <alignment vertical="center"/>
    </xf>
    <xf numFmtId="1" fontId="44" fillId="0" borderId="0" xfId="0" applyNumberFormat="1" applyFont="1" applyAlignment="1">
      <alignment horizontal="right" vertical="center" indent="1"/>
    </xf>
    <xf numFmtId="166" fontId="44" fillId="0" borderId="0" xfId="0" applyNumberFormat="1" applyFont="1" applyAlignment="1">
      <alignment horizontal="right" vertical="center" indent="1"/>
    </xf>
    <xf numFmtId="0" fontId="69" fillId="0" borderId="0" xfId="0" applyFont="1" applyAlignment="1">
      <alignment vertical="center"/>
    </xf>
    <xf numFmtId="10" fontId="25" fillId="0" borderId="123" xfId="0" applyNumberFormat="1" applyFont="1" applyBorder="1" applyAlignment="1">
      <alignment horizontal="center" vertical="center"/>
    </xf>
    <xf numFmtId="10" fontId="24" fillId="0" borderId="124" xfId="0" applyNumberFormat="1" applyFont="1" applyBorder="1" applyAlignment="1">
      <alignment horizontal="center" vertical="center"/>
    </xf>
    <xf numFmtId="10" fontId="24" fillId="0" borderId="125" xfId="0" applyNumberFormat="1" applyFont="1" applyBorder="1" applyAlignment="1">
      <alignment horizontal="center" vertical="center"/>
    </xf>
    <xf numFmtId="10" fontId="24" fillId="0" borderId="126" xfId="0" applyNumberFormat="1" applyFont="1" applyBorder="1" applyAlignment="1">
      <alignment horizontal="center" vertical="center"/>
    </xf>
    <xf numFmtId="10" fontId="25" fillId="0" borderId="127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2" fillId="0" borderId="128" xfId="0" applyFont="1" applyBorder="1" applyAlignment="1">
      <alignment horizontal="right" vertical="center"/>
    </xf>
    <xf numFmtId="0" fontId="47" fillId="0" borderId="20" xfId="0" applyFont="1" applyBorder="1" applyAlignment="1">
      <alignment horizontal="center" vertical="center"/>
    </xf>
    <xf numFmtId="2" fontId="72" fillId="3" borderId="21" xfId="0" applyNumberFormat="1" applyFont="1" applyFill="1" applyBorder="1" applyAlignment="1">
      <alignment horizontal="center" vertical="center"/>
    </xf>
    <xf numFmtId="2" fontId="73" fillId="3" borderId="22" xfId="0" applyNumberFormat="1" applyFont="1" applyFill="1" applyBorder="1" applyAlignment="1">
      <alignment horizontal="center" vertical="center"/>
    </xf>
    <xf numFmtId="2" fontId="74" fillId="3" borderId="23" xfId="0" applyNumberFormat="1" applyFont="1" applyFill="1" applyBorder="1" applyAlignment="1">
      <alignment horizontal="center" vertical="center"/>
    </xf>
    <xf numFmtId="2" fontId="74" fillId="3" borderId="24" xfId="0" applyNumberFormat="1" applyFont="1" applyFill="1" applyBorder="1" applyAlignment="1">
      <alignment horizontal="center" vertical="center"/>
    </xf>
    <xf numFmtId="2" fontId="74" fillId="3" borderId="25" xfId="0" applyNumberFormat="1" applyFont="1" applyFill="1" applyBorder="1" applyAlignment="1">
      <alignment horizontal="center" vertical="center"/>
    </xf>
    <xf numFmtId="2" fontId="73" fillId="3" borderId="26" xfId="0" applyNumberFormat="1" applyFont="1" applyFill="1" applyBorder="1" applyAlignment="1">
      <alignment horizontal="center" vertical="center"/>
    </xf>
    <xf numFmtId="2" fontId="72" fillId="3" borderId="27" xfId="0" applyNumberFormat="1" applyFont="1" applyFill="1" applyBorder="1" applyAlignment="1">
      <alignment horizontal="center" vertical="center"/>
    </xf>
    <xf numFmtId="0" fontId="47" fillId="0" borderId="35" xfId="0" applyFont="1" applyBorder="1" applyAlignment="1">
      <alignment horizontal="center" vertical="center"/>
    </xf>
    <xf numFmtId="2" fontId="72" fillId="3" borderId="13" xfId="0" applyNumberFormat="1" applyFont="1" applyFill="1" applyBorder="1" applyAlignment="1">
      <alignment horizontal="center" vertical="center"/>
    </xf>
    <xf numFmtId="2" fontId="73" fillId="3" borderId="36" xfId="0" applyNumberFormat="1" applyFont="1" applyFill="1" applyBorder="1" applyAlignment="1">
      <alignment horizontal="center" vertical="center"/>
    </xf>
    <xf numFmtId="2" fontId="74" fillId="3" borderId="37" xfId="0" applyNumberFormat="1" applyFont="1" applyFill="1" applyBorder="1" applyAlignment="1">
      <alignment horizontal="center" vertical="center"/>
    </xf>
    <xf numFmtId="2" fontId="74" fillId="3" borderId="38" xfId="0" applyNumberFormat="1" applyFont="1" applyFill="1" applyBorder="1" applyAlignment="1">
      <alignment horizontal="center" vertical="center"/>
    </xf>
    <xf numFmtId="2" fontId="74" fillId="3" borderId="39" xfId="0" applyNumberFormat="1" applyFont="1" applyFill="1" applyBorder="1" applyAlignment="1">
      <alignment horizontal="center" vertical="center"/>
    </xf>
    <xf numFmtId="2" fontId="73" fillId="3" borderId="0" xfId="0" applyNumberFormat="1" applyFont="1" applyFill="1" applyAlignment="1">
      <alignment horizontal="center" vertical="center"/>
    </xf>
    <xf numFmtId="2" fontId="72" fillId="3" borderId="40" xfId="0" applyNumberFormat="1" applyFont="1" applyFill="1" applyBorder="1" applyAlignment="1">
      <alignment horizontal="center" vertical="center"/>
    </xf>
    <xf numFmtId="0" fontId="18" fillId="0" borderId="44" xfId="0" applyFont="1" applyBorder="1" applyAlignment="1">
      <alignment horizontal="right" vertical="center"/>
    </xf>
    <xf numFmtId="0" fontId="18" fillId="2" borderId="45" xfId="0" applyFont="1" applyFill="1" applyBorder="1" applyAlignment="1">
      <alignment horizontal="right" vertical="center"/>
    </xf>
    <xf numFmtId="0" fontId="72" fillId="3" borderId="40" xfId="0" applyFont="1" applyFill="1" applyBorder="1" applyAlignment="1">
      <alignment horizontal="center" vertical="center"/>
    </xf>
    <xf numFmtId="164" fontId="12" fillId="4" borderId="53" xfId="0" applyNumberFormat="1" applyFont="1" applyFill="1" applyBorder="1" applyAlignment="1">
      <alignment horizontal="right" vertical="center"/>
    </xf>
    <xf numFmtId="0" fontId="47" fillId="0" borderId="57" xfId="0" applyFont="1" applyBorder="1" applyAlignment="1">
      <alignment horizontal="center" vertical="center"/>
    </xf>
    <xf numFmtId="2" fontId="72" fillId="3" borderId="58" xfId="0" applyNumberFormat="1" applyFont="1" applyFill="1" applyBorder="1" applyAlignment="1">
      <alignment horizontal="center" vertical="center"/>
    </xf>
    <xf numFmtId="2" fontId="73" fillId="3" borderId="59" xfId="0" applyNumberFormat="1" applyFont="1" applyFill="1" applyBorder="1" applyAlignment="1">
      <alignment horizontal="center" vertical="center"/>
    </xf>
    <xf numFmtId="2" fontId="74" fillId="3" borderId="60" xfId="0" applyNumberFormat="1" applyFont="1" applyFill="1" applyBorder="1" applyAlignment="1">
      <alignment horizontal="center" vertical="center"/>
    </xf>
    <xf numFmtId="2" fontId="74" fillId="3" borderId="61" xfId="0" applyNumberFormat="1" applyFont="1" applyFill="1" applyBorder="1" applyAlignment="1">
      <alignment horizontal="center" vertical="center"/>
    </xf>
    <xf numFmtId="2" fontId="74" fillId="3" borderId="62" xfId="0" applyNumberFormat="1" applyFont="1" applyFill="1" applyBorder="1" applyAlignment="1">
      <alignment horizontal="center" vertical="center"/>
    </xf>
    <xf numFmtId="2" fontId="73" fillId="3" borderId="63" xfId="0" applyNumberFormat="1" applyFont="1" applyFill="1" applyBorder="1" applyAlignment="1">
      <alignment horizontal="center" vertical="center"/>
    </xf>
    <xf numFmtId="2" fontId="72" fillId="3" borderId="64" xfId="0" applyNumberFormat="1" applyFont="1" applyFill="1" applyBorder="1" applyAlignment="1">
      <alignment horizontal="center" vertical="center"/>
    </xf>
    <xf numFmtId="0" fontId="12" fillId="4" borderId="68" xfId="0" applyFont="1" applyFill="1" applyBorder="1" applyAlignment="1">
      <alignment horizontal="right" vertical="center"/>
    </xf>
    <xf numFmtId="2" fontId="75" fillId="0" borderId="0" xfId="0" applyNumberFormat="1" applyFont="1" applyAlignment="1">
      <alignment horizontal="center" vertical="center"/>
    </xf>
    <xf numFmtId="0" fontId="75" fillId="0" borderId="0" xfId="0" applyFont="1" applyAlignment="1">
      <alignment horizontal="center" vertical="center"/>
    </xf>
    <xf numFmtId="0" fontId="76" fillId="0" borderId="5" xfId="0" applyFont="1" applyBorder="1" applyAlignment="1">
      <alignment horizontal="center" vertical="center"/>
    </xf>
    <xf numFmtId="0" fontId="76" fillId="0" borderId="11" xfId="0" applyFont="1" applyBorder="1" applyAlignment="1">
      <alignment horizontal="center" vertical="center"/>
    </xf>
    <xf numFmtId="0" fontId="77" fillId="0" borderId="21" xfId="0" applyFont="1" applyBorder="1" applyAlignment="1">
      <alignment horizontal="center" vertical="center"/>
    </xf>
    <xf numFmtId="0" fontId="78" fillId="0" borderId="83" xfId="0" applyFont="1" applyBorder="1" applyAlignment="1">
      <alignment horizontal="center" vertical="center"/>
    </xf>
    <xf numFmtId="0" fontId="78" fillId="0" borderId="26" xfId="0" applyFont="1" applyBorder="1" applyAlignment="1">
      <alignment horizontal="center" vertical="center"/>
    </xf>
    <xf numFmtId="0" fontId="77" fillId="0" borderId="27" xfId="0" applyFont="1" applyBorder="1" applyAlignment="1">
      <alignment horizontal="center" vertical="center"/>
    </xf>
    <xf numFmtId="0" fontId="77" fillId="0" borderId="13" xfId="0" applyFont="1" applyBorder="1" applyAlignment="1">
      <alignment horizontal="center" vertical="center"/>
    </xf>
    <xf numFmtId="0" fontId="78" fillId="0" borderId="88" xfId="0" applyFont="1" applyBorder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7" fillId="0" borderId="40" xfId="0" applyFont="1" applyBorder="1" applyAlignment="1">
      <alignment horizontal="center" vertical="center"/>
    </xf>
    <xf numFmtId="0" fontId="77" fillId="0" borderId="58" xfId="0" applyFont="1" applyBorder="1" applyAlignment="1">
      <alignment horizontal="center" vertical="center"/>
    </xf>
    <xf numFmtId="0" fontId="78" fillId="0" borderId="100" xfId="0" applyFont="1" applyBorder="1" applyAlignment="1">
      <alignment horizontal="center" vertical="center"/>
    </xf>
    <xf numFmtId="0" fontId="78" fillId="0" borderId="63" xfId="0" applyFont="1" applyBorder="1" applyAlignment="1">
      <alignment horizontal="center" vertical="center"/>
    </xf>
    <xf numFmtId="0" fontId="77" fillId="0" borderId="64" xfId="0" applyFont="1" applyBorder="1" applyAlignment="1">
      <alignment horizontal="center" vertical="center"/>
    </xf>
    <xf numFmtId="0" fontId="79" fillId="0" borderId="5" xfId="0" applyFont="1" applyBorder="1" applyAlignment="1">
      <alignment horizontal="center" vertical="center"/>
    </xf>
    <xf numFmtId="0" fontId="80" fillId="0" borderId="11" xfId="0" applyFont="1" applyBorder="1" applyAlignment="1">
      <alignment horizontal="center" vertical="center"/>
    </xf>
    <xf numFmtId="0" fontId="81" fillId="0" borderId="10" xfId="0" applyFont="1" applyBorder="1" applyAlignment="1">
      <alignment horizontal="center" vertical="center"/>
    </xf>
    <xf numFmtId="0" fontId="80" fillId="0" borderId="10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/>
    </xf>
    <xf numFmtId="0" fontId="82" fillId="0" borderId="21" xfId="0" applyFont="1" applyBorder="1" applyAlignment="1">
      <alignment horizontal="center" vertical="center"/>
    </xf>
    <xf numFmtId="0" fontId="54" fillId="0" borderId="22" xfId="0" applyFont="1" applyBorder="1" applyAlignment="1">
      <alignment horizontal="center" vertical="center"/>
    </xf>
    <xf numFmtId="0" fontId="83" fillId="0" borderId="83" xfId="0" applyFont="1" applyBorder="1" applyAlignment="1">
      <alignment horizontal="center" vertical="center"/>
    </xf>
    <xf numFmtId="0" fontId="83" fillId="0" borderId="26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 vertical="center"/>
    </xf>
    <xf numFmtId="0" fontId="84" fillId="0" borderId="27" xfId="0" applyFont="1" applyBorder="1" applyAlignment="1">
      <alignment horizontal="center" vertical="center"/>
    </xf>
    <xf numFmtId="0" fontId="84" fillId="0" borderId="13" xfId="0" applyFont="1" applyBorder="1" applyAlignment="1">
      <alignment horizontal="center" vertical="center"/>
    </xf>
    <xf numFmtId="0" fontId="54" fillId="0" borderId="36" xfId="0" applyFont="1" applyBorder="1" applyAlignment="1">
      <alignment horizontal="center" vertical="center"/>
    </xf>
    <xf numFmtId="0" fontId="83" fillId="0" borderId="88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84" fillId="0" borderId="40" xfId="0" applyFont="1" applyBorder="1" applyAlignment="1">
      <alignment horizontal="center" vertical="center"/>
    </xf>
    <xf numFmtId="0" fontId="82" fillId="0" borderId="13" xfId="0" applyFont="1" applyBorder="1" applyAlignment="1">
      <alignment horizontal="center" vertical="center"/>
    </xf>
    <xf numFmtId="0" fontId="84" fillId="0" borderId="58" xfId="0" applyFont="1" applyBorder="1" applyAlignment="1">
      <alignment horizontal="center" vertical="center"/>
    </xf>
    <xf numFmtId="0" fontId="54" fillId="0" borderId="59" xfId="0" applyFont="1" applyBorder="1" applyAlignment="1">
      <alignment horizontal="center" vertical="center"/>
    </xf>
    <xf numFmtId="0" fontId="83" fillId="0" borderId="100" xfId="0" applyFont="1" applyBorder="1" applyAlignment="1">
      <alignment horizontal="center" vertical="center"/>
    </xf>
    <xf numFmtId="0" fontId="83" fillId="0" borderId="63" xfId="0" applyFont="1" applyBorder="1" applyAlignment="1">
      <alignment horizontal="center" vertical="center"/>
    </xf>
    <xf numFmtId="0" fontId="54" fillId="0" borderId="63" xfId="0" applyFont="1" applyBorder="1" applyAlignment="1">
      <alignment horizontal="center" vertical="center"/>
    </xf>
    <xf numFmtId="0" fontId="84" fillId="0" borderId="64" xfId="0" applyFont="1" applyBorder="1" applyAlignment="1">
      <alignment horizontal="center" vertical="center"/>
    </xf>
    <xf numFmtId="2" fontId="47" fillId="0" borderId="19" xfId="0" applyNumberFormat="1" applyFont="1" applyBorder="1" applyAlignment="1">
      <alignment horizontal="center" vertical="center"/>
    </xf>
    <xf numFmtId="2" fontId="85" fillId="0" borderId="34" xfId="0" applyNumberFormat="1" applyFont="1" applyBorder="1" applyAlignment="1">
      <alignment horizontal="center" vertical="center"/>
    </xf>
    <xf numFmtId="2" fontId="85" fillId="0" borderId="45" xfId="0" applyNumberFormat="1" applyFont="1" applyBorder="1" applyAlignment="1">
      <alignment horizontal="center" vertical="center"/>
    </xf>
    <xf numFmtId="2" fontId="85" fillId="0" borderId="48" xfId="0" applyNumberFormat="1" applyFont="1" applyBorder="1" applyAlignment="1">
      <alignment horizontal="center" vertical="center"/>
    </xf>
    <xf numFmtId="2" fontId="47" fillId="0" borderId="52" xfId="0" applyNumberFormat="1" applyFont="1" applyBorder="1" applyAlignment="1">
      <alignment horizontal="center" vertical="center"/>
    </xf>
    <xf numFmtId="0" fontId="6" fillId="2" borderId="14" xfId="0" applyFont="1" applyFill="1" applyBorder="1" applyAlignment="1">
      <alignment horizontal="right" vertical="center"/>
    </xf>
    <xf numFmtId="0" fontId="6" fillId="0" borderId="15" xfId="0" applyFont="1" applyBorder="1" applyAlignment="1">
      <alignment horizontal="right" vertical="center"/>
    </xf>
    <xf numFmtId="49" fontId="86" fillId="0" borderId="14" xfId="0" applyNumberFormat="1" applyFont="1" applyBorder="1" applyAlignment="1">
      <alignment horizontal="right" vertical="center"/>
    </xf>
    <xf numFmtId="49" fontId="87" fillId="0" borderId="129" xfId="0" applyNumberFormat="1" applyFont="1" applyBorder="1" applyAlignment="1">
      <alignment horizontal="right" vertical="center"/>
    </xf>
    <xf numFmtId="164" fontId="26" fillId="0" borderId="130" xfId="0" applyNumberFormat="1" applyFont="1" applyBorder="1" applyAlignment="1">
      <alignment horizontal="right" vertical="center"/>
    </xf>
    <xf numFmtId="164" fontId="70" fillId="0" borderId="54" xfId="0" applyNumberFormat="1" applyFont="1" applyBorder="1" applyAlignment="1">
      <alignment horizontal="right" vertical="center"/>
    </xf>
    <xf numFmtId="164" fontId="88" fillId="0" borderId="123" xfId="0" applyNumberFormat="1" applyFont="1" applyBorder="1" applyAlignment="1">
      <alignment horizontal="right" vertical="center"/>
    </xf>
    <xf numFmtId="2" fontId="6" fillId="0" borderId="103" xfId="0" applyNumberFormat="1" applyFont="1" applyBorder="1" applyAlignment="1">
      <alignment horizontal="center" vertical="center"/>
    </xf>
    <xf numFmtId="2" fontId="26" fillId="0" borderId="131" xfId="0" applyNumberFormat="1" applyFont="1" applyBorder="1" applyAlignment="1">
      <alignment horizontal="right" vertical="center"/>
    </xf>
    <xf numFmtId="2" fontId="89" fillId="0" borderId="69" xfId="0" applyNumberFormat="1" applyFont="1" applyBorder="1" applyAlignment="1">
      <alignment horizontal="right" vertical="center"/>
    </xf>
    <xf numFmtId="2" fontId="88" fillId="0" borderId="132" xfId="0" applyNumberFormat="1" applyFont="1" applyBorder="1" applyAlignment="1">
      <alignment horizontal="right" vertical="center"/>
    </xf>
    <xf numFmtId="2" fontId="11" fillId="0" borderId="106" xfId="0" applyNumberFormat="1" applyFont="1" applyBorder="1" applyAlignment="1">
      <alignment horizontal="center" vertical="center"/>
    </xf>
    <xf numFmtId="2" fontId="26" fillId="0" borderId="133" xfId="0" applyNumberFormat="1" applyFont="1" applyBorder="1" applyAlignment="1">
      <alignment horizontal="right" vertical="center"/>
    </xf>
    <xf numFmtId="2" fontId="89" fillId="0" borderId="74" xfId="0" applyNumberFormat="1" applyFont="1" applyBorder="1" applyAlignment="1">
      <alignment horizontal="right" vertical="center"/>
    </xf>
    <xf numFmtId="2" fontId="88" fillId="0" borderId="134" xfId="0" applyNumberFormat="1" applyFont="1" applyBorder="1" applyAlignment="1">
      <alignment horizontal="right" vertical="center"/>
    </xf>
    <xf numFmtId="2" fontId="26" fillId="0" borderId="135" xfId="0" applyNumberFormat="1" applyFont="1" applyBorder="1" applyAlignment="1">
      <alignment horizontal="right" vertical="center"/>
    </xf>
    <xf numFmtId="2" fontId="89" fillId="0" borderId="79" xfId="0" applyNumberFormat="1" applyFont="1" applyBorder="1" applyAlignment="1">
      <alignment horizontal="right" vertical="center"/>
    </xf>
    <xf numFmtId="2" fontId="88" fillId="0" borderId="136" xfId="0" applyNumberFormat="1" applyFont="1" applyBorder="1" applyAlignment="1">
      <alignment horizontal="right" vertical="center"/>
    </xf>
    <xf numFmtId="0" fontId="90" fillId="0" borderId="0" xfId="0" applyFont="1" applyAlignment="1">
      <alignment horizontal="left" vertical="center"/>
    </xf>
    <xf numFmtId="0" fontId="90" fillId="0" borderId="0" xfId="0" applyFont="1" applyAlignment="1">
      <alignment vertical="center"/>
    </xf>
    <xf numFmtId="2" fontId="26" fillId="0" borderId="65" xfId="0" applyNumberFormat="1" applyFont="1" applyBorder="1" applyAlignment="1">
      <alignment horizontal="right" vertical="center"/>
    </xf>
    <xf numFmtId="2" fontId="70" fillId="0" borderId="85" xfId="0" applyNumberFormat="1" applyFont="1" applyBorder="1" applyAlignment="1">
      <alignment horizontal="right" vertical="center"/>
    </xf>
    <xf numFmtId="164" fontId="88" fillId="0" borderId="127" xfId="0" applyNumberFormat="1" applyFont="1" applyBorder="1" applyAlignment="1">
      <alignment horizontal="right" vertical="center"/>
    </xf>
    <xf numFmtId="0" fontId="91" fillId="0" borderId="14" xfId="0" applyFont="1" applyBorder="1" applyAlignment="1">
      <alignment horizontal="center" vertical="center"/>
    </xf>
    <xf numFmtId="0" fontId="91" fillId="0" borderId="129" xfId="0" applyFont="1" applyBorder="1" applyAlignment="1">
      <alignment horizontal="center" vertical="center"/>
    </xf>
    <xf numFmtId="0" fontId="91" fillId="0" borderId="15" xfId="0" applyFont="1" applyBorder="1" applyAlignment="1">
      <alignment horizontal="center" vertical="center"/>
    </xf>
    <xf numFmtId="164" fontId="55" fillId="0" borderId="0" xfId="0" applyNumberFormat="1" applyFont="1"/>
    <xf numFmtId="0" fontId="7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49" fontId="93" fillId="0" borderId="1" xfId="0" applyNumberFormat="1" applyFont="1" applyBorder="1" applyAlignment="1">
      <alignment horizontal="right" vertical="center"/>
    </xf>
    <xf numFmtId="49" fontId="69" fillId="0" borderId="0" xfId="0" applyNumberFormat="1" applyFont="1" applyAlignment="1">
      <alignment vertical="center"/>
    </xf>
    <xf numFmtId="0" fontId="55" fillId="0" borderId="0" xfId="0" applyFont="1"/>
    <xf numFmtId="0" fontId="22" fillId="0" borderId="21" xfId="0" applyFont="1" applyBorder="1" applyAlignment="1">
      <alignment horizontal="center" vertical="center"/>
    </xf>
    <xf numFmtId="0" fontId="24" fillId="0" borderId="13" xfId="0" applyFont="1" applyBorder="1" applyAlignment="1">
      <alignment horizontal="right" vertical="center"/>
    </xf>
    <xf numFmtId="164" fontId="24" fillId="0" borderId="88" xfId="0" applyNumberFormat="1" applyFont="1" applyBorder="1" applyAlignment="1">
      <alignment horizontal="right" vertical="center"/>
    </xf>
    <xf numFmtId="0" fontId="94" fillId="0" borderId="13" xfId="0" applyFont="1" applyBorder="1" applyAlignment="1">
      <alignment horizontal="right" vertical="center"/>
    </xf>
    <xf numFmtId="164" fontId="94" fillId="0" borderId="28" xfId="0" applyNumberFormat="1" applyFont="1" applyBorder="1" applyAlignment="1">
      <alignment horizontal="center" vertical="center"/>
    </xf>
    <xf numFmtId="164" fontId="46" fillId="0" borderId="28" xfId="0" applyNumberFormat="1" applyFont="1" applyBorder="1" applyAlignment="1">
      <alignment vertical="center"/>
    </xf>
    <xf numFmtId="0" fontId="95" fillId="0" borderId="0" xfId="0" applyFont="1" applyAlignment="1">
      <alignment horizontal="right"/>
    </xf>
    <xf numFmtId="0" fontId="83" fillId="0" borderId="0" xfId="0" applyFont="1" applyAlignment="1">
      <alignment vertical="center"/>
    </xf>
    <xf numFmtId="164" fontId="96" fillId="0" borderId="14" xfId="0" applyNumberFormat="1" applyFont="1" applyBorder="1" applyAlignment="1">
      <alignment horizontal="center" vertical="center"/>
    </xf>
    <xf numFmtId="2" fontId="96" fillId="0" borderId="129" xfId="0" applyNumberFormat="1" applyFont="1" applyBorder="1" applyAlignment="1">
      <alignment horizontal="center" vertical="center"/>
    </xf>
    <xf numFmtId="2" fontId="96" fillId="0" borderId="15" xfId="0" applyNumberFormat="1" applyFont="1" applyBorder="1" applyAlignment="1">
      <alignment horizontal="center" vertical="center"/>
    </xf>
    <xf numFmtId="0" fontId="6" fillId="0" borderId="107" xfId="0" applyFont="1" applyBorder="1" applyAlignment="1">
      <alignment horizontal="center" vertical="center"/>
    </xf>
    <xf numFmtId="0" fontId="28" fillId="0" borderId="107" xfId="0" applyFont="1" applyBorder="1" applyAlignment="1">
      <alignment horizontal="right" vertical="center"/>
    </xf>
    <xf numFmtId="164" fontId="28" fillId="0" borderId="137" xfId="0" applyNumberFormat="1" applyFont="1" applyBorder="1" applyAlignment="1">
      <alignment horizontal="right" vertical="center"/>
    </xf>
    <xf numFmtId="0" fontId="97" fillId="0" borderId="107" xfId="0" applyFont="1" applyBorder="1" applyAlignment="1">
      <alignment horizontal="right" vertical="center"/>
    </xf>
    <xf numFmtId="2" fontId="97" fillId="0" borderId="131" xfId="0" applyNumberFormat="1" applyFont="1" applyBorder="1" applyAlignment="1">
      <alignment horizontal="center" vertical="center"/>
    </xf>
    <xf numFmtId="0" fontId="46" fillId="0" borderId="131" xfId="0" applyFont="1" applyBorder="1" applyAlignment="1">
      <alignment vertical="center"/>
    </xf>
    <xf numFmtId="0" fontId="44" fillId="0" borderId="0" xfId="0" applyFont="1" applyAlignment="1">
      <alignment horizontal="right"/>
    </xf>
    <xf numFmtId="0" fontId="6" fillId="0" borderId="108" xfId="0" applyFont="1" applyBorder="1" applyAlignment="1">
      <alignment horizontal="center" vertical="center"/>
    </xf>
    <xf numFmtId="0" fontId="28" fillId="0" borderId="108" xfId="0" applyFont="1" applyBorder="1" applyAlignment="1">
      <alignment horizontal="right" vertical="center"/>
    </xf>
    <xf numFmtId="164" fontId="28" fillId="0" borderId="138" xfId="0" applyNumberFormat="1" applyFont="1" applyBorder="1" applyAlignment="1">
      <alignment horizontal="right" vertical="center"/>
    </xf>
    <xf numFmtId="0" fontId="97" fillId="0" borderId="108" xfId="0" applyFont="1" applyBorder="1" applyAlignment="1">
      <alignment horizontal="right" vertical="center"/>
    </xf>
    <xf numFmtId="2" fontId="97" fillId="0" borderId="133" xfId="0" applyNumberFormat="1" applyFont="1" applyBorder="1" applyAlignment="1">
      <alignment horizontal="center" vertical="center"/>
    </xf>
    <xf numFmtId="0" fontId="46" fillId="0" borderId="133" xfId="0" applyFont="1" applyBorder="1" applyAlignment="1">
      <alignment vertical="center"/>
    </xf>
    <xf numFmtId="10" fontId="98" fillId="0" borderId="139" xfId="0" applyNumberFormat="1" applyFont="1" applyBorder="1" applyAlignment="1">
      <alignment vertical="center"/>
    </xf>
    <xf numFmtId="2" fontId="99" fillId="0" borderId="140" xfId="0" applyNumberFormat="1" applyFont="1" applyBorder="1" applyAlignment="1">
      <alignment horizontal="center" vertical="center"/>
    </xf>
    <xf numFmtId="10" fontId="98" fillId="0" borderId="141" xfId="0" applyNumberFormat="1" applyFont="1" applyBorder="1" applyAlignment="1">
      <alignment vertical="center"/>
    </xf>
    <xf numFmtId="2" fontId="99" fillId="0" borderId="142" xfId="0" applyNumberFormat="1" applyFont="1" applyBorder="1" applyAlignment="1">
      <alignment horizontal="center" vertical="center"/>
    </xf>
    <xf numFmtId="0" fontId="6" fillId="0" borderId="109" xfId="0" applyFont="1" applyBorder="1" applyAlignment="1">
      <alignment horizontal="center" vertical="center"/>
    </xf>
    <xf numFmtId="0" fontId="28" fillId="0" borderId="109" xfId="0" applyFont="1" applyBorder="1" applyAlignment="1">
      <alignment horizontal="right" vertical="center"/>
    </xf>
    <xf numFmtId="164" fontId="28" fillId="0" borderId="143" xfId="0" applyNumberFormat="1" applyFont="1" applyBorder="1" applyAlignment="1">
      <alignment horizontal="right" vertical="center"/>
    </xf>
    <xf numFmtId="0" fontId="97" fillId="0" borderId="109" xfId="0" applyFont="1" applyBorder="1" applyAlignment="1">
      <alignment horizontal="right" vertical="center"/>
    </xf>
    <xf numFmtId="2" fontId="97" fillId="0" borderId="135" xfId="0" applyNumberFormat="1" applyFont="1" applyBorder="1" applyAlignment="1">
      <alignment horizontal="center" vertical="center"/>
    </xf>
    <xf numFmtId="0" fontId="46" fillId="0" borderId="135" xfId="0" applyFont="1" applyBorder="1" applyAlignment="1">
      <alignment vertical="center"/>
    </xf>
    <xf numFmtId="0" fontId="6" fillId="0" borderId="144" xfId="0" applyFont="1" applyBorder="1" applyAlignment="1">
      <alignment horizontal="center" vertical="center"/>
    </xf>
    <xf numFmtId="164" fontId="100" fillId="4" borderId="53" xfId="0" applyNumberFormat="1" applyFont="1" applyFill="1" applyBorder="1" applyAlignment="1">
      <alignment horizontal="right" vertical="center"/>
    </xf>
    <xf numFmtId="2" fontId="101" fillId="0" borderId="145" xfId="0" applyNumberFormat="1" applyFont="1" applyBorder="1" applyAlignment="1">
      <alignment horizontal="right" vertical="center"/>
    </xf>
    <xf numFmtId="2" fontId="102" fillId="0" borderId="146" xfId="0" applyNumberFormat="1" applyFont="1" applyBorder="1" applyAlignment="1">
      <alignment horizontal="right" vertical="center"/>
    </xf>
    <xf numFmtId="2" fontId="100" fillId="4" borderId="54" xfId="0" applyNumberFormat="1" applyFont="1" applyFill="1" applyBorder="1" applyAlignment="1">
      <alignment horizontal="right" vertical="center"/>
    </xf>
    <xf numFmtId="0" fontId="19" fillId="0" borderId="27" xfId="0" applyFont="1" applyBorder="1" applyAlignment="1">
      <alignment horizontal="right" vertical="center"/>
    </xf>
    <xf numFmtId="10" fontId="98" fillId="0" borderId="74" xfId="0" applyNumberFormat="1" applyFont="1" applyBorder="1" applyAlignment="1">
      <alignment vertical="center"/>
    </xf>
    <xf numFmtId="2" fontId="99" fillId="0" borderId="75" xfId="0" applyNumberFormat="1" applyFont="1" applyBorder="1" applyAlignment="1">
      <alignment horizontal="center" vertical="center"/>
    </xf>
    <xf numFmtId="10" fontId="98" fillId="0" borderId="147" xfId="0" applyNumberFormat="1" applyFont="1" applyBorder="1" applyAlignment="1">
      <alignment vertical="center"/>
    </xf>
    <xf numFmtId="2" fontId="99" fillId="0" borderId="138" xfId="0" applyNumberFormat="1" applyFont="1" applyBorder="1" applyAlignment="1">
      <alignment horizontal="center" vertical="center"/>
    </xf>
    <xf numFmtId="0" fontId="22" fillId="0" borderId="58" xfId="0" applyFont="1" applyBorder="1" applyAlignment="1">
      <alignment horizontal="center" vertical="center"/>
    </xf>
    <xf numFmtId="0" fontId="24" fillId="0" borderId="58" xfId="0" applyFont="1" applyBorder="1" applyAlignment="1">
      <alignment horizontal="right" vertical="center"/>
    </xf>
    <xf numFmtId="164" fontId="24" fillId="0" borderId="100" xfId="0" applyNumberFormat="1" applyFont="1" applyBorder="1" applyAlignment="1">
      <alignment horizontal="right" vertical="center"/>
    </xf>
    <xf numFmtId="0" fontId="94" fillId="0" borderId="58" xfId="0" applyFont="1" applyBorder="1" applyAlignment="1">
      <alignment horizontal="right" vertical="center"/>
    </xf>
    <xf numFmtId="2" fontId="94" fillId="0" borderId="65" xfId="0" applyNumberFormat="1" applyFont="1" applyBorder="1" applyAlignment="1">
      <alignment horizontal="center" vertical="center"/>
    </xf>
    <xf numFmtId="0" fontId="46" fillId="0" borderId="65" xfId="0" applyFont="1" applyBorder="1" applyAlignment="1">
      <alignment vertical="center"/>
    </xf>
    <xf numFmtId="0" fontId="100" fillId="4" borderId="68" xfId="0" applyFont="1" applyFill="1" applyBorder="1" applyAlignment="1">
      <alignment horizontal="right" vertical="center"/>
    </xf>
    <xf numFmtId="1" fontId="101" fillId="0" borderId="148" xfId="0" applyNumberFormat="1" applyFont="1" applyBorder="1" applyAlignment="1">
      <alignment horizontal="right" vertical="center"/>
    </xf>
    <xf numFmtId="2" fontId="102" fillId="0" borderId="149" xfId="0" applyNumberFormat="1" applyFont="1" applyBorder="1" applyAlignment="1">
      <alignment horizontal="right" vertical="center"/>
    </xf>
    <xf numFmtId="2" fontId="100" fillId="4" borderId="69" xfId="0" applyNumberFormat="1" applyFont="1" applyFill="1" applyBorder="1" applyAlignment="1">
      <alignment horizontal="right" vertical="center"/>
    </xf>
    <xf numFmtId="0" fontId="19" fillId="0" borderId="70" xfId="0" applyFont="1" applyBorder="1" applyAlignment="1">
      <alignment horizontal="right" vertical="center"/>
    </xf>
    <xf numFmtId="0" fontId="100" fillId="4" borderId="73" xfId="0" applyFont="1" applyFill="1" applyBorder="1" applyAlignment="1">
      <alignment horizontal="right" vertical="center"/>
    </xf>
    <xf numFmtId="1" fontId="101" fillId="0" borderId="150" xfId="0" applyNumberFormat="1" applyFont="1" applyBorder="1" applyAlignment="1">
      <alignment horizontal="right" vertical="center"/>
    </xf>
    <xf numFmtId="2" fontId="102" fillId="0" borderId="151" xfId="0" applyNumberFormat="1" applyFont="1" applyBorder="1" applyAlignment="1">
      <alignment horizontal="right" vertical="center"/>
    </xf>
    <xf numFmtId="2" fontId="100" fillId="4" borderId="74" xfId="0" applyNumberFormat="1" applyFont="1" applyFill="1" applyBorder="1" applyAlignment="1">
      <alignment horizontal="right" vertical="center"/>
    </xf>
    <xf numFmtId="0" fontId="19" fillId="0" borderId="75" xfId="0" applyFont="1" applyBorder="1" applyAlignment="1">
      <alignment horizontal="right" vertical="center"/>
    </xf>
    <xf numFmtId="2" fontId="101" fillId="0" borderId="150" xfId="0" applyNumberFormat="1" applyFont="1" applyBorder="1" applyAlignment="1">
      <alignment horizontal="right" vertical="center"/>
    </xf>
    <xf numFmtId="49" fontId="69" fillId="0" borderId="1" xfId="0" applyNumberFormat="1" applyFont="1" applyBorder="1" applyAlignment="1">
      <alignment horizontal="right" vertical="center"/>
    </xf>
    <xf numFmtId="0" fontId="100" fillId="4" borderId="78" xfId="0" applyFont="1" applyFill="1" applyBorder="1" applyAlignment="1">
      <alignment horizontal="right" vertical="center"/>
    </xf>
    <xf numFmtId="2" fontId="101" fillId="0" borderId="152" xfId="0" applyNumberFormat="1" applyFont="1" applyBorder="1" applyAlignment="1">
      <alignment horizontal="right" vertical="center"/>
    </xf>
    <xf numFmtId="2" fontId="102" fillId="0" borderId="153" xfId="0" applyNumberFormat="1" applyFont="1" applyBorder="1" applyAlignment="1">
      <alignment horizontal="right" vertical="center"/>
    </xf>
    <xf numFmtId="2" fontId="100" fillId="4" borderId="79" xfId="0" applyNumberFormat="1" applyFont="1" applyFill="1" applyBorder="1" applyAlignment="1">
      <alignment horizontal="right" vertical="center"/>
    </xf>
    <xf numFmtId="0" fontId="19" fillId="0" borderId="80" xfId="0" applyFont="1" applyBorder="1" applyAlignment="1">
      <alignment horizontal="right" vertical="center"/>
    </xf>
    <xf numFmtId="10" fontId="98" fillId="0" borderId="154" xfId="0" applyNumberFormat="1" applyFont="1" applyBorder="1" applyAlignment="1">
      <alignment vertical="center"/>
    </xf>
    <xf numFmtId="2" fontId="99" fillId="0" borderId="155" xfId="0" applyNumberFormat="1" applyFont="1" applyBorder="1" applyAlignment="1">
      <alignment horizontal="center" vertical="center"/>
    </xf>
    <xf numFmtId="10" fontId="98" fillId="0" borderId="156" xfId="0" applyNumberFormat="1" applyFont="1" applyBorder="1" applyAlignment="1">
      <alignment vertical="center"/>
    </xf>
    <xf numFmtId="2" fontId="99" fillId="0" borderId="157" xfId="0" applyNumberFormat="1" applyFont="1" applyBorder="1" applyAlignment="1">
      <alignment horizontal="center" vertical="center"/>
    </xf>
    <xf numFmtId="2" fontId="38" fillId="0" borderId="25" xfId="0" applyNumberFormat="1" applyFont="1" applyBorder="1" applyAlignment="1">
      <alignment horizontal="center" vertical="center"/>
    </xf>
    <xf numFmtId="2" fontId="25" fillId="0" borderId="123" xfId="0" applyNumberFormat="1" applyFont="1" applyBorder="1" applyAlignment="1">
      <alignment horizontal="center" vertical="center"/>
    </xf>
    <xf numFmtId="2" fontId="25" fillId="0" borderId="27" xfId="0" applyNumberFormat="1" applyFont="1" applyBorder="1" applyAlignment="1">
      <alignment horizontal="center" vertical="center"/>
    </xf>
    <xf numFmtId="164" fontId="57" fillId="0" borderId="53" xfId="0" applyNumberFormat="1" applyFont="1" applyBorder="1" applyAlignment="1">
      <alignment horizontal="right" vertical="center"/>
    </xf>
    <xf numFmtId="0" fontId="6" fillId="0" borderId="84" xfId="0" applyFont="1" applyBorder="1" applyAlignment="1">
      <alignment horizontal="center" vertical="center"/>
    </xf>
    <xf numFmtId="0" fontId="100" fillId="4" borderId="84" xfId="0" applyFont="1" applyFill="1" applyBorder="1" applyAlignment="1">
      <alignment horizontal="right" vertical="center"/>
    </xf>
    <xf numFmtId="2" fontId="101" fillId="0" borderId="158" xfId="0" applyNumberFormat="1" applyFont="1" applyBorder="1" applyAlignment="1">
      <alignment horizontal="right" vertical="center"/>
    </xf>
    <xf numFmtId="2" fontId="102" fillId="0" borderId="52" xfId="0" applyNumberFormat="1" applyFont="1" applyBorder="1" applyAlignment="1">
      <alignment horizontal="right" vertical="center"/>
    </xf>
    <xf numFmtId="2" fontId="100" fillId="4" borderId="85" xfId="0" applyNumberFormat="1" applyFont="1" applyFill="1" applyBorder="1" applyAlignment="1">
      <alignment horizontal="right" vertical="center"/>
    </xf>
    <xf numFmtId="0" fontId="19" fillId="0" borderId="64" xfId="0" applyFont="1" applyBorder="1" applyAlignment="1">
      <alignment horizontal="right" vertical="center"/>
    </xf>
    <xf numFmtId="2" fontId="44" fillId="0" borderId="91" xfId="0" applyNumberFormat="1" applyFont="1" applyBorder="1" applyAlignment="1">
      <alignment horizontal="center" vertical="center"/>
    </xf>
    <xf numFmtId="2" fontId="24" fillId="0" borderId="124" xfId="0" applyNumberFormat="1" applyFont="1" applyBorder="1" applyAlignment="1">
      <alignment horizontal="center" vertical="center"/>
    </xf>
    <xf numFmtId="2" fontId="24" fillId="0" borderId="121" xfId="0" applyNumberFormat="1" applyFont="1" applyBorder="1" applyAlignment="1">
      <alignment horizontal="center" vertical="center"/>
    </xf>
    <xf numFmtId="2" fontId="103" fillId="0" borderId="68" xfId="0" applyNumberFormat="1" applyFont="1" applyBorder="1" applyAlignment="1">
      <alignment horizontal="right" vertical="center"/>
    </xf>
    <xf numFmtId="2" fontId="44" fillId="0" borderId="94" xfId="0" applyNumberFormat="1" applyFont="1" applyBorder="1" applyAlignment="1">
      <alignment horizontal="center" vertical="center"/>
    </xf>
    <xf numFmtId="2" fontId="24" fillId="0" borderId="125" xfId="0" applyNumberFormat="1" applyFont="1" applyBorder="1" applyAlignment="1">
      <alignment horizontal="center" vertical="center"/>
    </xf>
    <xf numFmtId="2" fontId="24" fillId="0" borderId="42" xfId="0" applyNumberFormat="1" applyFont="1" applyBorder="1" applyAlignment="1">
      <alignment horizontal="center" vertical="center"/>
    </xf>
    <xf numFmtId="2" fontId="103" fillId="0" borderId="73" xfId="0" applyNumberFormat="1" applyFont="1" applyBorder="1" applyAlignment="1">
      <alignment horizontal="right" vertical="center"/>
    </xf>
    <xf numFmtId="2" fontId="44" fillId="0" borderId="98" xfId="0" applyNumberFormat="1" applyFont="1" applyBorder="1" applyAlignment="1">
      <alignment horizontal="center" vertical="center"/>
    </xf>
    <xf numFmtId="2" fontId="24" fillId="0" borderId="126" xfId="0" applyNumberFormat="1" applyFont="1" applyBorder="1" applyAlignment="1">
      <alignment horizontal="center" vertical="center"/>
    </xf>
    <xf numFmtId="2" fontId="24" fillId="0" borderId="122" xfId="0" applyNumberFormat="1" applyFont="1" applyBorder="1" applyAlignment="1">
      <alignment horizontal="center" vertical="center"/>
    </xf>
    <xf numFmtId="2" fontId="103" fillId="0" borderId="78" xfId="0" applyNumberFormat="1" applyFont="1" applyBorder="1" applyAlignment="1">
      <alignment horizontal="right" vertical="center"/>
    </xf>
    <xf numFmtId="2" fontId="38" fillId="0" borderId="62" xfId="0" applyNumberFormat="1" applyFont="1" applyBorder="1" applyAlignment="1">
      <alignment horizontal="center" vertical="center"/>
    </xf>
    <xf numFmtId="2" fontId="25" fillId="0" borderId="127" xfId="0" applyNumberFormat="1" applyFont="1" applyBorder="1" applyAlignment="1">
      <alignment horizontal="center" vertical="center"/>
    </xf>
    <xf numFmtId="2" fontId="25" fillId="0" borderId="64" xfId="0" applyNumberFormat="1" applyFont="1" applyBorder="1" applyAlignment="1">
      <alignment horizontal="center" vertical="center"/>
    </xf>
    <xf numFmtId="2" fontId="57" fillId="0" borderId="84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vertical="center"/>
    </xf>
    <xf numFmtId="0" fontId="21" fillId="0" borderId="10" xfId="0" applyFont="1" applyBorder="1" applyAlignment="1">
      <alignment horizontal="right" vertical="center"/>
    </xf>
    <xf numFmtId="1" fontId="27" fillId="0" borderId="12" xfId="0" applyNumberFormat="1" applyFont="1" applyBorder="1" applyAlignment="1">
      <alignment horizontal="center" vertical="center"/>
    </xf>
    <xf numFmtId="1" fontId="12" fillId="0" borderId="32" xfId="0" applyNumberFormat="1" applyFont="1" applyBorder="1" applyAlignment="1">
      <alignment horizontal="right" vertical="center"/>
    </xf>
    <xf numFmtId="1" fontId="12" fillId="0" borderId="33" xfId="0" applyNumberFormat="1" applyFont="1" applyBorder="1" applyAlignment="1">
      <alignment horizontal="right" vertical="center"/>
    </xf>
    <xf numFmtId="1" fontId="12" fillId="2" borderId="34" xfId="0" applyNumberFormat="1" applyFont="1" applyFill="1" applyBorder="1" applyAlignment="1">
      <alignment horizontal="right" vertical="center"/>
    </xf>
    <xf numFmtId="1" fontId="12" fillId="0" borderId="43" xfId="0" applyNumberFormat="1" applyFont="1" applyBorder="1" applyAlignment="1">
      <alignment horizontal="right" vertical="center"/>
    </xf>
    <xf numFmtId="1" fontId="12" fillId="0" borderId="44" xfId="0" applyNumberFormat="1" applyFont="1" applyBorder="1" applyAlignment="1">
      <alignment horizontal="right" vertical="center"/>
    </xf>
    <xf numFmtId="1" fontId="12" fillId="2" borderId="45" xfId="0" applyNumberFormat="1" applyFont="1" applyFill="1" applyBorder="1" applyAlignment="1">
      <alignment horizontal="right" vertical="center"/>
    </xf>
    <xf numFmtId="2" fontId="12" fillId="0" borderId="43" xfId="0" applyNumberFormat="1" applyFont="1" applyBorder="1" applyAlignment="1">
      <alignment horizontal="right" vertical="center"/>
    </xf>
    <xf numFmtId="2" fontId="12" fillId="0" borderId="44" xfId="0" applyNumberFormat="1" applyFont="1" applyBorder="1" applyAlignment="1">
      <alignment horizontal="right" vertical="center"/>
    </xf>
    <xf numFmtId="0" fontId="12" fillId="0" borderId="44" xfId="0" applyFont="1" applyBorder="1" applyAlignment="1">
      <alignment horizontal="right" vertical="center"/>
    </xf>
    <xf numFmtId="0" fontId="12" fillId="2" borderId="45" xfId="0" applyFont="1" applyFill="1" applyBorder="1" applyAlignment="1">
      <alignment horizontal="right" vertical="center"/>
    </xf>
    <xf numFmtId="2" fontId="12" fillId="0" borderId="46" xfId="0" applyNumberFormat="1" applyFont="1" applyBorder="1" applyAlignment="1">
      <alignment horizontal="right" vertical="center"/>
    </xf>
    <xf numFmtId="2" fontId="12" fillId="0" borderId="47" xfId="0" applyNumberFormat="1" applyFont="1" applyBorder="1" applyAlignment="1">
      <alignment horizontal="right" vertical="center"/>
    </xf>
    <xf numFmtId="2" fontId="12" fillId="2" borderId="48" xfId="0" applyNumberFormat="1" applyFont="1" applyFill="1" applyBorder="1" applyAlignment="1">
      <alignment horizontal="right" vertical="center"/>
    </xf>
    <xf numFmtId="49" fontId="69" fillId="0" borderId="14" xfId="0" applyNumberFormat="1" applyFont="1" applyBorder="1" applyAlignment="1">
      <alignment horizontal="right" vertical="center"/>
    </xf>
    <xf numFmtId="49" fontId="37" fillId="0" borderId="129" xfId="0" applyNumberFormat="1" applyFont="1" applyBorder="1" applyAlignment="1">
      <alignment horizontal="right" vertical="center"/>
    </xf>
    <xf numFmtId="164" fontId="44" fillId="2" borderId="54" xfId="0" applyNumberFormat="1" applyFont="1" applyFill="1" applyBorder="1" applyAlignment="1">
      <alignment horizontal="right" vertical="center"/>
    </xf>
    <xf numFmtId="1" fontId="44" fillId="2" borderId="69" xfId="0" applyNumberFormat="1" applyFont="1" applyFill="1" applyBorder="1" applyAlignment="1">
      <alignment horizontal="right" vertical="center"/>
    </xf>
    <xf numFmtId="1" fontId="44" fillId="2" borderId="74" xfId="0" applyNumberFormat="1" applyFont="1" applyFill="1" applyBorder="1" applyAlignment="1">
      <alignment horizontal="right" vertical="center"/>
    </xf>
    <xf numFmtId="2" fontId="44" fillId="2" borderId="74" xfId="0" applyNumberFormat="1" applyFont="1" applyFill="1" applyBorder="1" applyAlignment="1">
      <alignment horizontal="right" vertical="center"/>
    </xf>
    <xf numFmtId="166" fontId="44" fillId="2" borderId="79" xfId="0" applyNumberFormat="1" applyFont="1" applyFill="1" applyBorder="1" applyAlignment="1">
      <alignment horizontal="right" vertical="center"/>
    </xf>
    <xf numFmtId="166" fontId="44" fillId="2" borderId="85" xfId="0" applyNumberFormat="1" applyFont="1" applyFill="1" applyBorder="1" applyAlignment="1">
      <alignment horizontal="right" vertical="center"/>
    </xf>
    <xf numFmtId="0" fontId="37" fillId="0" borderId="0" xfId="0" applyFont="1" applyAlignment="1">
      <alignment horizontal="left" vertical="center"/>
    </xf>
    <xf numFmtId="49" fontId="104" fillId="0" borderId="14" xfId="0" applyNumberFormat="1" applyFont="1" applyBorder="1" applyAlignment="1">
      <alignment horizontal="right" vertical="center"/>
    </xf>
    <xf numFmtId="164" fontId="105" fillId="0" borderId="54" xfId="0" applyNumberFormat="1" applyFont="1" applyBorder="1" applyAlignment="1">
      <alignment horizontal="right" vertical="center"/>
    </xf>
    <xf numFmtId="2" fontId="106" fillId="0" borderId="69" xfId="0" applyNumberFormat="1" applyFont="1" applyBorder="1" applyAlignment="1">
      <alignment horizontal="right" vertical="center"/>
    </xf>
    <xf numFmtId="2" fontId="106" fillId="0" borderId="74" xfId="0" applyNumberFormat="1" applyFont="1" applyBorder="1" applyAlignment="1">
      <alignment horizontal="right" vertical="center"/>
    </xf>
    <xf numFmtId="2" fontId="106" fillId="0" borderId="79" xfId="0" applyNumberFormat="1" applyFont="1" applyBorder="1" applyAlignment="1">
      <alignment horizontal="right" vertical="center"/>
    </xf>
    <xf numFmtId="2" fontId="105" fillId="0" borderId="85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0" fontId="104" fillId="0" borderId="0" xfId="0" applyFont="1" applyAlignment="1">
      <alignment horizontal="right" vertical="center"/>
    </xf>
    <xf numFmtId="164" fontId="107" fillId="0" borderId="28" xfId="0" applyNumberFormat="1" applyFont="1" applyBorder="1" applyAlignment="1">
      <alignment vertical="center"/>
    </xf>
    <xf numFmtId="0" fontId="55" fillId="0" borderId="0" xfId="0" applyFont="1" applyAlignment="1">
      <alignment vertical="center"/>
    </xf>
    <xf numFmtId="0" fontId="19" fillId="0" borderId="131" xfId="0" applyFont="1" applyBorder="1" applyAlignment="1">
      <alignment vertical="center"/>
    </xf>
    <xf numFmtId="0" fontId="19" fillId="0" borderId="133" xfId="0" applyFont="1" applyBorder="1" applyAlignment="1">
      <alignment vertical="center"/>
    </xf>
    <xf numFmtId="0" fontId="19" fillId="0" borderId="135" xfId="0" applyFont="1" applyBorder="1" applyAlignment="1">
      <alignment vertical="center"/>
    </xf>
    <xf numFmtId="0" fontId="107" fillId="0" borderId="65" xfId="0" applyFont="1" applyBorder="1" applyAlignment="1">
      <alignment vertical="center"/>
    </xf>
    <xf numFmtId="0" fontId="104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2" fontId="108" fillId="3" borderId="21" xfId="0" applyNumberFormat="1" applyFont="1" applyFill="1" applyBorder="1" applyAlignment="1">
      <alignment horizontal="center" vertical="center"/>
    </xf>
    <xf numFmtId="2" fontId="3" fillId="3" borderId="22" xfId="0" applyNumberFormat="1" applyFont="1" applyFill="1" applyBorder="1" applyAlignment="1">
      <alignment horizontal="center" vertical="center"/>
    </xf>
    <xf numFmtId="2" fontId="102" fillId="3" borderId="23" xfId="0" applyNumberFormat="1" applyFont="1" applyFill="1" applyBorder="1" applyAlignment="1">
      <alignment horizontal="center" vertical="center"/>
    </xf>
    <xf numFmtId="2" fontId="109" fillId="3" borderId="24" xfId="0" applyNumberFormat="1" applyFont="1" applyFill="1" applyBorder="1" applyAlignment="1">
      <alignment horizontal="center" vertical="center"/>
    </xf>
    <xf numFmtId="2" fontId="102" fillId="3" borderId="24" xfId="0" applyNumberFormat="1" applyFont="1" applyFill="1" applyBorder="1" applyAlignment="1">
      <alignment horizontal="center" vertical="center"/>
    </xf>
    <xf numFmtId="2" fontId="102" fillId="3" borderId="25" xfId="0" applyNumberFormat="1" applyFont="1" applyFill="1" applyBorder="1" applyAlignment="1">
      <alignment horizontal="center" vertical="center"/>
    </xf>
    <xf numFmtId="2" fontId="3" fillId="3" borderId="26" xfId="0" applyNumberFormat="1" applyFont="1" applyFill="1" applyBorder="1" applyAlignment="1">
      <alignment horizontal="center" vertical="center"/>
    </xf>
    <xf numFmtId="2" fontId="108" fillId="3" borderId="27" xfId="0" applyNumberFormat="1" applyFont="1" applyFill="1" applyBorder="1" applyAlignment="1">
      <alignment horizontal="center" vertical="center"/>
    </xf>
    <xf numFmtId="2" fontId="108" fillId="3" borderId="13" xfId="0" applyNumberFormat="1" applyFont="1" applyFill="1" applyBorder="1" applyAlignment="1">
      <alignment horizontal="center" vertical="center"/>
    </xf>
    <xf numFmtId="2" fontId="3" fillId="3" borderId="36" xfId="0" applyNumberFormat="1" applyFont="1" applyFill="1" applyBorder="1" applyAlignment="1">
      <alignment horizontal="center" vertical="center"/>
    </xf>
    <xf numFmtId="2" fontId="102" fillId="3" borderId="37" xfId="0" applyNumberFormat="1" applyFont="1" applyFill="1" applyBorder="1" applyAlignment="1">
      <alignment horizontal="center" vertical="center"/>
    </xf>
    <xf numFmtId="2" fontId="109" fillId="3" borderId="38" xfId="0" applyNumberFormat="1" applyFont="1" applyFill="1" applyBorder="1" applyAlignment="1">
      <alignment horizontal="center" vertical="center"/>
    </xf>
    <xf numFmtId="2" fontId="102" fillId="3" borderId="38" xfId="0" applyNumberFormat="1" applyFont="1" applyFill="1" applyBorder="1" applyAlignment="1">
      <alignment horizontal="center" vertical="center"/>
    </xf>
    <xf numFmtId="2" fontId="102" fillId="3" borderId="39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108" fillId="3" borderId="40" xfId="0" applyNumberFormat="1" applyFont="1" applyFill="1" applyBorder="1" applyAlignment="1">
      <alignment horizontal="center" vertical="center"/>
    </xf>
    <xf numFmtId="0" fontId="22" fillId="0" borderId="163" xfId="0" applyFont="1" applyBorder="1" applyAlignment="1">
      <alignment horizontal="center" vertical="center"/>
    </xf>
    <xf numFmtId="0" fontId="40" fillId="0" borderId="128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29" fillId="0" borderId="44" xfId="0" applyFont="1" applyBorder="1" applyAlignment="1">
      <alignment horizontal="center" vertical="center"/>
    </xf>
    <xf numFmtId="0" fontId="12" fillId="0" borderId="47" xfId="0" applyFont="1" applyBorder="1" applyAlignment="1">
      <alignment horizontal="right" vertical="center"/>
    </xf>
    <xf numFmtId="0" fontId="12" fillId="2" borderId="48" xfId="0" applyFont="1" applyFill="1" applyBorder="1" applyAlignment="1">
      <alignment horizontal="right" vertical="center"/>
    </xf>
    <xf numFmtId="0" fontId="12" fillId="0" borderId="51" xfId="0" applyFont="1" applyBorder="1" applyAlignment="1">
      <alignment horizontal="right" vertical="center"/>
    </xf>
    <xf numFmtId="0" fontId="12" fillId="2" borderId="52" xfId="0" applyFont="1" applyFill="1" applyBorder="1" applyAlignment="1">
      <alignment horizontal="right" vertical="center"/>
    </xf>
    <xf numFmtId="0" fontId="6" fillId="0" borderId="46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2" fillId="0" borderId="158" xfId="0" applyFont="1" applyBorder="1" applyAlignment="1">
      <alignment horizontal="center" vertical="center"/>
    </xf>
    <xf numFmtId="0" fontId="40" fillId="0" borderId="51" xfId="0" applyFont="1" applyBorder="1" applyAlignment="1">
      <alignment horizontal="center" vertical="center"/>
    </xf>
    <xf numFmtId="49" fontId="104" fillId="0" borderId="1" xfId="0" applyNumberFormat="1" applyFont="1" applyBorder="1" applyAlignment="1">
      <alignment horizontal="right" vertical="center"/>
    </xf>
    <xf numFmtId="49" fontId="20" fillId="4" borderId="1" xfId="0" applyNumberFormat="1" applyFont="1" applyFill="1" applyBorder="1" applyAlignment="1">
      <alignment horizontal="right" vertical="center"/>
    </xf>
    <xf numFmtId="49" fontId="37" fillId="0" borderId="1" xfId="0" applyNumberFormat="1" applyFont="1" applyBorder="1" applyAlignment="1">
      <alignment horizontal="right" vertical="center"/>
    </xf>
    <xf numFmtId="164" fontId="105" fillId="0" borderId="53" xfId="0" applyNumberFormat="1" applyFont="1" applyBorder="1" applyAlignment="1">
      <alignment horizontal="right" vertical="center"/>
    </xf>
    <xf numFmtId="164" fontId="26" fillId="4" borderId="53" xfId="0" applyNumberFormat="1" applyFont="1" applyFill="1" applyBorder="1" applyAlignment="1">
      <alignment horizontal="right" vertical="center"/>
    </xf>
    <xf numFmtId="164" fontId="88" fillId="0" borderId="53" xfId="0" applyNumberFormat="1" applyFont="1" applyBorder="1" applyAlignment="1">
      <alignment horizontal="right" vertical="center"/>
    </xf>
    <xf numFmtId="2" fontId="108" fillId="3" borderId="58" xfId="0" applyNumberFormat="1" applyFont="1" applyFill="1" applyBorder="1" applyAlignment="1">
      <alignment horizontal="center" vertical="center"/>
    </xf>
    <xf numFmtId="2" fontId="3" fillId="3" borderId="59" xfId="0" applyNumberFormat="1" applyFont="1" applyFill="1" applyBorder="1" applyAlignment="1">
      <alignment horizontal="center" vertical="center"/>
    </xf>
    <xf numFmtId="2" fontId="102" fillId="3" borderId="60" xfId="0" applyNumberFormat="1" applyFont="1" applyFill="1" applyBorder="1" applyAlignment="1">
      <alignment horizontal="center" vertical="center"/>
    </xf>
    <xf numFmtId="2" fontId="109" fillId="3" borderId="61" xfId="0" applyNumberFormat="1" applyFont="1" applyFill="1" applyBorder="1" applyAlignment="1">
      <alignment horizontal="center" vertical="center"/>
    </xf>
    <xf numFmtId="2" fontId="102" fillId="3" borderId="61" xfId="0" applyNumberFormat="1" applyFont="1" applyFill="1" applyBorder="1" applyAlignment="1">
      <alignment horizontal="center" vertical="center"/>
    </xf>
    <xf numFmtId="2" fontId="110" fillId="3" borderId="61" xfId="0" applyNumberFormat="1" applyFont="1" applyFill="1" applyBorder="1" applyAlignment="1">
      <alignment horizontal="center" vertical="center"/>
    </xf>
    <xf numFmtId="2" fontId="102" fillId="3" borderId="62" xfId="0" applyNumberFormat="1" applyFont="1" applyFill="1" applyBorder="1" applyAlignment="1">
      <alignment horizontal="center" vertical="center"/>
    </xf>
    <xf numFmtId="2" fontId="3" fillId="3" borderId="63" xfId="0" applyNumberFormat="1" applyFont="1" applyFill="1" applyBorder="1" applyAlignment="1">
      <alignment horizontal="center" vertical="center"/>
    </xf>
    <xf numFmtId="2" fontId="108" fillId="3" borderId="64" xfId="0" applyNumberFormat="1" applyFont="1" applyFill="1" applyBorder="1" applyAlignment="1">
      <alignment horizontal="center" vertical="center"/>
    </xf>
    <xf numFmtId="2" fontId="106" fillId="0" borderId="68" xfId="0" applyNumberFormat="1" applyFont="1" applyBorder="1" applyAlignment="1">
      <alignment horizontal="right" vertical="center"/>
    </xf>
    <xf numFmtId="2" fontId="26" fillId="4" borderId="68" xfId="0" applyNumberFormat="1" applyFont="1" applyFill="1" applyBorder="1" applyAlignment="1">
      <alignment horizontal="right" vertical="center"/>
    </xf>
    <xf numFmtId="164" fontId="88" fillId="0" borderId="68" xfId="0" applyNumberFormat="1" applyFont="1" applyBorder="1" applyAlignment="1">
      <alignment horizontal="right" vertical="center"/>
    </xf>
    <xf numFmtId="2" fontId="106" fillId="0" borderId="73" xfId="0" applyNumberFormat="1" applyFont="1" applyBorder="1" applyAlignment="1">
      <alignment horizontal="right" vertical="center"/>
    </xf>
    <xf numFmtId="2" fontId="26" fillId="4" borderId="73" xfId="0" applyNumberFormat="1" applyFont="1" applyFill="1" applyBorder="1" applyAlignment="1">
      <alignment horizontal="right" vertical="center"/>
    </xf>
    <xf numFmtId="164" fontId="88" fillId="0" borderId="73" xfId="0" applyNumberFormat="1" applyFont="1" applyBorder="1" applyAlignment="1">
      <alignment horizontal="right" vertical="center"/>
    </xf>
    <xf numFmtId="2" fontId="106" fillId="0" borderId="78" xfId="0" applyNumberFormat="1" applyFont="1" applyBorder="1" applyAlignment="1">
      <alignment horizontal="right" vertical="center"/>
    </xf>
    <xf numFmtId="2" fontId="26" fillId="4" borderId="78" xfId="0" applyNumberFormat="1" applyFont="1" applyFill="1" applyBorder="1" applyAlignment="1">
      <alignment horizontal="right" vertical="center"/>
    </xf>
    <xf numFmtId="164" fontId="88" fillId="0" borderId="78" xfId="0" applyNumberFormat="1" applyFont="1" applyBorder="1" applyAlignment="1">
      <alignment horizontal="right" vertical="center"/>
    </xf>
    <xf numFmtId="2" fontId="105" fillId="0" borderId="84" xfId="0" applyNumberFormat="1" applyFont="1" applyBorder="1" applyAlignment="1">
      <alignment horizontal="right" vertical="center"/>
    </xf>
    <xf numFmtId="2" fontId="26" fillId="4" borderId="84" xfId="0" applyNumberFormat="1" applyFont="1" applyFill="1" applyBorder="1" applyAlignment="1">
      <alignment horizontal="right" vertical="center"/>
    </xf>
    <xf numFmtId="164" fontId="88" fillId="0" borderId="84" xfId="0" applyNumberFormat="1" applyFont="1" applyBorder="1" applyAlignment="1">
      <alignment horizontal="right" vertical="center"/>
    </xf>
    <xf numFmtId="166" fontId="87" fillId="0" borderId="0" xfId="0" applyNumberFormat="1" applyFont="1" applyAlignment="1">
      <alignment vertical="center"/>
    </xf>
    <xf numFmtId="164" fontId="96" fillId="0" borderId="105" xfId="0" applyNumberFormat="1" applyFont="1" applyBorder="1" applyAlignment="1">
      <alignment horizontal="center" vertical="center"/>
    </xf>
    <xf numFmtId="2" fontId="96" fillId="0" borderId="164" xfId="0" applyNumberFormat="1" applyFont="1" applyBorder="1" applyAlignment="1">
      <alignment horizontal="center" vertical="center"/>
    </xf>
    <xf numFmtId="2" fontId="96" fillId="0" borderId="106" xfId="0" applyNumberFormat="1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right" vertical="center"/>
    </xf>
    <xf numFmtId="2" fontId="18" fillId="0" borderId="18" xfId="0" applyNumberFormat="1" applyFont="1" applyBorder="1" applyAlignment="1">
      <alignment horizontal="right" vertical="center"/>
    </xf>
    <xf numFmtId="2" fontId="12" fillId="2" borderId="18" xfId="0" applyNumberFormat="1" applyFont="1" applyFill="1" applyBorder="1" applyAlignment="1">
      <alignment horizontal="right" vertical="center"/>
    </xf>
    <xf numFmtId="1" fontId="12" fillId="2" borderId="33" xfId="0" applyNumberFormat="1" applyFont="1" applyFill="1" applyBorder="1" applyAlignment="1">
      <alignment horizontal="right" vertical="center"/>
    </xf>
    <xf numFmtId="1" fontId="12" fillId="2" borderId="44" xfId="0" applyNumberFormat="1" applyFont="1" applyFill="1" applyBorder="1" applyAlignment="1">
      <alignment horizontal="right" vertical="center"/>
    </xf>
    <xf numFmtId="2" fontId="12" fillId="2" borderId="44" xfId="0" applyNumberFormat="1" applyFont="1" applyFill="1" applyBorder="1" applyAlignment="1">
      <alignment horizontal="right" vertical="center"/>
    </xf>
    <xf numFmtId="2" fontId="18" fillId="2" borderId="47" xfId="0" applyNumberFormat="1" applyFont="1" applyFill="1" applyBorder="1" applyAlignment="1">
      <alignment horizontal="right" vertical="center"/>
    </xf>
    <xf numFmtId="0" fontId="18" fillId="2" borderId="48" xfId="0" applyFont="1" applyFill="1" applyBorder="1" applyAlignment="1">
      <alignment horizontal="right" vertical="center"/>
    </xf>
    <xf numFmtId="2" fontId="12" fillId="2" borderId="51" xfId="0" applyNumberFormat="1" applyFont="1" applyFill="1" applyBorder="1" applyAlignment="1">
      <alignment horizontal="right" vertical="center"/>
    </xf>
    <xf numFmtId="0" fontId="18" fillId="2" borderId="52" xfId="0" applyFont="1" applyFill="1" applyBorder="1" applyAlignment="1">
      <alignment horizontal="right" vertical="center"/>
    </xf>
    <xf numFmtId="164" fontId="70" fillId="0" borderId="53" xfId="0" applyNumberFormat="1" applyFont="1" applyBorder="1" applyAlignment="1">
      <alignment horizontal="right" vertical="center"/>
    </xf>
    <xf numFmtId="2" fontId="89" fillId="0" borderId="68" xfId="0" applyNumberFormat="1" applyFont="1" applyBorder="1" applyAlignment="1">
      <alignment horizontal="right" vertical="center"/>
    </xf>
    <xf numFmtId="2" fontId="89" fillId="0" borderId="73" xfId="0" applyNumberFormat="1" applyFont="1" applyBorder="1" applyAlignment="1">
      <alignment horizontal="right" vertical="center"/>
    </xf>
    <xf numFmtId="2" fontId="89" fillId="0" borderId="78" xfId="0" applyNumberFormat="1" applyFont="1" applyBorder="1" applyAlignment="1">
      <alignment horizontal="right" vertical="center"/>
    </xf>
    <xf numFmtId="2" fontId="70" fillId="0" borderId="84" xfId="0" applyNumberFormat="1" applyFont="1" applyBorder="1" applyAlignment="1">
      <alignment horizontal="right" vertical="center"/>
    </xf>
    <xf numFmtId="2" fontId="107" fillId="0" borderId="28" xfId="0" applyNumberFormat="1" applyFont="1" applyBorder="1" applyAlignment="1">
      <alignment vertical="center"/>
    </xf>
    <xf numFmtId="0" fontId="54" fillId="0" borderId="0" xfId="0" applyFont="1"/>
    <xf numFmtId="0" fontId="54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64" fontId="89" fillId="0" borderId="167" xfId="0" applyNumberFormat="1" applyFont="1" applyBorder="1" applyAlignment="1">
      <alignment horizontal="center" vertical="center"/>
    </xf>
    <xf numFmtId="164" fontId="89" fillId="0" borderId="168" xfId="0" applyNumberFormat="1" applyFont="1" applyBorder="1" applyAlignment="1">
      <alignment horizontal="center" vertical="center"/>
    </xf>
    <xf numFmtId="164" fontId="89" fillId="0" borderId="169" xfId="0" applyNumberFormat="1" applyFont="1" applyBorder="1" applyAlignment="1">
      <alignment horizontal="center" vertical="center"/>
    </xf>
    <xf numFmtId="0" fontId="89" fillId="0" borderId="170" xfId="0" applyFont="1" applyBorder="1" applyAlignment="1">
      <alignment horizontal="center" vertical="center"/>
    </xf>
    <xf numFmtId="0" fontId="89" fillId="0" borderId="171" xfId="0" applyFont="1" applyBorder="1" applyAlignment="1">
      <alignment horizontal="center" vertical="center"/>
    </xf>
    <xf numFmtId="0" fontId="89" fillId="0" borderId="172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13" xfId="0" applyFont="1" applyBorder="1"/>
    <xf numFmtId="0" fontId="6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2" fontId="3" fillId="3" borderId="22" xfId="0" applyNumberFormat="1" applyFont="1" applyFill="1" applyBorder="1" applyAlignment="1">
      <alignment horizontal="center"/>
    </xf>
    <xf numFmtId="2" fontId="109" fillId="3" borderId="24" xfId="0" applyNumberFormat="1" applyFont="1" applyFill="1" applyBorder="1" applyAlignment="1">
      <alignment horizontal="center"/>
    </xf>
    <xf numFmtId="2" fontId="3" fillId="3" borderId="26" xfId="0" applyNumberFormat="1" applyFont="1" applyFill="1" applyBorder="1" applyAlignment="1">
      <alignment horizontal="center"/>
    </xf>
    <xf numFmtId="0" fontId="3" fillId="0" borderId="28" xfId="0" applyFont="1" applyBorder="1"/>
    <xf numFmtId="2" fontId="2" fillId="0" borderId="29" xfId="0" applyNumberFormat="1" applyFont="1" applyBorder="1" applyAlignment="1">
      <alignment horizontal="center"/>
    </xf>
    <xf numFmtId="2" fontId="17" fillId="0" borderId="3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47" fillId="0" borderId="35" xfId="0" applyFont="1" applyBorder="1" applyAlignment="1">
      <alignment horizontal="center"/>
    </xf>
    <xf numFmtId="2" fontId="108" fillId="3" borderId="13" xfId="0" applyNumberFormat="1" applyFont="1" applyFill="1" applyBorder="1" applyAlignment="1">
      <alignment horizontal="center"/>
    </xf>
    <xf numFmtId="2" fontId="3" fillId="3" borderId="36" xfId="0" applyNumberFormat="1" applyFont="1" applyFill="1" applyBorder="1" applyAlignment="1">
      <alignment horizontal="center"/>
    </xf>
    <xf numFmtId="2" fontId="102" fillId="3" borderId="37" xfId="0" applyNumberFormat="1" applyFont="1" applyFill="1" applyBorder="1" applyAlignment="1">
      <alignment horizontal="center"/>
    </xf>
    <xf numFmtId="2" fontId="109" fillId="3" borderId="38" xfId="0" applyNumberFormat="1" applyFont="1" applyFill="1" applyBorder="1" applyAlignment="1">
      <alignment horizontal="center"/>
    </xf>
    <xf numFmtId="2" fontId="102" fillId="3" borderId="38" xfId="0" applyNumberFormat="1" applyFont="1" applyFill="1" applyBorder="1" applyAlignment="1">
      <alignment horizontal="center"/>
    </xf>
    <xf numFmtId="2" fontId="102" fillId="3" borderId="39" xfId="0" applyNumberFormat="1" applyFont="1" applyFill="1" applyBorder="1" applyAlignment="1">
      <alignment horizontal="center"/>
    </xf>
    <xf numFmtId="2" fontId="3" fillId="3" borderId="0" xfId="0" applyNumberFormat="1" applyFont="1" applyFill="1" applyAlignment="1">
      <alignment horizontal="center"/>
    </xf>
    <xf numFmtId="2" fontId="108" fillId="3" borderId="40" xfId="0" applyNumberFormat="1" applyFont="1" applyFill="1" applyBorder="1" applyAlignment="1">
      <alignment horizontal="center"/>
    </xf>
    <xf numFmtId="2" fontId="2" fillId="0" borderId="41" xfId="0" applyNumberFormat="1" applyFont="1" applyBorder="1" applyAlignment="1">
      <alignment horizontal="center"/>
    </xf>
    <xf numFmtId="2" fontId="17" fillId="0" borderId="42" xfId="0" applyNumberFormat="1" applyFont="1" applyBorder="1" applyAlignment="1">
      <alignment horizontal="center"/>
    </xf>
    <xf numFmtId="167" fontId="74" fillId="0" borderId="1" xfId="0" applyNumberFormat="1" applyFont="1" applyBorder="1" applyAlignment="1">
      <alignment horizontal="center"/>
    </xf>
    <xf numFmtId="0" fontId="21" fillId="0" borderId="0" xfId="0" applyFont="1" applyAlignment="1">
      <alignment horizontal="left"/>
    </xf>
    <xf numFmtId="0" fontId="112" fillId="0" borderId="0" xfId="0" applyFont="1"/>
    <xf numFmtId="0" fontId="56" fillId="0" borderId="0" xfId="1" applyBorder="1" applyProtection="1"/>
    <xf numFmtId="0" fontId="1" fillId="0" borderId="0" xfId="0" applyFont="1" applyAlignment="1">
      <alignment horizontal="right"/>
    </xf>
    <xf numFmtId="1" fontId="27" fillId="0" borderId="0" xfId="0" applyNumberFormat="1" applyFont="1" applyAlignment="1">
      <alignment horizontal="center"/>
    </xf>
    <xf numFmtId="0" fontId="47" fillId="0" borderId="57" xfId="0" applyFont="1" applyBorder="1" applyAlignment="1">
      <alignment horizontal="center"/>
    </xf>
    <xf numFmtId="2" fontId="108" fillId="3" borderId="58" xfId="0" applyNumberFormat="1" applyFont="1" applyFill="1" applyBorder="1" applyAlignment="1">
      <alignment horizontal="center"/>
    </xf>
    <xf numFmtId="2" fontId="3" fillId="3" borderId="59" xfId="0" applyNumberFormat="1" applyFont="1" applyFill="1" applyBorder="1" applyAlignment="1">
      <alignment horizontal="center"/>
    </xf>
    <xf numFmtId="2" fontId="102" fillId="3" borderId="60" xfId="0" applyNumberFormat="1" applyFont="1" applyFill="1" applyBorder="1" applyAlignment="1">
      <alignment horizontal="center"/>
    </xf>
    <xf numFmtId="2" fontId="109" fillId="3" borderId="61" xfId="0" applyNumberFormat="1" applyFont="1" applyFill="1" applyBorder="1" applyAlignment="1">
      <alignment horizontal="center"/>
    </xf>
    <xf numFmtId="2" fontId="102" fillId="3" borderId="61" xfId="0" applyNumberFormat="1" applyFont="1" applyFill="1" applyBorder="1" applyAlignment="1">
      <alignment horizontal="center"/>
    </xf>
    <xf numFmtId="2" fontId="110" fillId="3" borderId="61" xfId="0" applyNumberFormat="1" applyFont="1" applyFill="1" applyBorder="1" applyAlignment="1">
      <alignment horizontal="center"/>
    </xf>
    <xf numFmtId="2" fontId="102" fillId="3" borderId="62" xfId="0" applyNumberFormat="1" applyFont="1" applyFill="1" applyBorder="1" applyAlignment="1">
      <alignment horizontal="center"/>
    </xf>
    <xf numFmtId="2" fontId="3" fillId="3" borderId="63" xfId="0" applyNumberFormat="1" applyFont="1" applyFill="1" applyBorder="1" applyAlignment="1">
      <alignment horizontal="center"/>
    </xf>
    <xf numFmtId="2" fontId="108" fillId="3" borderId="64" xfId="0" applyNumberFormat="1" applyFont="1" applyFill="1" applyBorder="1" applyAlignment="1">
      <alignment horizontal="center"/>
    </xf>
    <xf numFmtId="0" fontId="3" fillId="0" borderId="65" xfId="0" applyFont="1" applyBorder="1"/>
    <xf numFmtId="2" fontId="2" fillId="0" borderId="66" xfId="0" applyNumberFormat="1" applyFont="1" applyBorder="1" applyAlignment="1">
      <alignment horizontal="center"/>
    </xf>
    <xf numFmtId="2" fontId="17" fillId="0" borderId="67" xfId="0" applyNumberFormat="1" applyFont="1" applyBorder="1" applyAlignment="1">
      <alignment horizontal="center"/>
    </xf>
    <xf numFmtId="0" fontId="6" fillId="0" borderId="5" xfId="0" applyFont="1" applyBorder="1" applyAlignment="1">
      <alignment horizontal="right" vertical="center"/>
    </xf>
    <xf numFmtId="0" fontId="6" fillId="0" borderId="10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12" xfId="0" applyFont="1" applyBorder="1" applyAlignment="1">
      <alignment horizontal="right"/>
    </xf>
    <xf numFmtId="0" fontId="113" fillId="0" borderId="12" xfId="0" applyFont="1" applyBorder="1" applyAlignment="1">
      <alignment horizontal="right"/>
    </xf>
    <xf numFmtId="0" fontId="6" fillId="2" borderId="173" xfId="0" applyFont="1" applyFill="1" applyBorder="1" applyAlignment="1">
      <alignment horizontal="right" vertical="center"/>
    </xf>
    <xf numFmtId="0" fontId="6" fillId="0" borderId="5" xfId="0" applyFont="1" applyBorder="1" applyAlignment="1">
      <alignment horizontal="center"/>
    </xf>
    <xf numFmtId="0" fontId="76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0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7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7" borderId="14" xfId="0" applyFont="1" applyFill="1" applyBorder="1" applyAlignment="1">
      <alignment horizontal="center"/>
    </xf>
    <xf numFmtId="0" fontId="6" fillId="7" borderId="129" xfId="0" applyFont="1" applyFill="1" applyBorder="1" applyAlignment="1">
      <alignment horizontal="center"/>
    </xf>
    <xf numFmtId="0" fontId="6" fillId="0" borderId="129" xfId="0" applyFont="1" applyBorder="1" applyAlignment="1">
      <alignment horizontal="center"/>
    </xf>
    <xf numFmtId="0" fontId="114" fillId="4" borderId="55" xfId="0" applyFont="1" applyFill="1" applyBorder="1" applyAlignment="1">
      <alignment horizontal="right" vertical="center"/>
    </xf>
    <xf numFmtId="0" fontId="114" fillId="0" borderId="55" xfId="0" applyFont="1" applyBorder="1" applyAlignment="1">
      <alignment horizontal="right" vertical="center"/>
    </xf>
    <xf numFmtId="0" fontId="22" fillId="0" borderId="25" xfId="0" applyFont="1" applyBorder="1" applyAlignment="1">
      <alignment horizontal="center"/>
    </xf>
    <xf numFmtId="0" fontId="22" fillId="0" borderId="56" xfId="0" applyFont="1" applyBorder="1" applyAlignment="1">
      <alignment horizontal="center"/>
    </xf>
    <xf numFmtId="164" fontId="19" fillId="2" borderId="56" xfId="0" applyNumberFormat="1" applyFont="1" applyFill="1" applyBorder="1" applyAlignment="1">
      <alignment horizontal="right" vertical="center"/>
    </xf>
    <xf numFmtId="0" fontId="77" fillId="0" borderId="21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78" fillId="0" borderId="83" xfId="0" applyFont="1" applyBorder="1" applyAlignment="1">
      <alignment horizontal="center"/>
    </xf>
    <xf numFmtId="0" fontId="35" fillId="0" borderId="26" xfId="0" applyFont="1" applyBorder="1" applyAlignment="1">
      <alignment horizontal="center"/>
    </xf>
    <xf numFmtId="0" fontId="78" fillId="0" borderId="26" xfId="0" applyFont="1" applyBorder="1" applyAlignment="1">
      <alignment horizontal="center"/>
    </xf>
    <xf numFmtId="0" fontId="34" fillId="0" borderId="26" xfId="0" applyFont="1" applyBorder="1" applyAlignment="1">
      <alignment horizontal="center"/>
    </xf>
    <xf numFmtId="0" fontId="77" fillId="0" borderId="27" xfId="0" applyFont="1" applyBorder="1" applyAlignment="1">
      <alignment horizontal="center"/>
    </xf>
    <xf numFmtId="0" fontId="36" fillId="0" borderId="28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24" fillId="7" borderId="174" xfId="0" applyNumberFormat="1" applyFont="1" applyFill="1" applyBorder="1" applyAlignment="1">
      <alignment horizontal="center"/>
    </xf>
    <xf numFmtId="2" fontId="24" fillId="7" borderId="175" xfId="0" applyNumberFormat="1" applyFont="1" applyFill="1" applyBorder="1" applyAlignment="1">
      <alignment horizontal="center"/>
    </xf>
    <xf numFmtId="2" fontId="24" fillId="0" borderId="175" xfId="0" applyNumberFormat="1" applyFont="1" applyBorder="1" applyAlignment="1">
      <alignment horizontal="center"/>
    </xf>
    <xf numFmtId="164" fontId="24" fillId="7" borderId="175" xfId="0" applyNumberFormat="1" applyFont="1" applyFill="1" applyBorder="1" applyAlignment="1">
      <alignment horizontal="center"/>
    </xf>
    <xf numFmtId="2" fontId="24" fillId="0" borderId="176" xfId="0" applyNumberFormat="1" applyFont="1" applyBorder="1" applyAlignment="1">
      <alignment horizontal="center"/>
    </xf>
    <xf numFmtId="0" fontId="12" fillId="4" borderId="90" xfId="0" applyFont="1" applyFill="1" applyBorder="1" applyAlignment="1">
      <alignment horizontal="right" vertical="center"/>
    </xf>
    <xf numFmtId="0" fontId="12" fillId="0" borderId="90" xfId="0" applyFont="1" applyBorder="1" applyAlignment="1">
      <alignment horizontal="right" vertical="center"/>
    </xf>
    <xf numFmtId="0" fontId="6" fillId="0" borderId="91" xfId="0" applyFont="1" applyBorder="1" applyAlignment="1">
      <alignment horizontal="center"/>
    </xf>
    <xf numFmtId="0" fontId="20" fillId="0" borderId="72" xfId="0" applyFont="1" applyBorder="1" applyAlignment="1">
      <alignment horizontal="center"/>
    </xf>
    <xf numFmtId="1" fontId="19" fillId="2" borderId="68" xfId="0" applyNumberFormat="1" applyFont="1" applyFill="1" applyBorder="1" applyAlignment="1">
      <alignment horizontal="right" vertical="center"/>
    </xf>
    <xf numFmtId="2" fontId="100" fillId="4" borderId="68" xfId="0" applyNumberFormat="1" applyFont="1" applyFill="1" applyBorder="1" applyAlignment="1">
      <alignment horizontal="right" vertical="center"/>
    </xf>
    <xf numFmtId="0" fontId="77" fillId="0" borderId="13" xfId="0" applyFont="1" applyBorder="1" applyAlignment="1">
      <alignment horizontal="center"/>
    </xf>
    <xf numFmtId="0" fontId="34" fillId="0" borderId="36" xfId="0" applyFont="1" applyBorder="1" applyAlignment="1">
      <alignment horizontal="center"/>
    </xf>
    <xf numFmtId="0" fontId="78" fillId="0" borderId="88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77" fillId="0" borderId="40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64" fontId="24" fillId="7" borderId="74" xfId="0" applyNumberFormat="1" applyFont="1" applyFill="1" applyBorder="1" applyAlignment="1">
      <alignment horizontal="center"/>
    </xf>
    <xf numFmtId="164" fontId="24" fillId="7" borderId="134" xfId="0" applyNumberFormat="1" applyFont="1" applyFill="1" applyBorder="1" applyAlignment="1">
      <alignment horizontal="center"/>
    </xf>
    <xf numFmtId="164" fontId="24" fillId="0" borderId="134" xfId="0" applyNumberFormat="1" applyFont="1" applyBorder="1" applyAlignment="1">
      <alignment horizontal="center"/>
    </xf>
    <xf numFmtId="164" fontId="24" fillId="0" borderId="75" xfId="0" applyNumberFormat="1" applyFont="1" applyBorder="1" applyAlignment="1">
      <alignment horizontal="center"/>
    </xf>
    <xf numFmtId="0" fontId="12" fillId="4" borderId="93" xfId="0" applyFont="1" applyFill="1" applyBorder="1" applyAlignment="1">
      <alignment horizontal="right" vertical="center"/>
    </xf>
    <xf numFmtId="0" fontId="12" fillId="0" borderId="93" xfId="0" applyFont="1" applyBorder="1" applyAlignment="1">
      <alignment horizontal="right" vertical="center"/>
    </xf>
    <xf numFmtId="0" fontId="6" fillId="0" borderId="94" xfId="0" applyFont="1" applyBorder="1" applyAlignment="1">
      <alignment horizontal="center"/>
    </xf>
    <xf numFmtId="0" fontId="20" fillId="0" borderId="77" xfId="0" applyFont="1" applyBorder="1" applyAlignment="1">
      <alignment horizontal="center"/>
    </xf>
    <xf numFmtId="1" fontId="19" fillId="2" borderId="177" xfId="0" applyNumberFormat="1" applyFont="1" applyFill="1" applyBorder="1" applyAlignment="1">
      <alignment horizontal="right" vertical="center"/>
    </xf>
    <xf numFmtId="2" fontId="100" fillId="4" borderId="73" xfId="0" applyNumberFormat="1" applyFont="1" applyFill="1" applyBorder="1" applyAlignment="1">
      <alignment horizontal="right" vertical="center"/>
    </xf>
    <xf numFmtId="168" fontId="24" fillId="7" borderId="154" xfId="0" applyNumberFormat="1" applyFont="1" applyFill="1" applyBorder="1" applyAlignment="1">
      <alignment horizontal="center"/>
    </xf>
    <xf numFmtId="168" fontId="24" fillId="7" borderId="166" xfId="0" applyNumberFormat="1" applyFont="1" applyFill="1" applyBorder="1" applyAlignment="1">
      <alignment horizontal="center"/>
    </xf>
    <xf numFmtId="168" fontId="24" fillId="0" borderId="166" xfId="0" applyNumberFormat="1" applyFont="1" applyBorder="1" applyAlignment="1">
      <alignment horizontal="center"/>
    </xf>
    <xf numFmtId="168" fontId="24" fillId="0" borderId="155" xfId="0" applyNumberFormat="1" applyFont="1" applyBorder="1" applyAlignment="1">
      <alignment horizontal="center"/>
    </xf>
    <xf numFmtId="2" fontId="19" fillId="2" borderId="177" xfId="0" applyNumberFormat="1" applyFont="1" applyFill="1" applyBorder="1" applyAlignment="1">
      <alignment horizontal="right" vertical="center"/>
    </xf>
    <xf numFmtId="0" fontId="115" fillId="0" borderId="0" xfId="0" applyFont="1" applyAlignment="1">
      <alignment horizontal="center"/>
    </xf>
    <xf numFmtId="0" fontId="12" fillId="4" borderId="97" xfId="0" applyFont="1" applyFill="1" applyBorder="1" applyAlignment="1">
      <alignment horizontal="right" vertical="center"/>
    </xf>
    <xf numFmtId="0" fontId="12" fillId="0" borderId="97" xfId="0" applyFont="1" applyBorder="1" applyAlignment="1">
      <alignment horizontal="right" vertical="center"/>
    </xf>
    <xf numFmtId="0" fontId="6" fillId="0" borderId="98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166" fontId="19" fillId="2" borderId="78" xfId="0" applyNumberFormat="1" applyFont="1" applyFill="1" applyBorder="1" applyAlignment="1">
      <alignment horizontal="right" vertical="center"/>
    </xf>
    <xf numFmtId="2" fontId="100" fillId="4" borderId="78" xfId="0" applyNumberFormat="1" applyFont="1" applyFill="1" applyBorder="1" applyAlignment="1">
      <alignment horizontal="right" vertical="center"/>
    </xf>
    <xf numFmtId="0" fontId="114" fillId="4" borderId="86" xfId="0" applyFont="1" applyFill="1" applyBorder="1" applyAlignment="1">
      <alignment horizontal="right" vertical="center"/>
    </xf>
    <xf numFmtId="0" fontId="114" fillId="0" borderId="86" xfId="0" applyFont="1" applyBorder="1" applyAlignment="1">
      <alignment horizontal="right" vertical="center"/>
    </xf>
    <xf numFmtId="0" fontId="22" fillId="0" borderId="62" xfId="0" applyFont="1" applyBorder="1" applyAlignment="1">
      <alignment horizontal="center"/>
    </xf>
    <xf numFmtId="0" fontId="22" fillId="0" borderId="87" xfId="0" applyFont="1" applyBorder="1" applyAlignment="1">
      <alignment horizontal="center"/>
    </xf>
    <xf numFmtId="166" fontId="19" fillId="2" borderId="87" xfId="0" applyNumberFormat="1" applyFont="1" applyFill="1" applyBorder="1" applyAlignment="1">
      <alignment horizontal="right" vertical="center"/>
    </xf>
    <xf numFmtId="2" fontId="100" fillId="4" borderId="84" xfId="0" applyNumberFormat="1" applyFont="1" applyFill="1" applyBorder="1" applyAlignment="1">
      <alignment horizontal="right" vertical="center"/>
    </xf>
    <xf numFmtId="0" fontId="101" fillId="0" borderId="139" xfId="0" applyFont="1" applyBorder="1" applyAlignment="1">
      <alignment horizontal="center"/>
    </xf>
    <xf numFmtId="166" fontId="101" fillId="0" borderId="165" xfId="0" applyNumberFormat="1" applyFont="1" applyBorder="1" applyAlignment="1">
      <alignment horizontal="center"/>
    </xf>
    <xf numFmtId="0" fontId="101" fillId="0" borderId="165" xfId="0" applyFont="1" applyBorder="1" applyAlignment="1">
      <alignment horizontal="center"/>
    </xf>
    <xf numFmtId="166" fontId="101" fillId="0" borderId="140" xfId="0" applyNumberFormat="1" applyFont="1" applyBorder="1" applyAlignment="1">
      <alignment horizontal="center"/>
    </xf>
    <xf numFmtId="0" fontId="7" fillId="0" borderId="74" xfId="0" applyFont="1" applyBorder="1" applyAlignment="1">
      <alignment horizontal="center"/>
    </xf>
    <xf numFmtId="0" fontId="7" fillId="0" borderId="134" xfId="0" applyFont="1" applyBorder="1" applyAlignment="1">
      <alignment horizontal="center"/>
    </xf>
    <xf numFmtId="0" fontId="7" fillId="0" borderId="75" xfId="0" applyFont="1" applyBorder="1" applyAlignment="1">
      <alignment horizontal="center"/>
    </xf>
    <xf numFmtId="164" fontId="101" fillId="0" borderId="154" xfId="0" applyNumberFormat="1" applyFont="1" applyBorder="1" applyAlignment="1">
      <alignment horizontal="center"/>
    </xf>
    <xf numFmtId="166" fontId="101" fillId="0" borderId="166" xfId="0" applyNumberFormat="1" applyFont="1" applyBorder="1" applyAlignment="1">
      <alignment horizontal="center"/>
    </xf>
    <xf numFmtId="2" fontId="101" fillId="0" borderId="166" xfId="0" applyNumberFormat="1" applyFont="1" applyBorder="1" applyAlignment="1">
      <alignment horizontal="center"/>
    </xf>
    <xf numFmtId="166" fontId="101" fillId="0" borderId="155" xfId="0" applyNumberFormat="1" applyFont="1" applyBorder="1" applyAlignment="1">
      <alignment horizontal="center"/>
    </xf>
    <xf numFmtId="0" fontId="77" fillId="0" borderId="58" xfId="0" applyFont="1" applyBorder="1" applyAlignment="1">
      <alignment horizontal="center"/>
    </xf>
    <xf numFmtId="0" fontId="34" fillId="0" borderId="59" xfId="0" applyFont="1" applyBorder="1" applyAlignment="1">
      <alignment horizontal="center"/>
    </xf>
    <xf numFmtId="0" fontId="78" fillId="0" borderId="100" xfId="0" applyFont="1" applyBorder="1" applyAlignment="1">
      <alignment horizontal="center"/>
    </xf>
    <xf numFmtId="0" fontId="35" fillId="0" borderId="63" xfId="0" applyFont="1" applyBorder="1" applyAlignment="1">
      <alignment horizontal="center"/>
    </xf>
    <xf numFmtId="0" fontId="78" fillId="0" borderId="63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77" fillId="0" borderId="64" xfId="0" applyFont="1" applyBorder="1" applyAlignment="1">
      <alignment horizontal="center"/>
    </xf>
    <xf numFmtId="0" fontId="36" fillId="0" borderId="65" xfId="0" applyFont="1" applyBorder="1" applyAlignment="1">
      <alignment horizontal="center"/>
    </xf>
    <xf numFmtId="2" fontId="47" fillId="0" borderId="0" xfId="0" applyNumberFormat="1" applyFont="1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6" fillId="0" borderId="1" xfId="0" applyFont="1" applyBorder="1"/>
    <xf numFmtId="2" fontId="85" fillId="0" borderId="0" xfId="0" applyNumberFormat="1" applyFont="1" applyAlignment="1">
      <alignment horizontal="center"/>
    </xf>
    <xf numFmtId="0" fontId="57" fillId="0" borderId="0" xfId="0" applyFont="1" applyAlignment="1">
      <alignment horizontal="left"/>
    </xf>
    <xf numFmtId="0" fontId="79" fillId="0" borderId="5" xfId="0" applyFont="1" applyBorder="1" applyAlignment="1">
      <alignment horizontal="center"/>
    </xf>
    <xf numFmtId="0" fontId="49" fillId="0" borderId="6" xfId="0" applyFont="1" applyBorder="1" applyAlignment="1">
      <alignment horizontal="center"/>
    </xf>
    <xf numFmtId="0" fontId="80" fillId="0" borderId="11" xfId="0" applyFont="1" applyBorder="1" applyAlignment="1">
      <alignment horizontal="center"/>
    </xf>
    <xf numFmtId="0" fontId="81" fillId="0" borderId="10" xfId="0" applyFont="1" applyBorder="1" applyAlignment="1">
      <alignment horizontal="center"/>
    </xf>
    <xf numFmtId="0" fontId="80" fillId="0" borderId="10" xfId="0" applyFont="1" applyBorder="1" applyAlignment="1">
      <alignment horizontal="center"/>
    </xf>
    <xf numFmtId="0" fontId="49" fillId="0" borderId="10" xfId="0" applyFont="1" applyBorder="1" applyAlignment="1">
      <alignment horizontal="center"/>
    </xf>
    <xf numFmtId="0" fontId="79" fillId="0" borderId="11" xfId="0" applyFont="1" applyBorder="1" applyAlignment="1">
      <alignment horizontal="center"/>
    </xf>
    <xf numFmtId="2" fontId="13" fillId="0" borderId="54" xfId="0" applyNumberFormat="1" applyFont="1" applyBorder="1" applyAlignment="1">
      <alignment horizontal="center" vertical="center"/>
    </xf>
    <xf numFmtId="2" fontId="13" fillId="0" borderId="123" xfId="0" applyNumberFormat="1" applyFont="1" applyBorder="1" applyAlignment="1">
      <alignment horizontal="center" vertical="center"/>
    </xf>
    <xf numFmtId="2" fontId="13" fillId="2" borderId="27" xfId="0" applyNumberFormat="1" applyFont="1" applyFill="1" applyBorder="1" applyAlignment="1">
      <alignment horizontal="center" vertical="center"/>
    </xf>
    <xf numFmtId="0" fontId="40" fillId="0" borderId="128" xfId="0" applyFont="1" applyBorder="1" applyAlignment="1">
      <alignment horizontal="center"/>
    </xf>
    <xf numFmtId="2" fontId="47" fillId="0" borderId="19" xfId="0" applyNumberFormat="1" applyFont="1" applyBorder="1" applyAlignment="1">
      <alignment horizontal="center"/>
    </xf>
    <xf numFmtId="1" fontId="58" fillId="0" borderId="0" xfId="0" applyNumberFormat="1" applyFont="1" applyAlignment="1">
      <alignment horizontal="center"/>
    </xf>
    <xf numFmtId="0" fontId="59" fillId="0" borderId="0" xfId="0" applyFont="1" applyAlignment="1">
      <alignment horizontal="left"/>
    </xf>
    <xf numFmtId="0" fontId="54" fillId="0" borderId="22" xfId="0" applyFont="1" applyBorder="1" applyAlignment="1">
      <alignment horizontal="center"/>
    </xf>
    <xf numFmtId="0" fontId="83" fillId="0" borderId="83" xfId="0" applyFont="1" applyBorder="1" applyAlignment="1">
      <alignment horizontal="center"/>
    </xf>
    <xf numFmtId="0" fontId="83" fillId="0" borderId="26" xfId="0" applyFont="1" applyBorder="1" applyAlignment="1">
      <alignment horizontal="center"/>
    </xf>
    <xf numFmtId="0" fontId="54" fillId="0" borderId="26" xfId="0" applyFont="1" applyBorder="1" applyAlignment="1">
      <alignment horizontal="center"/>
    </xf>
    <xf numFmtId="2" fontId="113" fillId="0" borderId="178" xfId="0" applyNumberFormat="1" applyFont="1" applyBorder="1" applyAlignment="1">
      <alignment horizontal="center" vertical="center"/>
    </xf>
    <xf numFmtId="2" fontId="113" fillId="0" borderId="124" xfId="0" applyNumberFormat="1" applyFont="1" applyBorder="1" applyAlignment="1">
      <alignment horizontal="center" vertical="center"/>
    </xf>
    <xf numFmtId="2" fontId="1" fillId="2" borderId="121" xfId="0" applyNumberFormat="1" applyFont="1" applyFill="1" applyBorder="1" applyAlignment="1">
      <alignment horizontal="center" vertical="center"/>
    </xf>
    <xf numFmtId="0" fontId="29" fillId="0" borderId="33" xfId="0" applyFont="1" applyBorder="1" applyAlignment="1">
      <alignment horizontal="center"/>
    </xf>
    <xf numFmtId="2" fontId="85" fillId="0" borderId="34" xfId="0" applyNumberFormat="1" applyFont="1" applyBorder="1" applyAlignment="1">
      <alignment horizontal="center"/>
    </xf>
    <xf numFmtId="0" fontId="54" fillId="0" borderId="36" xfId="0" applyFont="1" applyBorder="1" applyAlignment="1">
      <alignment horizontal="center"/>
    </xf>
    <xf numFmtId="0" fontId="83" fillId="0" borderId="88" xfId="0" applyFont="1" applyBorder="1" applyAlignment="1">
      <alignment horizontal="center"/>
    </xf>
    <xf numFmtId="0" fontId="8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2" fontId="113" fillId="0" borderId="41" xfId="0" applyNumberFormat="1" applyFont="1" applyBorder="1" applyAlignment="1">
      <alignment horizontal="center" vertical="center"/>
    </xf>
    <xf numFmtId="2" fontId="113" fillId="0" borderId="125" xfId="0" applyNumberFormat="1" applyFont="1" applyBorder="1" applyAlignment="1">
      <alignment horizontal="center" vertical="center"/>
    </xf>
    <xf numFmtId="2" fontId="1" fillId="2" borderId="42" xfId="0" applyNumberFormat="1" applyFont="1" applyFill="1" applyBorder="1" applyAlignment="1">
      <alignment horizontal="center" vertical="center"/>
    </xf>
    <xf numFmtId="0" fontId="29" fillId="0" borderId="44" xfId="0" applyFont="1" applyBorder="1" applyAlignment="1">
      <alignment horizontal="center"/>
    </xf>
    <xf numFmtId="2" fontId="85" fillId="0" borderId="45" xfId="0" applyNumberFormat="1" applyFont="1" applyBorder="1" applyAlignment="1">
      <alignment horizontal="center"/>
    </xf>
    <xf numFmtId="2" fontId="113" fillId="0" borderId="179" xfId="0" applyNumberFormat="1" applyFont="1" applyBorder="1" applyAlignment="1">
      <alignment horizontal="center" vertical="center"/>
    </xf>
    <xf numFmtId="2" fontId="113" fillId="0" borderId="126" xfId="0" applyNumberFormat="1" applyFont="1" applyBorder="1" applyAlignment="1">
      <alignment horizontal="center" vertical="center"/>
    </xf>
    <xf numFmtId="2" fontId="1" fillId="2" borderId="122" xfId="0" applyNumberFormat="1" applyFont="1" applyFill="1" applyBorder="1" applyAlignment="1">
      <alignment horizontal="center" vertical="center"/>
    </xf>
    <xf numFmtId="0" fontId="29" fillId="0" borderId="47" xfId="0" applyFont="1" applyBorder="1" applyAlignment="1">
      <alignment horizontal="center"/>
    </xf>
    <xf numFmtId="2" fontId="85" fillId="0" borderId="48" xfId="0" applyNumberFormat="1" applyFont="1" applyBorder="1" applyAlignment="1">
      <alignment horizontal="center"/>
    </xf>
    <xf numFmtId="2" fontId="13" fillId="0" borderId="85" xfId="0" applyNumberFormat="1" applyFont="1" applyBorder="1" applyAlignment="1">
      <alignment horizontal="center" vertical="center"/>
    </xf>
    <xf numFmtId="2" fontId="13" fillId="0" borderId="127" xfId="0" applyNumberFormat="1" applyFont="1" applyBorder="1" applyAlignment="1">
      <alignment horizontal="center" vertical="center"/>
    </xf>
    <xf numFmtId="2" fontId="22" fillId="2" borderId="64" xfId="0" applyNumberFormat="1" applyFont="1" applyFill="1" applyBorder="1" applyAlignment="1">
      <alignment horizontal="center" vertical="center"/>
    </xf>
    <xf numFmtId="0" fontId="40" fillId="0" borderId="51" xfId="0" applyFont="1" applyBorder="1" applyAlignment="1">
      <alignment horizontal="center"/>
    </xf>
    <xf numFmtId="2" fontId="47" fillId="0" borderId="52" xfId="0" applyNumberFormat="1" applyFont="1" applyBorder="1" applyAlignment="1">
      <alignment horizontal="center"/>
    </xf>
    <xf numFmtId="2" fontId="6" fillId="0" borderId="0" xfId="0" applyNumberFormat="1" applyFont="1" applyAlignment="1">
      <alignment horizontal="center"/>
    </xf>
    <xf numFmtId="0" fontId="2" fillId="0" borderId="67" xfId="0" applyFont="1" applyBorder="1" applyAlignment="1">
      <alignment horizontal="center"/>
    </xf>
    <xf numFmtId="2" fontId="11" fillId="0" borderId="0" xfId="0" applyNumberFormat="1" applyFont="1" applyAlignment="1">
      <alignment horizontal="center"/>
    </xf>
    <xf numFmtId="1" fontId="6" fillId="0" borderId="180" xfId="0" applyNumberFormat="1" applyFont="1" applyBorder="1" applyAlignment="1">
      <alignment horizontal="center"/>
    </xf>
    <xf numFmtId="2" fontId="6" fillId="0" borderId="181" xfId="0" applyNumberFormat="1" applyFont="1" applyBorder="1" applyAlignment="1">
      <alignment horizontal="center"/>
    </xf>
    <xf numFmtId="2" fontId="6" fillId="0" borderId="182" xfId="0" applyNumberFormat="1" applyFont="1" applyBorder="1" applyAlignment="1">
      <alignment horizontal="center"/>
    </xf>
    <xf numFmtId="2" fontId="6" fillId="0" borderId="103" xfId="0" applyNumberFormat="1" applyFont="1" applyBorder="1" applyAlignment="1">
      <alignment horizontal="center"/>
    </xf>
    <xf numFmtId="1" fontId="6" fillId="0" borderId="183" xfId="0" applyNumberFormat="1" applyFont="1" applyBorder="1" applyAlignment="1">
      <alignment horizontal="center"/>
    </xf>
    <xf numFmtId="2" fontId="11" fillId="0" borderId="184" xfId="0" applyNumberFormat="1" applyFont="1" applyBorder="1" applyAlignment="1">
      <alignment horizontal="center"/>
    </xf>
    <xf numFmtId="2" fontId="11" fillId="0" borderId="164" xfId="0" applyNumberFormat="1" applyFont="1" applyBorder="1" applyAlignment="1">
      <alignment horizontal="center"/>
    </xf>
    <xf numFmtId="2" fontId="11" fillId="0" borderId="106" xfId="0" applyNumberFormat="1" applyFont="1" applyBorder="1" applyAlignment="1">
      <alignment horizontal="center"/>
    </xf>
    <xf numFmtId="0" fontId="54" fillId="0" borderId="59" xfId="0" applyFont="1" applyBorder="1" applyAlignment="1">
      <alignment horizontal="center"/>
    </xf>
    <xf numFmtId="0" fontId="83" fillId="0" borderId="100" xfId="0" applyFont="1" applyBorder="1" applyAlignment="1">
      <alignment horizontal="center"/>
    </xf>
    <xf numFmtId="0" fontId="83" fillId="0" borderId="63" xfId="0" applyFont="1" applyBorder="1" applyAlignment="1">
      <alignment horizontal="center"/>
    </xf>
    <xf numFmtId="0" fontId="54" fillId="0" borderId="63" xfId="0" applyFont="1" applyBorder="1" applyAlignment="1">
      <alignment horizontal="center"/>
    </xf>
    <xf numFmtId="0" fontId="60" fillId="0" borderId="0" xfId="0" applyFont="1" applyAlignment="1">
      <alignment horizontal="center"/>
    </xf>
    <xf numFmtId="2" fontId="116" fillId="0" borderId="17" xfId="0" applyNumberFormat="1" applyFont="1" applyBorder="1" applyAlignment="1">
      <alignment horizontal="right" vertical="center"/>
    </xf>
    <xf numFmtId="2" fontId="117" fillId="0" borderId="18" xfId="0" applyNumberFormat="1" applyFont="1" applyBorder="1" applyAlignment="1">
      <alignment horizontal="right" vertical="center"/>
    </xf>
    <xf numFmtId="2" fontId="116" fillId="2" borderId="18" xfId="0" applyNumberFormat="1" applyFont="1" applyFill="1" applyBorder="1" applyAlignment="1">
      <alignment horizontal="right" vertical="center"/>
    </xf>
    <xf numFmtId="2" fontId="116" fillId="0" borderId="18" xfId="0" applyNumberFormat="1" applyFont="1" applyBorder="1" applyAlignment="1">
      <alignment horizontal="right" vertical="center"/>
    </xf>
    <xf numFmtId="0" fontId="116" fillId="0" borderId="128" xfId="0" applyFont="1" applyBorder="1" applyAlignment="1">
      <alignment horizontal="right" vertical="center"/>
    </xf>
    <xf numFmtId="2" fontId="116" fillId="2" borderId="19" xfId="0" applyNumberFormat="1" applyFont="1" applyFill="1" applyBorder="1" applyAlignment="1">
      <alignment horizontal="right" vertical="center"/>
    </xf>
    <xf numFmtId="49" fontId="7" fillId="0" borderId="0" xfId="0" applyNumberFormat="1" applyFont="1" applyAlignment="1">
      <alignment horizontal="center"/>
    </xf>
    <xf numFmtId="2" fontId="1" fillId="0" borderId="29" xfId="0" applyNumberFormat="1" applyFont="1" applyBorder="1" applyAlignment="1">
      <alignment horizontal="center"/>
    </xf>
    <xf numFmtId="2" fontId="5" fillId="0" borderId="30" xfId="0" applyNumberFormat="1" applyFont="1" applyBorder="1" applyAlignment="1">
      <alignment horizontal="center"/>
    </xf>
    <xf numFmtId="2" fontId="1" fillId="0" borderId="0" xfId="0" applyNumberFormat="1" applyFont="1"/>
    <xf numFmtId="1" fontId="116" fillId="0" borderId="32" xfId="0" applyNumberFormat="1" applyFont="1" applyBorder="1" applyAlignment="1">
      <alignment horizontal="right" vertical="center"/>
    </xf>
    <xf numFmtId="1" fontId="116" fillId="0" borderId="33" xfId="0" applyNumberFormat="1" applyFont="1" applyBorder="1" applyAlignment="1">
      <alignment horizontal="right" vertical="center"/>
    </xf>
    <xf numFmtId="1" fontId="116" fillId="2" borderId="33" xfId="0" applyNumberFormat="1" applyFont="1" applyFill="1" applyBorder="1" applyAlignment="1">
      <alignment horizontal="right" vertical="center"/>
    </xf>
    <xf numFmtId="1" fontId="116" fillId="2" borderId="34" xfId="0" applyNumberFormat="1" applyFont="1" applyFill="1" applyBorder="1" applyAlignment="1">
      <alignment horizontal="right" vertical="center"/>
    </xf>
    <xf numFmtId="2" fontId="1" fillId="0" borderId="41" xfId="0" applyNumberFormat="1" applyFont="1" applyBorder="1" applyAlignment="1">
      <alignment horizontal="center"/>
    </xf>
    <xf numFmtId="2" fontId="5" fillId="0" borderId="42" xfId="0" applyNumberFormat="1" applyFont="1" applyBorder="1" applyAlignment="1">
      <alignment horizontal="center"/>
    </xf>
    <xf numFmtId="1" fontId="116" fillId="0" borderId="43" xfId="0" applyNumberFormat="1" applyFont="1" applyBorder="1" applyAlignment="1">
      <alignment horizontal="right" vertical="center"/>
    </xf>
    <xf numFmtId="1" fontId="116" fillId="0" borderId="44" xfId="0" applyNumberFormat="1" applyFont="1" applyBorder="1" applyAlignment="1">
      <alignment horizontal="right" vertical="center"/>
    </xf>
    <xf numFmtId="1" fontId="116" fillId="2" borderId="44" xfId="0" applyNumberFormat="1" applyFont="1" applyFill="1" applyBorder="1" applyAlignment="1">
      <alignment horizontal="right" vertical="center"/>
    </xf>
    <xf numFmtId="1" fontId="116" fillId="2" borderId="45" xfId="0" applyNumberFormat="1" applyFont="1" applyFill="1" applyBorder="1" applyAlignment="1">
      <alignment horizontal="right" vertical="center"/>
    </xf>
    <xf numFmtId="167" fontId="74" fillId="0" borderId="0" xfId="0" applyNumberFormat="1" applyFont="1" applyAlignment="1">
      <alignment horizontal="center"/>
    </xf>
    <xf numFmtId="2" fontId="116" fillId="0" borderId="43" xfId="0" applyNumberFormat="1" applyFont="1" applyBorder="1" applyAlignment="1">
      <alignment horizontal="right" vertical="center"/>
    </xf>
    <xf numFmtId="2" fontId="116" fillId="0" borderId="44" xfId="0" applyNumberFormat="1" applyFont="1" applyBorder="1" applyAlignment="1">
      <alignment horizontal="right" vertical="center"/>
    </xf>
    <xf numFmtId="2" fontId="116" fillId="2" borderId="44" xfId="0" applyNumberFormat="1" applyFont="1" applyFill="1" applyBorder="1" applyAlignment="1">
      <alignment horizontal="right" vertical="center"/>
    </xf>
    <xf numFmtId="0" fontId="116" fillId="0" borderId="44" xfId="0" applyFont="1" applyBorder="1" applyAlignment="1">
      <alignment horizontal="right" vertical="center"/>
    </xf>
    <xf numFmtId="0" fontId="116" fillId="2" borderId="45" xfId="0" applyFont="1" applyFill="1" applyBorder="1" applyAlignment="1">
      <alignment horizontal="right" vertical="center"/>
    </xf>
    <xf numFmtId="2" fontId="116" fillId="0" borderId="46" xfId="0" applyNumberFormat="1" applyFont="1" applyBorder="1" applyAlignment="1">
      <alignment horizontal="right" vertical="center"/>
    </xf>
    <xf numFmtId="2" fontId="116" fillId="0" borderId="47" xfId="0" applyNumberFormat="1" applyFont="1" applyBorder="1" applyAlignment="1">
      <alignment horizontal="right" vertical="center"/>
    </xf>
    <xf numFmtId="2" fontId="117" fillId="2" borderId="47" xfId="0" applyNumberFormat="1" applyFont="1" applyFill="1" applyBorder="1" applyAlignment="1">
      <alignment horizontal="right" vertical="center"/>
    </xf>
    <xf numFmtId="0" fontId="116" fillId="0" borderId="47" xfId="0" applyFont="1" applyBorder="1" applyAlignment="1">
      <alignment horizontal="right" vertical="center"/>
    </xf>
    <xf numFmtId="0" fontId="117" fillId="2" borderId="48" xfId="0" applyFont="1" applyFill="1" applyBorder="1" applyAlignment="1">
      <alignment horizontal="right" vertical="center"/>
    </xf>
    <xf numFmtId="2" fontId="116" fillId="0" borderId="50" xfId="0" applyNumberFormat="1" applyFont="1" applyBorder="1" applyAlignment="1">
      <alignment horizontal="right" vertical="center"/>
    </xf>
    <xf numFmtId="2" fontId="116" fillId="0" borderId="51" xfId="0" applyNumberFormat="1" applyFont="1" applyBorder="1" applyAlignment="1">
      <alignment horizontal="right" vertical="center"/>
    </xf>
    <xf numFmtId="2" fontId="116" fillId="2" borderId="51" xfId="0" applyNumberFormat="1" applyFont="1" applyFill="1" applyBorder="1" applyAlignment="1">
      <alignment horizontal="right" vertical="center"/>
    </xf>
    <xf numFmtId="0" fontId="116" fillId="0" borderId="51" xfId="0" applyFont="1" applyBorder="1" applyAlignment="1">
      <alignment horizontal="right" vertical="center"/>
    </xf>
    <xf numFmtId="0" fontId="117" fillId="2" borderId="52" xfId="0" applyFont="1" applyFill="1" applyBorder="1" applyAlignment="1">
      <alignment horizontal="right" vertical="center"/>
    </xf>
    <xf numFmtId="0" fontId="115" fillId="0" borderId="0" xfId="0" applyFont="1" applyAlignment="1">
      <alignment horizontal="left"/>
    </xf>
    <xf numFmtId="2" fontId="1" fillId="0" borderId="66" xfId="0" applyNumberFormat="1" applyFont="1" applyBorder="1" applyAlignment="1">
      <alignment horizontal="center"/>
    </xf>
    <xf numFmtId="2" fontId="5" fillId="0" borderId="67" xfId="0" applyNumberFormat="1" applyFont="1" applyBorder="1" applyAlignment="1">
      <alignment horizontal="center"/>
    </xf>
    <xf numFmtId="0" fontId="1" fillId="2" borderId="5" xfId="0" applyFont="1" applyFill="1" applyBorder="1" applyAlignment="1">
      <alignment horizontal="right" vertical="center"/>
    </xf>
    <xf numFmtId="49" fontId="6" fillId="2" borderId="1" xfId="0" applyNumberFormat="1" applyFont="1" applyFill="1" applyBorder="1" applyAlignment="1">
      <alignment horizontal="right" vertical="center"/>
    </xf>
    <xf numFmtId="0" fontId="118" fillId="2" borderId="55" xfId="0" applyFont="1" applyFill="1" applyBorder="1" applyAlignment="1">
      <alignment horizontal="right" vertical="center"/>
    </xf>
    <xf numFmtId="0" fontId="118" fillId="0" borderId="55" xfId="0" applyFont="1" applyBorder="1" applyAlignment="1">
      <alignment horizontal="right" vertical="center"/>
    </xf>
    <xf numFmtId="164" fontId="9" fillId="2" borderId="56" xfId="0" applyNumberFormat="1" applyFont="1" applyFill="1" applyBorder="1" applyAlignment="1">
      <alignment horizontal="right" vertical="center"/>
    </xf>
    <xf numFmtId="164" fontId="116" fillId="2" borderId="53" xfId="0" applyNumberFormat="1" applyFont="1" applyFill="1" applyBorder="1" applyAlignment="1">
      <alignment horizontal="right" vertical="center"/>
    </xf>
    <xf numFmtId="0" fontId="116" fillId="2" borderId="90" xfId="0" applyFont="1" applyFill="1" applyBorder="1" applyAlignment="1">
      <alignment horizontal="right" vertical="center"/>
    </xf>
    <xf numFmtId="0" fontId="116" fillId="0" borderId="90" xfId="0" applyFont="1" applyBorder="1" applyAlignment="1">
      <alignment horizontal="right" vertical="center"/>
    </xf>
    <xf numFmtId="1" fontId="9" fillId="2" borderId="68" xfId="0" applyNumberFormat="1" applyFont="1" applyFill="1" applyBorder="1" applyAlignment="1">
      <alignment horizontal="right" vertical="center"/>
    </xf>
    <xf numFmtId="2" fontId="116" fillId="2" borderId="68" xfId="0" applyNumberFormat="1" applyFont="1" applyFill="1" applyBorder="1" applyAlignment="1">
      <alignment horizontal="right" vertical="center"/>
    </xf>
    <xf numFmtId="0" fontId="76" fillId="0" borderId="21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119" fillId="0" borderId="83" xfId="0" applyFont="1" applyBorder="1" applyAlignment="1">
      <alignment horizontal="center"/>
    </xf>
    <xf numFmtId="0" fontId="32" fillId="0" borderId="26" xfId="0" applyFont="1" applyBorder="1" applyAlignment="1">
      <alignment horizontal="center"/>
    </xf>
    <xf numFmtId="0" fontId="119" fillId="0" borderId="26" xfId="0" applyFont="1" applyBorder="1" applyAlignment="1">
      <alignment horizontal="center"/>
    </xf>
    <xf numFmtId="0" fontId="36" fillId="0" borderId="26" xfId="0" applyFont="1" applyBorder="1" applyAlignment="1">
      <alignment horizontal="center"/>
    </xf>
    <xf numFmtId="0" fontId="76" fillId="0" borderId="27" xfId="0" applyFont="1" applyBorder="1" applyAlignment="1">
      <alignment horizontal="center"/>
    </xf>
    <xf numFmtId="0" fontId="116" fillId="2" borderId="93" xfId="0" applyFont="1" applyFill="1" applyBorder="1" applyAlignment="1">
      <alignment horizontal="right" vertical="center"/>
    </xf>
    <xf numFmtId="0" fontId="116" fillId="0" borderId="93" xfId="0" applyFont="1" applyBorder="1" applyAlignment="1">
      <alignment horizontal="right" vertical="center"/>
    </xf>
    <xf numFmtId="1" fontId="44" fillId="2" borderId="177" xfId="0" applyNumberFormat="1" applyFont="1" applyFill="1" applyBorder="1" applyAlignment="1">
      <alignment horizontal="right" vertical="center"/>
    </xf>
    <xf numFmtId="2" fontId="116" fillId="2" borderId="73" xfId="0" applyNumberFormat="1" applyFont="1" applyFill="1" applyBorder="1" applyAlignment="1">
      <alignment horizontal="right" vertical="center"/>
    </xf>
    <xf numFmtId="0" fontId="76" fillId="0" borderId="13" xfId="0" applyFont="1" applyBorder="1" applyAlignment="1">
      <alignment horizontal="center"/>
    </xf>
    <xf numFmtId="0" fontId="36" fillId="0" borderId="36" xfId="0" applyFont="1" applyBorder="1" applyAlignment="1">
      <alignment horizontal="center"/>
    </xf>
    <xf numFmtId="0" fontId="119" fillId="0" borderId="88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119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76" fillId="0" borderId="40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2" fontId="9" fillId="2" borderId="177" xfId="0" applyNumberFormat="1" applyFont="1" applyFill="1" applyBorder="1" applyAlignment="1">
      <alignment horizontal="right" vertical="center"/>
    </xf>
    <xf numFmtId="0" fontId="1" fillId="0" borderId="42" xfId="0" applyFont="1" applyBorder="1" applyAlignment="1">
      <alignment horizontal="center"/>
    </xf>
    <xf numFmtId="0" fontId="116" fillId="2" borderId="97" xfId="0" applyFont="1" applyFill="1" applyBorder="1" applyAlignment="1">
      <alignment horizontal="right" vertical="center"/>
    </xf>
    <xf numFmtId="0" fontId="116" fillId="0" borderId="97" xfId="0" applyFont="1" applyBorder="1" applyAlignment="1">
      <alignment horizontal="right" vertical="center"/>
    </xf>
    <xf numFmtId="166" fontId="9" fillId="2" borderId="78" xfId="0" applyNumberFormat="1" applyFont="1" applyFill="1" applyBorder="1" applyAlignment="1">
      <alignment horizontal="right" vertical="center"/>
    </xf>
    <xf numFmtId="2" fontId="116" fillId="2" borderId="78" xfId="0" applyNumberFormat="1" applyFont="1" applyFill="1" applyBorder="1" applyAlignment="1">
      <alignment horizontal="right" vertical="center"/>
    </xf>
    <xf numFmtId="0" fontId="118" fillId="2" borderId="86" xfId="0" applyFont="1" applyFill="1" applyBorder="1" applyAlignment="1">
      <alignment horizontal="right" vertical="center"/>
    </xf>
    <xf numFmtId="0" fontId="118" fillId="0" borderId="86" xfId="0" applyFont="1" applyBorder="1" applyAlignment="1">
      <alignment horizontal="right" vertical="center"/>
    </xf>
    <xf numFmtId="166" fontId="9" fillId="2" borderId="87" xfId="0" applyNumberFormat="1" applyFont="1" applyFill="1" applyBorder="1" applyAlignment="1">
      <alignment horizontal="right" vertical="center"/>
    </xf>
    <xf numFmtId="2" fontId="116" fillId="2" borderId="84" xfId="0" applyNumberFormat="1" applyFont="1" applyFill="1" applyBorder="1" applyAlignment="1">
      <alignment horizontal="right" vertical="center"/>
    </xf>
    <xf numFmtId="0" fontId="120" fillId="0" borderId="0" xfId="0" applyFont="1" applyAlignment="1">
      <alignment horizontal="left"/>
    </xf>
    <xf numFmtId="0" fontId="76" fillId="0" borderId="58" xfId="0" applyFont="1" applyBorder="1" applyAlignment="1">
      <alignment horizontal="center"/>
    </xf>
    <xf numFmtId="0" fontId="36" fillId="0" borderId="59" xfId="0" applyFont="1" applyBorder="1" applyAlignment="1">
      <alignment horizontal="center"/>
    </xf>
    <xf numFmtId="0" fontId="119" fillId="0" borderId="100" xfId="0" applyFont="1" applyBorder="1" applyAlignment="1">
      <alignment horizontal="center"/>
    </xf>
    <xf numFmtId="0" fontId="32" fillId="0" borderId="63" xfId="0" applyFont="1" applyBorder="1" applyAlignment="1">
      <alignment horizontal="center"/>
    </xf>
    <xf numFmtId="0" fontId="119" fillId="0" borderId="63" xfId="0" applyFont="1" applyBorder="1" applyAlignment="1">
      <alignment horizontal="center"/>
    </xf>
    <xf numFmtId="0" fontId="36" fillId="0" borderId="63" xfId="0" applyFont="1" applyBorder="1" applyAlignment="1">
      <alignment horizontal="center"/>
    </xf>
    <xf numFmtId="0" fontId="76" fillId="0" borderId="64" xfId="0" applyFont="1" applyBorder="1" applyAlignment="1">
      <alignment horizontal="center"/>
    </xf>
    <xf numFmtId="2" fontId="22" fillId="2" borderId="27" xfId="0" applyNumberFormat="1" applyFont="1" applyFill="1" applyBorder="1" applyAlignment="1">
      <alignment horizontal="center" vertical="center"/>
    </xf>
    <xf numFmtId="0" fontId="121" fillId="0" borderId="21" xfId="0" applyFont="1" applyBorder="1" applyAlignment="1">
      <alignment horizontal="center" vertical="center"/>
    </xf>
    <xf numFmtId="0" fontId="49" fillId="0" borderId="22" xfId="0" applyFont="1" applyBorder="1" applyAlignment="1">
      <alignment horizontal="center"/>
    </xf>
    <xf numFmtId="0" fontId="80" fillId="0" borderId="83" xfId="0" applyFont="1" applyBorder="1" applyAlignment="1">
      <alignment horizontal="center"/>
    </xf>
    <xf numFmtId="0" fontId="81" fillId="0" borderId="26" xfId="0" applyFont="1" applyBorder="1" applyAlignment="1">
      <alignment horizontal="center"/>
    </xf>
    <xf numFmtId="0" fontId="80" fillId="0" borderId="26" xfId="0" applyFont="1" applyBorder="1" applyAlignment="1">
      <alignment horizontal="center"/>
    </xf>
    <xf numFmtId="0" fontId="49" fillId="0" borderId="26" xfId="0" applyFont="1" applyBorder="1" applyAlignment="1">
      <alignment horizontal="center"/>
    </xf>
    <xf numFmtId="0" fontId="79" fillId="0" borderId="27" xfId="0" applyFont="1" applyBorder="1" applyAlignment="1">
      <alignment horizontal="center" vertical="center"/>
    </xf>
    <xf numFmtId="0" fontId="79" fillId="0" borderId="13" xfId="0" applyFont="1" applyBorder="1" applyAlignment="1">
      <alignment horizontal="center" vertical="center"/>
    </xf>
    <xf numFmtId="0" fontId="49" fillId="0" borderId="36" xfId="0" applyFont="1" applyBorder="1" applyAlignment="1">
      <alignment horizontal="center"/>
    </xf>
    <xf numFmtId="0" fontId="80" fillId="0" borderId="88" xfId="0" applyFont="1" applyBorder="1" applyAlignment="1">
      <alignment horizontal="center"/>
    </xf>
    <xf numFmtId="0" fontId="81" fillId="0" borderId="0" xfId="0" applyFont="1" applyAlignment="1">
      <alignment horizontal="center"/>
    </xf>
    <xf numFmtId="0" fontId="80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79" fillId="0" borderId="40" xfId="0" applyFont="1" applyBorder="1" applyAlignment="1">
      <alignment horizontal="center" vertical="center"/>
    </xf>
    <xf numFmtId="0" fontId="121" fillId="0" borderId="13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/>
    </xf>
    <xf numFmtId="0" fontId="79" fillId="0" borderId="58" xfId="0" applyFont="1" applyBorder="1" applyAlignment="1">
      <alignment horizontal="center" vertical="center"/>
    </xf>
    <xf numFmtId="0" fontId="49" fillId="0" borderId="59" xfId="0" applyFont="1" applyBorder="1" applyAlignment="1">
      <alignment horizontal="center"/>
    </xf>
    <xf numFmtId="0" fontId="80" fillId="0" borderId="100" xfId="0" applyFont="1" applyBorder="1" applyAlignment="1">
      <alignment horizontal="center"/>
    </xf>
    <xf numFmtId="0" fontId="81" fillId="0" borderId="63" xfId="0" applyFont="1" applyBorder="1" applyAlignment="1">
      <alignment horizontal="center"/>
    </xf>
    <xf numFmtId="0" fontId="80" fillId="0" borderId="63" xfId="0" applyFont="1" applyBorder="1" applyAlignment="1">
      <alignment horizontal="center"/>
    </xf>
    <xf numFmtId="0" fontId="49" fillId="0" borderId="63" xfId="0" applyFont="1" applyBorder="1" applyAlignment="1">
      <alignment horizontal="center"/>
    </xf>
    <xf numFmtId="0" fontId="79" fillId="0" borderId="64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0" borderId="0" xfId="0" applyFont="1"/>
    <xf numFmtId="0" fontId="122" fillId="0" borderId="0" xfId="0" applyFont="1"/>
    <xf numFmtId="0" fontId="6" fillId="0" borderId="0" xfId="0" applyFont="1" applyAlignment="1">
      <alignment horizontal="right"/>
    </xf>
    <xf numFmtId="168" fontId="58" fillId="0" borderId="0" xfId="0" applyNumberFormat="1" applyFont="1"/>
    <xf numFmtId="2" fontId="95" fillId="0" borderId="0" xfId="0" applyNumberFormat="1" applyFont="1" applyAlignment="1">
      <alignment horizontal="right"/>
    </xf>
    <xf numFmtId="0" fontId="113" fillId="0" borderId="0" xfId="0" applyFont="1"/>
    <xf numFmtId="0" fontId="6" fillId="0" borderId="4" xfId="0" applyFont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1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23" fillId="0" borderId="185" xfId="0" applyNumberFormat="1" applyFont="1" applyBorder="1" applyAlignment="1">
      <alignment horizontal="right" vertical="center"/>
    </xf>
    <xf numFmtId="2" fontId="123" fillId="0" borderId="186" xfId="0" applyNumberFormat="1" applyFont="1" applyBorder="1" applyAlignment="1">
      <alignment horizontal="right" vertical="center"/>
    </xf>
    <xf numFmtId="0" fontId="123" fillId="0" borderId="187" xfId="0" applyFont="1" applyBorder="1" applyAlignment="1">
      <alignment horizontal="right" vertical="center"/>
    </xf>
    <xf numFmtId="2" fontId="123" fillId="0" borderId="188" xfId="0" applyNumberFormat="1" applyFont="1" applyBorder="1" applyAlignment="1">
      <alignment horizontal="right" vertical="center"/>
    </xf>
    <xf numFmtId="164" fontId="6" fillId="2" borderId="189" xfId="0" applyNumberFormat="1" applyFont="1" applyFill="1" applyBorder="1" applyAlignment="1">
      <alignment horizontal="right" vertical="center"/>
    </xf>
    <xf numFmtId="164" fontId="123" fillId="0" borderId="101" xfId="0" applyNumberFormat="1" applyFont="1" applyBorder="1" applyAlignment="1">
      <alignment horizontal="right" vertical="center"/>
    </xf>
    <xf numFmtId="2" fontId="108" fillId="3" borderId="20" xfId="0" applyNumberFormat="1" applyFont="1" applyFill="1" applyBorder="1" applyAlignment="1">
      <alignment horizontal="center" vertical="center"/>
    </xf>
    <xf numFmtId="2" fontId="100" fillId="3" borderId="190" xfId="0" applyNumberFormat="1" applyFont="1" applyFill="1" applyBorder="1" applyAlignment="1">
      <alignment horizontal="center"/>
    </xf>
    <xf numFmtId="2" fontId="102" fillId="3" borderId="191" xfId="0" applyNumberFormat="1" applyFont="1" applyFill="1" applyBorder="1" applyAlignment="1">
      <alignment horizontal="center" vertical="center"/>
    </xf>
    <xf numFmtId="2" fontId="102" fillId="3" borderId="192" xfId="0" applyNumberFormat="1" applyFont="1" applyFill="1" applyBorder="1" applyAlignment="1">
      <alignment horizontal="center"/>
    </xf>
    <xf numFmtId="2" fontId="102" fillId="3" borderId="192" xfId="0" applyNumberFormat="1" applyFont="1" applyFill="1" applyBorder="1" applyAlignment="1">
      <alignment horizontal="center" vertical="center"/>
    </xf>
    <xf numFmtId="2" fontId="102" fillId="3" borderId="193" xfId="0" applyNumberFormat="1" applyFont="1" applyFill="1" applyBorder="1" applyAlignment="1">
      <alignment horizontal="center" vertical="center"/>
    </xf>
    <xf numFmtId="2" fontId="100" fillId="3" borderId="194" xfId="0" applyNumberFormat="1" applyFont="1" applyFill="1" applyBorder="1" applyAlignment="1">
      <alignment horizontal="center"/>
    </xf>
    <xf numFmtId="2" fontId="108" fillId="3" borderId="195" xfId="0" applyNumberFormat="1" applyFont="1" applyFill="1" applyBorder="1" applyAlignment="1">
      <alignment horizontal="center" vertical="center"/>
    </xf>
    <xf numFmtId="0" fontId="113" fillId="0" borderId="28" xfId="0" applyFont="1" applyBorder="1"/>
    <xf numFmtId="1" fontId="123" fillId="0" borderId="116" xfId="0" applyNumberFormat="1" applyFont="1" applyBorder="1" applyAlignment="1">
      <alignment horizontal="right" vertical="center"/>
    </xf>
    <xf numFmtId="1" fontId="123" fillId="0" borderId="44" xfId="0" applyNumberFormat="1" applyFont="1" applyBorder="1" applyAlignment="1">
      <alignment horizontal="right" vertical="center"/>
    </xf>
    <xf numFmtId="1" fontId="123" fillId="0" borderId="45" xfId="0" applyNumberFormat="1" applyFont="1" applyBorder="1" applyAlignment="1">
      <alignment horizontal="right" vertical="center"/>
    </xf>
    <xf numFmtId="1" fontId="6" fillId="2" borderId="177" xfId="0" applyNumberFormat="1" applyFont="1" applyFill="1" applyBorder="1" applyAlignment="1">
      <alignment horizontal="right" vertical="center"/>
    </xf>
    <xf numFmtId="2" fontId="123" fillId="0" borderId="73" xfId="0" applyNumberFormat="1" applyFont="1" applyBorder="1" applyAlignment="1">
      <alignment horizontal="right" vertical="center"/>
    </xf>
    <xf numFmtId="2" fontId="108" fillId="3" borderId="35" xfId="0" applyNumberFormat="1" applyFont="1" applyFill="1" applyBorder="1" applyAlignment="1">
      <alignment horizontal="center"/>
    </xf>
    <xf numFmtId="2" fontId="100" fillId="3" borderId="196" xfId="0" applyNumberFormat="1" applyFont="1" applyFill="1" applyBorder="1" applyAlignment="1">
      <alignment horizontal="center"/>
    </xf>
    <xf numFmtId="2" fontId="102" fillId="3" borderId="197" xfId="0" applyNumberFormat="1" applyFont="1" applyFill="1" applyBorder="1" applyAlignment="1">
      <alignment horizontal="center"/>
    </xf>
    <xf numFmtId="2" fontId="102" fillId="3" borderId="95" xfId="0" applyNumberFormat="1" applyFont="1" applyFill="1" applyBorder="1" applyAlignment="1">
      <alignment horizontal="center"/>
    </xf>
    <xf numFmtId="2" fontId="102" fillId="3" borderId="94" xfId="0" applyNumberFormat="1" applyFont="1" applyFill="1" applyBorder="1" applyAlignment="1">
      <alignment horizontal="center"/>
    </xf>
    <xf numFmtId="2" fontId="100" fillId="3" borderId="198" xfId="0" applyNumberFormat="1" applyFont="1" applyFill="1" applyBorder="1" applyAlignment="1">
      <alignment horizontal="center"/>
    </xf>
    <xf numFmtId="2" fontId="108" fillId="3" borderId="199" xfId="0" applyNumberFormat="1" applyFont="1" applyFill="1" applyBorder="1" applyAlignment="1">
      <alignment horizontal="center"/>
    </xf>
    <xf numFmtId="2" fontId="123" fillId="0" borderId="116" xfId="0" applyNumberFormat="1" applyFont="1" applyBorder="1" applyAlignment="1">
      <alignment horizontal="right" vertical="center"/>
    </xf>
    <xf numFmtId="2" fontId="123" fillId="0" borderId="44" xfId="0" applyNumberFormat="1" applyFont="1" applyBorder="1" applyAlignment="1">
      <alignment horizontal="right" vertical="center"/>
    </xf>
    <xf numFmtId="0" fontId="123" fillId="0" borderId="44" xfId="0" applyFont="1" applyBorder="1" applyAlignment="1">
      <alignment horizontal="right" vertical="center"/>
    </xf>
    <xf numFmtId="0" fontId="123" fillId="0" borderId="45" xfId="0" applyFont="1" applyBorder="1" applyAlignment="1">
      <alignment horizontal="right" vertical="center"/>
    </xf>
    <xf numFmtId="2" fontId="6" fillId="2" borderId="177" xfId="0" applyNumberFormat="1" applyFont="1" applyFill="1" applyBorder="1" applyAlignment="1">
      <alignment horizontal="right" vertical="center"/>
    </xf>
    <xf numFmtId="166" fontId="6" fillId="2" borderId="177" xfId="0" applyNumberFormat="1" applyFont="1" applyFill="1" applyBorder="1" applyAlignment="1">
      <alignment horizontal="right" vertical="center"/>
    </xf>
    <xf numFmtId="2" fontId="123" fillId="0" borderId="200" xfId="0" applyNumberFormat="1" applyFont="1" applyBorder="1" applyAlignment="1">
      <alignment horizontal="right" vertical="center"/>
    </xf>
    <xf numFmtId="2" fontId="123" fillId="0" borderId="201" xfId="0" applyNumberFormat="1" applyFont="1" applyBorder="1" applyAlignment="1">
      <alignment horizontal="right" vertical="center"/>
    </xf>
    <xf numFmtId="0" fontId="123" fillId="0" borderId="201" xfId="0" applyFont="1" applyBorder="1" applyAlignment="1">
      <alignment horizontal="right" vertical="center"/>
    </xf>
    <xf numFmtId="0" fontId="123" fillId="0" borderId="202" xfId="0" applyFont="1" applyBorder="1" applyAlignment="1">
      <alignment horizontal="right" vertical="center"/>
    </xf>
    <xf numFmtId="166" fontId="6" fillId="2" borderId="203" xfId="0" applyNumberFormat="1" applyFont="1" applyFill="1" applyBorder="1" applyAlignment="1">
      <alignment horizontal="right" vertical="center"/>
    </xf>
    <xf numFmtId="2" fontId="123" fillId="0" borderId="104" xfId="0" applyNumberFormat="1" applyFont="1" applyBorder="1" applyAlignment="1">
      <alignment horizontal="right" vertical="center"/>
    </xf>
    <xf numFmtId="2" fontId="108" fillId="3" borderId="57" xfId="0" applyNumberFormat="1" applyFont="1" applyFill="1" applyBorder="1" applyAlignment="1">
      <alignment horizontal="center"/>
    </xf>
    <xf numFmtId="2" fontId="100" fillId="3" borderId="204" xfId="0" applyNumberFormat="1" applyFont="1" applyFill="1" applyBorder="1" applyAlignment="1">
      <alignment horizontal="center"/>
    </xf>
    <xf numFmtId="2" fontId="102" fillId="3" borderId="205" xfId="0" applyNumberFormat="1" applyFont="1" applyFill="1" applyBorder="1" applyAlignment="1">
      <alignment horizontal="center"/>
    </xf>
    <xf numFmtId="2" fontId="102" fillId="3" borderId="206" xfId="0" applyNumberFormat="1" applyFont="1" applyFill="1" applyBorder="1" applyAlignment="1">
      <alignment horizontal="center"/>
    </xf>
    <xf numFmtId="2" fontId="110" fillId="3" borderId="206" xfId="0" applyNumberFormat="1" applyFont="1" applyFill="1" applyBorder="1" applyAlignment="1">
      <alignment horizontal="center"/>
    </xf>
    <xf numFmtId="2" fontId="102" fillId="3" borderId="207" xfId="0" applyNumberFormat="1" applyFont="1" applyFill="1" applyBorder="1" applyAlignment="1">
      <alignment horizontal="center"/>
    </xf>
    <xf numFmtId="2" fontId="100" fillId="3" borderId="208" xfId="0" applyNumberFormat="1" applyFont="1" applyFill="1" applyBorder="1" applyAlignment="1">
      <alignment horizontal="center"/>
    </xf>
    <xf numFmtId="2" fontId="108" fillId="3" borderId="209" xfId="0" applyNumberFormat="1" applyFont="1" applyFill="1" applyBorder="1" applyAlignment="1">
      <alignment horizontal="center"/>
    </xf>
    <xf numFmtId="0" fontId="113" fillId="0" borderId="65" xfId="0" applyFont="1" applyBorder="1"/>
    <xf numFmtId="0" fontId="2" fillId="0" borderId="0" xfId="0" applyFont="1" applyAlignment="1">
      <alignment horizontal="center"/>
    </xf>
    <xf numFmtId="0" fontId="113" fillId="0" borderId="0" xfId="0" applyFont="1" applyAlignment="1">
      <alignment horizontal="center"/>
    </xf>
    <xf numFmtId="49" fontId="44" fillId="0" borderId="1" xfId="0" applyNumberFormat="1" applyFont="1" applyBorder="1" applyAlignment="1">
      <alignment horizontal="center"/>
    </xf>
    <xf numFmtId="0" fontId="113" fillId="0" borderId="6" xfId="0" applyFont="1" applyBorder="1" applyAlignment="1">
      <alignment horizontal="center"/>
    </xf>
    <xf numFmtId="0" fontId="124" fillId="0" borderId="10" xfId="0" applyFont="1" applyBorder="1" applyAlignment="1">
      <alignment horizontal="center"/>
    </xf>
    <xf numFmtId="0" fontId="125" fillId="0" borderId="55" xfId="0" applyFont="1" applyBorder="1" applyAlignment="1">
      <alignment horizontal="right" vertical="center"/>
    </xf>
    <xf numFmtId="0" fontId="126" fillId="0" borderId="36" xfId="0" applyFont="1" applyBorder="1" applyAlignment="1">
      <alignment horizontal="center"/>
    </xf>
    <xf numFmtId="0" fontId="124" fillId="0" borderId="0" xfId="0" applyFont="1" applyAlignment="1">
      <alignment horizontal="center"/>
    </xf>
    <xf numFmtId="0" fontId="126" fillId="0" borderId="0" xfId="0" applyFont="1" applyAlignment="1">
      <alignment horizontal="center"/>
    </xf>
    <xf numFmtId="0" fontId="76" fillId="0" borderId="88" xfId="0" applyFont="1" applyBorder="1" applyAlignment="1">
      <alignment horizontal="center"/>
    </xf>
    <xf numFmtId="0" fontId="126" fillId="0" borderId="28" xfId="0" applyFont="1" applyBorder="1" applyAlignment="1">
      <alignment horizontal="center"/>
    </xf>
    <xf numFmtId="0" fontId="123" fillId="0" borderId="90" xfId="0" applyFont="1" applyBorder="1" applyAlignment="1">
      <alignment horizontal="right" vertical="center"/>
    </xf>
    <xf numFmtId="0" fontId="123" fillId="0" borderId="93" xfId="0" applyFont="1" applyBorder="1" applyAlignment="1">
      <alignment horizontal="right" vertical="center"/>
    </xf>
    <xf numFmtId="0" fontId="123" fillId="0" borderId="97" xfId="0" applyFont="1" applyBorder="1" applyAlignment="1">
      <alignment horizontal="right" vertical="center"/>
    </xf>
    <xf numFmtId="0" fontId="125" fillId="0" borderId="86" xfId="0" applyFont="1" applyBorder="1" applyAlignment="1">
      <alignment horizontal="right" vertical="center"/>
    </xf>
    <xf numFmtId="0" fontId="126" fillId="0" borderId="59" xfId="0" applyFont="1" applyBorder="1" applyAlignment="1">
      <alignment horizontal="center"/>
    </xf>
    <xf numFmtId="0" fontId="124" fillId="0" borderId="63" xfId="0" applyFont="1" applyBorder="1" applyAlignment="1">
      <alignment horizontal="center"/>
    </xf>
    <xf numFmtId="0" fontId="126" fillId="0" borderId="63" xfId="0" applyFont="1" applyBorder="1" applyAlignment="1">
      <alignment horizontal="center"/>
    </xf>
    <xf numFmtId="0" fontId="76" fillId="0" borderId="100" xfId="0" applyFont="1" applyBorder="1" applyAlignment="1">
      <alignment horizontal="center"/>
    </xf>
    <xf numFmtId="0" fontId="126" fillId="0" borderId="65" xfId="0" applyFont="1" applyBorder="1" applyAlignment="1">
      <alignment horizontal="center"/>
    </xf>
    <xf numFmtId="0" fontId="93" fillId="0" borderId="6" xfId="0" applyFont="1" applyBorder="1" applyAlignment="1">
      <alignment horizontal="center"/>
    </xf>
    <xf numFmtId="0" fontId="69" fillId="0" borderId="10" xfId="0" applyFont="1" applyBorder="1" applyAlignment="1">
      <alignment horizontal="center"/>
    </xf>
    <xf numFmtId="0" fontId="93" fillId="0" borderId="10" xfId="0" applyFont="1" applyBorder="1" applyAlignment="1">
      <alignment horizontal="center"/>
    </xf>
    <xf numFmtId="0" fontId="93" fillId="0" borderId="36" xfId="0" applyFont="1" applyBorder="1" applyAlignment="1">
      <alignment horizontal="center"/>
    </xf>
    <xf numFmtId="0" fontId="69" fillId="0" borderId="0" xfId="0" applyFont="1" applyAlignment="1">
      <alignment horizontal="center"/>
    </xf>
    <xf numFmtId="0" fontId="93" fillId="0" borderId="0" xfId="0" applyFont="1" applyAlignment="1">
      <alignment horizontal="center"/>
    </xf>
    <xf numFmtId="0" fontId="79" fillId="0" borderId="88" xfId="0" applyFont="1" applyBorder="1" applyAlignment="1">
      <alignment horizontal="center" vertical="center"/>
    </xf>
    <xf numFmtId="0" fontId="93" fillId="0" borderId="59" xfId="0" applyFont="1" applyBorder="1" applyAlignment="1">
      <alignment horizontal="center"/>
    </xf>
    <xf numFmtId="0" fontId="69" fillId="0" borderId="63" xfId="0" applyFont="1" applyBorder="1" applyAlignment="1">
      <alignment horizontal="center"/>
    </xf>
    <xf numFmtId="0" fontId="93" fillId="0" borderId="63" xfId="0" applyFont="1" applyBorder="1" applyAlignment="1">
      <alignment horizontal="center"/>
    </xf>
    <xf numFmtId="0" fontId="79" fillId="0" borderId="10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6" fillId="0" borderId="21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6" fillId="0" borderId="212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123" fillId="0" borderId="213" xfId="0" applyFont="1" applyBorder="1" applyAlignment="1">
      <alignment horizontal="center" vertical="center"/>
    </xf>
    <xf numFmtId="0" fontId="123" fillId="0" borderId="101" xfId="0" applyFont="1" applyBorder="1" applyAlignment="1">
      <alignment horizontal="right" vertical="center"/>
    </xf>
    <xf numFmtId="0" fontId="113" fillId="0" borderId="214" xfId="0" applyFont="1" applyBorder="1" applyAlignment="1">
      <alignment horizontal="center" vertical="center"/>
    </xf>
    <xf numFmtId="2" fontId="5" fillId="0" borderId="29" xfId="0" applyNumberFormat="1" applyFont="1" applyBorder="1" applyAlignment="1">
      <alignment horizontal="center" vertical="center"/>
    </xf>
    <xf numFmtId="0" fontId="113" fillId="0" borderId="195" xfId="0" applyFont="1" applyBorder="1" applyAlignment="1">
      <alignment horizontal="center"/>
    </xf>
    <xf numFmtId="2" fontId="113" fillId="0" borderId="215" xfId="0" applyNumberFormat="1" applyFont="1" applyBorder="1" applyAlignment="1">
      <alignment horizontal="center" vertical="center"/>
    </xf>
    <xf numFmtId="0" fontId="113" fillId="0" borderId="187" xfId="0" applyFont="1" applyBorder="1" applyAlignment="1">
      <alignment horizontal="center"/>
    </xf>
    <xf numFmtId="2" fontId="113" fillId="0" borderId="187" xfId="0" applyNumberFormat="1" applyFont="1" applyBorder="1" applyAlignment="1">
      <alignment horizontal="center" vertical="center"/>
    </xf>
    <xf numFmtId="2" fontId="113" fillId="0" borderId="216" xfId="0" applyNumberFormat="1" applyFont="1" applyBorder="1" applyAlignment="1">
      <alignment horizontal="center" vertical="center"/>
    </xf>
    <xf numFmtId="0" fontId="113" fillId="0" borderId="194" xfId="0" applyFont="1" applyBorder="1" applyAlignment="1">
      <alignment horizontal="center"/>
    </xf>
    <xf numFmtId="2" fontId="127" fillId="0" borderId="30" xfId="0" applyNumberFormat="1" applyFont="1" applyBorder="1" applyAlignment="1">
      <alignment horizontal="center" vertical="center"/>
    </xf>
    <xf numFmtId="0" fontId="113" fillId="0" borderId="160" xfId="0" applyFont="1" applyBorder="1"/>
    <xf numFmtId="0" fontId="123" fillId="0" borderId="45" xfId="0" applyFont="1" applyBorder="1" applyAlignment="1">
      <alignment horizontal="center" vertical="center"/>
    </xf>
    <xf numFmtId="0" fontId="123" fillId="0" borderId="73" xfId="0" applyFont="1" applyBorder="1" applyAlignment="1">
      <alignment horizontal="right" vertical="center"/>
    </xf>
    <xf numFmtId="0" fontId="113" fillId="0" borderId="31" xfId="0" applyFont="1" applyBorder="1" applyAlignment="1">
      <alignment horizontal="center"/>
    </xf>
    <xf numFmtId="2" fontId="5" fillId="0" borderId="41" xfId="0" applyNumberFormat="1" applyFont="1" applyBorder="1" applyAlignment="1">
      <alignment horizontal="center"/>
    </xf>
    <xf numFmtId="0" fontId="113" fillId="0" borderId="199" xfId="0" applyFont="1" applyBorder="1" applyAlignment="1">
      <alignment horizontal="center"/>
    </xf>
    <xf numFmtId="2" fontId="113" fillId="0" borderId="217" xfId="0" applyNumberFormat="1" applyFont="1" applyBorder="1" applyAlignment="1">
      <alignment horizontal="center"/>
    </xf>
    <xf numFmtId="0" fontId="113" fillId="0" borderId="44" xfId="0" applyFont="1" applyBorder="1" applyAlignment="1">
      <alignment horizontal="center"/>
    </xf>
    <xf numFmtId="2" fontId="113" fillId="0" borderId="44" xfId="0" applyNumberFormat="1" applyFont="1" applyBorder="1" applyAlignment="1">
      <alignment horizontal="center"/>
    </xf>
    <xf numFmtId="2" fontId="113" fillId="0" borderId="218" xfId="0" applyNumberFormat="1" applyFont="1" applyBorder="1" applyAlignment="1">
      <alignment horizontal="center"/>
    </xf>
    <xf numFmtId="0" fontId="113" fillId="0" borderId="198" xfId="0" applyFont="1" applyBorder="1" applyAlignment="1">
      <alignment horizontal="center"/>
    </xf>
    <xf numFmtId="2" fontId="128" fillId="0" borderId="42" xfId="0" applyNumberFormat="1" applyFont="1" applyBorder="1" applyAlignment="1">
      <alignment horizontal="center"/>
    </xf>
    <xf numFmtId="0" fontId="113" fillId="0" borderId="133" xfId="0" applyFont="1" applyBorder="1"/>
    <xf numFmtId="2" fontId="127" fillId="0" borderId="41" xfId="0" applyNumberFormat="1" applyFont="1" applyBorder="1" applyAlignment="1">
      <alignment horizontal="center"/>
    </xf>
    <xf numFmtId="2" fontId="85" fillId="0" borderId="44" xfId="0" applyNumberFormat="1" applyFont="1" applyBorder="1" applyAlignment="1">
      <alignment horizontal="center"/>
    </xf>
    <xf numFmtId="2" fontId="127" fillId="0" borderId="42" xfId="0" applyNumberFormat="1" applyFont="1" applyBorder="1" applyAlignment="1">
      <alignment horizontal="center"/>
    </xf>
    <xf numFmtId="2" fontId="6" fillId="0" borderId="41" xfId="0" applyNumberFormat="1" applyFont="1" applyBorder="1" applyAlignment="1">
      <alignment horizontal="center"/>
    </xf>
    <xf numFmtId="2" fontId="11" fillId="0" borderId="42" xfId="0" applyNumberFormat="1" applyFont="1" applyBorder="1" applyAlignment="1">
      <alignment horizontal="center"/>
    </xf>
    <xf numFmtId="164" fontId="6" fillId="2" borderId="177" xfId="0" applyNumberFormat="1" applyFont="1" applyFill="1" applyBorder="1" applyAlignment="1">
      <alignment horizontal="right" vertical="center"/>
    </xf>
    <xf numFmtId="2" fontId="129" fillId="0" borderId="217" xfId="0" applyNumberFormat="1" applyFont="1" applyBorder="1" applyAlignment="1">
      <alignment horizontal="center"/>
    </xf>
    <xf numFmtId="0" fontId="123" fillId="0" borderId="202" xfId="0" applyFont="1" applyBorder="1" applyAlignment="1">
      <alignment horizontal="center" vertical="center"/>
    </xf>
    <xf numFmtId="2" fontId="6" fillId="2" borderId="203" xfId="0" applyNumberFormat="1" applyFont="1" applyFill="1" applyBorder="1" applyAlignment="1">
      <alignment horizontal="right" vertical="center"/>
    </xf>
    <xf numFmtId="0" fontId="123" fillId="0" borderId="104" xfId="0" applyFont="1" applyBorder="1" applyAlignment="1">
      <alignment horizontal="right" vertical="center"/>
    </xf>
    <xf numFmtId="2" fontId="85" fillId="0" borderId="217" xfId="0" applyNumberFormat="1" applyFont="1" applyBorder="1" applyAlignment="1">
      <alignment horizontal="center"/>
    </xf>
    <xf numFmtId="2" fontId="85" fillId="0" borderId="218" xfId="0" applyNumberFormat="1" applyFont="1" applyBorder="1" applyAlignment="1">
      <alignment horizontal="center"/>
    </xf>
    <xf numFmtId="0" fontId="113" fillId="0" borderId="49" xfId="0" applyFont="1" applyBorder="1" applyAlignment="1">
      <alignment horizontal="center"/>
    </xf>
    <xf numFmtId="2" fontId="5" fillId="0" borderId="66" xfId="0" applyNumberFormat="1" applyFont="1" applyBorder="1" applyAlignment="1">
      <alignment horizontal="center"/>
    </xf>
    <xf numFmtId="0" fontId="113" fillId="0" borderId="209" xfId="0" applyFont="1" applyBorder="1" applyAlignment="1">
      <alignment horizontal="center"/>
    </xf>
    <xf numFmtId="2" fontId="113" fillId="0" borderId="219" xfId="0" applyNumberFormat="1" applyFont="1" applyBorder="1" applyAlignment="1">
      <alignment horizontal="center"/>
    </xf>
    <xf numFmtId="0" fontId="113" fillId="0" borderId="201" xfId="0" applyFont="1" applyBorder="1" applyAlignment="1">
      <alignment horizontal="center"/>
    </xf>
    <xf numFmtId="2" fontId="113" fillId="0" borderId="201" xfId="0" applyNumberFormat="1" applyFont="1" applyBorder="1" applyAlignment="1">
      <alignment horizontal="center"/>
    </xf>
    <xf numFmtId="2" fontId="113" fillId="0" borderId="220" xfId="0" applyNumberFormat="1" applyFont="1" applyBorder="1" applyAlignment="1">
      <alignment horizontal="center"/>
    </xf>
    <xf numFmtId="0" fontId="113" fillId="0" borderId="208" xfId="0" applyFont="1" applyBorder="1" applyAlignment="1">
      <alignment horizontal="center"/>
    </xf>
    <xf numFmtId="0" fontId="113" fillId="0" borderId="162" xfId="0" applyFont="1" applyBorder="1"/>
    <xf numFmtId="0" fontId="6" fillId="0" borderId="1" xfId="0" applyFont="1" applyBorder="1" applyAlignment="1">
      <alignment horizontal="center"/>
    </xf>
    <xf numFmtId="0" fontId="130" fillId="0" borderId="5" xfId="0" applyFont="1" applyBorder="1" applyAlignment="1">
      <alignment horizontal="center"/>
    </xf>
    <xf numFmtId="0" fontId="113" fillId="0" borderId="10" xfId="0" applyFont="1" applyBorder="1" applyAlignment="1">
      <alignment horizontal="center"/>
    </xf>
    <xf numFmtId="0" fontId="124" fillId="0" borderId="211" xfId="0" applyFont="1" applyBorder="1" applyAlignment="1">
      <alignment horizontal="center"/>
    </xf>
    <xf numFmtId="0" fontId="124" fillId="0" borderId="3" xfId="0" applyFont="1" applyBorder="1" applyAlignment="1">
      <alignment horizontal="center"/>
    </xf>
    <xf numFmtId="0" fontId="124" fillId="0" borderId="212" xfId="0" applyFont="1" applyBorder="1" applyAlignment="1">
      <alignment horizontal="center"/>
    </xf>
    <xf numFmtId="0" fontId="130" fillId="0" borderId="12" xfId="0" applyFont="1" applyBorder="1" applyAlignment="1">
      <alignment horizontal="center"/>
    </xf>
    <xf numFmtId="0" fontId="1" fillId="0" borderId="214" xfId="0" applyFont="1" applyBorder="1" applyAlignment="1">
      <alignment horizontal="center" vertical="center"/>
    </xf>
    <xf numFmtId="0" fontId="130" fillId="0" borderId="20" xfId="0" applyFont="1" applyBorder="1" applyAlignment="1">
      <alignment horizontal="center"/>
    </xf>
    <xf numFmtId="0" fontId="126" fillId="0" borderId="194" xfId="0" applyFont="1" applyBorder="1" applyAlignment="1">
      <alignment horizontal="center"/>
    </xf>
    <xf numFmtId="0" fontId="131" fillId="0" borderId="215" xfId="0" applyFont="1" applyBorder="1" applyAlignment="1">
      <alignment horizontal="center"/>
    </xf>
    <xf numFmtId="0" fontId="124" fillId="0" borderId="187" xfId="0" applyFont="1" applyBorder="1" applyAlignment="1">
      <alignment horizontal="center"/>
    </xf>
    <xf numFmtId="0" fontId="131" fillId="0" borderId="187" xfId="0" applyFont="1" applyBorder="1" applyAlignment="1">
      <alignment horizontal="center"/>
    </xf>
    <xf numFmtId="0" fontId="131" fillId="0" borderId="216" xfId="0" applyFont="1" applyBorder="1" applyAlignment="1">
      <alignment horizontal="center"/>
    </xf>
    <xf numFmtId="0" fontId="130" fillId="0" borderId="22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30" fillId="0" borderId="35" xfId="0" applyFont="1" applyBorder="1" applyAlignment="1">
      <alignment horizontal="center"/>
    </xf>
    <xf numFmtId="0" fontId="126" fillId="0" borderId="198" xfId="0" applyFont="1" applyBorder="1" applyAlignment="1">
      <alignment horizontal="center"/>
    </xf>
    <xf numFmtId="0" fontId="131" fillId="0" borderId="217" xfId="0" applyFont="1" applyBorder="1" applyAlignment="1">
      <alignment horizontal="center"/>
    </xf>
    <xf numFmtId="0" fontId="124" fillId="0" borderId="44" xfId="0" applyFont="1" applyBorder="1" applyAlignment="1">
      <alignment horizontal="center"/>
    </xf>
    <xf numFmtId="0" fontId="131" fillId="0" borderId="44" xfId="0" applyFont="1" applyBorder="1" applyAlignment="1">
      <alignment horizontal="center"/>
    </xf>
    <xf numFmtId="0" fontId="131" fillId="0" borderId="218" xfId="0" applyFont="1" applyBorder="1" applyAlignment="1">
      <alignment horizontal="center"/>
    </xf>
    <xf numFmtId="0" fontId="130" fillId="0" borderId="222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1" fontId="1" fillId="0" borderId="41" xfId="0" applyNumberFormat="1" applyFont="1" applyBorder="1" applyAlignment="1">
      <alignment horizontal="center"/>
    </xf>
    <xf numFmtId="0" fontId="1" fillId="0" borderId="49" xfId="0" applyFont="1" applyBorder="1" applyAlignment="1">
      <alignment horizontal="center" vertical="center"/>
    </xf>
    <xf numFmtId="0" fontId="130" fillId="0" borderId="57" xfId="0" applyFont="1" applyBorder="1" applyAlignment="1">
      <alignment horizontal="center"/>
    </xf>
    <xf numFmtId="0" fontId="126" fillId="0" borderId="208" xfId="0" applyFont="1" applyBorder="1" applyAlignment="1">
      <alignment horizontal="center"/>
    </xf>
    <xf numFmtId="0" fontId="131" fillId="0" borderId="219" xfId="0" applyFont="1" applyBorder="1" applyAlignment="1">
      <alignment horizontal="center"/>
    </xf>
    <xf numFmtId="0" fontId="124" fillId="0" borderId="201" xfId="0" applyFont="1" applyBorder="1" applyAlignment="1">
      <alignment horizontal="center"/>
    </xf>
    <xf numFmtId="0" fontId="131" fillId="0" borderId="201" xfId="0" applyFont="1" applyBorder="1" applyAlignment="1">
      <alignment horizontal="center"/>
    </xf>
    <xf numFmtId="0" fontId="131" fillId="0" borderId="220" xfId="0" applyFont="1" applyBorder="1" applyAlignment="1">
      <alignment horizontal="center"/>
    </xf>
    <xf numFmtId="0" fontId="130" fillId="0" borderId="223" xfId="0" applyFont="1" applyBorder="1" applyAlignment="1">
      <alignment horizontal="center"/>
    </xf>
    <xf numFmtId="0" fontId="123" fillId="0" borderId="0" xfId="0" applyFont="1" applyAlignment="1">
      <alignment horizontal="center"/>
    </xf>
    <xf numFmtId="0" fontId="125" fillId="0" borderId="5" xfId="0" applyFont="1" applyBorder="1" applyAlignment="1">
      <alignment horizontal="center"/>
    </xf>
    <xf numFmtId="0" fontId="125" fillId="0" borderId="10" xfId="0" applyFont="1" applyBorder="1" applyAlignment="1">
      <alignment horizontal="center"/>
    </xf>
    <xf numFmtId="0" fontId="27" fillId="0" borderId="211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212" xfId="0" applyFont="1" applyBorder="1" applyAlignment="1">
      <alignment horizontal="center"/>
    </xf>
    <xf numFmtId="0" fontId="125" fillId="0" borderId="12" xfId="0" applyFont="1" applyBorder="1" applyAlignment="1">
      <alignment horizontal="center"/>
    </xf>
    <xf numFmtId="164" fontId="1" fillId="0" borderId="66" xfId="0" applyNumberFormat="1" applyFont="1" applyBorder="1" applyAlignment="1">
      <alignment horizontal="center"/>
    </xf>
    <xf numFmtId="0" fontId="25" fillId="0" borderId="128" xfId="0" applyFont="1" applyBorder="1" applyAlignment="1">
      <alignment horizontal="center"/>
    </xf>
    <xf numFmtId="0" fontId="125" fillId="0" borderId="224" xfId="0" applyFont="1" applyBorder="1" applyAlignment="1">
      <alignment horizontal="center" vertical="center"/>
    </xf>
    <xf numFmtId="0" fontId="113" fillId="0" borderId="225" xfId="0" applyFont="1" applyBorder="1" applyAlignment="1">
      <alignment horizontal="center"/>
    </xf>
    <xf numFmtId="0" fontId="27" fillId="0" borderId="215" xfId="0" applyFont="1" applyBorder="1" applyAlignment="1">
      <alignment horizontal="center"/>
    </xf>
    <xf numFmtId="0" fontId="20" fillId="0" borderId="187" xfId="0" applyFont="1" applyBorder="1" applyAlignment="1">
      <alignment horizontal="center"/>
    </xf>
    <xf numFmtId="0" fontId="27" fillId="0" borderId="187" xfId="0" applyFont="1" applyBorder="1" applyAlignment="1">
      <alignment horizontal="center"/>
    </xf>
    <xf numFmtId="0" fontId="27" fillId="0" borderId="216" xfId="0" applyFont="1" applyBorder="1" applyAlignment="1">
      <alignment horizontal="center"/>
    </xf>
    <xf numFmtId="0" fontId="125" fillId="0" borderId="30" xfId="0" applyFont="1" applyBorder="1" applyAlignment="1">
      <alignment horizontal="center" vertical="center"/>
    </xf>
    <xf numFmtId="0" fontId="44" fillId="0" borderId="33" xfId="0" applyFont="1" applyBorder="1" applyAlignment="1">
      <alignment horizontal="center"/>
    </xf>
    <xf numFmtId="0" fontId="125" fillId="0" borderId="93" xfId="0" applyFont="1" applyBorder="1" applyAlignment="1">
      <alignment horizontal="center" vertical="center"/>
    </xf>
    <xf numFmtId="0" fontId="113" fillId="0" borderId="226" xfId="0" applyFont="1" applyBorder="1" applyAlignment="1">
      <alignment horizontal="center"/>
    </xf>
    <xf numFmtId="0" fontId="27" fillId="0" borderId="217" xfId="0" applyFont="1" applyBorder="1" applyAlignment="1">
      <alignment horizontal="center"/>
    </xf>
    <xf numFmtId="0" fontId="20" fillId="0" borderId="44" xfId="0" applyFont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218" xfId="0" applyFont="1" applyBorder="1" applyAlignment="1">
      <alignment horizontal="center"/>
    </xf>
    <xf numFmtId="0" fontId="125" fillId="0" borderId="42" xfId="0" applyFont="1" applyBorder="1" applyAlignment="1">
      <alignment horizontal="center" vertical="center"/>
    </xf>
    <xf numFmtId="0" fontId="44" fillId="0" borderId="44" xfId="0" applyFont="1" applyBorder="1" applyAlignment="1">
      <alignment horizontal="center"/>
    </xf>
    <xf numFmtId="0" fontId="44" fillId="0" borderId="47" xfId="0" applyFont="1" applyBorder="1" applyAlignment="1">
      <alignment horizontal="center"/>
    </xf>
    <xf numFmtId="0" fontId="25" fillId="0" borderId="51" xfId="0" applyFont="1" applyBorder="1" applyAlignment="1">
      <alignment horizontal="center"/>
    </xf>
    <xf numFmtId="0" fontId="125" fillId="0" borderId="227" xfId="0" applyFont="1" applyBorder="1" applyAlignment="1">
      <alignment horizontal="center" vertical="center"/>
    </xf>
    <xf numFmtId="0" fontId="113" fillId="0" borderId="228" xfId="0" applyFont="1" applyBorder="1" applyAlignment="1">
      <alignment horizontal="center"/>
    </xf>
    <xf numFmtId="0" fontId="27" fillId="0" borderId="219" xfId="0" applyFont="1" applyBorder="1" applyAlignment="1">
      <alignment horizontal="center"/>
    </xf>
    <xf numFmtId="0" fontId="20" fillId="0" borderId="201" xfId="0" applyFont="1" applyBorder="1" applyAlignment="1">
      <alignment horizontal="center"/>
    </xf>
    <xf numFmtId="0" fontId="27" fillId="0" borderId="201" xfId="0" applyFont="1" applyBorder="1" applyAlignment="1">
      <alignment horizontal="center"/>
    </xf>
    <xf numFmtId="0" fontId="27" fillId="0" borderId="220" xfId="0" applyFont="1" applyBorder="1" applyAlignment="1">
      <alignment horizontal="center"/>
    </xf>
    <xf numFmtId="0" fontId="125" fillId="0" borderId="67" xfId="0" applyFont="1" applyBorder="1" applyAlignment="1">
      <alignment horizontal="center" vertical="center"/>
    </xf>
    <xf numFmtId="0" fontId="6" fillId="8" borderId="173" xfId="0" applyFont="1" applyFill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32" fillId="0" borderId="22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32" fillId="0" borderId="4" xfId="0" applyFont="1" applyBorder="1" applyAlignment="1">
      <alignment horizontal="center"/>
    </xf>
    <xf numFmtId="0" fontId="11" fillId="0" borderId="0" xfId="0" applyFont="1" applyAlignment="1">
      <alignment horizontal="center"/>
    </xf>
    <xf numFmtId="164" fontId="6" fillId="8" borderId="189" xfId="0" applyNumberFormat="1" applyFont="1" applyFill="1" applyBorder="1" applyAlignment="1">
      <alignment horizontal="right" vertical="center"/>
    </xf>
    <xf numFmtId="2" fontId="128" fillId="0" borderId="230" xfId="0" applyNumberFormat="1" applyFont="1" applyBorder="1" applyAlignment="1">
      <alignment horizontal="center" vertical="center"/>
    </xf>
    <xf numFmtId="2" fontId="85" fillId="0" borderId="187" xfId="0" applyNumberFormat="1" applyFont="1" applyBorder="1" applyAlignment="1">
      <alignment horizontal="center" vertical="center"/>
    </xf>
    <xf numFmtId="0" fontId="113" fillId="0" borderId="231" xfId="0" applyFont="1" applyBorder="1" applyAlignment="1">
      <alignment horizontal="center"/>
    </xf>
    <xf numFmtId="2" fontId="132" fillId="0" borderId="188" xfId="0" applyNumberFormat="1" applyFont="1" applyBorder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6" fillId="8" borderId="177" xfId="0" applyNumberFormat="1" applyFont="1" applyFill="1" applyBorder="1" applyAlignment="1">
      <alignment horizontal="right" vertical="center"/>
    </xf>
    <xf numFmtId="2" fontId="132" fillId="0" borderId="43" xfId="0" applyNumberFormat="1" applyFont="1" applyBorder="1" applyAlignment="1">
      <alignment horizontal="center"/>
    </xf>
    <xf numFmtId="0" fontId="113" fillId="0" borderId="116" xfId="0" applyFont="1" applyBorder="1" applyAlignment="1">
      <alignment horizontal="center"/>
    </xf>
    <xf numFmtId="2" fontId="132" fillId="0" borderId="45" xfId="0" applyNumberFormat="1" applyFont="1" applyBorder="1" applyAlignment="1">
      <alignment horizontal="center"/>
    </xf>
    <xf numFmtId="164" fontId="6" fillId="8" borderId="177" xfId="0" applyNumberFormat="1" applyFont="1" applyFill="1" applyBorder="1" applyAlignment="1">
      <alignment horizontal="right" vertical="center"/>
    </xf>
    <xf numFmtId="2" fontId="127" fillId="0" borderId="43" xfId="0" applyNumberFormat="1" applyFont="1" applyBorder="1" applyAlignment="1">
      <alignment horizontal="center"/>
    </xf>
    <xf numFmtId="2" fontId="127" fillId="0" borderId="45" xfId="0" applyNumberFormat="1" applyFont="1" applyBorder="1" applyAlignment="1">
      <alignment horizontal="center"/>
    </xf>
    <xf numFmtId="2" fontId="129" fillId="0" borderId="44" xfId="0" applyNumberFormat="1" applyFont="1" applyBorder="1" applyAlignment="1">
      <alignment horizontal="center"/>
    </xf>
    <xf numFmtId="2" fontId="6" fillId="8" borderId="203" xfId="0" applyNumberFormat="1" applyFont="1" applyFill="1" applyBorder="1" applyAlignment="1">
      <alignment horizontal="right" vertical="center"/>
    </xf>
    <xf numFmtId="2" fontId="132" fillId="0" borderId="232" xfId="0" applyNumberFormat="1" applyFont="1" applyBorder="1" applyAlignment="1">
      <alignment horizontal="center"/>
    </xf>
    <xf numFmtId="0" fontId="113" fillId="0" borderId="200" xfId="0" applyFont="1" applyBorder="1" applyAlignment="1">
      <alignment horizontal="center"/>
    </xf>
    <xf numFmtId="2" fontId="132" fillId="0" borderId="202" xfId="0" applyNumberFormat="1" applyFont="1" applyBorder="1" applyAlignment="1">
      <alignment horizontal="center"/>
    </xf>
    <xf numFmtId="0" fontId="6" fillId="0" borderId="0" xfId="0" applyFont="1"/>
    <xf numFmtId="0" fontId="130" fillId="0" borderId="229" xfId="0" applyFont="1" applyBorder="1" applyAlignment="1">
      <alignment horizontal="center"/>
    </xf>
    <xf numFmtId="0" fontId="113" fillId="0" borderId="233" xfId="0" applyFont="1" applyBorder="1" applyAlignment="1">
      <alignment horizontal="center"/>
    </xf>
    <xf numFmtId="0" fontId="130" fillId="0" borderId="4" xfId="0" applyFont="1" applyBorder="1" applyAlignment="1">
      <alignment horizontal="center"/>
    </xf>
    <xf numFmtId="0" fontId="6" fillId="0" borderId="214" xfId="0" applyFont="1" applyBorder="1" applyAlignment="1">
      <alignment horizontal="center" vertical="center"/>
    </xf>
    <xf numFmtId="0" fontId="123" fillId="0" borderId="234" xfId="0" applyFont="1" applyBorder="1" applyAlignment="1">
      <alignment horizontal="right" vertical="center"/>
    </xf>
    <xf numFmtId="0" fontId="6" fillId="0" borderId="235" xfId="0" applyFont="1" applyBorder="1" applyAlignment="1">
      <alignment horizontal="center"/>
    </xf>
    <xf numFmtId="0" fontId="20" fillId="0" borderId="189" xfId="0" applyFont="1" applyBorder="1" applyAlignment="1">
      <alignment horizontal="center"/>
    </xf>
    <xf numFmtId="0" fontId="130" fillId="0" borderId="230" xfId="0" applyFont="1" applyBorder="1" applyAlignment="1">
      <alignment horizontal="center"/>
    </xf>
    <xf numFmtId="0" fontId="126" fillId="0" borderId="225" xfId="0" applyFont="1" applyBorder="1" applyAlignment="1">
      <alignment horizontal="center"/>
    </xf>
    <xf numFmtId="0" fontId="126" fillId="0" borderId="231" xfId="0" applyFont="1" applyBorder="1" applyAlignment="1">
      <alignment horizontal="center"/>
    </xf>
    <xf numFmtId="0" fontId="130" fillId="0" borderId="188" xfId="0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123" fillId="0" borderId="76" xfId="0" applyFont="1" applyBorder="1" applyAlignment="1">
      <alignment horizontal="right" vertical="center"/>
    </xf>
    <xf numFmtId="0" fontId="6" fillId="0" borderId="236" xfId="0" applyFont="1" applyBorder="1" applyAlignment="1">
      <alignment horizontal="center"/>
    </xf>
    <xf numFmtId="0" fontId="20" fillId="0" borderId="177" xfId="0" applyFont="1" applyBorder="1" applyAlignment="1">
      <alignment horizontal="center"/>
    </xf>
    <xf numFmtId="0" fontId="130" fillId="0" borderId="43" xfId="0" applyFont="1" applyBorder="1" applyAlignment="1">
      <alignment horizontal="center"/>
    </xf>
    <xf numFmtId="0" fontId="126" fillId="0" borderId="226" xfId="0" applyFont="1" applyBorder="1" applyAlignment="1">
      <alignment horizontal="center"/>
    </xf>
    <xf numFmtId="0" fontId="126" fillId="0" borderId="116" xfId="0" applyFont="1" applyBorder="1" applyAlignment="1">
      <alignment horizontal="center"/>
    </xf>
    <xf numFmtId="0" fontId="130" fillId="0" borderId="45" xfId="0" applyFont="1" applyBorder="1" applyAlignment="1">
      <alignment horizontal="center"/>
    </xf>
    <xf numFmtId="0" fontId="123" fillId="0" borderId="237" xfId="0" applyFont="1" applyBorder="1" applyAlignment="1">
      <alignment horizontal="right" vertical="center"/>
    </xf>
    <xf numFmtId="0" fontId="6" fillId="0" borderId="238" xfId="0" applyFont="1" applyBorder="1" applyAlignment="1">
      <alignment horizontal="center"/>
    </xf>
    <xf numFmtId="0" fontId="20" fillId="0" borderId="203" xfId="0" applyFont="1" applyBorder="1" applyAlignment="1">
      <alignment horizontal="center"/>
    </xf>
    <xf numFmtId="0" fontId="130" fillId="0" borderId="232" xfId="0" applyFont="1" applyBorder="1" applyAlignment="1">
      <alignment horizontal="center"/>
    </xf>
    <xf numFmtId="0" fontId="126" fillId="0" borderId="228" xfId="0" applyFont="1" applyBorder="1" applyAlignment="1">
      <alignment horizontal="center"/>
    </xf>
    <xf numFmtId="0" fontId="126" fillId="0" borderId="200" xfId="0" applyFont="1" applyBorder="1" applyAlignment="1">
      <alignment horizontal="center"/>
    </xf>
    <xf numFmtId="0" fontId="130" fillId="0" borderId="202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33" fillId="0" borderId="163" xfId="0" applyFont="1" applyBorder="1" applyAlignment="1">
      <alignment horizontal="center" vertical="center"/>
    </xf>
    <xf numFmtId="0" fontId="134" fillId="0" borderId="128" xfId="0" applyFont="1" applyBorder="1" applyAlignment="1">
      <alignment horizontal="center"/>
    </xf>
    <xf numFmtId="2" fontId="132" fillId="0" borderId="19" xfId="0" applyNumberFormat="1" applyFont="1" applyBorder="1" applyAlignment="1">
      <alignment horizontal="center"/>
    </xf>
    <xf numFmtId="0" fontId="11" fillId="0" borderId="229" xfId="0" applyFont="1" applyBorder="1" applyAlignment="1">
      <alignment horizontal="center"/>
    </xf>
    <xf numFmtId="0" fontId="113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2" fontId="6" fillId="0" borderId="34" xfId="0" applyNumberFormat="1" applyFont="1" applyBorder="1" applyAlignment="1">
      <alignment horizontal="center"/>
    </xf>
    <xf numFmtId="0" fontId="20" fillId="0" borderId="214" xfId="0" applyFont="1" applyBorder="1" applyAlignment="1">
      <alignment horizontal="center"/>
    </xf>
    <xf numFmtId="2" fontId="5" fillId="0" borderId="230" xfId="0" applyNumberFormat="1" applyFont="1" applyBorder="1" applyAlignment="1">
      <alignment horizontal="center"/>
    </xf>
    <xf numFmtId="2" fontId="113" fillId="0" borderId="187" xfId="0" applyNumberFormat="1" applyFont="1" applyBorder="1" applyAlignment="1">
      <alignment horizontal="center"/>
    </xf>
    <xf numFmtId="2" fontId="6" fillId="0" borderId="187" xfId="0" applyNumberFormat="1" applyFont="1" applyBorder="1" applyAlignment="1">
      <alignment horizontal="center"/>
    </xf>
    <xf numFmtId="2" fontId="6" fillId="0" borderId="216" xfId="0" applyNumberFormat="1" applyFont="1" applyBorder="1" applyAlignment="1">
      <alignment horizontal="center"/>
    </xf>
    <xf numFmtId="2" fontId="1" fillId="0" borderId="231" xfId="0" applyNumberFormat="1" applyFont="1" applyBorder="1" applyAlignment="1">
      <alignment horizontal="center"/>
    </xf>
    <xf numFmtId="2" fontId="5" fillId="0" borderId="188" xfId="0" applyNumberFormat="1" applyFont="1" applyBorder="1" applyAlignment="1">
      <alignment horizontal="center"/>
    </xf>
    <xf numFmtId="2" fontId="6" fillId="0" borderId="45" xfId="0" applyNumberFormat="1" applyFont="1" applyBorder="1" applyAlignment="1">
      <alignment horizontal="center"/>
    </xf>
    <xf numFmtId="0" fontId="20" fillId="0" borderId="31" xfId="0" applyFont="1" applyBorder="1" applyAlignment="1">
      <alignment horizontal="center"/>
    </xf>
    <xf numFmtId="2" fontId="5" fillId="0" borderId="43" xfId="0" applyNumberFormat="1" applyFont="1" applyBorder="1" applyAlignment="1">
      <alignment horizontal="center"/>
    </xf>
    <xf numFmtId="2" fontId="6" fillId="0" borderId="44" xfId="0" applyNumberFormat="1" applyFont="1" applyBorder="1" applyAlignment="1">
      <alignment horizontal="center"/>
    </xf>
    <xf numFmtId="2" fontId="6" fillId="0" borderId="218" xfId="0" applyNumberFormat="1" applyFont="1" applyBorder="1" applyAlignment="1">
      <alignment horizontal="center"/>
    </xf>
    <xf numFmtId="2" fontId="1" fillId="0" borderId="116" xfId="0" applyNumberFormat="1" applyFont="1" applyBorder="1" applyAlignment="1">
      <alignment horizontal="center"/>
    </xf>
    <xf numFmtId="2" fontId="5" fillId="0" borderId="45" xfId="0" applyNumberFormat="1" applyFont="1" applyBorder="1" applyAlignment="1">
      <alignment horizontal="center"/>
    </xf>
    <xf numFmtId="2" fontId="6" fillId="0" borderId="48" xfId="0" applyNumberFormat="1" applyFont="1" applyBorder="1" applyAlignment="1">
      <alignment horizontal="center"/>
    </xf>
    <xf numFmtId="0" fontId="20" fillId="0" borderId="49" xfId="0" applyFont="1" applyBorder="1" applyAlignment="1">
      <alignment horizontal="center"/>
    </xf>
    <xf numFmtId="2" fontId="5" fillId="0" borderId="232" xfId="0" applyNumberFormat="1" applyFont="1" applyBorder="1" applyAlignment="1">
      <alignment horizontal="center"/>
    </xf>
    <xf numFmtId="2" fontId="6" fillId="0" borderId="201" xfId="0" applyNumberFormat="1" applyFont="1" applyBorder="1" applyAlignment="1">
      <alignment horizontal="center"/>
    </xf>
    <xf numFmtId="2" fontId="6" fillId="0" borderId="220" xfId="0" applyNumberFormat="1" applyFont="1" applyBorder="1" applyAlignment="1">
      <alignment horizontal="center"/>
    </xf>
    <xf numFmtId="2" fontId="1" fillId="0" borderId="200" xfId="0" applyNumberFormat="1" applyFont="1" applyBorder="1" applyAlignment="1">
      <alignment horizontal="center"/>
    </xf>
    <xf numFmtId="2" fontId="5" fillId="0" borderId="202" xfId="0" applyNumberFormat="1" applyFont="1" applyBorder="1" applyAlignment="1">
      <alignment horizontal="center"/>
    </xf>
    <xf numFmtId="0" fontId="133" fillId="0" borderId="158" xfId="0" applyFont="1" applyBorder="1" applyAlignment="1">
      <alignment horizontal="center" vertical="center"/>
    </xf>
    <xf numFmtId="0" fontId="134" fillId="0" borderId="51" xfId="0" applyFont="1" applyBorder="1" applyAlignment="1">
      <alignment horizontal="center"/>
    </xf>
    <xf numFmtId="2" fontId="132" fillId="0" borderId="52" xfId="0" applyNumberFormat="1" applyFont="1" applyBorder="1" applyAlignment="1">
      <alignment horizontal="center"/>
    </xf>
    <xf numFmtId="2" fontId="6" fillId="0" borderId="30" xfId="0" applyNumberFormat="1" applyFont="1" applyBorder="1" applyAlignment="1">
      <alignment horizontal="center"/>
    </xf>
    <xf numFmtId="2" fontId="133" fillId="0" borderId="67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2" fontId="129" fillId="0" borderId="187" xfId="0" applyNumberFormat="1" applyFont="1" applyBorder="1" applyAlignment="1">
      <alignment horizontal="center" vertical="center"/>
    </xf>
    <xf numFmtId="2" fontId="85" fillId="0" borderId="216" xfId="0" applyNumberFormat="1" applyFont="1" applyBorder="1" applyAlignment="1">
      <alignment horizontal="center" vertical="center"/>
    </xf>
    <xf numFmtId="2" fontId="127" fillId="0" borderId="188" xfId="0" applyNumberFormat="1" applyFont="1" applyBorder="1" applyAlignment="1">
      <alignment horizontal="center" vertical="center"/>
    </xf>
    <xf numFmtId="2" fontId="128" fillId="0" borderId="41" xfId="0" applyNumberFormat="1" applyFont="1" applyBorder="1" applyAlignment="1">
      <alignment horizontal="center"/>
    </xf>
    <xf numFmtId="2" fontId="129" fillId="0" borderId="218" xfId="0" applyNumberFormat="1" applyFont="1" applyBorder="1" applyAlignment="1">
      <alignment horizontal="center"/>
    </xf>
    <xf numFmtId="0" fontId="5" fillId="0" borderId="0" xfId="0" applyFont="1"/>
    <xf numFmtId="0" fontId="130" fillId="0" borderId="14" xfId="0" applyFont="1" applyBorder="1" applyAlignment="1">
      <alignment horizontal="center"/>
    </xf>
    <xf numFmtId="0" fontId="113" fillId="0" borderId="2" xfId="0" applyFont="1" applyBorder="1" applyAlignment="1">
      <alignment horizontal="center"/>
    </xf>
    <xf numFmtId="0" fontId="135" fillId="0" borderId="3" xfId="0" applyFont="1" applyBorder="1" applyAlignment="1">
      <alignment horizontal="center"/>
    </xf>
    <xf numFmtId="0" fontId="135" fillId="0" borderId="212" xfId="0" applyFont="1" applyBorder="1" applyAlignment="1">
      <alignment horizontal="center"/>
    </xf>
    <xf numFmtId="0" fontId="130" fillId="0" borderId="29" xfId="0" applyFont="1" applyBorder="1" applyAlignment="1">
      <alignment horizontal="center"/>
    </xf>
    <xf numFmtId="0" fontId="135" fillId="0" borderId="187" xfId="0" applyFont="1" applyBorder="1" applyAlignment="1">
      <alignment horizontal="center"/>
    </xf>
    <xf numFmtId="0" fontId="135" fillId="0" borderId="216" xfId="0" applyFont="1" applyBorder="1" applyAlignment="1">
      <alignment horizontal="center"/>
    </xf>
    <xf numFmtId="0" fontId="130" fillId="0" borderId="41" xfId="0" applyFont="1" applyBorder="1" applyAlignment="1">
      <alignment horizontal="center"/>
    </xf>
    <xf numFmtId="0" fontId="135" fillId="0" borderId="44" xfId="0" applyFont="1" applyBorder="1" applyAlignment="1">
      <alignment horizontal="center"/>
    </xf>
    <xf numFmtId="0" fontId="135" fillId="0" borderId="218" xfId="0" applyFont="1" applyBorder="1" applyAlignment="1">
      <alignment horizontal="center"/>
    </xf>
    <xf numFmtId="0" fontId="130" fillId="0" borderId="66" xfId="0" applyFont="1" applyBorder="1" applyAlignment="1">
      <alignment horizontal="center"/>
    </xf>
    <xf numFmtId="0" fontId="135" fillId="0" borderId="201" xfId="0" applyFont="1" applyBorder="1" applyAlignment="1">
      <alignment horizontal="center"/>
    </xf>
    <xf numFmtId="0" fontId="135" fillId="0" borderId="220" xfId="0" applyFont="1" applyBorder="1" applyAlignment="1">
      <alignment horizontal="center"/>
    </xf>
    <xf numFmtId="0" fontId="11" fillId="0" borderId="163" xfId="0" applyFont="1" applyBorder="1" applyAlignment="1">
      <alignment horizontal="center" vertical="center"/>
    </xf>
    <xf numFmtId="0" fontId="136" fillId="0" borderId="128" xfId="0" applyFont="1" applyBorder="1" applyAlignment="1">
      <alignment horizontal="center"/>
    </xf>
    <xf numFmtId="2" fontId="5" fillId="0" borderId="19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2" fontId="5" fillId="0" borderId="29" xfId="0" applyNumberFormat="1" applyFont="1" applyBorder="1" applyAlignment="1">
      <alignment horizontal="center"/>
    </xf>
    <xf numFmtId="2" fontId="113" fillId="0" borderId="194" xfId="0" applyNumberFormat="1" applyFont="1" applyBorder="1" applyAlignment="1">
      <alignment horizontal="center"/>
    </xf>
    <xf numFmtId="2" fontId="6" fillId="0" borderId="29" xfId="0" applyNumberFormat="1" applyFont="1" applyBorder="1" applyAlignment="1">
      <alignment horizontal="center"/>
    </xf>
    <xf numFmtId="2" fontId="6" fillId="0" borderId="239" xfId="0" applyNumberFormat="1" applyFont="1" applyBorder="1" applyAlignment="1">
      <alignment horizontal="center"/>
    </xf>
    <xf numFmtId="2" fontId="6" fillId="0" borderId="195" xfId="0" applyNumberFormat="1" applyFont="1" applyBorder="1" applyAlignment="1">
      <alignment horizontal="center"/>
    </xf>
    <xf numFmtId="2" fontId="1" fillId="0" borderId="190" xfId="0" applyNumberFormat="1" applyFont="1" applyBorder="1" applyAlignment="1">
      <alignment horizontal="center"/>
    </xf>
    <xf numFmtId="2" fontId="113" fillId="0" borderId="198" xfId="0" applyNumberFormat="1" applyFont="1" applyBorder="1" applyAlignment="1">
      <alignment horizontal="center"/>
    </xf>
    <xf numFmtId="2" fontId="6" fillId="0" borderId="125" xfId="0" applyNumberFormat="1" applyFont="1" applyBorder="1" applyAlignment="1">
      <alignment horizontal="center"/>
    </xf>
    <xf numFmtId="2" fontId="6" fillId="0" borderId="199" xfId="0" applyNumberFormat="1" applyFont="1" applyBorder="1" applyAlignment="1">
      <alignment horizontal="center"/>
    </xf>
    <xf numFmtId="2" fontId="1" fillId="0" borderId="196" xfId="0" applyNumberFormat="1" applyFont="1" applyBorder="1" applyAlignment="1">
      <alignment horizontal="center"/>
    </xf>
    <xf numFmtId="2" fontId="113" fillId="0" borderId="208" xfId="0" applyNumberFormat="1" applyFont="1" applyBorder="1" applyAlignment="1">
      <alignment horizontal="center"/>
    </xf>
    <xf numFmtId="2" fontId="6" fillId="0" borderId="66" xfId="0" applyNumberFormat="1" applyFont="1" applyBorder="1" applyAlignment="1">
      <alignment horizontal="center"/>
    </xf>
    <xf numFmtId="2" fontId="6" fillId="0" borderId="240" xfId="0" applyNumberFormat="1" applyFont="1" applyBorder="1" applyAlignment="1">
      <alignment horizontal="center"/>
    </xf>
    <xf numFmtId="2" fontId="6" fillId="0" borderId="209" xfId="0" applyNumberFormat="1" applyFont="1" applyBorder="1" applyAlignment="1">
      <alignment horizontal="center"/>
    </xf>
    <xf numFmtId="2" fontId="1" fillId="0" borderId="204" xfId="0" applyNumberFormat="1" applyFont="1" applyBorder="1" applyAlignment="1">
      <alignment horizontal="center"/>
    </xf>
    <xf numFmtId="0" fontId="11" fillId="0" borderId="158" xfId="0" applyFont="1" applyBorder="1" applyAlignment="1">
      <alignment horizontal="center" vertical="center"/>
    </xf>
    <xf numFmtId="0" fontId="136" fillId="0" borderId="51" xfId="0" applyFont="1" applyBorder="1" applyAlignment="1">
      <alignment horizontal="center"/>
    </xf>
    <xf numFmtId="2" fontId="5" fillId="0" borderId="52" xfId="0" applyNumberFormat="1" applyFont="1" applyBorder="1" applyAlignment="1">
      <alignment horizontal="center"/>
    </xf>
    <xf numFmtId="2" fontId="11" fillId="0" borderId="67" xfId="0" applyNumberFormat="1" applyFont="1" applyBorder="1" applyAlignment="1">
      <alignment horizontal="center"/>
    </xf>
    <xf numFmtId="0" fontId="5" fillId="0" borderId="229" xfId="0" applyFont="1" applyBorder="1" applyAlignment="1">
      <alignment horizontal="center" vertical="center"/>
    </xf>
    <xf numFmtId="0" fontId="1" fillId="0" borderId="233" xfId="0" applyFont="1" applyBorder="1" applyAlignment="1">
      <alignment horizontal="center"/>
    </xf>
    <xf numFmtId="2" fontId="5" fillId="0" borderId="230" xfId="0" applyNumberFormat="1" applyFont="1" applyBorder="1" applyAlignment="1">
      <alignment horizontal="center" vertical="center"/>
    </xf>
    <xf numFmtId="2" fontId="5" fillId="0" borderId="30" xfId="0" applyNumberFormat="1" applyFont="1" applyBorder="1" applyAlignment="1">
      <alignment horizontal="center" vertical="center"/>
    </xf>
    <xf numFmtId="0" fontId="137" fillId="0" borderId="14" xfId="0" applyFont="1" applyBorder="1" applyAlignment="1">
      <alignment horizontal="center"/>
    </xf>
    <xf numFmtId="0" fontId="135" fillId="0" borderId="211" xfId="0" applyFont="1" applyBorder="1" applyAlignment="1">
      <alignment horizontal="center"/>
    </xf>
    <xf numFmtId="0" fontId="137" fillId="0" borderId="15" xfId="0" applyFont="1" applyBorder="1" applyAlignment="1">
      <alignment horizontal="center"/>
    </xf>
    <xf numFmtId="0" fontId="137" fillId="0" borderId="29" xfId="0" applyFont="1" applyBorder="1" applyAlignment="1">
      <alignment horizontal="center"/>
    </xf>
    <xf numFmtId="0" fontId="138" fillId="0" borderId="215" xfId="0" applyFont="1" applyBorder="1" applyAlignment="1">
      <alignment horizontal="center"/>
    </xf>
    <xf numFmtId="0" fontId="138" fillId="0" borderId="187" xfId="0" applyFont="1" applyBorder="1" applyAlignment="1">
      <alignment horizontal="center"/>
    </xf>
    <xf numFmtId="0" fontId="138" fillId="0" borderId="216" xfId="0" applyFont="1" applyBorder="1" applyAlignment="1">
      <alignment horizontal="center"/>
    </xf>
    <xf numFmtId="0" fontId="137" fillId="0" borderId="30" xfId="0" applyFont="1" applyBorder="1" applyAlignment="1">
      <alignment horizontal="center"/>
    </xf>
    <xf numFmtId="0" fontId="137" fillId="0" borderId="41" xfId="0" applyFont="1" applyBorder="1" applyAlignment="1">
      <alignment horizontal="center"/>
    </xf>
    <xf numFmtId="0" fontId="138" fillId="0" borderId="217" xfId="0" applyFont="1" applyBorder="1" applyAlignment="1">
      <alignment horizontal="center"/>
    </xf>
    <xf numFmtId="0" fontId="138" fillId="0" borderId="44" xfId="0" applyFont="1" applyBorder="1" applyAlignment="1">
      <alignment horizontal="center"/>
    </xf>
    <xf numFmtId="0" fontId="138" fillId="0" borderId="218" xfId="0" applyFont="1" applyBorder="1" applyAlignment="1">
      <alignment horizontal="center"/>
    </xf>
    <xf numFmtId="0" fontId="137" fillId="0" borderId="42" xfId="0" applyFont="1" applyBorder="1" applyAlignment="1">
      <alignment horizontal="center"/>
    </xf>
    <xf numFmtId="0" fontId="137" fillId="0" borderId="66" xfId="0" applyFont="1" applyBorder="1" applyAlignment="1">
      <alignment horizontal="center"/>
    </xf>
    <xf numFmtId="0" fontId="138" fillId="0" borderId="219" xfId="0" applyFont="1" applyBorder="1" applyAlignment="1">
      <alignment horizontal="center"/>
    </xf>
    <xf numFmtId="0" fontId="138" fillId="0" borderId="201" xfId="0" applyFont="1" applyBorder="1" applyAlignment="1">
      <alignment horizontal="center"/>
    </xf>
    <xf numFmtId="0" fontId="138" fillId="0" borderId="220" xfId="0" applyFont="1" applyBorder="1" applyAlignment="1">
      <alignment horizontal="center"/>
    </xf>
    <xf numFmtId="0" fontId="137" fillId="0" borderId="67" xfId="0" applyFont="1" applyBorder="1" applyAlignment="1">
      <alignment horizontal="center"/>
    </xf>
    <xf numFmtId="0" fontId="6" fillId="0" borderId="211" xfId="0" applyFont="1" applyBorder="1" applyAlignment="1">
      <alignment horizontal="center"/>
    </xf>
    <xf numFmtId="2" fontId="6" fillId="0" borderId="215" xfId="0" applyNumberFormat="1" applyFont="1" applyBorder="1" applyAlignment="1">
      <alignment horizontal="center"/>
    </xf>
    <xf numFmtId="2" fontId="6" fillId="0" borderId="217" xfId="0" applyNumberFormat="1" applyFont="1" applyBorder="1" applyAlignment="1">
      <alignment horizontal="center"/>
    </xf>
    <xf numFmtId="2" fontId="6" fillId="0" borderId="219" xfId="0" applyNumberFormat="1" applyFont="1" applyBorder="1" applyAlignment="1">
      <alignment horizontal="center"/>
    </xf>
    <xf numFmtId="0" fontId="113" fillId="0" borderId="239" xfId="0" applyFont="1" applyBorder="1" applyAlignment="1">
      <alignment horizontal="center"/>
    </xf>
    <xf numFmtId="2" fontId="85" fillId="0" borderId="215" xfId="0" applyNumberFormat="1" applyFont="1" applyBorder="1" applyAlignment="1">
      <alignment horizontal="center" vertical="center"/>
    </xf>
    <xf numFmtId="2" fontId="129" fillId="0" borderId="216" xfId="0" applyNumberFormat="1" applyFont="1" applyBorder="1" applyAlignment="1">
      <alignment horizontal="center" vertical="center"/>
    </xf>
    <xf numFmtId="0" fontId="113" fillId="0" borderId="125" xfId="0" applyFont="1" applyBorder="1" applyAlignment="1">
      <alignment horizontal="center"/>
    </xf>
    <xf numFmtId="0" fontId="113" fillId="0" borderId="240" xfId="0" applyFont="1" applyBorder="1" applyAlignment="1">
      <alignment horizontal="center"/>
    </xf>
    <xf numFmtId="0" fontId="137" fillId="0" borderId="5" xfId="0" applyFont="1" applyBorder="1" applyAlignment="1">
      <alignment horizontal="center"/>
    </xf>
    <xf numFmtId="0" fontId="137" fillId="0" borderId="12" xfId="0" applyFont="1" applyBorder="1" applyAlignment="1">
      <alignment horizontal="center"/>
    </xf>
    <xf numFmtId="0" fontId="131" fillId="0" borderId="194" xfId="0" applyFont="1" applyBorder="1" applyAlignment="1">
      <alignment horizontal="center"/>
    </xf>
    <xf numFmtId="0" fontId="131" fillId="0" borderId="241" xfId="0" applyFont="1" applyBorder="1" applyAlignment="1">
      <alignment horizontal="center"/>
    </xf>
    <xf numFmtId="0" fontId="137" fillId="0" borderId="221" xfId="0" applyFont="1" applyBorder="1" applyAlignment="1">
      <alignment horizontal="center"/>
    </xf>
    <xf numFmtId="0" fontId="131" fillId="0" borderId="198" xfId="0" applyFont="1" applyBorder="1" applyAlignment="1">
      <alignment horizontal="center"/>
    </xf>
    <xf numFmtId="0" fontId="131" fillId="0" borderId="242" xfId="0" applyFont="1" applyBorder="1" applyAlignment="1">
      <alignment horizontal="center"/>
    </xf>
    <xf numFmtId="0" fontId="137" fillId="0" borderId="222" xfId="0" applyFont="1" applyBorder="1" applyAlignment="1">
      <alignment horizontal="center"/>
    </xf>
    <xf numFmtId="0" fontId="131" fillId="0" borderId="208" xfId="0" applyFont="1" applyBorder="1" applyAlignment="1">
      <alignment horizontal="center"/>
    </xf>
    <xf numFmtId="0" fontId="131" fillId="0" borderId="243" xfId="0" applyFont="1" applyBorder="1" applyAlignment="1">
      <alignment horizontal="center"/>
    </xf>
    <xf numFmtId="0" fontId="137" fillId="0" borderId="223" xfId="0" applyFont="1" applyBorder="1" applyAlignment="1">
      <alignment horizontal="center"/>
    </xf>
    <xf numFmtId="0" fontId="95" fillId="0" borderId="33" xfId="0" applyFont="1" applyBorder="1" applyAlignment="1">
      <alignment horizontal="center"/>
    </xf>
    <xf numFmtId="2" fontId="5" fillId="0" borderId="190" xfId="0" applyNumberFormat="1" applyFont="1" applyBorder="1" applyAlignment="1">
      <alignment horizontal="center"/>
    </xf>
    <xf numFmtId="0" fontId="95" fillId="0" borderId="44" xfId="0" applyFont="1" applyBorder="1" applyAlignment="1">
      <alignment horizontal="center"/>
    </xf>
    <xf numFmtId="2" fontId="5" fillId="0" borderId="196" xfId="0" applyNumberFormat="1" applyFont="1" applyBorder="1" applyAlignment="1">
      <alignment horizontal="center"/>
    </xf>
    <xf numFmtId="0" fontId="95" fillId="0" borderId="47" xfId="0" applyFont="1" applyBorder="1" applyAlignment="1">
      <alignment horizontal="center"/>
    </xf>
    <xf numFmtId="2" fontId="5" fillId="0" borderId="204" xfId="0" applyNumberFormat="1" applyFont="1" applyBorder="1" applyAlignment="1">
      <alignment horizontal="center"/>
    </xf>
    <xf numFmtId="0" fontId="0" fillId="0" borderId="88" xfId="0" applyBorder="1"/>
    <xf numFmtId="0" fontId="112" fillId="0" borderId="88" xfId="0" applyFont="1" applyBorder="1"/>
    <xf numFmtId="0" fontId="112" fillId="0" borderId="36" xfId="0" applyFont="1" applyBorder="1"/>
    <xf numFmtId="0" fontId="139" fillId="0" borderId="0" xfId="0" applyFont="1"/>
    <xf numFmtId="0" fontId="139" fillId="0" borderId="88" xfId="0" applyFont="1" applyBorder="1"/>
    <xf numFmtId="0" fontId="139" fillId="0" borderId="36" xfId="0" applyFont="1" applyBorder="1"/>
    <xf numFmtId="0" fontId="0" fillId="0" borderId="36" xfId="0" applyBorder="1"/>
    <xf numFmtId="10" fontId="19" fillId="0" borderId="101" xfId="0" applyNumberFormat="1" applyFont="1" applyBorder="1" applyAlignment="1">
      <alignment horizontal="center" vertical="center"/>
    </xf>
    <xf numFmtId="0" fontId="6" fillId="0" borderId="102" xfId="0" applyFont="1" applyBorder="1" applyAlignment="1">
      <alignment horizontal="center" vertical="center"/>
    </xf>
    <xf numFmtId="10" fontId="52" fillId="0" borderId="104" xfId="0" applyNumberFormat="1" applyFont="1" applyBorder="1" applyAlignment="1">
      <alignment horizontal="center" vertical="center"/>
    </xf>
    <xf numFmtId="0" fontId="11" fillId="0" borderId="105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1" fillId="0" borderId="112" xfId="0" applyFont="1" applyBorder="1" applyAlignment="1">
      <alignment horizontal="center" vertical="center"/>
    </xf>
    <xf numFmtId="0" fontId="6" fillId="0" borderId="110" xfId="0" applyFont="1" applyBorder="1" applyAlignment="1">
      <alignment horizontal="center" vertical="center"/>
    </xf>
    <xf numFmtId="2" fontId="52" fillId="0" borderId="104" xfId="0" applyNumberFormat="1" applyFont="1" applyBorder="1" applyAlignment="1">
      <alignment horizontal="center" vertical="center"/>
    </xf>
    <xf numFmtId="49" fontId="19" fillId="4" borderId="1" xfId="0" applyNumberFormat="1" applyFont="1" applyFill="1" applyBorder="1" applyAlignment="1">
      <alignment horizontal="center" vertical="center"/>
    </xf>
    <xf numFmtId="2" fontId="19" fillId="0" borderId="101" xfId="0" applyNumberFormat="1" applyFont="1" applyBorder="1" applyAlignment="1">
      <alignment horizontal="center" vertical="center"/>
    </xf>
    <xf numFmtId="0" fontId="9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9" fillId="0" borderId="0" xfId="0" applyFont="1" applyAlignment="1">
      <alignment horizontal="right" vertical="center"/>
    </xf>
    <xf numFmtId="2" fontId="19" fillId="0" borderId="159" xfId="0" applyNumberFormat="1" applyFont="1" applyBorder="1" applyAlignment="1">
      <alignment horizontal="center" vertical="center"/>
    </xf>
    <xf numFmtId="2" fontId="19" fillId="0" borderId="160" xfId="0" applyNumberFormat="1" applyFont="1" applyBorder="1" applyAlignment="1">
      <alignment horizontal="center" vertical="center"/>
    </xf>
    <xf numFmtId="2" fontId="52" fillId="0" borderId="161" xfId="0" applyNumberFormat="1" applyFont="1" applyBorder="1" applyAlignment="1">
      <alignment horizontal="center" vertical="center"/>
    </xf>
    <xf numFmtId="2" fontId="52" fillId="0" borderId="162" xfId="0" applyNumberFormat="1" applyFont="1" applyBorder="1" applyAlignment="1">
      <alignment horizontal="center" vertical="center"/>
    </xf>
    <xf numFmtId="0" fontId="90" fillId="0" borderId="1" xfId="0" applyFont="1" applyBorder="1" applyAlignment="1">
      <alignment horizontal="center" vertical="center"/>
    </xf>
    <xf numFmtId="0" fontId="104" fillId="0" borderId="0" xfId="0" applyFont="1" applyAlignment="1">
      <alignment horizontal="right" vertical="center"/>
    </xf>
    <xf numFmtId="2" fontId="19" fillId="0" borderId="139" xfId="0" applyNumberFormat="1" applyFont="1" applyBorder="1" applyAlignment="1">
      <alignment horizontal="center" vertical="center"/>
    </xf>
    <xf numFmtId="2" fontId="19" fillId="0" borderId="165" xfId="0" applyNumberFormat="1" applyFont="1" applyBorder="1" applyAlignment="1">
      <alignment horizontal="center" vertical="center"/>
    </xf>
    <xf numFmtId="2" fontId="19" fillId="0" borderId="140" xfId="0" applyNumberFormat="1" applyFont="1" applyBorder="1" applyAlignment="1">
      <alignment horizontal="center" vertical="center"/>
    </xf>
    <xf numFmtId="2" fontId="52" fillId="0" borderId="154" xfId="0" applyNumberFormat="1" applyFont="1" applyBorder="1" applyAlignment="1">
      <alignment horizontal="center" vertical="center"/>
    </xf>
    <xf numFmtId="2" fontId="52" fillId="0" borderId="166" xfId="0" applyNumberFormat="1" applyFont="1" applyBorder="1" applyAlignment="1">
      <alignment horizontal="center" vertical="center"/>
    </xf>
    <xf numFmtId="2" fontId="52" fillId="0" borderId="155" xfId="0" applyNumberFormat="1" applyFont="1" applyBorder="1" applyAlignment="1">
      <alignment horizontal="center" vertical="center"/>
    </xf>
    <xf numFmtId="0" fontId="11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02" xfId="0" applyFont="1" applyBorder="1" applyAlignment="1">
      <alignment horizontal="center"/>
    </xf>
    <xf numFmtId="0" fontId="11" fillId="0" borderId="105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1" fillId="0" borderId="66" xfId="0" applyFont="1" applyBorder="1" applyAlignment="1">
      <alignment horizontal="center"/>
    </xf>
    <xf numFmtId="0" fontId="0" fillId="0" borderId="24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EFFF"/>
      <rgbColor rgb="FFFF0000"/>
      <rgbColor rgb="FF47D45A"/>
      <rgbColor rgb="FF0000FF"/>
      <rgbColor rgb="FFDDDDDD"/>
      <rgbColor rgb="FFFF00FF"/>
      <rgbColor rgb="FF00FFFF"/>
      <rgbColor rgb="FF800000"/>
      <rgbColor rgb="FF3B7D23"/>
      <rgbColor rgb="FF000080"/>
      <rgbColor rgb="FF7F7F7F"/>
      <rgbColor rgb="FF800080"/>
      <rgbColor rgb="FF0F9ED5"/>
      <rgbColor rgb="FFBFBFBF"/>
      <rgbColor rgb="FF808080"/>
      <rgbColor rgb="FFAEAEAE"/>
      <rgbColor rgb="FF993366"/>
      <rgbColor rgb="FFFFFFCC"/>
      <rgbColor rgb="FFCCFFFF"/>
      <rgbColor rgb="FF660066"/>
      <rgbColor rgb="FFFF7C80"/>
      <rgbColor rgb="FF0070C0"/>
      <rgbColor rgb="FFD1D1D1"/>
      <rgbColor rgb="FF000080"/>
      <rgbColor rgb="FFFF00FF"/>
      <rgbColor rgb="FFEAEAEA"/>
      <rgbColor rgb="FF00FFFF"/>
      <rgbColor rgb="FF800080"/>
      <rgbColor rgb="FF800000"/>
      <rgbColor rgb="FF4E95D9"/>
      <rgbColor rgb="FF0000FF"/>
      <rgbColor rgb="FF61CBF4"/>
      <rgbColor rgb="FFDEE7E5"/>
      <rgbColor rgb="FFD9F2D0"/>
      <rgbColor rgb="FFFFFFD7"/>
      <rgbColor rgb="FF83CBEB"/>
      <rgbColor rgb="FFE59EDD"/>
      <rgbColor rgb="FFD86ECC"/>
      <rgbColor rgb="FFFFA7A7"/>
      <rgbColor rgb="FF5983B0"/>
      <rgbColor rgb="FF45B0E1"/>
      <rgbColor rgb="FF8ED873"/>
      <rgbColor rgb="FFCCCCCC"/>
      <rgbColor rgb="FFBF819E"/>
      <rgbColor rgb="FFF2CFEE"/>
      <rgbColor rgb="FF467886"/>
      <rgbColor rgb="FFA6A6A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feargreedmeter.com/fear-and-greed-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5E96E-801E-4CA6-B6CE-56D7900614BC}">
  <dimension ref="A1:XEY46"/>
  <sheetViews>
    <sheetView zoomScaleNormal="100" workbookViewId="0">
      <selection activeCell="L5" sqref="L5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5" thickBot="1" x14ac:dyDescent="0.35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150</v>
      </c>
      <c r="O1" s="13" t="s">
        <v>11</v>
      </c>
      <c r="P1" s="14" t="s">
        <v>12</v>
      </c>
      <c r="Q1" s="15">
        <f>SUM(P2:P10)</f>
        <v>696.99259259259259</v>
      </c>
      <c r="R1" s="16" t="s">
        <v>13</v>
      </c>
      <c r="S1" s="17">
        <f>SUM(R2:R10)</f>
        <v>795.37095717171724</v>
      </c>
      <c r="T1" s="18" t="s">
        <v>14</v>
      </c>
      <c r="U1" s="17">
        <f>SUM(T2:T10)</f>
        <v>793.01537126185269</v>
      </c>
      <c r="V1" s="18" t="s">
        <v>15</v>
      </c>
      <c r="W1" s="17">
        <f>SUM(V2:V10)</f>
        <v>637.03666666666663</v>
      </c>
      <c r="X1" s="19" t="s">
        <v>16</v>
      </c>
      <c r="Y1" s="20">
        <f>SUM(X2:X10)</f>
        <v>787.10860000000002</v>
      </c>
      <c r="Z1" s="21" t="s">
        <v>17</v>
      </c>
      <c r="AA1" s="22">
        <f>SUM(Z2:Z10)</f>
        <v>767.48780303030298</v>
      </c>
      <c r="AB1" s="23"/>
      <c r="AC1" s="24" t="s">
        <v>18</v>
      </c>
      <c r="AD1" s="25" t="s">
        <v>19</v>
      </c>
    </row>
    <row r="2" spans="1:45" ht="15" thickBot="1" x14ac:dyDescent="0.35">
      <c r="A2" s="26" t="s">
        <v>12</v>
      </c>
      <c r="B2" s="27">
        <v>4.0602</v>
      </c>
      <c r="C2" s="28">
        <v>4.0355999999999996</v>
      </c>
      <c r="D2" s="28">
        <v>0</v>
      </c>
      <c r="E2" s="28">
        <v>4.0761000000000003</v>
      </c>
      <c r="F2" s="28">
        <v>4.0288000000000004</v>
      </c>
      <c r="G2" s="28">
        <v>0</v>
      </c>
      <c r="H2" s="28">
        <v>4.0269000000000004</v>
      </c>
      <c r="I2" s="28">
        <v>4.0267999999999997</v>
      </c>
      <c r="J2" s="29">
        <v>4.0464000000000002</v>
      </c>
      <c r="K2" s="30"/>
      <c r="O2" s="31" t="str">
        <f>B1</f>
        <v>PyCaret</v>
      </c>
      <c r="P2" s="32">
        <f>100-ABS((($H10-B2)/($H10)))*100</f>
        <v>99.748148148148147</v>
      </c>
      <c r="Q2" s="33">
        <f t="shared" ref="Q2:Q10" si="0">P2/$Q$1</f>
        <v>0.14311220694199417</v>
      </c>
      <c r="R2" s="34">
        <f>100-ABS((($H11-B3)/($H11)))*100</f>
        <v>98.109438585858598</v>
      </c>
      <c r="S2" s="35">
        <f t="shared" ref="S2:S10" si="1">R2/$S$1</f>
        <v>0.12335054190905941</v>
      </c>
      <c r="T2" s="35">
        <f>100-ABS((($H12-B4)/($H12)))*100</f>
        <v>98.218684172137131</v>
      </c>
      <c r="U2" s="35">
        <f t="shared" ref="U2:U10" si="2">T2/$U$1</f>
        <v>0.12385470412238131</v>
      </c>
      <c r="V2" s="35">
        <f>100-ABS((($H13-B5)/($H13)))*100</f>
        <v>70.647083333333342</v>
      </c>
      <c r="W2" s="35">
        <f t="shared" ref="W2:W10" si="3">V2/$W$1</f>
        <v>0.11089955575555568</v>
      </c>
      <c r="X2" s="36">
        <f>100-ABS((($H14-B6)/($H14)))*100</f>
        <v>98.03179999999999</v>
      </c>
      <c r="Y2" s="37">
        <f t="shared" ref="Y2:Y10" si="4">X2/$Y$1</f>
        <v>0.12454672709712483</v>
      </c>
      <c r="Z2" s="38">
        <f>100-ABS((($H15-B7)/($H15)))*100</f>
        <v>94.600984848484842</v>
      </c>
      <c r="AA2" s="39">
        <f t="shared" ref="AA2:AA10" si="5">Z2/$AA$1</f>
        <v>0.12326057101489818</v>
      </c>
      <c r="AB2" s="23"/>
      <c r="AC2" s="40">
        <f t="shared" ref="AC2:AC10" si="6">(R2+T2+V2+X2)/4</f>
        <v>91.251751522832265</v>
      </c>
      <c r="AD2" s="41">
        <f t="shared" ref="AD2:AD10" si="7">(P2+R2+T2+V2+X2+Z2)/6</f>
        <v>93.226023181327022</v>
      </c>
      <c r="AE2" s="42" t="str">
        <f>IF($AC2=MAX(AC2:AC10),"TOP","")</f>
        <v/>
      </c>
    </row>
    <row r="3" spans="1:45" ht="15" thickBot="1" x14ac:dyDescent="0.35">
      <c r="A3" s="43" t="s">
        <v>13</v>
      </c>
      <c r="B3" s="44">
        <v>48564.172100000003</v>
      </c>
      <c r="C3" s="45">
        <v>49474.569600000003</v>
      </c>
      <c r="D3" s="45">
        <v>0</v>
      </c>
      <c r="E3" s="45">
        <v>49407.987999999998</v>
      </c>
      <c r="F3" s="45">
        <v>49366.732499999998</v>
      </c>
      <c r="G3" s="45">
        <v>49263.7192</v>
      </c>
      <c r="H3" s="45">
        <v>49314.926399999997</v>
      </c>
      <c r="I3" s="45">
        <v>49283.446000000004</v>
      </c>
      <c r="J3" s="46">
        <v>49033.07</v>
      </c>
      <c r="K3" s="30"/>
      <c r="L3" s="47" t="s">
        <v>151</v>
      </c>
      <c r="O3" s="48" t="str">
        <f>C1</f>
        <v>ARIMAX</v>
      </c>
      <c r="P3" s="49">
        <f>100-ABS((($H10-C2)/($H10)))*100</f>
        <v>99.644444444444446</v>
      </c>
      <c r="Q3" s="50">
        <f t="shared" si="0"/>
        <v>0.14296341955916425</v>
      </c>
      <c r="R3" s="51">
        <f>100-ABS((($H11-C3)/($H11)))*100</f>
        <v>99.948625454545464</v>
      </c>
      <c r="S3" s="52">
        <f t="shared" si="1"/>
        <v>0.12566290553272866</v>
      </c>
      <c r="T3" s="52">
        <f>100-ABS((($H12-C4)/($H12)))*100</f>
        <v>98.973037199124732</v>
      </c>
      <c r="U3" s="52">
        <f t="shared" si="2"/>
        <v>0.12480595053490326</v>
      </c>
      <c r="V3" s="52">
        <f>100-ABS((($H13-C5)/($H13)))*100</f>
        <v>82.330416666666665</v>
      </c>
      <c r="W3" s="52">
        <f t="shared" si="3"/>
        <v>0.12923968269748995</v>
      </c>
      <c r="X3" s="53">
        <f>100-ABS((($H14-C6)/($H14)))*100</f>
        <v>98.767083333333332</v>
      </c>
      <c r="Y3" s="54">
        <f t="shared" si="4"/>
        <v>0.12548088450987999</v>
      </c>
      <c r="Z3" s="55">
        <f>100-ABS((($H15-C7)/($H15)))*100</f>
        <v>96.625681818181803</v>
      </c>
      <c r="AA3" s="39">
        <f t="shared" si="5"/>
        <v>0.12589865459316843</v>
      </c>
      <c r="AB3" s="23"/>
      <c r="AC3" s="56">
        <f t="shared" si="6"/>
        <v>95.004790663417552</v>
      </c>
      <c r="AD3" s="57">
        <f t="shared" si="7"/>
        <v>96.048214819382736</v>
      </c>
      <c r="AE3" s="42" t="str">
        <f>IF($AC3=MAX(AC2:AC10),"TOP","")</f>
        <v>TOP</v>
      </c>
    </row>
    <row r="4" spans="1:45" ht="15" thickBot="1" x14ac:dyDescent="0.35">
      <c r="A4" s="43" t="s">
        <v>14</v>
      </c>
      <c r="B4" s="58">
        <v>6977.1091999999999</v>
      </c>
      <c r="C4" s="59">
        <v>6925.3982999999998</v>
      </c>
      <c r="D4" s="59">
        <v>0</v>
      </c>
      <c r="E4" s="59">
        <v>6888.2835999999998</v>
      </c>
      <c r="F4" s="59">
        <v>6937.9701999999997</v>
      </c>
      <c r="G4" s="59">
        <v>6890.7587000000003</v>
      </c>
      <c r="H4" s="59">
        <v>6911.7911999999997</v>
      </c>
      <c r="I4" s="59">
        <v>6909.2233999999999</v>
      </c>
      <c r="J4" s="60">
        <v>6878.2617</v>
      </c>
      <c r="K4" s="30"/>
      <c r="O4" s="48" t="str">
        <f>D1</f>
        <v>PCE</v>
      </c>
      <c r="P4" s="49">
        <f>100-ABS((($H10-D2)/($H10)))*100</f>
        <v>0</v>
      </c>
      <c r="Q4" s="50">
        <f t="shared" si="0"/>
        <v>0</v>
      </c>
      <c r="R4" s="51">
        <f>100-ABS((($H11-D3)/($H11)))*100</f>
        <v>0</v>
      </c>
      <c r="S4" s="52">
        <f t="shared" si="1"/>
        <v>0</v>
      </c>
      <c r="T4" s="52">
        <f>100-ABS((($H12-D4)/($H12)))*100</f>
        <v>0</v>
      </c>
      <c r="U4" s="52">
        <f t="shared" si="2"/>
        <v>0</v>
      </c>
      <c r="V4" s="52">
        <f>100-ABS((($H13-D5)/($H13)))*100</f>
        <v>0</v>
      </c>
      <c r="W4" s="52">
        <f t="shared" si="3"/>
        <v>0</v>
      </c>
      <c r="X4" s="53">
        <f>100-ABS((($H14-D6)/($H14)))*100</f>
        <v>0</v>
      </c>
      <c r="Y4" s="54">
        <f t="shared" si="4"/>
        <v>0</v>
      </c>
      <c r="Z4" s="55">
        <f>100-ABS((($H15-D7)/($H15)))*100</f>
        <v>0</v>
      </c>
      <c r="AA4" s="39">
        <f t="shared" si="5"/>
        <v>0</v>
      </c>
      <c r="AB4" s="23"/>
      <c r="AC4" s="56">
        <f t="shared" si="6"/>
        <v>0</v>
      </c>
      <c r="AD4" s="57">
        <f t="shared" si="7"/>
        <v>0</v>
      </c>
      <c r="AE4" s="42" t="str">
        <f>IF($AC4=MAX(AC2:AC10),"TOP","")</f>
        <v/>
      </c>
    </row>
    <row r="5" spans="1:45" ht="15" thickBot="1" x14ac:dyDescent="0.35">
      <c r="A5" s="43" t="s">
        <v>15</v>
      </c>
      <c r="B5" s="61">
        <v>16.955300000000001</v>
      </c>
      <c r="C5" s="62">
        <v>19.7593</v>
      </c>
      <c r="D5" s="62">
        <v>0</v>
      </c>
      <c r="E5" s="62">
        <v>18.183499999999999</v>
      </c>
      <c r="F5" s="62">
        <v>19.796399999999998</v>
      </c>
      <c r="G5" s="62">
        <v>19.694400000000002</v>
      </c>
      <c r="H5" s="62">
        <v>19.409099999999999</v>
      </c>
      <c r="I5" s="62">
        <v>19.607800000000001</v>
      </c>
      <c r="J5" s="63">
        <v>19.483000000000001</v>
      </c>
      <c r="K5" s="30"/>
      <c r="L5" s="1" t="s">
        <v>21</v>
      </c>
      <c r="O5" s="48" t="str">
        <f>E1</f>
        <v>LSTM</v>
      </c>
      <c r="P5" s="49">
        <f>100-ABS((($H10-E2)/($H10)))*100</f>
        <v>99.35555555555554</v>
      </c>
      <c r="Q5" s="50">
        <f t="shared" si="0"/>
        <v>0.14254894042128083</v>
      </c>
      <c r="R5" s="51">
        <f>100-ABS((($H11-E3)/($H11)))*100</f>
        <v>99.814117171717172</v>
      </c>
      <c r="S5" s="52">
        <f t="shared" si="1"/>
        <v>0.12549379163484808</v>
      </c>
      <c r="T5" s="52">
        <f>100-ABS((($H12-E4)/($H12)))*100</f>
        <v>99.514462436177979</v>
      </c>
      <c r="U5" s="52">
        <f t="shared" si="2"/>
        <v>0.1254886929591664</v>
      </c>
      <c r="V5" s="52">
        <f>100-ABS((($H13-E5)/($H13)))*100</f>
        <v>75.76458333333332</v>
      </c>
      <c r="W5" s="52">
        <f t="shared" si="3"/>
        <v>0.11893284530979377</v>
      </c>
      <c r="X5" s="53">
        <f>100-ABS((($H14-E6)/($H14)))*100</f>
        <v>98.15236666666668</v>
      </c>
      <c r="Y5" s="54">
        <f t="shared" si="4"/>
        <v>0.12469990375745695</v>
      </c>
      <c r="Z5" s="55">
        <f>100-ABS((($H15-E7)/($H15)))*100</f>
        <v>95.05367424242425</v>
      </c>
      <c r="AA5" s="39">
        <f t="shared" si="5"/>
        <v>0.12385040370299046</v>
      </c>
      <c r="AB5" s="23"/>
      <c r="AC5" s="56">
        <f t="shared" si="6"/>
        <v>93.311382401973788</v>
      </c>
      <c r="AD5" s="57">
        <f t="shared" si="7"/>
        <v>94.609126567645831</v>
      </c>
      <c r="AE5" s="42" t="str">
        <f>IF($AC5=MAX(AC2:AC10),"TOP","")</f>
        <v/>
      </c>
    </row>
    <row r="6" spans="1:45" ht="14.4" x14ac:dyDescent="0.3">
      <c r="A6" s="43" t="s">
        <v>16</v>
      </c>
      <c r="B6" s="64">
        <v>611.80920000000003</v>
      </c>
      <c r="C6" s="65">
        <v>607.39750000000004</v>
      </c>
      <c r="D6" s="65">
        <v>0</v>
      </c>
      <c r="E6" s="65">
        <v>611.08579999999995</v>
      </c>
      <c r="F6" s="65">
        <v>612.31910000000005</v>
      </c>
      <c r="G6" s="65">
        <v>607.53039999999999</v>
      </c>
      <c r="H6" s="65">
        <v>610.09799999999996</v>
      </c>
      <c r="I6" s="65">
        <v>608.08050000000003</v>
      </c>
      <c r="J6" s="66">
        <v>609.02790000000005</v>
      </c>
      <c r="K6" s="30"/>
      <c r="O6" s="48" t="str">
        <f>F1</f>
        <v>GARCH</v>
      </c>
      <c r="P6" s="49">
        <f>100-ABS((($H10-F2)/($H10)))*100</f>
        <v>99.476543209876553</v>
      </c>
      <c r="Q6" s="50">
        <f t="shared" si="0"/>
        <v>0.14272252570124913</v>
      </c>
      <c r="R6" s="51">
        <f>100-ABS((($H11-F3)/($H11)))*100</f>
        <v>99.730772727272722</v>
      </c>
      <c r="S6" s="52">
        <f t="shared" si="1"/>
        <v>0.1253890047505736</v>
      </c>
      <c r="T6" s="52">
        <f>100-ABS((($H12-F4)/($H12)))*100</f>
        <v>98.789639679066383</v>
      </c>
      <c r="U6" s="52">
        <f t="shared" si="2"/>
        <v>0.12457468450059357</v>
      </c>
      <c r="V6" s="52">
        <f>100-ABS((($H13-F5)/($H13)))*100</f>
        <v>82.484999999999999</v>
      </c>
      <c r="W6" s="52">
        <f t="shared" si="3"/>
        <v>0.12948234272229228</v>
      </c>
      <c r="X6" s="53">
        <f>100-ABS((($H14-F6)/($H14)))*100</f>
        <v>97.946816666666663</v>
      </c>
      <c r="Y6" s="54">
        <f t="shared" si="4"/>
        <v>0.1244387580908996</v>
      </c>
      <c r="Z6" s="55">
        <f>100-ABS((($H15-F7)/($H15)))*100</f>
        <v>95.440681818181815</v>
      </c>
      <c r="AA6" s="39">
        <f t="shared" si="5"/>
        <v>0.1243546561148588</v>
      </c>
      <c r="AB6" s="23"/>
      <c r="AC6" s="56">
        <f t="shared" si="6"/>
        <v>94.738057268251453</v>
      </c>
      <c r="AD6" s="57">
        <f t="shared" si="7"/>
        <v>95.644909016844011</v>
      </c>
      <c r="AE6" s="42" t="str">
        <f>IF($AC6=MAX(AC2:AC10),"TOP","")</f>
        <v/>
      </c>
    </row>
    <row r="7" spans="1:45" ht="15" thickBot="1" x14ac:dyDescent="0.35">
      <c r="A7" s="67" t="s">
        <v>17</v>
      </c>
      <c r="B7" s="68">
        <v>249.7466</v>
      </c>
      <c r="C7" s="69">
        <v>272.90820000000002</v>
      </c>
      <c r="D7" s="69">
        <v>0</v>
      </c>
      <c r="E7" s="69">
        <v>277.05829999999997</v>
      </c>
      <c r="F7" s="69">
        <v>276.03660000000002</v>
      </c>
      <c r="G7" s="69">
        <v>273.93770000000001</v>
      </c>
      <c r="H7" s="69">
        <v>273.00900000000001</v>
      </c>
      <c r="I7" s="69">
        <v>273.00900000000001</v>
      </c>
      <c r="J7" s="70">
        <v>273.62</v>
      </c>
      <c r="K7" s="30"/>
      <c r="O7" s="48" t="str">
        <f>G1</f>
        <v>VAR</v>
      </c>
      <c r="P7" s="49">
        <f>100-ABS((($H10-G2)/($H10)))*100</f>
        <v>0</v>
      </c>
      <c r="Q7" s="50">
        <f t="shared" si="0"/>
        <v>0</v>
      </c>
      <c r="R7" s="51">
        <f>100-ABS((($H11-G3)/($H11)))*100</f>
        <v>99.522665050505054</v>
      </c>
      <c r="S7" s="52">
        <f t="shared" si="1"/>
        <v>0.12512735617654508</v>
      </c>
      <c r="T7" s="52">
        <f>100-ABS((($H12-G4)/($H12)))*100</f>
        <v>99.478355944566005</v>
      </c>
      <c r="U7" s="52">
        <f t="shared" si="2"/>
        <v>0.1254431623264442</v>
      </c>
      <c r="V7" s="52">
        <f>100-ABS((($H13-G5)/($H13)))*100</f>
        <v>82.06</v>
      </c>
      <c r="W7" s="52">
        <f t="shared" si="3"/>
        <v>0.12881519117162279</v>
      </c>
      <c r="X7" s="53">
        <f>100-ABS((($H14-G6)/($H14)))*100</f>
        <v>98.744933333333336</v>
      </c>
      <c r="Y7" s="54">
        <f t="shared" si="4"/>
        <v>0.12545274353924393</v>
      </c>
      <c r="Z7" s="55">
        <f>100-ABS((($H15-G7)/($H15)))*100</f>
        <v>96.235719696969696</v>
      </c>
      <c r="AA7" s="39">
        <f t="shared" si="5"/>
        <v>0.12539055254949763</v>
      </c>
      <c r="AB7" s="23"/>
      <c r="AC7" s="56">
        <f t="shared" si="6"/>
        <v>94.951488582101106</v>
      </c>
      <c r="AD7" s="57">
        <f t="shared" si="7"/>
        <v>79.340279004229018</v>
      </c>
      <c r="AE7" s="42" t="str">
        <f>IF($AC7=MAX(AC2:AC10),"TOP","")</f>
        <v/>
      </c>
    </row>
    <row r="8" spans="1:45" ht="15" thickBot="1" x14ac:dyDescent="0.35">
      <c r="O8" s="48" t="str">
        <f>H1</f>
        <v>RW</v>
      </c>
      <c r="P8" s="49">
        <f>100-ABS((($H10-H2)/($H10)))*100</f>
        <v>99.429629629629645</v>
      </c>
      <c r="Q8" s="50">
        <f t="shared" si="0"/>
        <v>0.14265521712330226</v>
      </c>
      <c r="R8" s="51">
        <f>100-ABS((($H11-H3)/($H11)))*100</f>
        <v>99.626113939393932</v>
      </c>
      <c r="S8" s="52">
        <f t="shared" si="1"/>
        <v>0.12525741987569841</v>
      </c>
      <c r="T8" s="52">
        <f>100-ABS((($H12-H4)/($H12)))*100</f>
        <v>99.171536105032828</v>
      </c>
      <c r="U8" s="52">
        <f t="shared" si="2"/>
        <v>0.12505625956181687</v>
      </c>
      <c r="V8" s="52">
        <f>100-ABS((($H13-H5)/($H13)))*100</f>
        <v>80.871250000000003</v>
      </c>
      <c r="W8" s="52">
        <f t="shared" si="3"/>
        <v>0.12694912904019132</v>
      </c>
      <c r="X8" s="53">
        <f>100-ABS((($H14-H6)/($H14)))*100</f>
        <v>98.317000000000007</v>
      </c>
      <c r="Y8" s="54">
        <f t="shared" si="4"/>
        <v>0.12490906591542769</v>
      </c>
      <c r="Z8" s="55">
        <f>100-ABS((($H15-H7)/($H15)))*100</f>
        <v>96.587499999999991</v>
      </c>
      <c r="AA8" s="39">
        <f t="shared" si="5"/>
        <v>0.12584890550525973</v>
      </c>
      <c r="AB8" s="23"/>
      <c r="AC8" s="56">
        <f t="shared" si="6"/>
        <v>94.496475011106696</v>
      </c>
      <c r="AD8" s="57">
        <f t="shared" si="7"/>
        <v>95.667171612342727</v>
      </c>
      <c r="AE8" s="42" t="str">
        <f>IF($AC8=MAX(AC2:AC10),"TOP","")</f>
        <v/>
      </c>
    </row>
    <row r="9" spans="1:45" ht="15.6" thickBot="1" x14ac:dyDescent="0.35">
      <c r="B9" s="71" t="s">
        <v>22</v>
      </c>
      <c r="C9" s="72" t="s">
        <v>23</v>
      </c>
      <c r="D9" s="1384" t="s">
        <v>21</v>
      </c>
      <c r="E9" s="1384"/>
      <c r="F9" s="1384" t="s">
        <v>24</v>
      </c>
      <c r="G9" s="1384"/>
      <c r="H9" s="73" t="s">
        <v>25</v>
      </c>
      <c r="L9" s="74" t="str">
        <f>IF(L10&lt;25,C30,IF(L10&lt;45,C31,IF(L10&lt;55,C32,IF(L10&lt;75,C33,C34))))</f>
        <v>Fear</v>
      </c>
      <c r="O9" s="48" t="str">
        <f>I1</f>
        <v>ETS</v>
      </c>
      <c r="P9" s="49">
        <f>100-ABS((($H10-I2)/($H10)))*100</f>
        <v>99.427160493827159</v>
      </c>
      <c r="Q9" s="50">
        <f t="shared" si="0"/>
        <v>0.14265167456656819</v>
      </c>
      <c r="R9" s="51">
        <f>100-ABS((($H11-I3)/($H11)))*100</f>
        <v>99.562517171717175</v>
      </c>
      <c r="S9" s="52">
        <f t="shared" si="1"/>
        <v>0.12517746125123103</v>
      </c>
      <c r="T9" s="52">
        <f>100-ABS((($H12-I4)/($H12)))*100</f>
        <v>99.20899489423779</v>
      </c>
      <c r="U9" s="52">
        <f t="shared" si="2"/>
        <v>0.12510349545479252</v>
      </c>
      <c r="V9" s="52">
        <f>100-ABS((($H13-I5)/($H13)))*100</f>
        <v>81.69916666666667</v>
      </c>
      <c r="W9" s="52">
        <f t="shared" si="3"/>
        <v>0.12824876642370142</v>
      </c>
      <c r="X9" s="53">
        <f>100-ABS((($H14-I6)/($H14)))*100</f>
        <v>98.65325</v>
      </c>
      <c r="Y9" s="54">
        <f t="shared" si="4"/>
        <v>0.12533626236582854</v>
      </c>
      <c r="Z9" s="75">
        <f>100-ABS((($H15-I7)/($H15)))*100</f>
        <v>96.587499999999991</v>
      </c>
      <c r="AA9" s="39">
        <f t="shared" si="5"/>
        <v>0.12584890550525973</v>
      </c>
      <c r="AB9" s="23"/>
      <c r="AC9" s="56">
        <f t="shared" si="6"/>
        <v>94.780982183155416</v>
      </c>
      <c r="AD9" s="57">
        <f t="shared" si="7"/>
        <v>95.856431537741457</v>
      </c>
      <c r="AE9" s="42" t="str">
        <f>IF($AC9=MAX(AC2:AC10),"TOP","")</f>
        <v/>
      </c>
    </row>
    <row r="10" spans="1:45" ht="15" thickBot="1" x14ac:dyDescent="0.35">
      <c r="A10" s="76" t="s">
        <v>12</v>
      </c>
      <c r="B10" s="77">
        <v>4.0330000000000004</v>
      </c>
      <c r="C10" s="78">
        <v>4.0439999999999996</v>
      </c>
      <c r="D10" s="79">
        <f>(B2*Q26)+(C2*Q27)+(D2*Q28)+(E2*Q29)+(F2*Q30)+(G2*Q31)+(H2*Q32)+(I2*Q33)+(J2*Q34)</f>
        <v>4.0421696658097686</v>
      </c>
      <c r="E10" s="80">
        <f>D10/$H$10</f>
        <v>0.99806658415056015</v>
      </c>
      <c r="F10" s="81">
        <v>4.0388972477064202</v>
      </c>
      <c r="G10" s="80">
        <f>F10/$H$10</f>
        <v>0.99725857968059761</v>
      </c>
      <c r="H10" s="82">
        <v>4.05</v>
      </c>
      <c r="L10" s="83">
        <v>43</v>
      </c>
      <c r="O10" s="84" t="str">
        <f>J1</f>
        <v>DynaMix</v>
      </c>
      <c r="P10" s="85">
        <f>100-ABS((($H10-J2)/($H10)))*100</f>
        <v>99.911111111111126</v>
      </c>
      <c r="Q10" s="86">
        <f t="shared" si="0"/>
        <v>0.14334601568644123</v>
      </c>
      <c r="R10" s="87">
        <f>100-ABS((($H11-J3)/($H11)))*100</f>
        <v>99.056707070707077</v>
      </c>
      <c r="S10" s="88">
        <f t="shared" si="1"/>
        <v>0.12454151886931565</v>
      </c>
      <c r="T10" s="88">
        <f>100-ABS((($H12-J4)/($H12)))*100</f>
        <v>99.660660831509844</v>
      </c>
      <c r="U10" s="88">
        <f t="shared" si="2"/>
        <v>0.12567305053990185</v>
      </c>
      <c r="V10" s="88">
        <f>100-ABS((($H13-J5)/($H13)))*100</f>
        <v>81.179166666666674</v>
      </c>
      <c r="W10" s="88">
        <f t="shared" si="3"/>
        <v>0.12743248687935285</v>
      </c>
      <c r="X10" s="89">
        <f>100-ABS((($H14-J6)/($H14)))*100</f>
        <v>98.495349999999988</v>
      </c>
      <c r="Y10" s="90">
        <f t="shared" si="4"/>
        <v>0.12513565472413843</v>
      </c>
      <c r="Z10" s="91">
        <f>100-ABS((($H15-J7)/($H15)))*100</f>
        <v>96.356060606060609</v>
      </c>
      <c r="AA10" s="92">
        <f t="shared" si="5"/>
        <v>0.12554735101406705</v>
      </c>
      <c r="AC10" s="93">
        <f t="shared" si="6"/>
        <v>94.597971142220885</v>
      </c>
      <c r="AD10" s="94">
        <f t="shared" si="7"/>
        <v>95.776509381009205</v>
      </c>
      <c r="AE10" s="42" t="str">
        <f>IF($AC10=MAX(AC2:AC10),"TOP","")</f>
        <v/>
      </c>
    </row>
    <row r="11" spans="1:45" ht="15" customHeight="1" thickBot="1" x14ac:dyDescent="0.35">
      <c r="A11" s="95" t="s">
        <v>13</v>
      </c>
      <c r="B11" s="96">
        <v>49174.5</v>
      </c>
      <c r="C11" s="97">
        <v>48818.85</v>
      </c>
      <c r="D11" s="98">
        <f>(B3*S26)+(C3*S27)+(D3*S28)+(E3*S29)+(F3*S30)+(G3*S31)+(H3*S32)+(I3*S33)+(J3*S34)</f>
        <v>49221.088022616408</v>
      </c>
      <c r="E11" s="99">
        <f>D11/$H$11</f>
        <v>0.99436541459831129</v>
      </c>
      <c r="F11" s="100">
        <v>49251.4836121673</v>
      </c>
      <c r="G11" s="99">
        <f>F11/$H$11</f>
        <v>0.99497946691247074</v>
      </c>
      <c r="H11" s="101">
        <v>49500</v>
      </c>
      <c r="O11" s="102" t="s">
        <v>26</v>
      </c>
      <c r="P11" s="85">
        <f>SUM(P2:P10)/8</f>
        <v>87.124074074074073</v>
      </c>
      <c r="Q11" s="86"/>
      <c r="R11" s="87">
        <f>AVERAGE(R2:R10)</f>
        <v>88.374550796857477</v>
      </c>
      <c r="S11" s="88"/>
      <c r="T11" s="88">
        <f>AVERAGE(T2:T10)</f>
        <v>88.112819029094737</v>
      </c>
      <c r="U11" s="88"/>
      <c r="V11" s="88">
        <f>AVERAGE(V2:V10)</f>
        <v>70.781851851851854</v>
      </c>
      <c r="W11" s="88"/>
      <c r="X11" s="89">
        <f>AVERAGE(X2:X10)</f>
        <v>87.456511111111112</v>
      </c>
      <c r="Y11" s="90"/>
      <c r="Z11" s="91">
        <f>AVERAGE(Z2:Z10)</f>
        <v>85.276422558922548</v>
      </c>
      <c r="AQ11" s="103"/>
      <c r="AS11" s="104" t="s">
        <v>27</v>
      </c>
    </row>
    <row r="12" spans="1:45" ht="15.6" thickBot="1" x14ac:dyDescent="0.35">
      <c r="A12" s="105" t="s">
        <v>14</v>
      </c>
      <c r="B12" s="106">
        <v>6890.07</v>
      </c>
      <c r="C12" s="107">
        <v>6837.74</v>
      </c>
      <c r="D12" s="108">
        <f>(B4*U26)+(C4*U27)+(D4*U28)+(E4*U29)+(F4*U30)+(G4*U31)+(H4*U32)+(I4*U33)+(J4*U34)</f>
        <v>6912.7657154618473</v>
      </c>
      <c r="E12" s="109">
        <f>D12/$H$12</f>
        <v>1.0084268002132528</v>
      </c>
      <c r="F12" s="110">
        <v>6907.2032967033001</v>
      </c>
      <c r="G12" s="109">
        <f>F12/$H$12</f>
        <v>1.0076153605694091</v>
      </c>
      <c r="H12" s="111">
        <v>6855</v>
      </c>
      <c r="AQ12" s="103"/>
      <c r="AS12" s="103"/>
    </row>
    <row r="13" spans="1:45" ht="15.6" thickBot="1" x14ac:dyDescent="0.35">
      <c r="A13" s="105" t="s">
        <v>15</v>
      </c>
      <c r="B13" s="112">
        <v>19.55</v>
      </c>
      <c r="C13" s="111">
        <v>19.55</v>
      </c>
      <c r="D13" s="108">
        <f>(B5*W26)+(C5*W27)+(D5*W28)+(E5*W29)+(F5*W30)+(G5*W31)+(H5*W32)+(I5*W33)+(J5*W34)</f>
        <v>18.93445814376706</v>
      </c>
      <c r="E13" s="109">
        <f>D13/$H$13</f>
        <v>0.7889357559902942</v>
      </c>
      <c r="F13" s="110">
        <v>19.318179061481299</v>
      </c>
      <c r="G13" s="109">
        <f>F13/$H$13</f>
        <v>0.80492412756172083</v>
      </c>
      <c r="H13" s="111">
        <v>24</v>
      </c>
      <c r="O13" s="13" t="s">
        <v>28</v>
      </c>
      <c r="P13" s="113" t="s">
        <v>12</v>
      </c>
      <c r="Q13" s="114">
        <f>SUM(P14:P22)</f>
        <v>595</v>
      </c>
      <c r="R13" s="115" t="s">
        <v>13</v>
      </c>
      <c r="S13" s="116">
        <f>SUM(R14:R22)</f>
        <v>690</v>
      </c>
      <c r="T13" s="117" t="s">
        <v>14</v>
      </c>
      <c r="U13" s="116">
        <f>SUM(T14:T22)</f>
        <v>615</v>
      </c>
      <c r="V13" s="117" t="s">
        <v>15</v>
      </c>
      <c r="W13" s="116">
        <f>SUM(V14:V22)</f>
        <v>6.2</v>
      </c>
      <c r="X13" s="117" t="s">
        <v>16</v>
      </c>
      <c r="Y13" s="20">
        <f>SUM(X14:X22)</f>
        <v>530</v>
      </c>
      <c r="Z13" s="118" t="s">
        <v>17</v>
      </c>
      <c r="AA13" s="22">
        <f>SUM(Z14:Z22)</f>
        <v>360</v>
      </c>
      <c r="AB13" s="23"/>
      <c r="AC13" s="24" t="s">
        <v>29</v>
      </c>
      <c r="AD13" s="119" t="s">
        <v>30</v>
      </c>
      <c r="AQ13" s="103"/>
      <c r="AS13" s="103"/>
    </row>
    <row r="14" spans="1:45" ht="15" x14ac:dyDescent="0.3">
      <c r="A14" s="120" t="s">
        <v>16</v>
      </c>
      <c r="B14" s="121">
        <v>607.87</v>
      </c>
      <c r="C14" s="122">
        <v>607.87</v>
      </c>
      <c r="D14" s="123">
        <f>(B6*Y26)+(C6*Y27)+(D6*Y28)+(E6*Y29)+(F6*Y30)+(G6*Y31)+(H6*Y32)+(I6*Y33)+(J6*Y34)</f>
        <v>609.60971301369852</v>
      </c>
      <c r="E14" s="124">
        <f>D14/$H$14</f>
        <v>1.0160161883561643</v>
      </c>
      <c r="F14" s="125">
        <v>609.91081932773102</v>
      </c>
      <c r="G14" s="124">
        <f>F14/$H$14</f>
        <v>1.0165180322128851</v>
      </c>
      <c r="H14" s="126">
        <v>600</v>
      </c>
      <c r="O14" s="127" t="str">
        <f t="shared" ref="O14:O22" si="8">O2</f>
        <v>PyCaret</v>
      </c>
      <c r="P14" s="128">
        <f t="shared" ref="P14:P22" si="9">IF(P2=0,0, LOOKUP(P2-0.000000000001,$AC$14:$AC$30,$AD$14:$AD$30))</f>
        <v>90</v>
      </c>
      <c r="Q14" s="129">
        <f t="shared" ref="Q14:Q22" si="10">P14/$Q$13</f>
        <v>0.15126050420168066</v>
      </c>
      <c r="R14" s="130">
        <f t="shared" ref="R14:R22" si="11">IF(R2=0,0, LOOKUP(R2-0.000000000001,$AC$14:$AC$30,$AD$14:$AD$30))</f>
        <v>65</v>
      </c>
      <c r="S14" s="131">
        <f t="shared" ref="S14:S22" si="12">R14/$S$13</f>
        <v>9.420289855072464E-2</v>
      </c>
      <c r="T14" s="131">
        <f t="shared" ref="T14:T22" si="13">IF(T2=0,0, LOOKUP(T2-0.000000000001,$AC$14:$AC$30,$AD$14:$AD$30))</f>
        <v>65</v>
      </c>
      <c r="U14" s="131">
        <f t="shared" ref="U14:U22" si="14">T14/$U$13</f>
        <v>0.10569105691056911</v>
      </c>
      <c r="V14" s="131">
        <f t="shared" ref="V14:V22" si="15">IF(V2=0,0, LOOKUP(V2-0.000000000001,$AC$14:$AC$30,$AD$14:$AD$30))</f>
        <v>0.1</v>
      </c>
      <c r="W14" s="131">
        <f t="shared" ref="W14:W22" si="16">V14/$W$13</f>
        <v>1.6129032258064516E-2</v>
      </c>
      <c r="X14" s="131">
        <f t="shared" ref="X14:X22" si="17">IF(X2=0,0, LOOKUP(X2-0.000000000001,$AC$14:$AC$30,$AD$14:$AD$30))</f>
        <v>65</v>
      </c>
      <c r="Y14" s="132">
        <f t="shared" ref="Y14:Y22" si="18">X14/$Y$13</f>
        <v>0.12264150943396226</v>
      </c>
      <c r="Z14" s="133">
        <f t="shared" ref="Z14:Z22" si="19">IF(Z2=0,0, LOOKUP(Z2-0.000000000001,$AC$14:$AC$30,$AD$14:$AD$30))</f>
        <v>30</v>
      </c>
      <c r="AA14" s="134">
        <f t="shared" ref="AA14:AA22" si="20">Z14/$AA$13</f>
        <v>8.3333333333333329E-2</v>
      </c>
      <c r="AB14" s="23"/>
      <c r="AC14" s="40">
        <v>1</v>
      </c>
      <c r="AD14" s="135">
        <v>0.1</v>
      </c>
      <c r="AQ14" s="103"/>
      <c r="AS14" s="103"/>
    </row>
    <row r="15" spans="1:45" ht="15.6" thickBot="1" x14ac:dyDescent="0.35">
      <c r="A15" s="136" t="s">
        <v>17</v>
      </c>
      <c r="B15" s="137">
        <v>272.14</v>
      </c>
      <c r="C15" s="138">
        <v>272.19</v>
      </c>
      <c r="D15" s="139">
        <f>(B7*AA25)+(C7*AA26)+(D7*AA27)+(E7*AA28)+(F7*AA29)+(G7*AA30)+(H7*AA31)+(I7*AA32)+(J7*AA33)</f>
        <v>271.24407479224379</v>
      </c>
      <c r="E15" s="140">
        <f>D15/$H$15</f>
        <v>1.0274396772433476</v>
      </c>
      <c r="F15" s="141">
        <v>274.37624113475198</v>
      </c>
      <c r="G15" s="140">
        <f>F15/$H$15</f>
        <v>1.0393039436922424</v>
      </c>
      <c r="H15" s="142">
        <v>264</v>
      </c>
      <c r="O15" s="143" t="str">
        <f t="shared" si="8"/>
        <v>ARIMAX</v>
      </c>
      <c r="P15" s="144">
        <f t="shared" si="9"/>
        <v>90</v>
      </c>
      <c r="Q15" s="145">
        <f t="shared" si="10"/>
        <v>0.15126050420168066</v>
      </c>
      <c r="R15" s="146">
        <f t="shared" si="11"/>
        <v>95</v>
      </c>
      <c r="S15" s="147">
        <f t="shared" si="12"/>
        <v>0.13768115942028986</v>
      </c>
      <c r="T15" s="147">
        <f t="shared" si="13"/>
        <v>70</v>
      </c>
      <c r="U15" s="147">
        <f t="shared" si="14"/>
        <v>0.11382113821138211</v>
      </c>
      <c r="V15" s="147">
        <f t="shared" si="15"/>
        <v>1</v>
      </c>
      <c r="W15" s="147">
        <f t="shared" si="16"/>
        <v>0.16129032258064516</v>
      </c>
      <c r="X15" s="147">
        <f t="shared" si="17"/>
        <v>70</v>
      </c>
      <c r="Y15" s="148">
        <f t="shared" si="18"/>
        <v>0.13207547169811321</v>
      </c>
      <c r="Z15" s="149">
        <f t="shared" si="19"/>
        <v>50</v>
      </c>
      <c r="AA15" s="134">
        <f t="shared" si="20"/>
        <v>0.1388888888888889</v>
      </c>
      <c r="AB15" s="23"/>
      <c r="AC15" s="56">
        <v>80</v>
      </c>
      <c r="AD15" s="150">
        <v>1</v>
      </c>
      <c r="AQ15" s="103"/>
      <c r="AS15" s="103"/>
    </row>
    <row r="16" spans="1:45" ht="15.6" thickBot="1" x14ac:dyDescent="0.35">
      <c r="G16" s="151"/>
      <c r="K16" s="8"/>
      <c r="O16" s="143" t="str">
        <f t="shared" si="8"/>
        <v>PCE</v>
      </c>
      <c r="P16" s="144">
        <f t="shared" si="9"/>
        <v>0</v>
      </c>
      <c r="Q16" s="145">
        <f t="shared" si="10"/>
        <v>0</v>
      </c>
      <c r="R16" s="146">
        <f t="shared" si="11"/>
        <v>0</v>
      </c>
      <c r="S16" s="147">
        <f t="shared" si="12"/>
        <v>0</v>
      </c>
      <c r="T16" s="147">
        <f t="shared" si="13"/>
        <v>0</v>
      </c>
      <c r="U16" s="147">
        <f t="shared" si="14"/>
        <v>0</v>
      </c>
      <c r="V16" s="147">
        <f t="shared" si="15"/>
        <v>0</v>
      </c>
      <c r="W16" s="147">
        <f t="shared" si="16"/>
        <v>0</v>
      </c>
      <c r="X16" s="147">
        <f t="shared" si="17"/>
        <v>0</v>
      </c>
      <c r="Y16" s="148">
        <f t="shared" si="18"/>
        <v>0</v>
      </c>
      <c r="Z16" s="149">
        <f t="shared" si="19"/>
        <v>0</v>
      </c>
      <c r="AA16" s="134">
        <f t="shared" si="20"/>
        <v>0</v>
      </c>
      <c r="AB16" s="23"/>
      <c r="AC16" s="56">
        <v>82.5</v>
      </c>
      <c r="AD16" s="150">
        <v>2</v>
      </c>
      <c r="AQ16" s="103"/>
      <c r="AS16" s="103"/>
    </row>
    <row r="17" spans="1:43" ht="15.6" thickBot="1" x14ac:dyDescent="0.35">
      <c r="A17" s="12" t="str">
        <f>F9</f>
        <v>LLM</v>
      </c>
      <c r="B17" s="1385" t="s">
        <v>31</v>
      </c>
      <c r="C17" s="1385"/>
      <c r="D17" s="1385">
        <v>85220</v>
      </c>
      <c r="E17" s="1385"/>
      <c r="F17" s="1385" t="s">
        <v>32</v>
      </c>
      <c r="G17" s="1385"/>
      <c r="H17" s="1385" t="s">
        <v>33</v>
      </c>
      <c r="I17" s="1385"/>
      <c r="J17" s="1385"/>
      <c r="K17" s="152"/>
      <c r="L17" s="153"/>
      <c r="M17" s="154"/>
      <c r="O17" s="143" t="str">
        <f t="shared" si="8"/>
        <v>LSTM</v>
      </c>
      <c r="P17" s="144">
        <f t="shared" si="9"/>
        <v>80</v>
      </c>
      <c r="Q17" s="145">
        <f t="shared" si="10"/>
        <v>0.13445378151260504</v>
      </c>
      <c r="R17" s="146">
        <f t="shared" si="11"/>
        <v>95</v>
      </c>
      <c r="S17" s="147">
        <f t="shared" si="12"/>
        <v>0.13768115942028986</v>
      </c>
      <c r="T17" s="147">
        <f t="shared" si="13"/>
        <v>90</v>
      </c>
      <c r="U17" s="147">
        <f t="shared" si="14"/>
        <v>0.14634146341463414</v>
      </c>
      <c r="V17" s="147">
        <f t="shared" si="15"/>
        <v>0.1</v>
      </c>
      <c r="W17" s="147">
        <f t="shared" si="16"/>
        <v>1.6129032258064516E-2</v>
      </c>
      <c r="X17" s="147">
        <f t="shared" si="17"/>
        <v>65</v>
      </c>
      <c r="Y17" s="148">
        <f t="shared" si="18"/>
        <v>0.12264150943396226</v>
      </c>
      <c r="Z17" s="149">
        <f t="shared" si="19"/>
        <v>40</v>
      </c>
      <c r="AA17" s="134">
        <f t="shared" si="20"/>
        <v>0.1111111111111111</v>
      </c>
      <c r="AB17" s="23"/>
      <c r="AC17" s="56">
        <v>85</v>
      </c>
      <c r="AD17" s="150">
        <v>5</v>
      </c>
      <c r="AQ17" s="103"/>
    </row>
    <row r="18" spans="1:43" ht="15" x14ac:dyDescent="0.3">
      <c r="A18" s="76" t="s">
        <v>12</v>
      </c>
      <c r="B18" s="155">
        <v>4.01</v>
      </c>
      <c r="C18" s="156">
        <f>1-ABS(1-B18/$H$10)</f>
        <v>0.99012345679012348</v>
      </c>
      <c r="D18" s="155">
        <v>4.05</v>
      </c>
      <c r="E18" s="156">
        <f>1-ABS(1-D18/$H$10)</f>
        <v>1</v>
      </c>
      <c r="F18" s="155">
        <v>4.1500000000000004</v>
      </c>
      <c r="G18" s="156">
        <f>1-ABS(1-F18/$H$10)</f>
        <v>0.97530864197530853</v>
      </c>
      <c r="H18" s="157" t="s">
        <v>12</v>
      </c>
      <c r="I18" s="158">
        <f>MAX(P2:P10)</f>
        <v>99.911111111111126</v>
      </c>
      <c r="J18" s="159" t="s">
        <v>34</v>
      </c>
      <c r="K18" s="160"/>
      <c r="L18" s="161"/>
      <c r="M18" s="162"/>
      <c r="O18" s="143" t="str">
        <f t="shared" si="8"/>
        <v>GARCH</v>
      </c>
      <c r="P18" s="144">
        <f t="shared" si="9"/>
        <v>80</v>
      </c>
      <c r="Q18" s="145">
        <f t="shared" si="10"/>
        <v>0.13445378151260504</v>
      </c>
      <c r="R18" s="146">
        <f t="shared" si="11"/>
        <v>90</v>
      </c>
      <c r="S18" s="147">
        <f t="shared" si="12"/>
        <v>0.13043478260869565</v>
      </c>
      <c r="T18" s="147">
        <f t="shared" si="13"/>
        <v>70</v>
      </c>
      <c r="U18" s="147">
        <f t="shared" si="14"/>
        <v>0.11382113821138211</v>
      </c>
      <c r="V18" s="147">
        <f t="shared" si="15"/>
        <v>1</v>
      </c>
      <c r="W18" s="147">
        <f t="shared" si="16"/>
        <v>0.16129032258064516</v>
      </c>
      <c r="X18" s="147">
        <f t="shared" si="17"/>
        <v>60</v>
      </c>
      <c r="Y18" s="148">
        <f t="shared" si="18"/>
        <v>0.11320754716981132</v>
      </c>
      <c r="Z18" s="149">
        <f t="shared" si="19"/>
        <v>40</v>
      </c>
      <c r="AA18" s="134">
        <f t="shared" si="20"/>
        <v>0.1111111111111111</v>
      </c>
      <c r="AB18" s="23"/>
      <c r="AC18" s="56">
        <v>87.5</v>
      </c>
      <c r="AD18" s="150">
        <v>10</v>
      </c>
      <c r="AQ18" s="103"/>
    </row>
    <row r="19" spans="1:43" ht="15" x14ac:dyDescent="0.3">
      <c r="A19" s="163" t="s">
        <v>13</v>
      </c>
      <c r="B19" s="164">
        <v>49615</v>
      </c>
      <c r="C19" s="165">
        <f>1-ABS(1-B19/$H$11)</f>
        <v>0.99767676767676772</v>
      </c>
      <c r="D19" s="164">
        <v>49583</v>
      </c>
      <c r="E19" s="165">
        <f>1-ABS(1-D19/$H$11)</f>
        <v>0.99832323232323228</v>
      </c>
      <c r="F19" s="164">
        <v>50321</v>
      </c>
      <c r="G19" s="165">
        <f>1-ABS(1-F19/$H$11)</f>
        <v>0.98341414141414152</v>
      </c>
      <c r="H19" s="166" t="s">
        <v>13</v>
      </c>
      <c r="I19" s="167">
        <f>MAX(R2:R10)</f>
        <v>99.948625454545464</v>
      </c>
      <c r="J19" s="168" t="s">
        <v>35</v>
      </c>
      <c r="K19" s="160"/>
      <c r="L19" s="161"/>
      <c r="M19" s="162"/>
      <c r="O19" s="143" t="str">
        <f t="shared" si="8"/>
        <v>VAR</v>
      </c>
      <c r="P19" s="144">
        <f t="shared" si="9"/>
        <v>0</v>
      </c>
      <c r="Q19" s="145">
        <f t="shared" si="10"/>
        <v>0</v>
      </c>
      <c r="R19" s="146">
        <f t="shared" si="11"/>
        <v>90</v>
      </c>
      <c r="S19" s="147">
        <f t="shared" si="12"/>
        <v>0.13043478260869565</v>
      </c>
      <c r="T19" s="147">
        <f t="shared" si="13"/>
        <v>80</v>
      </c>
      <c r="U19" s="147">
        <f t="shared" si="14"/>
        <v>0.13008130081300814</v>
      </c>
      <c r="V19" s="147">
        <f t="shared" si="15"/>
        <v>1</v>
      </c>
      <c r="W19" s="147">
        <f t="shared" si="16"/>
        <v>0.16129032258064516</v>
      </c>
      <c r="X19" s="147">
        <f t="shared" si="17"/>
        <v>70</v>
      </c>
      <c r="Y19" s="148">
        <f t="shared" si="18"/>
        <v>0.13207547169811321</v>
      </c>
      <c r="Z19" s="149">
        <f t="shared" si="19"/>
        <v>50</v>
      </c>
      <c r="AA19" s="134">
        <f t="shared" si="20"/>
        <v>0.1388888888888889</v>
      </c>
      <c r="AB19" s="23"/>
      <c r="AC19" s="56">
        <v>90</v>
      </c>
      <c r="AD19" s="150">
        <v>20</v>
      </c>
      <c r="AK19" s="6"/>
      <c r="AQ19" s="103"/>
    </row>
    <row r="20" spans="1:43" ht="14.4" x14ac:dyDescent="0.3">
      <c r="A20" s="43" t="s">
        <v>14</v>
      </c>
      <c r="B20" s="169">
        <v>6907</v>
      </c>
      <c r="C20" s="170">
        <f>1-ABS(1-B20/$H$12)</f>
        <v>0.99241429613420862</v>
      </c>
      <c r="D20" s="169">
        <v>6913</v>
      </c>
      <c r="E20" s="170">
        <f>1-ABS(1-D20/$H$12)</f>
        <v>0.99153902261123261</v>
      </c>
      <c r="F20" s="169">
        <v>6957</v>
      </c>
      <c r="G20" s="170">
        <f>1-ABS(1-F20/$H$12)</f>
        <v>0.98512035010940924</v>
      </c>
      <c r="H20" s="171" t="s">
        <v>14</v>
      </c>
      <c r="I20" s="172">
        <f>MAX(T2:T10)</f>
        <v>99.660660831509844</v>
      </c>
      <c r="J20" s="173" t="s">
        <v>36</v>
      </c>
      <c r="K20" s="160"/>
      <c r="L20" s="161"/>
      <c r="M20" s="162"/>
      <c r="O20" s="143" t="str">
        <f t="shared" si="8"/>
        <v>RW</v>
      </c>
      <c r="P20" s="144">
        <f t="shared" si="9"/>
        <v>80</v>
      </c>
      <c r="Q20" s="145">
        <f t="shared" si="10"/>
        <v>0.13445378151260504</v>
      </c>
      <c r="R20" s="146">
        <f t="shared" si="11"/>
        <v>90</v>
      </c>
      <c r="S20" s="147">
        <f t="shared" si="12"/>
        <v>0.13043478260869565</v>
      </c>
      <c r="T20" s="147">
        <f t="shared" si="13"/>
        <v>75</v>
      </c>
      <c r="U20" s="147">
        <f t="shared" si="14"/>
        <v>0.12195121951219512</v>
      </c>
      <c r="V20" s="147">
        <f t="shared" si="15"/>
        <v>1</v>
      </c>
      <c r="W20" s="147">
        <f t="shared" si="16"/>
        <v>0.16129032258064516</v>
      </c>
      <c r="X20" s="147">
        <f t="shared" si="17"/>
        <v>65</v>
      </c>
      <c r="Y20" s="148">
        <f t="shared" si="18"/>
        <v>0.12264150943396226</v>
      </c>
      <c r="Z20" s="149">
        <f t="shared" si="19"/>
        <v>50</v>
      </c>
      <c r="AA20" s="134">
        <f t="shared" si="20"/>
        <v>0.1388888888888889</v>
      </c>
      <c r="AB20" s="23"/>
      <c r="AC20" s="56">
        <v>92.5</v>
      </c>
      <c r="AD20" s="150">
        <v>30</v>
      </c>
    </row>
    <row r="21" spans="1:43" ht="14.4" x14ac:dyDescent="0.3">
      <c r="A21" s="43" t="s">
        <v>15</v>
      </c>
      <c r="B21" s="169">
        <v>18.3</v>
      </c>
      <c r="C21" s="170">
        <f>1-ABS(1-B21/$H$13)</f>
        <v>0.76250000000000007</v>
      </c>
      <c r="D21" s="169">
        <v>18.649999999999999</v>
      </c>
      <c r="E21" s="170">
        <f>1-ABS(1-D21/$H$13)</f>
        <v>0.77708333333333324</v>
      </c>
      <c r="F21" s="169">
        <v>18.02</v>
      </c>
      <c r="G21" s="170">
        <f>1-ABS(1-F21/$H$13)</f>
        <v>0.75083333333333335</v>
      </c>
      <c r="H21" s="171" t="s">
        <v>15</v>
      </c>
      <c r="I21" s="172">
        <f>MAX(V2:V10)</f>
        <v>82.484999999999999</v>
      </c>
      <c r="J21" s="173" t="s">
        <v>37</v>
      </c>
      <c r="K21" s="160"/>
      <c r="L21" s="161"/>
      <c r="M21" s="162"/>
      <c r="O21" s="143" t="str">
        <f t="shared" si="8"/>
        <v>ETS</v>
      </c>
      <c r="P21" s="144">
        <f t="shared" si="9"/>
        <v>80</v>
      </c>
      <c r="Q21" s="145">
        <f t="shared" si="10"/>
        <v>0.13445378151260504</v>
      </c>
      <c r="R21" s="146">
        <f t="shared" si="11"/>
        <v>90</v>
      </c>
      <c r="S21" s="147">
        <f t="shared" si="12"/>
        <v>0.13043478260869565</v>
      </c>
      <c r="T21" s="147">
        <f t="shared" si="13"/>
        <v>75</v>
      </c>
      <c r="U21" s="147">
        <f t="shared" si="14"/>
        <v>0.12195121951219512</v>
      </c>
      <c r="V21" s="147">
        <f t="shared" si="15"/>
        <v>1</v>
      </c>
      <c r="W21" s="147">
        <f t="shared" si="16"/>
        <v>0.16129032258064516</v>
      </c>
      <c r="X21" s="147">
        <f t="shared" si="17"/>
        <v>70</v>
      </c>
      <c r="Y21" s="148">
        <f t="shared" si="18"/>
        <v>0.13207547169811321</v>
      </c>
      <c r="Z21" s="149">
        <f t="shared" si="19"/>
        <v>50</v>
      </c>
      <c r="AA21" s="134">
        <f t="shared" si="20"/>
        <v>0.1388888888888889</v>
      </c>
      <c r="AC21" s="56">
        <v>95</v>
      </c>
      <c r="AD21" s="150">
        <v>40</v>
      </c>
    </row>
    <row r="22" spans="1:43" ht="15" thickBot="1" x14ac:dyDescent="0.35">
      <c r="A22" s="174" t="s">
        <v>16</v>
      </c>
      <c r="B22" s="175">
        <v>613.29999999999995</v>
      </c>
      <c r="C22" s="176">
        <f>1-ABS(1-B22/$H$14)</f>
        <v>0.97783333333333333</v>
      </c>
      <c r="D22" s="175">
        <v>615.4</v>
      </c>
      <c r="E22" s="176">
        <f>1-ABS(1-D22/$H$14)</f>
        <v>0.97433333333333327</v>
      </c>
      <c r="F22" s="175">
        <v>613.20000000000005</v>
      </c>
      <c r="G22" s="176">
        <f>1-ABS(1-F22/$H$14)</f>
        <v>0.97799999999999998</v>
      </c>
      <c r="H22" s="177" t="s">
        <v>16</v>
      </c>
      <c r="I22" s="178">
        <f>MAX(X2:X10)</f>
        <v>98.767083333333332</v>
      </c>
      <c r="J22" s="179" t="s">
        <v>36</v>
      </c>
      <c r="K22" s="160"/>
      <c r="L22" s="161"/>
      <c r="M22" s="162"/>
      <c r="O22" s="180" t="str">
        <f t="shared" si="8"/>
        <v>DynaMix</v>
      </c>
      <c r="P22" s="181">
        <f t="shared" si="9"/>
        <v>95</v>
      </c>
      <c r="Q22" s="182">
        <f t="shared" si="10"/>
        <v>0.15966386554621848</v>
      </c>
      <c r="R22" s="183">
        <f t="shared" si="11"/>
        <v>75</v>
      </c>
      <c r="S22" s="184">
        <f t="shared" si="12"/>
        <v>0.10869565217391304</v>
      </c>
      <c r="T22" s="184">
        <f t="shared" si="13"/>
        <v>90</v>
      </c>
      <c r="U22" s="184">
        <f t="shared" si="14"/>
        <v>0.14634146341463414</v>
      </c>
      <c r="V22" s="184">
        <f t="shared" si="15"/>
        <v>1</v>
      </c>
      <c r="W22" s="184">
        <f t="shared" si="16"/>
        <v>0.16129032258064516</v>
      </c>
      <c r="X22" s="184">
        <f t="shared" si="17"/>
        <v>65</v>
      </c>
      <c r="Y22" s="185">
        <f t="shared" si="18"/>
        <v>0.12264150943396226</v>
      </c>
      <c r="Z22" s="186">
        <f t="shared" si="19"/>
        <v>50</v>
      </c>
      <c r="AA22" s="187">
        <f t="shared" si="20"/>
        <v>0.1388888888888889</v>
      </c>
      <c r="AB22" s="23"/>
      <c r="AC22" s="56">
        <v>96</v>
      </c>
      <c r="AD22" s="150">
        <v>50</v>
      </c>
    </row>
    <row r="23" spans="1:43" ht="15" thickBot="1" x14ac:dyDescent="0.35">
      <c r="A23" s="136" t="s">
        <v>17</v>
      </c>
      <c r="B23" s="188">
        <v>273.2</v>
      </c>
      <c r="C23" s="189">
        <f>1-ABS(1-B23/$H$15)</f>
        <v>0.96515151515151509</v>
      </c>
      <c r="D23" s="188">
        <v>274.3</v>
      </c>
      <c r="E23" s="189">
        <f>1-ABS(1-D23/$H$15)</f>
        <v>0.96098484848484844</v>
      </c>
      <c r="F23" s="188">
        <v>274.39999999999998</v>
      </c>
      <c r="G23" s="189">
        <f>1-ABS(1-F23/$H$15)</f>
        <v>0.96060606060606069</v>
      </c>
      <c r="H23" s="190" t="s">
        <v>17</v>
      </c>
      <c r="I23" s="191">
        <f>MAX(Z2:Z10)</f>
        <v>96.625681818181803</v>
      </c>
      <c r="J23" s="192" t="s">
        <v>38</v>
      </c>
      <c r="K23" s="160"/>
      <c r="L23" s="161"/>
      <c r="M23" s="162"/>
      <c r="O23" s="102" t="s">
        <v>26</v>
      </c>
      <c r="P23" s="193">
        <f>AVERAGE(P14:P22)</f>
        <v>66.111111111111114</v>
      </c>
      <c r="Q23" s="194"/>
      <c r="R23" s="195">
        <f>AVERAGE(R14:R22)</f>
        <v>76.666666666666671</v>
      </c>
      <c r="S23" s="196"/>
      <c r="T23" s="196">
        <f>AVERAGE(T14:T22)</f>
        <v>68.333333333333329</v>
      </c>
      <c r="U23" s="196"/>
      <c r="V23" s="196">
        <f>AVERAGE(V14:V22)</f>
        <v>0.68888888888888888</v>
      </c>
      <c r="W23" s="196"/>
      <c r="X23" s="196">
        <f>AVERAGE(X14:X22)</f>
        <v>58.888888888888886</v>
      </c>
      <c r="Y23" s="197"/>
      <c r="Z23" s="198">
        <f>AVERAGE(Z14:Z22)</f>
        <v>40</v>
      </c>
      <c r="AC23" s="56">
        <v>97</v>
      </c>
      <c r="AD23" s="150">
        <v>60</v>
      </c>
    </row>
    <row r="24" spans="1:43" ht="15" thickBot="1" x14ac:dyDescent="0.35">
      <c r="J24" s="199"/>
      <c r="K24" s="200"/>
      <c r="L24" s="201"/>
      <c r="AA24" s="22">
        <f>SUM(Z26:Z34)</f>
        <v>451.25</v>
      </c>
      <c r="AB24" s="23"/>
      <c r="AC24" s="56">
        <v>98</v>
      </c>
      <c r="AD24" s="150">
        <v>65</v>
      </c>
    </row>
    <row r="25" spans="1:43" ht="15" thickBot="1" x14ac:dyDescent="0.35">
      <c r="A25" s="202" t="str">
        <f>AC1</f>
        <v>AVR-4</v>
      </c>
      <c r="B25" s="1380">
        <f t="array" ref="B25">SUM(C19:C22/4)</f>
        <v>0.93260609928607741</v>
      </c>
      <c r="C25" s="1380"/>
      <c r="D25" s="1380">
        <f t="array" ref="D25">SUM(E19:E22/4)</f>
        <v>0.93531973040028293</v>
      </c>
      <c r="E25" s="1380"/>
      <c r="F25" s="1380">
        <f t="array" ref="F25">SUM(G19:G22/4)</f>
        <v>0.92434195621422099</v>
      </c>
      <c r="G25" s="1380"/>
      <c r="H25" s="1381" t="s">
        <v>39</v>
      </c>
      <c r="I25" s="1381"/>
      <c r="J25" s="203">
        <f>AVERAGE(I19:I22)</f>
        <v>95.215342404847163</v>
      </c>
      <c r="O25" s="13" t="s">
        <v>40</v>
      </c>
      <c r="P25" s="204" t="s">
        <v>12</v>
      </c>
      <c r="Q25" s="205">
        <f>SUM(P26:P34)</f>
        <v>486.25</v>
      </c>
      <c r="R25" s="206" t="s">
        <v>13</v>
      </c>
      <c r="S25" s="207">
        <f>SUM(R26:R34)</f>
        <v>563.75</v>
      </c>
      <c r="T25" s="208" t="s">
        <v>14</v>
      </c>
      <c r="U25" s="207">
        <f>SUM(T26:T34)</f>
        <v>622.5</v>
      </c>
      <c r="V25" s="208" t="s">
        <v>15</v>
      </c>
      <c r="W25" s="207">
        <f>SUM(V26:V34)</f>
        <v>247.27500000000001</v>
      </c>
      <c r="X25" s="208" t="s">
        <v>16</v>
      </c>
      <c r="Y25" s="209">
        <f>SUM(X26:X34)</f>
        <v>547.5</v>
      </c>
      <c r="Z25" s="210" t="s">
        <v>17</v>
      </c>
      <c r="AA25" s="39">
        <f t="shared" ref="AA25:AA33" si="21">Z26/$AA$24</f>
        <v>0.11911357340720222</v>
      </c>
      <c r="AB25" s="23"/>
      <c r="AC25" s="56">
        <v>98.5</v>
      </c>
      <c r="AD25" s="150">
        <v>70</v>
      </c>
    </row>
    <row r="26" spans="1:43" ht="15" thickBot="1" x14ac:dyDescent="0.35">
      <c r="A26" s="211" t="str">
        <f>AD1</f>
        <v>AVR-6</v>
      </c>
      <c r="B26" s="1382">
        <f t="array" ref="B26">SUM(C18:C23/6)</f>
        <v>0.94761656151432461</v>
      </c>
      <c r="C26" s="1382"/>
      <c r="D26" s="1382">
        <f t="array" ref="D26">SUM(E18:E23/6)</f>
        <v>0.95037729501432999</v>
      </c>
      <c r="E26" s="1382"/>
      <c r="F26" s="1382">
        <f t="array" ref="F26">SUM(G18:G23/6)</f>
        <v>0.93888042123970883</v>
      </c>
      <c r="G26" s="1382"/>
      <c r="H26" s="1383" t="s">
        <v>41</v>
      </c>
      <c r="I26" s="1383"/>
      <c r="J26" s="212">
        <f>AVERAGE(I18:I23)</f>
        <v>96.233027091446942</v>
      </c>
      <c r="O26" s="127" t="str">
        <f t="shared" ref="O26:O33" si="22">O2</f>
        <v>PyCaret</v>
      </c>
      <c r="P26" s="213">
        <v>60</v>
      </c>
      <c r="Q26" s="214">
        <f t="shared" ref="Q26:Q34" si="23">P26/$Q$25</f>
        <v>0.12339331619537275</v>
      </c>
      <c r="R26" s="215">
        <v>62.5</v>
      </c>
      <c r="S26" s="216">
        <f t="shared" ref="S26:S34" si="24">R26/$S$25</f>
        <v>0.11086474501108648</v>
      </c>
      <c r="T26" s="216">
        <v>61.25</v>
      </c>
      <c r="U26" s="216">
        <f t="shared" ref="U26:U34" si="25">T26/$U$25</f>
        <v>9.8393574297188757E-2</v>
      </c>
      <c r="V26" s="216">
        <v>50</v>
      </c>
      <c r="W26" s="216">
        <f t="shared" ref="W26:W34" si="26">V26/$W$25</f>
        <v>0.2022040238600748</v>
      </c>
      <c r="X26" s="216">
        <v>72.5</v>
      </c>
      <c r="Y26" s="217">
        <f t="shared" ref="Y26:Y34" si="27">X26/$Y$25</f>
        <v>0.13242009132420091</v>
      </c>
      <c r="Z26" s="218">
        <v>53.75</v>
      </c>
      <c r="AA26" s="39">
        <f t="shared" si="21"/>
        <v>0.12188365650969529</v>
      </c>
      <c r="AB26" s="23"/>
      <c r="AC26" s="56">
        <v>99</v>
      </c>
      <c r="AD26" s="150">
        <v>75</v>
      </c>
    </row>
    <row r="27" spans="1:43" ht="14.4" x14ac:dyDescent="0.3">
      <c r="O27" s="143" t="str">
        <f t="shared" si="22"/>
        <v>ARIMAX</v>
      </c>
      <c r="P27" s="219">
        <v>65</v>
      </c>
      <c r="Q27" s="220">
        <f t="shared" si="23"/>
        <v>0.13367609254498714</v>
      </c>
      <c r="R27" s="221">
        <v>65</v>
      </c>
      <c r="S27" s="222">
        <f t="shared" si="24"/>
        <v>0.11529933481152993</v>
      </c>
      <c r="T27" s="222">
        <v>77.5</v>
      </c>
      <c r="U27" s="222">
        <f t="shared" si="25"/>
        <v>0.12449799196787148</v>
      </c>
      <c r="V27" s="222">
        <v>29.25</v>
      </c>
      <c r="W27" s="222">
        <f t="shared" si="26"/>
        <v>0.11828935395814376</v>
      </c>
      <c r="X27" s="222">
        <v>75</v>
      </c>
      <c r="Y27" s="223">
        <f t="shared" si="27"/>
        <v>0.13698630136986301</v>
      </c>
      <c r="Z27" s="224">
        <v>55</v>
      </c>
      <c r="AA27" s="39">
        <f t="shared" si="21"/>
        <v>0</v>
      </c>
      <c r="AB27" s="23"/>
      <c r="AC27" s="56">
        <v>99.25</v>
      </c>
      <c r="AD27" s="150">
        <v>80</v>
      </c>
      <c r="AF27" s="2"/>
    </row>
    <row r="28" spans="1:43" ht="14.25" customHeight="1" x14ac:dyDescent="0.3">
      <c r="A28" s="225" t="s">
        <v>42</v>
      </c>
      <c r="B28" s="8"/>
      <c r="C28" s="8"/>
      <c r="D28" s="8"/>
      <c r="O28" s="143" t="str">
        <f t="shared" si="22"/>
        <v>PCE</v>
      </c>
      <c r="P28" s="219">
        <v>0</v>
      </c>
      <c r="Q28" s="220">
        <f t="shared" si="23"/>
        <v>0</v>
      </c>
      <c r="R28" s="221">
        <v>0</v>
      </c>
      <c r="S28" s="222">
        <f t="shared" si="24"/>
        <v>0</v>
      </c>
      <c r="T28" s="222">
        <v>0</v>
      </c>
      <c r="U28" s="222">
        <f t="shared" si="25"/>
        <v>0</v>
      </c>
      <c r="V28" s="222">
        <v>0</v>
      </c>
      <c r="W28" s="222">
        <f t="shared" si="26"/>
        <v>0</v>
      </c>
      <c r="X28" s="222">
        <v>0</v>
      </c>
      <c r="Y28" s="223">
        <f t="shared" si="27"/>
        <v>0</v>
      </c>
      <c r="Z28" s="224">
        <v>0</v>
      </c>
      <c r="AA28" s="39">
        <f t="shared" si="21"/>
        <v>0.10526315789473684</v>
      </c>
      <c r="AB28" s="23"/>
      <c r="AC28" s="56">
        <v>99.5</v>
      </c>
      <c r="AD28" s="150">
        <v>90</v>
      </c>
      <c r="AK28" s="6"/>
    </row>
    <row r="29" spans="1:43" ht="14.25" customHeight="1" x14ac:dyDescent="0.3">
      <c r="A29" s="8"/>
      <c r="B29" s="8"/>
      <c r="C29" s="8"/>
      <c r="D29" s="8"/>
      <c r="O29" s="143" t="str">
        <f t="shared" si="22"/>
        <v>LSTM</v>
      </c>
      <c r="P29" s="219">
        <v>66.25</v>
      </c>
      <c r="Q29" s="220">
        <f t="shared" si="23"/>
        <v>0.13624678663239073</v>
      </c>
      <c r="R29" s="221">
        <v>73.75</v>
      </c>
      <c r="S29" s="222">
        <f t="shared" si="24"/>
        <v>0.13082039911308205</v>
      </c>
      <c r="T29" s="222">
        <v>77.5</v>
      </c>
      <c r="U29" s="222">
        <f t="shared" si="25"/>
        <v>0.12449799196787148</v>
      </c>
      <c r="V29" s="222">
        <v>26.774999999999999</v>
      </c>
      <c r="W29" s="222">
        <f t="shared" si="26"/>
        <v>0.10828025477707005</v>
      </c>
      <c r="X29" s="222">
        <v>60</v>
      </c>
      <c r="Y29" s="223">
        <f t="shared" si="27"/>
        <v>0.1095890410958904</v>
      </c>
      <c r="Z29" s="224">
        <v>47.5</v>
      </c>
      <c r="AA29" s="39">
        <f t="shared" si="21"/>
        <v>0.1329639889196676</v>
      </c>
      <c r="AB29" s="23"/>
      <c r="AC29" s="56">
        <v>99.75</v>
      </c>
      <c r="AD29" s="150">
        <v>95</v>
      </c>
    </row>
    <row r="30" spans="1:43" ht="14.25" customHeight="1" thickBot="1" x14ac:dyDescent="0.35">
      <c r="A30" s="226" t="s">
        <v>43</v>
      </c>
      <c r="B30" s="227">
        <v>0</v>
      </c>
      <c r="C30" s="228" t="s">
        <v>44</v>
      </c>
      <c r="M30" s="8"/>
      <c r="O30" s="143" t="str">
        <f t="shared" si="22"/>
        <v>GARCH</v>
      </c>
      <c r="P30" s="219">
        <v>77.5</v>
      </c>
      <c r="Q30" s="220">
        <f t="shared" si="23"/>
        <v>0.15938303341902313</v>
      </c>
      <c r="R30" s="221">
        <v>70</v>
      </c>
      <c r="S30" s="222">
        <f t="shared" si="24"/>
        <v>0.12416851441241686</v>
      </c>
      <c r="T30" s="222">
        <v>77.5</v>
      </c>
      <c r="U30" s="222">
        <f t="shared" si="25"/>
        <v>0.12449799196787148</v>
      </c>
      <c r="V30" s="222">
        <v>33.75</v>
      </c>
      <c r="W30" s="222">
        <f t="shared" si="26"/>
        <v>0.13648771610555049</v>
      </c>
      <c r="X30" s="222">
        <v>65</v>
      </c>
      <c r="Y30" s="223">
        <f t="shared" si="27"/>
        <v>0.11872146118721461</v>
      </c>
      <c r="Z30" s="224">
        <v>60</v>
      </c>
      <c r="AA30" s="39">
        <f t="shared" si="21"/>
        <v>0.12742382271468145</v>
      </c>
      <c r="AB30" s="23"/>
      <c r="AC30" s="93">
        <v>99.99</v>
      </c>
      <c r="AD30" s="229">
        <v>100</v>
      </c>
    </row>
    <row r="31" spans="1:43" ht="14.25" customHeight="1" x14ac:dyDescent="0.3">
      <c r="B31" s="227">
        <v>25</v>
      </c>
      <c r="C31" s="228" t="s">
        <v>45</v>
      </c>
      <c r="O31" s="143" t="str">
        <f t="shared" si="22"/>
        <v>VAR</v>
      </c>
      <c r="P31" s="219">
        <v>0</v>
      </c>
      <c r="Q31" s="220">
        <f t="shared" si="23"/>
        <v>0</v>
      </c>
      <c r="R31" s="221">
        <v>73.75</v>
      </c>
      <c r="S31" s="222">
        <f t="shared" si="24"/>
        <v>0.13082039911308205</v>
      </c>
      <c r="T31" s="222">
        <v>83.75</v>
      </c>
      <c r="U31" s="222">
        <f t="shared" si="25"/>
        <v>0.13453815261044177</v>
      </c>
      <c r="V31" s="222">
        <v>30.5</v>
      </c>
      <c r="W31" s="222">
        <f t="shared" si="26"/>
        <v>0.12334445455464564</v>
      </c>
      <c r="X31" s="222">
        <v>68.75</v>
      </c>
      <c r="Y31" s="223">
        <f t="shared" si="27"/>
        <v>0.12557077625570776</v>
      </c>
      <c r="Z31" s="224">
        <v>57.5</v>
      </c>
      <c r="AA31" s="39">
        <f t="shared" si="21"/>
        <v>0.13850415512465375</v>
      </c>
      <c r="AL31" s="230"/>
    </row>
    <row r="32" spans="1:43" ht="14.25" customHeight="1" x14ac:dyDescent="0.3">
      <c r="B32" s="227">
        <v>45</v>
      </c>
      <c r="C32" s="228" t="s">
        <v>46</v>
      </c>
      <c r="O32" s="143" t="str">
        <f t="shared" si="22"/>
        <v>RW</v>
      </c>
      <c r="P32" s="219">
        <v>63.75</v>
      </c>
      <c r="Q32" s="220">
        <f t="shared" si="23"/>
        <v>0.13110539845758354</v>
      </c>
      <c r="R32" s="221">
        <v>72.5</v>
      </c>
      <c r="S32" s="222">
        <f t="shared" si="24"/>
        <v>0.12860310421286031</v>
      </c>
      <c r="T32" s="222">
        <v>82.5</v>
      </c>
      <c r="U32" s="222">
        <f t="shared" si="25"/>
        <v>0.13253012048192772</v>
      </c>
      <c r="V32" s="222">
        <v>33</v>
      </c>
      <c r="W32" s="222">
        <f t="shared" si="26"/>
        <v>0.13345465574764936</v>
      </c>
      <c r="X32" s="222">
        <v>67.5</v>
      </c>
      <c r="Y32" s="223">
        <f t="shared" si="27"/>
        <v>0.12328767123287671</v>
      </c>
      <c r="Z32" s="224">
        <v>62.5</v>
      </c>
      <c r="AA32" s="39">
        <f t="shared" si="21"/>
        <v>0.13850415512465375</v>
      </c>
      <c r="AK32" s="2"/>
      <c r="AL32" s="230"/>
    </row>
    <row r="33" spans="2:42" ht="14.25" customHeight="1" thickBot="1" x14ac:dyDescent="0.35">
      <c r="B33" s="227">
        <v>55</v>
      </c>
      <c r="C33" s="228" t="s">
        <v>47</v>
      </c>
      <c r="O33" s="143" t="str">
        <f t="shared" si="22"/>
        <v>ETS</v>
      </c>
      <c r="P33" s="219">
        <v>78.75</v>
      </c>
      <c r="Q33" s="220">
        <f t="shared" si="23"/>
        <v>0.16195372750642673</v>
      </c>
      <c r="R33" s="221">
        <v>72.5</v>
      </c>
      <c r="S33" s="222">
        <f t="shared" si="24"/>
        <v>0.12860310421286031</v>
      </c>
      <c r="T33" s="222">
        <v>82.5</v>
      </c>
      <c r="U33" s="222">
        <f t="shared" si="25"/>
        <v>0.13253012048192772</v>
      </c>
      <c r="V33" s="222">
        <v>23</v>
      </c>
      <c r="W33" s="222">
        <f t="shared" si="26"/>
        <v>9.3013850975634416E-2</v>
      </c>
      <c r="X33" s="222">
        <v>71.25</v>
      </c>
      <c r="Y33" s="223">
        <f t="shared" si="27"/>
        <v>0.13013698630136986</v>
      </c>
      <c r="Z33" s="224">
        <v>62.5</v>
      </c>
      <c r="AA33" s="92">
        <f t="shared" si="21"/>
        <v>0.11634349030470914</v>
      </c>
    </row>
    <row r="34" spans="2:42" ht="14.25" customHeight="1" thickBot="1" x14ac:dyDescent="0.35">
      <c r="B34" s="227">
        <v>75</v>
      </c>
      <c r="C34" s="228" t="s">
        <v>48</v>
      </c>
      <c r="O34" s="180" t="str">
        <f>O22</f>
        <v>DynaMix</v>
      </c>
      <c r="P34" s="231">
        <v>75</v>
      </c>
      <c r="Q34" s="232">
        <f t="shared" si="23"/>
        <v>0.15424164524421594</v>
      </c>
      <c r="R34" s="233">
        <v>73.75</v>
      </c>
      <c r="S34" s="234">
        <f t="shared" si="24"/>
        <v>0.13082039911308205</v>
      </c>
      <c r="T34" s="234">
        <v>80</v>
      </c>
      <c r="U34" s="234">
        <f t="shared" si="25"/>
        <v>0.12851405622489959</v>
      </c>
      <c r="V34" s="234">
        <v>21</v>
      </c>
      <c r="W34" s="234">
        <f t="shared" si="26"/>
        <v>8.4925690021231418E-2</v>
      </c>
      <c r="X34" s="234">
        <v>67.5</v>
      </c>
      <c r="Y34" s="235">
        <f t="shared" si="27"/>
        <v>0.12328767123287671</v>
      </c>
      <c r="Z34" s="236">
        <v>52.5</v>
      </c>
    </row>
    <row r="35" spans="2:42" ht="14.25" customHeight="1" thickBot="1" x14ac:dyDescent="0.35">
      <c r="O35" s="102" t="s">
        <v>26</v>
      </c>
      <c r="P35" s="231">
        <f>AVERAGE(P26:P34)</f>
        <v>54.027777777777779</v>
      </c>
      <c r="Q35" s="232"/>
      <c r="R35" s="233">
        <f>AVERAGE(R26:R34)</f>
        <v>62.638888888888886</v>
      </c>
      <c r="S35" s="234"/>
      <c r="T35" s="234">
        <f>AVERAGE(T26:T34)</f>
        <v>69.166666666666671</v>
      </c>
      <c r="U35" s="234"/>
      <c r="V35" s="234">
        <f>AVERAGE(V26:V34)</f>
        <v>27.475000000000001</v>
      </c>
      <c r="W35" s="234"/>
      <c r="X35" s="234">
        <f>AVERAGE(X26:X34)</f>
        <v>60.833333333333336</v>
      </c>
      <c r="Y35" s="235"/>
      <c r="Z35" s="236">
        <f>AVERAGE(Z26:Z34)</f>
        <v>50.138888888888886</v>
      </c>
      <c r="AP35" s="2"/>
    </row>
    <row r="36" spans="2:42" ht="14.25" customHeight="1" x14ac:dyDescent="0.3">
      <c r="AP36" s="2"/>
    </row>
    <row r="37" spans="2:42" ht="14.25" customHeight="1" x14ac:dyDescent="0.3">
      <c r="Z37" s="6"/>
    </row>
    <row r="38" spans="2:42" ht="14.25" customHeight="1" x14ac:dyDescent="0.3">
      <c r="Z38" s="6"/>
    </row>
    <row r="39" spans="2:42" ht="14.25" customHeight="1" x14ac:dyDescent="0.3">
      <c r="Z39" s="6"/>
    </row>
    <row r="40" spans="2:42" ht="14.25" customHeight="1" x14ac:dyDescent="0.3">
      <c r="Z40" s="6"/>
    </row>
    <row r="41" spans="2:42" ht="14.25" customHeight="1" x14ac:dyDescent="0.3">
      <c r="Z41" s="6"/>
    </row>
    <row r="43" spans="2:42" ht="14.25" customHeight="1" x14ac:dyDescent="0.3">
      <c r="AD43" s="237"/>
    </row>
    <row r="44" spans="2:42" ht="14.25" customHeight="1" x14ac:dyDescent="0.3">
      <c r="AD44" s="237"/>
    </row>
    <row r="45" spans="2:42" ht="14.25" customHeight="1" x14ac:dyDescent="0.3">
      <c r="AD45" s="237"/>
    </row>
    <row r="46" spans="2:42" ht="14.25" customHeight="1" x14ac:dyDescent="0.3">
      <c r="AD46" s="237"/>
    </row>
  </sheetData>
  <mergeCells count="14">
    <mergeCell ref="H17:J17"/>
    <mergeCell ref="D9:E9"/>
    <mergeCell ref="F9:G9"/>
    <mergeCell ref="B17:C17"/>
    <mergeCell ref="D17:E17"/>
    <mergeCell ref="F17:G17"/>
    <mergeCell ref="B25:C25"/>
    <mergeCell ref="D25:E25"/>
    <mergeCell ref="F25:G25"/>
    <mergeCell ref="H25:I25"/>
    <mergeCell ref="B26:C26"/>
    <mergeCell ref="D26:E26"/>
    <mergeCell ref="F26:G26"/>
    <mergeCell ref="H26:I26"/>
  </mergeCells>
  <hyperlinks>
    <hyperlink ref="A28" r:id="rId1" xr:uid="{5B06F351-C0E4-4F77-83EF-D8F73D089BAE}"/>
  </hyperlink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Y46"/>
  <sheetViews>
    <sheetView tabSelected="1" zoomScaleNormal="100" workbookViewId="0">
      <selection activeCell="L5" sqref="L5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10</v>
      </c>
      <c r="O1" s="13" t="s">
        <v>11</v>
      </c>
      <c r="P1" s="14" t="s">
        <v>12</v>
      </c>
      <c r="Q1" s="15">
        <f>SUM(P2:P10)</f>
        <v>696.99259259259259</v>
      </c>
      <c r="R1" s="16" t="s">
        <v>13</v>
      </c>
      <c r="S1" s="17">
        <f>SUM(R2:R10)</f>
        <v>795.37095717171724</v>
      </c>
      <c r="T1" s="18" t="s">
        <v>14</v>
      </c>
      <c r="U1" s="17">
        <f>SUM(T2:T10)</f>
        <v>793.01537126185269</v>
      </c>
      <c r="V1" s="18" t="s">
        <v>15</v>
      </c>
      <c r="W1" s="17">
        <f>SUM(V2:V10)</f>
        <v>765.20421052631593</v>
      </c>
      <c r="X1" s="19" t="s">
        <v>16</v>
      </c>
      <c r="Y1" s="20">
        <f>SUM(X2:X10)</f>
        <v>787.10860000000002</v>
      </c>
      <c r="Z1" s="21" t="s">
        <v>17</v>
      </c>
      <c r="AA1" s="22">
        <f>SUM(Z2:Z10)</f>
        <v>767.48780303030298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4.0602</v>
      </c>
      <c r="C2" s="28">
        <v>4.0355999999999996</v>
      </c>
      <c r="D2" s="28">
        <v>0</v>
      </c>
      <c r="E2" s="28">
        <v>4.0761000000000003</v>
      </c>
      <c r="F2" s="28">
        <v>4.0288000000000004</v>
      </c>
      <c r="G2" s="28">
        <v>0</v>
      </c>
      <c r="H2" s="28">
        <v>4.0269000000000004</v>
      </c>
      <c r="I2" s="28">
        <v>4.0267999999999997</v>
      </c>
      <c r="J2" s="29">
        <v>4.0464000000000002</v>
      </c>
      <c r="K2" s="30"/>
      <c r="O2" s="31" t="str">
        <f>B1</f>
        <v>PyCaret</v>
      </c>
      <c r="P2" s="32">
        <f>100-ABS((($H10-B2)/($H10)))*100</f>
        <v>99.748148148148147</v>
      </c>
      <c r="Q2" s="33">
        <f t="shared" ref="Q2:Q10" si="0">P2/$Q$1</f>
        <v>0.14311220694199417</v>
      </c>
      <c r="R2" s="34">
        <f>100-ABS((($H11-B3)/($H11)))*100</f>
        <v>98.109438585858598</v>
      </c>
      <c r="S2" s="35">
        <f t="shared" ref="S2:S10" si="1">R2/$S$1</f>
        <v>0.12335054190905941</v>
      </c>
      <c r="T2" s="35">
        <f>100-ABS((($H12-B4)/($H12)))*100</f>
        <v>98.218684172137131</v>
      </c>
      <c r="U2" s="35">
        <f t="shared" ref="U2:U10" si="2">T2/$U$1</f>
        <v>0.12385470412238131</v>
      </c>
      <c r="V2" s="35">
        <f>100-ABS((($H13-B5)/($H13)))*100</f>
        <v>89.23842105263158</v>
      </c>
      <c r="W2" s="35">
        <f t="shared" ref="W2:W10" si="3">V2/$W$1</f>
        <v>0.11662039992076416</v>
      </c>
      <c r="X2" s="36">
        <f>100-ABS((($H14-B6)/($H14)))*100</f>
        <v>98.03179999999999</v>
      </c>
      <c r="Y2" s="37">
        <f t="shared" ref="Y2:Y10" si="4">X2/$Y$1</f>
        <v>0.12454672709712483</v>
      </c>
      <c r="Z2" s="38">
        <f>100-ABS((($H15-B7)/($H15)))*100</f>
        <v>94.600984848484842</v>
      </c>
      <c r="AA2" s="39">
        <f t="shared" ref="AA2:AA10" si="5">Z2/$AA$1</f>
        <v>0.12326057101489818</v>
      </c>
      <c r="AB2" s="23"/>
      <c r="AC2" s="40">
        <f t="shared" ref="AC2:AC10" si="6">(R2+T2+V2+X2)/4</f>
        <v>95.899585952656821</v>
      </c>
      <c r="AD2" s="41">
        <f t="shared" ref="AD2:AD10" si="7">(P2+R2+T2+V2+X2+Z2)/6</f>
        <v>96.324579467876717</v>
      </c>
      <c r="AE2" s="42" t="str">
        <f>IF($AC2=MAX(AC2:AC10),"TOP","")</f>
        <v/>
      </c>
    </row>
    <row r="3" spans="1:45" ht="14.4" x14ac:dyDescent="0.3">
      <c r="A3" s="43" t="s">
        <v>13</v>
      </c>
      <c r="B3" s="44">
        <v>48564.172100000003</v>
      </c>
      <c r="C3" s="45">
        <v>49474.569600000003</v>
      </c>
      <c r="D3" s="45">
        <v>0</v>
      </c>
      <c r="E3" s="45">
        <v>49407.987999999998</v>
      </c>
      <c r="F3" s="45">
        <v>49366.732499999998</v>
      </c>
      <c r="G3" s="45">
        <v>49263.7192</v>
      </c>
      <c r="H3" s="45">
        <v>49314.926399999997</v>
      </c>
      <c r="I3" s="45">
        <v>49283.446000000004</v>
      </c>
      <c r="J3" s="46">
        <v>49033.07</v>
      </c>
      <c r="K3" s="30"/>
      <c r="L3" s="47" t="s">
        <v>20</v>
      </c>
      <c r="O3" s="48" t="str">
        <f>C1</f>
        <v>ARIMAX</v>
      </c>
      <c r="P3" s="49">
        <f>100-ABS((($H10-C2)/($H10)))*100</f>
        <v>99.644444444444446</v>
      </c>
      <c r="Q3" s="50">
        <f t="shared" si="0"/>
        <v>0.14296341955916425</v>
      </c>
      <c r="R3" s="51">
        <f>100-ABS((($H11-C3)/($H11)))*100</f>
        <v>99.948625454545464</v>
      </c>
      <c r="S3" s="52">
        <f t="shared" si="1"/>
        <v>0.12566290553272866</v>
      </c>
      <c r="T3" s="52">
        <f>100-ABS((($H12-C4)/($H12)))*100</f>
        <v>98.973037199124732</v>
      </c>
      <c r="U3" s="52">
        <f t="shared" si="2"/>
        <v>0.12480595053490326</v>
      </c>
      <c r="V3" s="52">
        <f>100-ABS((($H13-C5)/($H13)))*100</f>
        <v>96.003684210526316</v>
      </c>
      <c r="W3" s="52">
        <f t="shared" si="3"/>
        <v>0.12546152110754058</v>
      </c>
      <c r="X3" s="53">
        <f>100-ABS((($H14-C6)/($H14)))*100</f>
        <v>98.767083333333332</v>
      </c>
      <c r="Y3" s="54">
        <f t="shared" si="4"/>
        <v>0.12548088450987999</v>
      </c>
      <c r="Z3" s="55">
        <f>100-ABS((($H15-C7)/($H15)))*100</f>
        <v>96.625681818181803</v>
      </c>
      <c r="AA3" s="39">
        <f t="shared" si="5"/>
        <v>0.12589865459316843</v>
      </c>
      <c r="AB3" s="23"/>
      <c r="AC3" s="56">
        <f t="shared" si="6"/>
        <v>98.423107549382465</v>
      </c>
      <c r="AD3" s="57">
        <f t="shared" si="7"/>
        <v>98.327092743359344</v>
      </c>
      <c r="AE3" s="42" t="str">
        <f>IF($AC3=MAX(AC2:AC10),"TOP","")</f>
        <v/>
      </c>
    </row>
    <row r="4" spans="1:45" ht="14.4" x14ac:dyDescent="0.3">
      <c r="A4" s="43" t="s">
        <v>14</v>
      </c>
      <c r="B4" s="58">
        <v>6977.1091999999999</v>
      </c>
      <c r="C4" s="59">
        <v>6925.3982999999998</v>
      </c>
      <c r="D4" s="59">
        <v>0</v>
      </c>
      <c r="E4" s="59">
        <v>6888.2835999999998</v>
      </c>
      <c r="F4" s="59">
        <v>6937.9701999999997</v>
      </c>
      <c r="G4" s="59">
        <v>6890.7587000000003</v>
      </c>
      <c r="H4" s="59">
        <v>6911.7911999999997</v>
      </c>
      <c r="I4" s="59">
        <v>6909.2233999999999</v>
      </c>
      <c r="J4" s="60">
        <v>6878.2617</v>
      </c>
      <c r="K4" s="30"/>
      <c r="O4" s="48" t="str">
        <f>D1</f>
        <v>PCE</v>
      </c>
      <c r="P4" s="49">
        <f>100-ABS((($H10-D2)/($H10)))*100</f>
        <v>0</v>
      </c>
      <c r="Q4" s="50">
        <f t="shared" si="0"/>
        <v>0</v>
      </c>
      <c r="R4" s="51">
        <f>100-ABS((($H11-D3)/($H11)))*100</f>
        <v>0</v>
      </c>
      <c r="S4" s="52">
        <f t="shared" si="1"/>
        <v>0</v>
      </c>
      <c r="T4" s="52">
        <f>100-ABS((($H12-D4)/($H12)))*100</f>
        <v>0</v>
      </c>
      <c r="U4" s="52">
        <f t="shared" si="2"/>
        <v>0</v>
      </c>
      <c r="V4" s="52">
        <f>100-ABS((($H13-D5)/($H13)))*100</f>
        <v>0</v>
      </c>
      <c r="W4" s="52">
        <f t="shared" si="3"/>
        <v>0</v>
      </c>
      <c r="X4" s="53">
        <f>100-ABS((($H14-D6)/($H14)))*100</f>
        <v>0</v>
      </c>
      <c r="Y4" s="54">
        <f t="shared" si="4"/>
        <v>0</v>
      </c>
      <c r="Z4" s="55">
        <f>100-ABS((($H15-D7)/($H15)))*100</f>
        <v>0</v>
      </c>
      <c r="AA4" s="39">
        <f t="shared" si="5"/>
        <v>0</v>
      </c>
      <c r="AB4" s="23"/>
      <c r="AC4" s="56">
        <f t="shared" si="6"/>
        <v>0</v>
      </c>
      <c r="AD4" s="57">
        <f t="shared" si="7"/>
        <v>0</v>
      </c>
      <c r="AE4" s="42" t="str">
        <f>IF($AC4=MAX(AC2:AC10),"TOP","")</f>
        <v/>
      </c>
    </row>
    <row r="5" spans="1:45" ht="14.4" x14ac:dyDescent="0.3">
      <c r="A5" s="43" t="s">
        <v>15</v>
      </c>
      <c r="B5" s="61">
        <v>16.955300000000001</v>
      </c>
      <c r="C5" s="62">
        <v>19.7593</v>
      </c>
      <c r="D5" s="62">
        <v>0</v>
      </c>
      <c r="E5" s="62">
        <v>18.183499999999999</v>
      </c>
      <c r="F5" s="62">
        <v>19.796399999999998</v>
      </c>
      <c r="G5" s="62">
        <v>19.694400000000002</v>
      </c>
      <c r="H5" s="62">
        <v>19.409099999999999</v>
      </c>
      <c r="I5" s="62">
        <v>19.607800000000001</v>
      </c>
      <c r="J5" s="63">
        <v>19.483000000000001</v>
      </c>
      <c r="K5" s="30"/>
      <c r="L5" s="1" t="s">
        <v>21</v>
      </c>
      <c r="O5" s="48" t="str">
        <f>E1</f>
        <v>LSTM</v>
      </c>
      <c r="P5" s="49">
        <f>100-ABS((($H10-E2)/($H10)))*100</f>
        <v>99.35555555555554</v>
      </c>
      <c r="Q5" s="50">
        <f t="shared" si="0"/>
        <v>0.14254894042128083</v>
      </c>
      <c r="R5" s="51">
        <f>100-ABS((($H11-E3)/($H11)))*100</f>
        <v>99.814117171717172</v>
      </c>
      <c r="S5" s="52">
        <f t="shared" si="1"/>
        <v>0.12549379163484808</v>
      </c>
      <c r="T5" s="52">
        <f>100-ABS((($H12-E4)/($H12)))*100</f>
        <v>99.514462436177979</v>
      </c>
      <c r="U5" s="52">
        <f t="shared" si="2"/>
        <v>0.1254886929591664</v>
      </c>
      <c r="V5" s="52">
        <f>100-ABS((($H13-E5)/($H13)))*100</f>
        <v>95.702631578947361</v>
      </c>
      <c r="W5" s="52">
        <f t="shared" si="3"/>
        <v>0.12506809327816171</v>
      </c>
      <c r="X5" s="53">
        <f>100-ABS((($H14-E6)/($H14)))*100</f>
        <v>98.15236666666668</v>
      </c>
      <c r="Y5" s="54">
        <f t="shared" si="4"/>
        <v>0.12469990375745695</v>
      </c>
      <c r="Z5" s="55">
        <f>100-ABS((($H15-E7)/($H15)))*100</f>
        <v>95.05367424242425</v>
      </c>
      <c r="AA5" s="39">
        <f t="shared" si="5"/>
        <v>0.12385040370299046</v>
      </c>
      <c r="AB5" s="23"/>
      <c r="AC5" s="56">
        <f t="shared" si="6"/>
        <v>98.295894463377309</v>
      </c>
      <c r="AD5" s="57">
        <f t="shared" si="7"/>
        <v>97.932134608581507</v>
      </c>
      <c r="AE5" s="42" t="str">
        <f>IF($AC5=MAX(AC2:AC10),"TOP","")</f>
        <v/>
      </c>
    </row>
    <row r="6" spans="1:45" ht="14.4" x14ac:dyDescent="0.3">
      <c r="A6" s="43" t="s">
        <v>16</v>
      </c>
      <c r="B6" s="64">
        <v>611.80920000000003</v>
      </c>
      <c r="C6" s="65">
        <v>607.39750000000004</v>
      </c>
      <c r="D6" s="65">
        <v>0</v>
      </c>
      <c r="E6" s="65">
        <v>611.08579999999995</v>
      </c>
      <c r="F6" s="65">
        <v>612.31910000000005</v>
      </c>
      <c r="G6" s="65">
        <v>607.53039999999999</v>
      </c>
      <c r="H6" s="65">
        <v>610.09799999999996</v>
      </c>
      <c r="I6" s="65">
        <v>608.08050000000003</v>
      </c>
      <c r="J6" s="66">
        <v>609.02790000000005</v>
      </c>
      <c r="K6" s="30"/>
      <c r="O6" s="48" t="str">
        <f>F1</f>
        <v>GARCH</v>
      </c>
      <c r="P6" s="49">
        <f>100-ABS((($H10-F2)/($H10)))*100</f>
        <v>99.476543209876553</v>
      </c>
      <c r="Q6" s="50">
        <f t="shared" si="0"/>
        <v>0.14272252570124913</v>
      </c>
      <c r="R6" s="51">
        <f>100-ABS((($H11-F3)/($H11)))*100</f>
        <v>99.730772727272722</v>
      </c>
      <c r="S6" s="52">
        <f t="shared" si="1"/>
        <v>0.1253890047505736</v>
      </c>
      <c r="T6" s="52">
        <f>100-ABS((($H12-F4)/($H12)))*100</f>
        <v>98.789639679066383</v>
      </c>
      <c r="U6" s="52">
        <f t="shared" si="2"/>
        <v>0.12457468450059357</v>
      </c>
      <c r="V6" s="52">
        <f>100-ABS((($H13-F5)/($H13)))*100</f>
        <v>95.808421052631587</v>
      </c>
      <c r="W6" s="52">
        <f t="shared" si="3"/>
        <v>0.12520634326715674</v>
      </c>
      <c r="X6" s="53">
        <f>100-ABS((($H14-F6)/($H14)))*100</f>
        <v>97.946816666666663</v>
      </c>
      <c r="Y6" s="54">
        <f t="shared" si="4"/>
        <v>0.1244387580908996</v>
      </c>
      <c r="Z6" s="55">
        <f>100-ABS((($H15-F7)/($H15)))*100</f>
        <v>95.440681818181815</v>
      </c>
      <c r="AA6" s="39">
        <f t="shared" si="5"/>
        <v>0.1243546561148588</v>
      </c>
      <c r="AB6" s="23"/>
      <c r="AC6" s="56">
        <f t="shared" si="6"/>
        <v>98.068912531409353</v>
      </c>
      <c r="AD6" s="57">
        <f t="shared" si="7"/>
        <v>97.865479192282621</v>
      </c>
      <c r="AE6" s="42" t="str">
        <f>IF($AC6=MAX(AC2:AC10),"TOP","")</f>
        <v/>
      </c>
    </row>
    <row r="7" spans="1:45" ht="14.4" x14ac:dyDescent="0.3">
      <c r="A7" s="67" t="s">
        <v>17</v>
      </c>
      <c r="B7" s="68">
        <v>249.7466</v>
      </c>
      <c r="C7" s="69">
        <v>272.90820000000002</v>
      </c>
      <c r="D7" s="69">
        <v>0</v>
      </c>
      <c r="E7" s="69">
        <v>277.05829999999997</v>
      </c>
      <c r="F7" s="69">
        <v>276.03660000000002</v>
      </c>
      <c r="G7" s="69">
        <v>273.93770000000001</v>
      </c>
      <c r="H7" s="69">
        <v>273.00900000000001</v>
      </c>
      <c r="I7" s="69">
        <v>273.00900000000001</v>
      </c>
      <c r="J7" s="70">
        <v>273.62</v>
      </c>
      <c r="K7" s="30"/>
      <c r="O7" s="48" t="str">
        <f>G1</f>
        <v>VAR</v>
      </c>
      <c r="P7" s="49">
        <f>100-ABS((($H10-G2)/($H10)))*100</f>
        <v>0</v>
      </c>
      <c r="Q7" s="50">
        <f t="shared" si="0"/>
        <v>0</v>
      </c>
      <c r="R7" s="51">
        <f>100-ABS((($H11-G3)/($H11)))*100</f>
        <v>99.522665050505054</v>
      </c>
      <c r="S7" s="52">
        <f t="shared" si="1"/>
        <v>0.12512735617654508</v>
      </c>
      <c r="T7" s="52">
        <f>100-ABS((($H12-G4)/($H12)))*100</f>
        <v>99.478355944566005</v>
      </c>
      <c r="U7" s="52">
        <f t="shared" si="2"/>
        <v>0.1254431623264442</v>
      </c>
      <c r="V7" s="52">
        <f>100-ABS((($H13-G5)/($H13)))*100</f>
        <v>96.345263157894735</v>
      </c>
      <c r="W7" s="52">
        <f t="shared" si="3"/>
        <v>0.12590791037548971</v>
      </c>
      <c r="X7" s="53">
        <f>100-ABS((($H14-G6)/($H14)))*100</f>
        <v>98.744933333333336</v>
      </c>
      <c r="Y7" s="54">
        <f t="shared" si="4"/>
        <v>0.12545274353924393</v>
      </c>
      <c r="Z7" s="55">
        <f>100-ABS((($H15-G7)/($H15)))*100</f>
        <v>96.235719696969696</v>
      </c>
      <c r="AA7" s="39">
        <f t="shared" si="5"/>
        <v>0.12539055254949763</v>
      </c>
      <c r="AB7" s="23"/>
      <c r="AC7" s="56">
        <f t="shared" si="6"/>
        <v>98.522804371574779</v>
      </c>
      <c r="AD7" s="57">
        <f t="shared" si="7"/>
        <v>81.721156197211471</v>
      </c>
      <c r="AE7" s="42" t="str">
        <f>IF($AC7=MAX(AC2:AC10),"TOP","")</f>
        <v/>
      </c>
    </row>
    <row r="8" spans="1:45" ht="14.4" x14ac:dyDescent="0.3">
      <c r="O8" s="48" t="str">
        <f>H1</f>
        <v>RW</v>
      </c>
      <c r="P8" s="49">
        <f>100-ABS((($H10-H2)/($H10)))*100</f>
        <v>99.429629629629645</v>
      </c>
      <c r="Q8" s="50">
        <f t="shared" si="0"/>
        <v>0.14265521712330226</v>
      </c>
      <c r="R8" s="51">
        <f>100-ABS((($H11-H3)/($H11)))*100</f>
        <v>99.626113939393932</v>
      </c>
      <c r="S8" s="52">
        <f t="shared" si="1"/>
        <v>0.12525741987569841</v>
      </c>
      <c r="T8" s="52">
        <f>100-ABS((($H12-H4)/($H12)))*100</f>
        <v>99.171536105032828</v>
      </c>
      <c r="U8" s="52">
        <f t="shared" si="2"/>
        <v>0.12505625956181687</v>
      </c>
      <c r="V8" s="52">
        <f>100-ABS((($H13-H5)/($H13)))*100</f>
        <v>97.846842105263164</v>
      </c>
      <c r="W8" s="52">
        <f t="shared" si="3"/>
        <v>0.12787023484615045</v>
      </c>
      <c r="X8" s="53">
        <f>100-ABS((($H14-H6)/($H14)))*100</f>
        <v>98.317000000000007</v>
      </c>
      <c r="Y8" s="54">
        <f t="shared" si="4"/>
        <v>0.12490906591542769</v>
      </c>
      <c r="Z8" s="55">
        <f>100-ABS((($H15-H7)/($H15)))*100</f>
        <v>96.587499999999991</v>
      </c>
      <c r="AA8" s="39">
        <f t="shared" si="5"/>
        <v>0.12584890550525973</v>
      </c>
      <c r="AB8" s="23"/>
      <c r="AC8" s="56">
        <f t="shared" si="6"/>
        <v>98.740373037422472</v>
      </c>
      <c r="AD8" s="57">
        <f t="shared" si="7"/>
        <v>98.496436963219921</v>
      </c>
      <c r="AE8" s="42" t="str">
        <f>IF($AC8=MAX(AC2:AC10),"TOP","")</f>
        <v>TOP</v>
      </c>
    </row>
    <row r="9" spans="1:45" ht="15" x14ac:dyDescent="0.3">
      <c r="B9" s="71" t="s">
        <v>22</v>
      </c>
      <c r="C9" s="72" t="s">
        <v>23</v>
      </c>
      <c r="D9" s="1384" t="s">
        <v>21</v>
      </c>
      <c r="E9" s="1384"/>
      <c r="F9" s="1384" t="s">
        <v>24</v>
      </c>
      <c r="G9" s="1384"/>
      <c r="H9" s="73" t="s">
        <v>25</v>
      </c>
      <c r="L9" s="74" t="str">
        <f>IF(L10&lt;25,C30,IF(L10&lt;45,C31,IF(L10&lt;55,C32,IF(L10&lt;75,C33,C34))))</f>
        <v>Fear</v>
      </c>
      <c r="O9" s="48" t="str">
        <f>I1</f>
        <v>ETS</v>
      </c>
      <c r="P9" s="49">
        <f>100-ABS((($H10-I2)/($H10)))*100</f>
        <v>99.427160493827159</v>
      </c>
      <c r="Q9" s="50">
        <f t="shared" si="0"/>
        <v>0.14265167456656819</v>
      </c>
      <c r="R9" s="51">
        <f>100-ABS((($H11-I3)/($H11)))*100</f>
        <v>99.562517171717175</v>
      </c>
      <c r="S9" s="52">
        <f t="shared" si="1"/>
        <v>0.12517746125123103</v>
      </c>
      <c r="T9" s="52">
        <f>100-ABS((($H12-I4)/($H12)))*100</f>
        <v>99.20899489423779</v>
      </c>
      <c r="U9" s="52">
        <f t="shared" si="2"/>
        <v>0.12510349545479252</v>
      </c>
      <c r="V9" s="52">
        <f>100-ABS((($H13-I5)/($H13)))*100</f>
        <v>96.801052631578941</v>
      </c>
      <c r="W9" s="52">
        <f t="shared" si="3"/>
        <v>0.12650355460668219</v>
      </c>
      <c r="X9" s="53">
        <f>100-ABS((($H14-I6)/($H14)))*100</f>
        <v>98.65325</v>
      </c>
      <c r="Y9" s="54">
        <f t="shared" si="4"/>
        <v>0.12533626236582854</v>
      </c>
      <c r="Z9" s="75">
        <f>100-ABS((($H15-I7)/($H15)))*100</f>
        <v>96.587499999999991</v>
      </c>
      <c r="AA9" s="39">
        <f t="shared" si="5"/>
        <v>0.12584890550525973</v>
      </c>
      <c r="AB9" s="23"/>
      <c r="AC9" s="56">
        <f t="shared" si="6"/>
        <v>98.556453674383476</v>
      </c>
      <c r="AD9" s="57">
        <f t="shared" si="7"/>
        <v>98.373412531893507</v>
      </c>
      <c r="AE9" s="42" t="str">
        <f>IF($AC9=MAX(AC2:AC10),"TOP","")</f>
        <v/>
      </c>
    </row>
    <row r="10" spans="1:45" ht="14.4" x14ac:dyDescent="0.3">
      <c r="A10" s="76" t="s">
        <v>12</v>
      </c>
      <c r="B10" s="77">
        <v>4.0330000000000004</v>
      </c>
      <c r="C10" s="78">
        <v>4.0439999999999996</v>
      </c>
      <c r="D10" s="79">
        <f>(B2*Q26)+(C2*Q27)+(D2*Q28)+(E2*Q29)+(F2*Q30)+(G2*Q31)+(H2*Q32)+(I2*Q33)+(J2*Q34)</f>
        <v>4.0421696658097686</v>
      </c>
      <c r="E10" s="80">
        <f>D10/$H$10</f>
        <v>0.99806658415056015</v>
      </c>
      <c r="F10" s="81">
        <v>4.0388972477064202</v>
      </c>
      <c r="G10" s="80">
        <f>F10/$H$10</f>
        <v>0.99725857968059761</v>
      </c>
      <c r="H10" s="82">
        <v>4.05</v>
      </c>
      <c r="L10" s="83">
        <v>43</v>
      </c>
      <c r="O10" s="84" t="str">
        <f>J1</f>
        <v>DynaMix</v>
      </c>
      <c r="P10" s="85">
        <f>100-ABS((($H10-J2)/($H10)))*100</f>
        <v>99.911111111111126</v>
      </c>
      <c r="Q10" s="86">
        <f t="shared" si="0"/>
        <v>0.14334601568644123</v>
      </c>
      <c r="R10" s="87">
        <f>100-ABS((($H11-J3)/($H11)))*100</f>
        <v>99.056707070707077</v>
      </c>
      <c r="S10" s="88">
        <f t="shared" si="1"/>
        <v>0.12454151886931565</v>
      </c>
      <c r="T10" s="88">
        <f>100-ABS((($H12-J4)/($H12)))*100</f>
        <v>99.660660831509844</v>
      </c>
      <c r="U10" s="88">
        <f t="shared" si="2"/>
        <v>0.12567305053990185</v>
      </c>
      <c r="V10" s="88">
        <f>100-ABS((($H13-J5)/($H13)))*100</f>
        <v>97.457894736842107</v>
      </c>
      <c r="W10" s="88">
        <f t="shared" si="3"/>
        <v>0.12736194259805431</v>
      </c>
      <c r="X10" s="89">
        <f>100-ABS((($H14-J6)/($H14)))*100</f>
        <v>98.495349999999988</v>
      </c>
      <c r="Y10" s="90">
        <f t="shared" si="4"/>
        <v>0.12513565472413843</v>
      </c>
      <c r="Z10" s="91">
        <f>100-ABS((($H15-J7)/($H15)))*100</f>
        <v>96.356060606060609</v>
      </c>
      <c r="AA10" s="92">
        <f t="shared" si="5"/>
        <v>0.12554735101406705</v>
      </c>
      <c r="AC10" s="93">
        <f t="shared" si="6"/>
        <v>98.667653159764754</v>
      </c>
      <c r="AD10" s="94">
        <f t="shared" si="7"/>
        <v>98.489630726038456</v>
      </c>
      <c r="AE10" s="42" t="str">
        <f>IF($AC10=MAX(AC2:AC10),"TOP","")</f>
        <v/>
      </c>
    </row>
    <row r="11" spans="1:45" ht="15" customHeight="1" x14ac:dyDescent="0.3">
      <c r="A11" s="95" t="s">
        <v>13</v>
      </c>
      <c r="B11" s="96">
        <v>49174.5</v>
      </c>
      <c r="C11" s="97">
        <v>48818.85</v>
      </c>
      <c r="D11" s="98">
        <f>(B3*S26)+(C3*S27)+(D3*S28)+(E3*S29)+(F3*S30)+(G3*S31)+(H3*S32)+(I3*S33)+(J3*S34)</f>
        <v>49221.088022616408</v>
      </c>
      <c r="E11" s="99">
        <f>D11/$H$11</f>
        <v>0.99436541459831129</v>
      </c>
      <c r="F11" s="100">
        <v>49251.4836121673</v>
      </c>
      <c r="G11" s="99">
        <f>F11/$H$11</f>
        <v>0.99497946691247074</v>
      </c>
      <c r="H11" s="101">
        <v>49500</v>
      </c>
      <c r="O11" s="102" t="s">
        <v>26</v>
      </c>
      <c r="P11" s="85">
        <f>SUM(P2:P10)/8</f>
        <v>87.124074074074073</v>
      </c>
      <c r="Q11" s="86"/>
      <c r="R11" s="87">
        <f>AVERAGE(R2:R10)</f>
        <v>88.374550796857477</v>
      </c>
      <c r="S11" s="88"/>
      <c r="T11" s="88">
        <f>AVERAGE(T2:T10)</f>
        <v>88.112819029094737</v>
      </c>
      <c r="U11" s="88"/>
      <c r="V11" s="88">
        <f>AVERAGE(V2:V10)</f>
        <v>85.022690058479554</v>
      </c>
      <c r="W11" s="88"/>
      <c r="X11" s="89">
        <f>AVERAGE(X2:X10)</f>
        <v>87.456511111111112</v>
      </c>
      <c r="Y11" s="90"/>
      <c r="Z11" s="91">
        <f>AVERAGE(Z2:Z10)</f>
        <v>85.276422558922548</v>
      </c>
      <c r="AQ11" s="103"/>
      <c r="AS11" s="104" t="s">
        <v>27</v>
      </c>
    </row>
    <row r="12" spans="1:45" ht="15" x14ac:dyDescent="0.3">
      <c r="A12" s="105" t="s">
        <v>14</v>
      </c>
      <c r="B12" s="106">
        <v>6890.07</v>
      </c>
      <c r="C12" s="107">
        <v>6837.74</v>
      </c>
      <c r="D12" s="108">
        <f>(B4*U26)+(C4*U27)+(D4*U28)+(E4*U29)+(F4*U30)+(G4*U31)+(H4*U32)+(I4*U33)+(J4*U34)</f>
        <v>6912.7657154618473</v>
      </c>
      <c r="E12" s="109">
        <f>D12/$H$12</f>
        <v>1.0084268002132528</v>
      </c>
      <c r="F12" s="110">
        <v>6907.2032967033001</v>
      </c>
      <c r="G12" s="109">
        <f>F12/$H$12</f>
        <v>1.0076153605694091</v>
      </c>
      <c r="H12" s="111">
        <v>6855</v>
      </c>
      <c r="AQ12" s="103"/>
      <c r="AS12" s="103"/>
    </row>
    <row r="13" spans="1:45" ht="15" x14ac:dyDescent="0.3">
      <c r="A13" s="105" t="s">
        <v>15</v>
      </c>
      <c r="B13" s="112">
        <v>19.55</v>
      </c>
      <c r="C13" s="111">
        <v>19.55</v>
      </c>
      <c r="D13" s="108">
        <f>(B5*W26)+(C5*W27)+(D5*W28)+(E5*W29)+(F5*W30)+(G5*W31)+(H5*W32)+(I5*W33)+(J5*W34)</f>
        <v>18.93445814376706</v>
      </c>
      <c r="E13" s="109">
        <f>D13/$H$13</f>
        <v>0.99655042861931897</v>
      </c>
      <c r="F13" s="110">
        <v>19.318179061481299</v>
      </c>
      <c r="G13" s="109">
        <f>F13/$H$13</f>
        <v>1.0167462663937525</v>
      </c>
      <c r="H13" s="111">
        <v>19</v>
      </c>
      <c r="O13" s="13" t="s">
        <v>28</v>
      </c>
      <c r="P13" s="113" t="s">
        <v>12</v>
      </c>
      <c r="Q13" s="114">
        <f>SUM(P14:P22)</f>
        <v>595</v>
      </c>
      <c r="R13" s="115" t="s">
        <v>13</v>
      </c>
      <c r="S13" s="116">
        <f>SUM(R14:R22)</f>
        <v>690</v>
      </c>
      <c r="T13" s="117" t="s">
        <v>14</v>
      </c>
      <c r="U13" s="116">
        <f>SUM(T14:T22)</f>
        <v>615</v>
      </c>
      <c r="V13" s="117" t="s">
        <v>15</v>
      </c>
      <c r="W13" s="116">
        <f>SUM(V14:V22)</f>
        <v>360</v>
      </c>
      <c r="X13" s="117" t="s">
        <v>16</v>
      </c>
      <c r="Y13" s="20">
        <f>SUM(X14:X22)</f>
        <v>530</v>
      </c>
      <c r="Z13" s="118" t="s">
        <v>17</v>
      </c>
      <c r="AA13" s="22">
        <f>SUM(Z14:Z22)</f>
        <v>360</v>
      </c>
      <c r="AB13" s="23"/>
      <c r="AC13" s="24" t="s">
        <v>29</v>
      </c>
      <c r="AD13" s="119" t="s">
        <v>30</v>
      </c>
      <c r="AQ13" s="103"/>
      <c r="AS13" s="103"/>
    </row>
    <row r="14" spans="1:45" ht="15" x14ac:dyDescent="0.3">
      <c r="A14" s="120" t="s">
        <v>16</v>
      </c>
      <c r="B14" s="121">
        <v>607.87</v>
      </c>
      <c r="C14" s="122">
        <v>607.87</v>
      </c>
      <c r="D14" s="123">
        <f>(B6*Y26)+(C6*Y27)+(D6*Y28)+(E6*Y29)+(F6*Y30)+(G6*Y31)+(H6*Y32)+(I6*Y33)+(J6*Y34)</f>
        <v>609.60971301369852</v>
      </c>
      <c r="E14" s="124">
        <f>D14/$H$14</f>
        <v>1.0160161883561643</v>
      </c>
      <c r="F14" s="125">
        <v>609.91081932773102</v>
      </c>
      <c r="G14" s="124">
        <f>F14/$H$14</f>
        <v>1.0165180322128851</v>
      </c>
      <c r="H14" s="126">
        <v>600</v>
      </c>
      <c r="O14" s="127" t="str">
        <f t="shared" ref="O14:O22" si="8">O2</f>
        <v>PyCaret</v>
      </c>
      <c r="P14" s="128">
        <f t="shared" ref="P14:P22" si="9">IF(P2=0,0, LOOKUP(P2-0.000000000001,$AC$14:$AC$30,$AD$14:$AD$30))</f>
        <v>90</v>
      </c>
      <c r="Q14" s="129">
        <f t="shared" ref="Q14:Q22" si="10">P14/$Q$13</f>
        <v>0.15126050420168066</v>
      </c>
      <c r="R14" s="130">
        <f t="shared" ref="R14:R22" si="11">IF(R2=0,0, LOOKUP(R2-0.000000000001,$AC$14:$AC$30,$AD$14:$AD$30))</f>
        <v>65</v>
      </c>
      <c r="S14" s="131">
        <f t="shared" ref="S14:S22" si="12">R14/$S$13</f>
        <v>9.420289855072464E-2</v>
      </c>
      <c r="T14" s="131">
        <f t="shared" ref="T14:T22" si="13">IF(T2=0,0, LOOKUP(T2-0.000000000001,$AC$14:$AC$30,$AD$14:$AD$30))</f>
        <v>65</v>
      </c>
      <c r="U14" s="131">
        <f t="shared" ref="U14:U22" si="14">T14/$U$13</f>
        <v>0.10569105691056911</v>
      </c>
      <c r="V14" s="131">
        <f t="shared" ref="V14:V22" si="15">IF(V2=0,0, LOOKUP(V2-0.000000000001,$AC$14:$AC$30,$AD$14:$AD$30))</f>
        <v>10</v>
      </c>
      <c r="W14" s="131">
        <f t="shared" ref="W14:W22" si="16">V14/$W$13</f>
        <v>2.7777777777777776E-2</v>
      </c>
      <c r="X14" s="131">
        <f t="shared" ref="X14:X22" si="17">IF(X2=0,0, LOOKUP(X2-0.000000000001,$AC$14:$AC$30,$AD$14:$AD$30))</f>
        <v>65</v>
      </c>
      <c r="Y14" s="132">
        <f t="shared" ref="Y14:Y22" si="18">X14/$Y$13</f>
        <v>0.12264150943396226</v>
      </c>
      <c r="Z14" s="133">
        <f t="shared" ref="Z14:Z22" si="19">IF(Z2=0,0, LOOKUP(Z2-0.000000000001,$AC$14:$AC$30,$AD$14:$AD$30))</f>
        <v>30</v>
      </c>
      <c r="AA14" s="134">
        <f t="shared" ref="AA14:AA22" si="20">Z14/$AA$13</f>
        <v>8.3333333333333329E-2</v>
      </c>
      <c r="AB14" s="23"/>
      <c r="AC14" s="40">
        <v>1</v>
      </c>
      <c r="AD14" s="135">
        <v>0.1</v>
      </c>
      <c r="AQ14" s="103"/>
      <c r="AS14" s="103"/>
    </row>
    <row r="15" spans="1:45" ht="15" x14ac:dyDescent="0.3">
      <c r="A15" s="136" t="s">
        <v>17</v>
      </c>
      <c r="B15" s="137">
        <v>272.14</v>
      </c>
      <c r="C15" s="138">
        <v>272.19</v>
      </c>
      <c r="D15" s="139">
        <f>(B7*AA25)+(C7*AA26)+(D7*AA27)+(E7*AA28)+(F7*AA29)+(G7*AA30)+(H7*AA31)+(I7*AA32)+(J7*AA33)</f>
        <v>271.24407479224379</v>
      </c>
      <c r="E15" s="140">
        <f>D15/$H$15</f>
        <v>1.0274396772433476</v>
      </c>
      <c r="F15" s="141">
        <v>274.37624113475198</v>
      </c>
      <c r="G15" s="140">
        <f>F15/$H$15</f>
        <v>1.0393039436922424</v>
      </c>
      <c r="H15" s="142">
        <v>264</v>
      </c>
      <c r="O15" s="143" t="str">
        <f t="shared" si="8"/>
        <v>ARIMAX</v>
      </c>
      <c r="P15" s="144">
        <f t="shared" si="9"/>
        <v>90</v>
      </c>
      <c r="Q15" s="145">
        <f t="shared" si="10"/>
        <v>0.15126050420168066</v>
      </c>
      <c r="R15" s="146">
        <f t="shared" si="11"/>
        <v>95</v>
      </c>
      <c r="S15" s="147">
        <f t="shared" si="12"/>
        <v>0.13768115942028986</v>
      </c>
      <c r="T15" s="147">
        <f t="shared" si="13"/>
        <v>70</v>
      </c>
      <c r="U15" s="147">
        <f t="shared" si="14"/>
        <v>0.11382113821138211</v>
      </c>
      <c r="V15" s="147">
        <f t="shared" si="15"/>
        <v>50</v>
      </c>
      <c r="W15" s="147">
        <f t="shared" si="16"/>
        <v>0.1388888888888889</v>
      </c>
      <c r="X15" s="147">
        <f t="shared" si="17"/>
        <v>70</v>
      </c>
      <c r="Y15" s="148">
        <f t="shared" si="18"/>
        <v>0.13207547169811321</v>
      </c>
      <c r="Z15" s="149">
        <f t="shared" si="19"/>
        <v>50</v>
      </c>
      <c r="AA15" s="134">
        <f t="shared" si="20"/>
        <v>0.1388888888888889</v>
      </c>
      <c r="AB15" s="23"/>
      <c r="AC15" s="56">
        <v>80</v>
      </c>
      <c r="AD15" s="150">
        <v>1</v>
      </c>
      <c r="AQ15" s="103"/>
      <c r="AS15" s="103"/>
    </row>
    <row r="16" spans="1:45" ht="15" x14ac:dyDescent="0.3">
      <c r="G16" s="151"/>
      <c r="K16" s="8"/>
      <c r="O16" s="143" t="str">
        <f t="shared" si="8"/>
        <v>PCE</v>
      </c>
      <c r="P16" s="144">
        <f t="shared" si="9"/>
        <v>0</v>
      </c>
      <c r="Q16" s="145">
        <f t="shared" si="10"/>
        <v>0</v>
      </c>
      <c r="R16" s="146">
        <f t="shared" si="11"/>
        <v>0</v>
      </c>
      <c r="S16" s="147">
        <f t="shared" si="12"/>
        <v>0</v>
      </c>
      <c r="T16" s="147">
        <f t="shared" si="13"/>
        <v>0</v>
      </c>
      <c r="U16" s="147">
        <f t="shared" si="14"/>
        <v>0</v>
      </c>
      <c r="V16" s="147">
        <f t="shared" si="15"/>
        <v>0</v>
      </c>
      <c r="W16" s="147">
        <f t="shared" si="16"/>
        <v>0</v>
      </c>
      <c r="X16" s="147">
        <f t="shared" si="17"/>
        <v>0</v>
      </c>
      <c r="Y16" s="148">
        <f t="shared" si="18"/>
        <v>0</v>
      </c>
      <c r="Z16" s="149">
        <f t="shared" si="19"/>
        <v>0</v>
      </c>
      <c r="AA16" s="134">
        <f t="shared" si="20"/>
        <v>0</v>
      </c>
      <c r="AB16" s="23"/>
      <c r="AC16" s="56">
        <v>82.5</v>
      </c>
      <c r="AD16" s="150">
        <v>2</v>
      </c>
      <c r="AQ16" s="103"/>
      <c r="AS16" s="103"/>
    </row>
    <row r="17" spans="1:43" ht="15" x14ac:dyDescent="0.3">
      <c r="A17" s="12" t="str">
        <f>F9</f>
        <v>LLM</v>
      </c>
      <c r="B17" s="1385" t="s">
        <v>31</v>
      </c>
      <c r="C17" s="1385"/>
      <c r="D17" s="1385">
        <v>85220</v>
      </c>
      <c r="E17" s="1385"/>
      <c r="F17" s="1385" t="s">
        <v>32</v>
      </c>
      <c r="G17" s="1385"/>
      <c r="H17" s="1385" t="s">
        <v>33</v>
      </c>
      <c r="I17" s="1385"/>
      <c r="J17" s="1385"/>
      <c r="K17" s="152"/>
      <c r="L17" s="153"/>
      <c r="M17" s="154"/>
      <c r="O17" s="143" t="str">
        <f t="shared" si="8"/>
        <v>LSTM</v>
      </c>
      <c r="P17" s="144">
        <f t="shared" si="9"/>
        <v>80</v>
      </c>
      <c r="Q17" s="145">
        <f t="shared" si="10"/>
        <v>0.13445378151260504</v>
      </c>
      <c r="R17" s="146">
        <f t="shared" si="11"/>
        <v>95</v>
      </c>
      <c r="S17" s="147">
        <f t="shared" si="12"/>
        <v>0.13768115942028986</v>
      </c>
      <c r="T17" s="147">
        <f t="shared" si="13"/>
        <v>90</v>
      </c>
      <c r="U17" s="147">
        <f t="shared" si="14"/>
        <v>0.14634146341463414</v>
      </c>
      <c r="V17" s="147">
        <f t="shared" si="15"/>
        <v>40</v>
      </c>
      <c r="W17" s="147">
        <f t="shared" si="16"/>
        <v>0.1111111111111111</v>
      </c>
      <c r="X17" s="147">
        <f t="shared" si="17"/>
        <v>65</v>
      </c>
      <c r="Y17" s="148">
        <f t="shared" si="18"/>
        <v>0.12264150943396226</v>
      </c>
      <c r="Z17" s="149">
        <f t="shared" si="19"/>
        <v>40</v>
      </c>
      <c r="AA17" s="134">
        <f t="shared" si="20"/>
        <v>0.1111111111111111</v>
      </c>
      <c r="AB17" s="23"/>
      <c r="AC17" s="56">
        <v>85</v>
      </c>
      <c r="AD17" s="150">
        <v>5</v>
      </c>
      <c r="AQ17" s="103"/>
    </row>
    <row r="18" spans="1:43" ht="15" x14ac:dyDescent="0.3">
      <c r="A18" s="76" t="s">
        <v>12</v>
      </c>
      <c r="B18" s="155">
        <v>4.0199999999999996</v>
      </c>
      <c r="C18" s="156">
        <f>1-ABS(1-B18/$H$10)</f>
        <v>0.99259259259259258</v>
      </c>
      <c r="D18" s="155">
        <v>4.05</v>
      </c>
      <c r="E18" s="156">
        <f>1-ABS(1-D18/$H$10)</f>
        <v>1</v>
      </c>
      <c r="F18" s="155">
        <v>4.0599999999999996</v>
      </c>
      <c r="G18" s="156">
        <f>1-ABS(1-F18/$H$10)</f>
        <v>0.9975308641975309</v>
      </c>
      <c r="H18" s="157" t="s">
        <v>12</v>
      </c>
      <c r="I18" s="158">
        <f>MAX(P2:P10)</f>
        <v>99.911111111111126</v>
      </c>
      <c r="J18" s="159" t="s">
        <v>34</v>
      </c>
      <c r="K18" s="160"/>
      <c r="L18" s="161"/>
      <c r="M18" s="162"/>
      <c r="O18" s="143" t="str">
        <f t="shared" si="8"/>
        <v>GARCH</v>
      </c>
      <c r="P18" s="144">
        <f t="shared" si="9"/>
        <v>80</v>
      </c>
      <c r="Q18" s="145">
        <f t="shared" si="10"/>
        <v>0.13445378151260504</v>
      </c>
      <c r="R18" s="146">
        <f t="shared" si="11"/>
        <v>90</v>
      </c>
      <c r="S18" s="147">
        <f t="shared" si="12"/>
        <v>0.13043478260869565</v>
      </c>
      <c r="T18" s="147">
        <f t="shared" si="13"/>
        <v>70</v>
      </c>
      <c r="U18" s="147">
        <f t="shared" si="14"/>
        <v>0.11382113821138211</v>
      </c>
      <c r="V18" s="147">
        <f t="shared" si="15"/>
        <v>40</v>
      </c>
      <c r="W18" s="147">
        <f t="shared" si="16"/>
        <v>0.1111111111111111</v>
      </c>
      <c r="X18" s="147">
        <f t="shared" si="17"/>
        <v>60</v>
      </c>
      <c r="Y18" s="148">
        <f t="shared" si="18"/>
        <v>0.11320754716981132</v>
      </c>
      <c r="Z18" s="149">
        <f t="shared" si="19"/>
        <v>40</v>
      </c>
      <c r="AA18" s="134">
        <f t="shared" si="20"/>
        <v>0.1111111111111111</v>
      </c>
      <c r="AB18" s="23"/>
      <c r="AC18" s="56">
        <v>87.5</v>
      </c>
      <c r="AD18" s="150">
        <v>10</v>
      </c>
      <c r="AQ18" s="103"/>
    </row>
    <row r="19" spans="1:43" ht="15" x14ac:dyDescent="0.3">
      <c r="A19" s="163" t="s">
        <v>13</v>
      </c>
      <c r="B19" s="164">
        <v>49515</v>
      </c>
      <c r="C19" s="165">
        <f>1-ABS(1-B19/$H$11)</f>
        <v>0.99969696969696975</v>
      </c>
      <c r="D19" s="164">
        <v>49583</v>
      </c>
      <c r="E19" s="165">
        <f>1-ABS(1-D19/$H$11)</f>
        <v>0.99832323232323228</v>
      </c>
      <c r="F19" s="164">
        <v>49310</v>
      </c>
      <c r="G19" s="165">
        <f>1-ABS(1-F19/$H$11)</f>
        <v>0.99616161616161614</v>
      </c>
      <c r="H19" s="166" t="s">
        <v>13</v>
      </c>
      <c r="I19" s="167">
        <f>MAX(R2:R10)</f>
        <v>99.948625454545464</v>
      </c>
      <c r="J19" s="168" t="s">
        <v>35</v>
      </c>
      <c r="K19" s="160"/>
      <c r="L19" s="161"/>
      <c r="M19" s="162"/>
      <c r="O19" s="143" t="str">
        <f t="shared" si="8"/>
        <v>VAR</v>
      </c>
      <c r="P19" s="144">
        <f t="shared" si="9"/>
        <v>0</v>
      </c>
      <c r="Q19" s="145">
        <f t="shared" si="10"/>
        <v>0</v>
      </c>
      <c r="R19" s="146">
        <f t="shared" si="11"/>
        <v>90</v>
      </c>
      <c r="S19" s="147">
        <f t="shared" si="12"/>
        <v>0.13043478260869565</v>
      </c>
      <c r="T19" s="147">
        <f t="shared" si="13"/>
        <v>80</v>
      </c>
      <c r="U19" s="147">
        <f t="shared" si="14"/>
        <v>0.13008130081300814</v>
      </c>
      <c r="V19" s="147">
        <f t="shared" si="15"/>
        <v>50</v>
      </c>
      <c r="W19" s="147">
        <f t="shared" si="16"/>
        <v>0.1388888888888889</v>
      </c>
      <c r="X19" s="147">
        <f t="shared" si="17"/>
        <v>70</v>
      </c>
      <c r="Y19" s="148">
        <f t="shared" si="18"/>
        <v>0.13207547169811321</v>
      </c>
      <c r="Z19" s="149">
        <f t="shared" si="19"/>
        <v>50</v>
      </c>
      <c r="AA19" s="134">
        <f t="shared" si="20"/>
        <v>0.1388888888888889</v>
      </c>
      <c r="AB19" s="23"/>
      <c r="AC19" s="56">
        <v>90</v>
      </c>
      <c r="AD19" s="150">
        <v>20</v>
      </c>
      <c r="AK19" s="6"/>
      <c r="AQ19" s="103"/>
    </row>
    <row r="20" spans="1:43" ht="14.4" x14ac:dyDescent="0.3">
      <c r="A20" s="43" t="s">
        <v>14</v>
      </c>
      <c r="B20" s="169">
        <v>6907</v>
      </c>
      <c r="C20" s="170">
        <f>1-ABS(1-B20/$H$12)</f>
        <v>0.99241429613420862</v>
      </c>
      <c r="D20" s="169">
        <v>6913</v>
      </c>
      <c r="E20" s="170">
        <f>1-ABS(1-D20/$H$12)</f>
        <v>0.99153902261123261</v>
      </c>
      <c r="F20" s="169">
        <v>6919</v>
      </c>
      <c r="G20" s="170">
        <f>1-ABS(1-F20/$H$12)</f>
        <v>0.99066374908825683</v>
      </c>
      <c r="H20" s="171" t="s">
        <v>14</v>
      </c>
      <c r="I20" s="172">
        <f>MAX(T2:T10)</f>
        <v>99.660660831509844</v>
      </c>
      <c r="J20" s="173" t="s">
        <v>36</v>
      </c>
      <c r="K20" s="160"/>
      <c r="L20" s="161"/>
      <c r="M20" s="162"/>
      <c r="O20" s="143" t="str">
        <f t="shared" si="8"/>
        <v>RW</v>
      </c>
      <c r="P20" s="144">
        <f t="shared" si="9"/>
        <v>80</v>
      </c>
      <c r="Q20" s="145">
        <f t="shared" si="10"/>
        <v>0.13445378151260504</v>
      </c>
      <c r="R20" s="146">
        <f t="shared" si="11"/>
        <v>90</v>
      </c>
      <c r="S20" s="147">
        <f t="shared" si="12"/>
        <v>0.13043478260869565</v>
      </c>
      <c r="T20" s="147">
        <f t="shared" si="13"/>
        <v>75</v>
      </c>
      <c r="U20" s="147">
        <f t="shared" si="14"/>
        <v>0.12195121951219512</v>
      </c>
      <c r="V20" s="147">
        <f t="shared" si="15"/>
        <v>60</v>
      </c>
      <c r="W20" s="147">
        <f t="shared" si="16"/>
        <v>0.16666666666666666</v>
      </c>
      <c r="X20" s="147">
        <f t="shared" si="17"/>
        <v>65</v>
      </c>
      <c r="Y20" s="148">
        <f t="shared" si="18"/>
        <v>0.12264150943396226</v>
      </c>
      <c r="Z20" s="149">
        <f t="shared" si="19"/>
        <v>50</v>
      </c>
      <c r="AA20" s="134">
        <f t="shared" si="20"/>
        <v>0.1388888888888889</v>
      </c>
      <c r="AB20" s="23"/>
      <c r="AC20" s="56">
        <v>92.5</v>
      </c>
      <c r="AD20" s="150">
        <v>30</v>
      </c>
    </row>
    <row r="21" spans="1:43" ht="14.4" x14ac:dyDescent="0.3">
      <c r="A21" s="43" t="s">
        <v>15</v>
      </c>
      <c r="B21" s="169">
        <v>18.399999999999999</v>
      </c>
      <c r="C21" s="170">
        <f>1-ABS(1-B21/$H$13)</f>
        <v>0.96842105263157885</v>
      </c>
      <c r="D21" s="169">
        <v>18.649999999999999</v>
      </c>
      <c r="E21" s="170">
        <f>1-ABS(1-D21/$H$13)</f>
        <v>0.981578947368421</v>
      </c>
      <c r="F21" s="169">
        <v>19.21</v>
      </c>
      <c r="G21" s="170">
        <f>1-ABS(1-F21/$H$13)</f>
        <v>0.98894736842105258</v>
      </c>
      <c r="H21" s="171" t="s">
        <v>15</v>
      </c>
      <c r="I21" s="172">
        <f>MAX(V2:V10)</f>
        <v>97.846842105263164</v>
      </c>
      <c r="J21" s="173" t="s">
        <v>37</v>
      </c>
      <c r="K21" s="160"/>
      <c r="L21" s="161"/>
      <c r="M21" s="162"/>
      <c r="O21" s="143" t="str">
        <f t="shared" si="8"/>
        <v>ETS</v>
      </c>
      <c r="P21" s="144">
        <f t="shared" si="9"/>
        <v>80</v>
      </c>
      <c r="Q21" s="145">
        <f t="shared" si="10"/>
        <v>0.13445378151260504</v>
      </c>
      <c r="R21" s="146">
        <f t="shared" si="11"/>
        <v>90</v>
      </c>
      <c r="S21" s="147">
        <f t="shared" si="12"/>
        <v>0.13043478260869565</v>
      </c>
      <c r="T21" s="147">
        <f t="shared" si="13"/>
        <v>75</v>
      </c>
      <c r="U21" s="147">
        <f t="shared" si="14"/>
        <v>0.12195121951219512</v>
      </c>
      <c r="V21" s="147">
        <f t="shared" si="15"/>
        <v>50</v>
      </c>
      <c r="W21" s="147">
        <f t="shared" si="16"/>
        <v>0.1388888888888889</v>
      </c>
      <c r="X21" s="147">
        <f t="shared" si="17"/>
        <v>70</v>
      </c>
      <c r="Y21" s="148">
        <f t="shared" si="18"/>
        <v>0.13207547169811321</v>
      </c>
      <c r="Z21" s="149">
        <f t="shared" si="19"/>
        <v>50</v>
      </c>
      <c r="AA21" s="134">
        <f t="shared" si="20"/>
        <v>0.1388888888888889</v>
      </c>
      <c r="AC21" s="56">
        <v>95</v>
      </c>
      <c r="AD21" s="150">
        <v>40</v>
      </c>
    </row>
    <row r="22" spans="1:43" ht="14.4" x14ac:dyDescent="0.3">
      <c r="A22" s="174" t="s">
        <v>16</v>
      </c>
      <c r="B22" s="175">
        <v>613.29999999999995</v>
      </c>
      <c r="C22" s="176">
        <f>1-ABS(1-B22/$H$14)</f>
        <v>0.97783333333333333</v>
      </c>
      <c r="D22" s="175">
        <v>615.4</v>
      </c>
      <c r="E22" s="176">
        <f>1-ABS(1-D22/$H$14)</f>
        <v>0.97433333333333327</v>
      </c>
      <c r="F22" s="175">
        <v>609.9</v>
      </c>
      <c r="G22" s="176">
        <f>1-ABS(1-F22/$H$14)</f>
        <v>0.98350000000000004</v>
      </c>
      <c r="H22" s="177" t="s">
        <v>16</v>
      </c>
      <c r="I22" s="178">
        <f>MAX(X2:X10)</f>
        <v>98.767083333333332</v>
      </c>
      <c r="J22" s="179" t="s">
        <v>36</v>
      </c>
      <c r="K22" s="160"/>
      <c r="L22" s="161"/>
      <c r="M22" s="162"/>
      <c r="O22" s="180" t="str">
        <f t="shared" si="8"/>
        <v>DynaMix</v>
      </c>
      <c r="P22" s="181">
        <f t="shared" si="9"/>
        <v>95</v>
      </c>
      <c r="Q22" s="182">
        <f t="shared" si="10"/>
        <v>0.15966386554621848</v>
      </c>
      <c r="R22" s="183">
        <f t="shared" si="11"/>
        <v>75</v>
      </c>
      <c r="S22" s="184">
        <f t="shared" si="12"/>
        <v>0.10869565217391304</v>
      </c>
      <c r="T22" s="184">
        <f t="shared" si="13"/>
        <v>90</v>
      </c>
      <c r="U22" s="184">
        <f t="shared" si="14"/>
        <v>0.14634146341463414</v>
      </c>
      <c r="V22" s="184">
        <f t="shared" si="15"/>
        <v>60</v>
      </c>
      <c r="W22" s="184">
        <f t="shared" si="16"/>
        <v>0.16666666666666666</v>
      </c>
      <c r="X22" s="184">
        <f t="shared" si="17"/>
        <v>65</v>
      </c>
      <c r="Y22" s="185">
        <f t="shared" si="18"/>
        <v>0.12264150943396226</v>
      </c>
      <c r="Z22" s="186">
        <f t="shared" si="19"/>
        <v>50</v>
      </c>
      <c r="AA22" s="187">
        <f t="shared" si="20"/>
        <v>0.1388888888888889</v>
      </c>
      <c r="AB22" s="23"/>
      <c r="AC22" s="56">
        <v>96</v>
      </c>
      <c r="AD22" s="150">
        <v>50</v>
      </c>
    </row>
    <row r="23" spans="1:43" ht="14.4" x14ac:dyDescent="0.3">
      <c r="A23" s="136" t="s">
        <v>17</v>
      </c>
      <c r="B23" s="188">
        <v>273.2</v>
      </c>
      <c r="C23" s="189">
        <f>1-ABS(1-B23/$H$15)</f>
        <v>0.96515151515151509</v>
      </c>
      <c r="D23" s="188">
        <v>274.3</v>
      </c>
      <c r="E23" s="189">
        <f>1-ABS(1-D23/$H$15)</f>
        <v>0.96098484848484844</v>
      </c>
      <c r="F23" s="188">
        <v>272.89999999999998</v>
      </c>
      <c r="G23" s="189">
        <f>1-ABS(1-F23/$H$15)</f>
        <v>0.96628787878787881</v>
      </c>
      <c r="H23" s="190" t="s">
        <v>17</v>
      </c>
      <c r="I23" s="191">
        <f>MAX(Z2:Z10)</f>
        <v>96.625681818181803</v>
      </c>
      <c r="J23" s="192" t="s">
        <v>38</v>
      </c>
      <c r="K23" s="160"/>
      <c r="L23" s="161"/>
      <c r="M23" s="162"/>
      <c r="O23" s="102" t="s">
        <v>26</v>
      </c>
      <c r="P23" s="193">
        <f>AVERAGE(P14:P22)</f>
        <v>66.111111111111114</v>
      </c>
      <c r="Q23" s="194"/>
      <c r="R23" s="195">
        <f>AVERAGE(R14:R22)</f>
        <v>76.666666666666671</v>
      </c>
      <c r="S23" s="196"/>
      <c r="T23" s="196">
        <f>AVERAGE(T14:T22)</f>
        <v>68.333333333333329</v>
      </c>
      <c r="U23" s="196"/>
      <c r="V23" s="196">
        <f>AVERAGE(V14:V22)</f>
        <v>40</v>
      </c>
      <c r="W23" s="196"/>
      <c r="X23" s="196">
        <f>AVERAGE(X14:X22)</f>
        <v>58.888888888888886</v>
      </c>
      <c r="Y23" s="197"/>
      <c r="Z23" s="198">
        <f>AVERAGE(Z14:Z22)</f>
        <v>40</v>
      </c>
      <c r="AC23" s="56">
        <v>97</v>
      </c>
      <c r="AD23" s="150">
        <v>60</v>
      </c>
    </row>
    <row r="24" spans="1:43" ht="14.4" x14ac:dyDescent="0.3">
      <c r="J24" s="199"/>
      <c r="K24" s="200"/>
      <c r="L24" s="201"/>
      <c r="AA24" s="22">
        <f>SUM(Z26:Z34)</f>
        <v>451.25</v>
      </c>
      <c r="AB24" s="23"/>
      <c r="AC24" s="56">
        <v>98</v>
      </c>
      <c r="AD24" s="150">
        <v>65</v>
      </c>
    </row>
    <row r="25" spans="1:43" ht="14.4" x14ac:dyDescent="0.3">
      <c r="A25" s="202" t="str">
        <f>AC1</f>
        <v>AVR-4</v>
      </c>
      <c r="B25" s="1380">
        <f t="array" ref="B25">SUM(C19:C22/4)</f>
        <v>0.98459141294902264</v>
      </c>
      <c r="C25" s="1380"/>
      <c r="D25" s="1380">
        <f t="array" ref="D25">SUM(E19:E22/4)</f>
        <v>0.98644363390905476</v>
      </c>
      <c r="E25" s="1380"/>
      <c r="F25" s="1380">
        <f t="array" ref="F25">SUM(G19:G22/4)</f>
        <v>0.98981818341773153</v>
      </c>
      <c r="G25" s="1380"/>
      <c r="H25" s="1381" t="s">
        <v>39</v>
      </c>
      <c r="I25" s="1381"/>
      <c r="J25" s="203">
        <f>AVERAGE(I19:I22)</f>
        <v>99.055802931162944</v>
      </c>
      <c r="O25" s="13" t="s">
        <v>40</v>
      </c>
      <c r="P25" s="204" t="s">
        <v>12</v>
      </c>
      <c r="Q25" s="205">
        <f>SUM(P26:P34)</f>
        <v>486.25</v>
      </c>
      <c r="R25" s="206" t="s">
        <v>13</v>
      </c>
      <c r="S25" s="207">
        <f>SUM(R26:R34)</f>
        <v>563.75</v>
      </c>
      <c r="T25" s="208" t="s">
        <v>14</v>
      </c>
      <c r="U25" s="207">
        <f>SUM(T26:T34)</f>
        <v>622.5</v>
      </c>
      <c r="V25" s="208" t="s">
        <v>15</v>
      </c>
      <c r="W25" s="207">
        <f>SUM(V26:V34)</f>
        <v>247.27500000000001</v>
      </c>
      <c r="X25" s="208" t="s">
        <v>16</v>
      </c>
      <c r="Y25" s="209">
        <f>SUM(X26:X34)</f>
        <v>547.5</v>
      </c>
      <c r="Z25" s="210" t="s">
        <v>17</v>
      </c>
      <c r="AA25" s="39">
        <f t="shared" ref="AA25:AA33" si="21">Z26/$AA$24</f>
        <v>0.11911357340720222</v>
      </c>
      <c r="AB25" s="23"/>
      <c r="AC25" s="56">
        <v>98.5</v>
      </c>
      <c r="AD25" s="150">
        <v>70</v>
      </c>
    </row>
    <row r="26" spans="1:43" ht="14.4" x14ac:dyDescent="0.3">
      <c r="A26" s="211" t="str">
        <f>AD1</f>
        <v>AVR-6</v>
      </c>
      <c r="B26" s="1382">
        <f t="array" ref="B26">SUM(C18:C23/6)</f>
        <v>0.98268495992336624</v>
      </c>
      <c r="C26" s="1382"/>
      <c r="D26" s="1382">
        <f t="array" ref="D26">SUM(E18:E23/6)</f>
        <v>0.98445989735351125</v>
      </c>
      <c r="E26" s="1382"/>
      <c r="F26" s="1382">
        <f t="array" ref="F26">SUM(G18:G23/6)</f>
        <v>0.98718191277605594</v>
      </c>
      <c r="G26" s="1382"/>
      <c r="H26" s="1383" t="s">
        <v>41</v>
      </c>
      <c r="I26" s="1383"/>
      <c r="J26" s="212">
        <f>AVERAGE(I18:I23)</f>
        <v>98.793334108990791</v>
      </c>
      <c r="O26" s="127" t="str">
        <f t="shared" ref="O26:O33" si="22">O2</f>
        <v>PyCaret</v>
      </c>
      <c r="P26" s="213">
        <v>60</v>
      </c>
      <c r="Q26" s="214">
        <f t="shared" ref="Q26:Q34" si="23">P26/$Q$25</f>
        <v>0.12339331619537275</v>
      </c>
      <c r="R26" s="215">
        <v>62.5</v>
      </c>
      <c r="S26" s="216">
        <f t="shared" ref="S26:S34" si="24">R26/$S$25</f>
        <v>0.11086474501108648</v>
      </c>
      <c r="T26" s="216">
        <v>61.25</v>
      </c>
      <c r="U26" s="216">
        <f t="shared" ref="U26:U34" si="25">T26/$U$25</f>
        <v>9.8393574297188757E-2</v>
      </c>
      <c r="V26" s="216">
        <v>50</v>
      </c>
      <c r="W26" s="216">
        <f t="shared" ref="W26:W34" si="26">V26/$W$25</f>
        <v>0.2022040238600748</v>
      </c>
      <c r="X26" s="216">
        <v>72.5</v>
      </c>
      <c r="Y26" s="217">
        <f t="shared" ref="Y26:Y34" si="27">X26/$Y$25</f>
        <v>0.13242009132420091</v>
      </c>
      <c r="Z26" s="218">
        <v>53.75</v>
      </c>
      <c r="AA26" s="39">
        <f t="shared" si="21"/>
        <v>0.12188365650969529</v>
      </c>
      <c r="AB26" s="23"/>
      <c r="AC26" s="56">
        <v>99</v>
      </c>
      <c r="AD26" s="150">
        <v>75</v>
      </c>
    </row>
    <row r="27" spans="1:43" ht="14.4" x14ac:dyDescent="0.3">
      <c r="O27" s="143" t="str">
        <f t="shared" si="22"/>
        <v>ARIMAX</v>
      </c>
      <c r="P27" s="219">
        <v>65</v>
      </c>
      <c r="Q27" s="220">
        <f t="shared" si="23"/>
        <v>0.13367609254498714</v>
      </c>
      <c r="R27" s="221">
        <v>65</v>
      </c>
      <c r="S27" s="222">
        <f t="shared" si="24"/>
        <v>0.11529933481152993</v>
      </c>
      <c r="T27" s="222">
        <v>77.5</v>
      </c>
      <c r="U27" s="222">
        <f t="shared" si="25"/>
        <v>0.12449799196787148</v>
      </c>
      <c r="V27" s="222">
        <v>29.25</v>
      </c>
      <c r="W27" s="222">
        <f t="shared" si="26"/>
        <v>0.11828935395814376</v>
      </c>
      <c r="X27" s="222">
        <v>75</v>
      </c>
      <c r="Y27" s="223">
        <f t="shared" si="27"/>
        <v>0.13698630136986301</v>
      </c>
      <c r="Z27" s="224">
        <v>55</v>
      </c>
      <c r="AA27" s="39">
        <f t="shared" si="21"/>
        <v>0</v>
      </c>
      <c r="AB27" s="23"/>
      <c r="AC27" s="56">
        <v>99.25</v>
      </c>
      <c r="AD27" s="150">
        <v>80</v>
      </c>
      <c r="AF27" s="2"/>
    </row>
    <row r="28" spans="1:43" ht="14.25" customHeight="1" x14ac:dyDescent="0.3">
      <c r="A28" s="225" t="s">
        <v>42</v>
      </c>
      <c r="B28" s="8"/>
      <c r="C28" s="8"/>
      <c r="D28" s="8"/>
      <c r="O28" s="143" t="str">
        <f t="shared" si="22"/>
        <v>PCE</v>
      </c>
      <c r="P28" s="219">
        <v>0</v>
      </c>
      <c r="Q28" s="220">
        <f t="shared" si="23"/>
        <v>0</v>
      </c>
      <c r="R28" s="221">
        <v>0</v>
      </c>
      <c r="S28" s="222">
        <f t="shared" si="24"/>
        <v>0</v>
      </c>
      <c r="T28" s="222">
        <v>0</v>
      </c>
      <c r="U28" s="222">
        <f t="shared" si="25"/>
        <v>0</v>
      </c>
      <c r="V28" s="222">
        <v>0</v>
      </c>
      <c r="W28" s="222">
        <f t="shared" si="26"/>
        <v>0</v>
      </c>
      <c r="X28" s="222">
        <v>0</v>
      </c>
      <c r="Y28" s="223">
        <f t="shared" si="27"/>
        <v>0</v>
      </c>
      <c r="Z28" s="224">
        <v>0</v>
      </c>
      <c r="AA28" s="39">
        <f t="shared" si="21"/>
        <v>0.10526315789473684</v>
      </c>
      <c r="AB28" s="23"/>
      <c r="AC28" s="56">
        <v>99.5</v>
      </c>
      <c r="AD28" s="150">
        <v>90</v>
      </c>
      <c r="AK28" s="6"/>
    </row>
    <row r="29" spans="1:43" ht="14.25" customHeight="1" x14ac:dyDescent="0.3">
      <c r="A29" s="8"/>
      <c r="B29" s="8"/>
      <c r="C29" s="8"/>
      <c r="D29" s="8"/>
      <c r="O29" s="143" t="str">
        <f t="shared" si="22"/>
        <v>LSTM</v>
      </c>
      <c r="P29" s="219">
        <v>66.25</v>
      </c>
      <c r="Q29" s="220">
        <f t="shared" si="23"/>
        <v>0.13624678663239073</v>
      </c>
      <c r="R29" s="221">
        <v>73.75</v>
      </c>
      <c r="S29" s="222">
        <f t="shared" si="24"/>
        <v>0.13082039911308205</v>
      </c>
      <c r="T29" s="222">
        <v>77.5</v>
      </c>
      <c r="U29" s="222">
        <f t="shared" si="25"/>
        <v>0.12449799196787148</v>
      </c>
      <c r="V29" s="222">
        <v>26.774999999999999</v>
      </c>
      <c r="W29" s="222">
        <f t="shared" si="26"/>
        <v>0.10828025477707005</v>
      </c>
      <c r="X29" s="222">
        <v>60</v>
      </c>
      <c r="Y29" s="223">
        <f t="shared" si="27"/>
        <v>0.1095890410958904</v>
      </c>
      <c r="Z29" s="224">
        <v>47.5</v>
      </c>
      <c r="AA29" s="39">
        <f t="shared" si="21"/>
        <v>0.1329639889196676</v>
      </c>
      <c r="AB29" s="23"/>
      <c r="AC29" s="56">
        <v>99.75</v>
      </c>
      <c r="AD29" s="150">
        <v>95</v>
      </c>
    </row>
    <row r="30" spans="1:43" ht="14.25" customHeight="1" x14ac:dyDescent="0.3">
      <c r="A30" s="226" t="s">
        <v>43</v>
      </c>
      <c r="B30" s="227">
        <v>0</v>
      </c>
      <c r="C30" s="228" t="s">
        <v>44</v>
      </c>
      <c r="M30" s="8"/>
      <c r="O30" s="143" t="str">
        <f t="shared" si="22"/>
        <v>GARCH</v>
      </c>
      <c r="P30" s="219">
        <v>77.5</v>
      </c>
      <c r="Q30" s="220">
        <f t="shared" si="23"/>
        <v>0.15938303341902313</v>
      </c>
      <c r="R30" s="221">
        <v>70</v>
      </c>
      <c r="S30" s="222">
        <f t="shared" si="24"/>
        <v>0.12416851441241686</v>
      </c>
      <c r="T30" s="222">
        <v>77.5</v>
      </c>
      <c r="U30" s="222">
        <f t="shared" si="25"/>
        <v>0.12449799196787148</v>
      </c>
      <c r="V30" s="222">
        <v>33.75</v>
      </c>
      <c r="W30" s="222">
        <f t="shared" si="26"/>
        <v>0.13648771610555049</v>
      </c>
      <c r="X30" s="222">
        <v>65</v>
      </c>
      <c r="Y30" s="223">
        <f t="shared" si="27"/>
        <v>0.11872146118721461</v>
      </c>
      <c r="Z30" s="224">
        <v>60</v>
      </c>
      <c r="AA30" s="39">
        <f t="shared" si="21"/>
        <v>0.12742382271468145</v>
      </c>
      <c r="AB30" s="23"/>
      <c r="AC30" s="93">
        <v>99.99</v>
      </c>
      <c r="AD30" s="229">
        <v>100</v>
      </c>
    </row>
    <row r="31" spans="1:43" ht="14.25" customHeight="1" x14ac:dyDescent="0.3">
      <c r="B31" s="227">
        <v>25</v>
      </c>
      <c r="C31" s="228" t="s">
        <v>45</v>
      </c>
      <c r="O31" s="143" t="str">
        <f t="shared" si="22"/>
        <v>VAR</v>
      </c>
      <c r="P31" s="219">
        <v>0</v>
      </c>
      <c r="Q31" s="220">
        <f t="shared" si="23"/>
        <v>0</v>
      </c>
      <c r="R31" s="221">
        <v>73.75</v>
      </c>
      <c r="S31" s="222">
        <f t="shared" si="24"/>
        <v>0.13082039911308205</v>
      </c>
      <c r="T31" s="222">
        <v>83.75</v>
      </c>
      <c r="U31" s="222">
        <f t="shared" si="25"/>
        <v>0.13453815261044177</v>
      </c>
      <c r="V31" s="222">
        <v>30.5</v>
      </c>
      <c r="W31" s="222">
        <f t="shared" si="26"/>
        <v>0.12334445455464564</v>
      </c>
      <c r="X31" s="222">
        <v>68.75</v>
      </c>
      <c r="Y31" s="223">
        <f t="shared" si="27"/>
        <v>0.12557077625570776</v>
      </c>
      <c r="Z31" s="224">
        <v>57.5</v>
      </c>
      <c r="AA31" s="39">
        <f t="shared" si="21"/>
        <v>0.13850415512465375</v>
      </c>
      <c r="AL31" s="230"/>
    </row>
    <row r="32" spans="1:43" ht="14.25" customHeight="1" x14ac:dyDescent="0.3">
      <c r="B32" s="227">
        <v>45</v>
      </c>
      <c r="C32" s="228" t="s">
        <v>46</v>
      </c>
      <c r="O32" s="143" t="str">
        <f t="shared" si="22"/>
        <v>RW</v>
      </c>
      <c r="P32" s="219">
        <v>63.75</v>
      </c>
      <c r="Q32" s="220">
        <f t="shared" si="23"/>
        <v>0.13110539845758354</v>
      </c>
      <c r="R32" s="221">
        <v>72.5</v>
      </c>
      <c r="S32" s="222">
        <f t="shared" si="24"/>
        <v>0.12860310421286031</v>
      </c>
      <c r="T32" s="222">
        <v>82.5</v>
      </c>
      <c r="U32" s="222">
        <f t="shared" si="25"/>
        <v>0.13253012048192772</v>
      </c>
      <c r="V32" s="222">
        <v>33</v>
      </c>
      <c r="W32" s="222">
        <f t="shared" si="26"/>
        <v>0.13345465574764936</v>
      </c>
      <c r="X32" s="222">
        <v>67.5</v>
      </c>
      <c r="Y32" s="223">
        <f t="shared" si="27"/>
        <v>0.12328767123287671</v>
      </c>
      <c r="Z32" s="224">
        <v>62.5</v>
      </c>
      <c r="AA32" s="39">
        <f t="shared" si="21"/>
        <v>0.13850415512465375</v>
      </c>
      <c r="AK32" s="2"/>
      <c r="AL32" s="230"/>
    </row>
    <row r="33" spans="2:42" ht="14.25" customHeight="1" x14ac:dyDescent="0.3">
      <c r="B33" s="227">
        <v>55</v>
      </c>
      <c r="C33" s="228" t="s">
        <v>47</v>
      </c>
      <c r="O33" s="143" t="str">
        <f t="shared" si="22"/>
        <v>ETS</v>
      </c>
      <c r="P33" s="219">
        <v>78.75</v>
      </c>
      <c r="Q33" s="220">
        <f t="shared" si="23"/>
        <v>0.16195372750642673</v>
      </c>
      <c r="R33" s="221">
        <v>72.5</v>
      </c>
      <c r="S33" s="222">
        <f t="shared" si="24"/>
        <v>0.12860310421286031</v>
      </c>
      <c r="T33" s="222">
        <v>82.5</v>
      </c>
      <c r="U33" s="222">
        <f t="shared" si="25"/>
        <v>0.13253012048192772</v>
      </c>
      <c r="V33" s="222">
        <v>23</v>
      </c>
      <c r="W33" s="222">
        <f t="shared" si="26"/>
        <v>9.3013850975634416E-2</v>
      </c>
      <c r="X33" s="222">
        <v>71.25</v>
      </c>
      <c r="Y33" s="223">
        <f t="shared" si="27"/>
        <v>0.13013698630136986</v>
      </c>
      <c r="Z33" s="224">
        <v>62.5</v>
      </c>
      <c r="AA33" s="92">
        <f t="shared" si="21"/>
        <v>0.11634349030470914</v>
      </c>
    </row>
    <row r="34" spans="2:42" ht="14.25" customHeight="1" x14ac:dyDescent="0.3">
      <c r="B34" s="227">
        <v>75</v>
      </c>
      <c r="C34" s="228" t="s">
        <v>48</v>
      </c>
      <c r="O34" s="180" t="str">
        <f>O22</f>
        <v>DynaMix</v>
      </c>
      <c r="P34" s="231">
        <v>75</v>
      </c>
      <c r="Q34" s="232">
        <f t="shared" si="23"/>
        <v>0.15424164524421594</v>
      </c>
      <c r="R34" s="233">
        <v>73.75</v>
      </c>
      <c r="S34" s="234">
        <f t="shared" si="24"/>
        <v>0.13082039911308205</v>
      </c>
      <c r="T34" s="234">
        <v>80</v>
      </c>
      <c r="U34" s="234">
        <f t="shared" si="25"/>
        <v>0.12851405622489959</v>
      </c>
      <c r="V34" s="234">
        <v>21</v>
      </c>
      <c r="W34" s="234">
        <f t="shared" si="26"/>
        <v>8.4925690021231418E-2</v>
      </c>
      <c r="X34" s="234">
        <v>67.5</v>
      </c>
      <c r="Y34" s="235">
        <f t="shared" si="27"/>
        <v>0.12328767123287671</v>
      </c>
      <c r="Z34" s="236">
        <v>52.5</v>
      </c>
    </row>
    <row r="35" spans="2:42" ht="14.25" customHeight="1" x14ac:dyDescent="0.3">
      <c r="O35" s="102" t="s">
        <v>26</v>
      </c>
      <c r="P35" s="231">
        <f>AVERAGE(P26:P34)</f>
        <v>54.027777777777779</v>
      </c>
      <c r="Q35" s="232"/>
      <c r="R35" s="233">
        <f>AVERAGE(R26:R34)</f>
        <v>62.638888888888886</v>
      </c>
      <c r="S35" s="234"/>
      <c r="T35" s="234">
        <f>AVERAGE(T26:T34)</f>
        <v>69.166666666666671</v>
      </c>
      <c r="U35" s="234"/>
      <c r="V35" s="234">
        <f>AVERAGE(V26:V34)</f>
        <v>27.475000000000001</v>
      </c>
      <c r="W35" s="234"/>
      <c r="X35" s="234">
        <f>AVERAGE(X26:X34)</f>
        <v>60.833333333333336</v>
      </c>
      <c r="Y35" s="235"/>
      <c r="Z35" s="236">
        <f>AVERAGE(Z26:Z34)</f>
        <v>50.138888888888886</v>
      </c>
      <c r="AP35" s="2"/>
    </row>
    <row r="36" spans="2:42" ht="14.25" customHeight="1" x14ac:dyDescent="0.3">
      <c r="AP36" s="2"/>
    </row>
    <row r="37" spans="2:42" ht="14.25" customHeight="1" x14ac:dyDescent="0.3">
      <c r="Z37" s="6"/>
    </row>
    <row r="38" spans="2:42" ht="14.25" customHeight="1" x14ac:dyDescent="0.3">
      <c r="Z38" s="6"/>
    </row>
    <row r="39" spans="2:42" ht="14.25" customHeight="1" x14ac:dyDescent="0.3">
      <c r="Z39" s="6"/>
    </row>
    <row r="40" spans="2:42" ht="14.25" customHeight="1" x14ac:dyDescent="0.3">
      <c r="Z40" s="6"/>
    </row>
    <row r="41" spans="2:42" ht="14.25" customHeight="1" x14ac:dyDescent="0.3">
      <c r="Z41" s="6"/>
    </row>
    <row r="43" spans="2:42" ht="14.25" customHeight="1" x14ac:dyDescent="0.3">
      <c r="AD43" s="237"/>
    </row>
    <row r="44" spans="2:42" ht="14.25" customHeight="1" x14ac:dyDescent="0.3">
      <c r="AD44" s="237"/>
    </row>
    <row r="45" spans="2:42" ht="14.25" customHeight="1" x14ac:dyDescent="0.3">
      <c r="AD45" s="237"/>
    </row>
    <row r="46" spans="2:42" ht="14.25" customHeight="1" x14ac:dyDescent="0.3">
      <c r="AD46" s="237"/>
    </row>
  </sheetData>
  <mergeCells count="14">
    <mergeCell ref="D9:E9"/>
    <mergeCell ref="F9:G9"/>
    <mergeCell ref="B17:C17"/>
    <mergeCell ref="D17:E17"/>
    <mergeCell ref="F17:G17"/>
    <mergeCell ref="B26:C26"/>
    <mergeCell ref="D26:E26"/>
    <mergeCell ref="F26:G26"/>
    <mergeCell ref="H26:I26"/>
    <mergeCell ref="H17:J17"/>
    <mergeCell ref="B25:C25"/>
    <mergeCell ref="D25:E25"/>
    <mergeCell ref="F25:G25"/>
    <mergeCell ref="H25:I25"/>
  </mergeCells>
  <hyperlinks>
    <hyperlink ref="A28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47"/>
  <sheetViews>
    <sheetView topLeftCell="A39" zoomScale="120" zoomScaleNormal="120" workbookViewId="0">
      <selection activeCell="Y41" sqref="Y41"/>
    </sheetView>
  </sheetViews>
  <sheetFormatPr defaultColWidth="13.44140625" defaultRowHeight="13.5" customHeight="1" x14ac:dyDescent="0.3"/>
  <cols>
    <col min="1" max="1" width="8.88671875" style="238" customWidth="1"/>
    <col min="2" max="2" width="5.44140625" style="239" customWidth="1"/>
    <col min="3" max="3" width="3.33203125" style="240" customWidth="1"/>
    <col min="4" max="4" width="5.44140625" style="239" customWidth="1"/>
    <col min="5" max="5" width="3.33203125" style="240" customWidth="1"/>
    <col min="6" max="6" width="5.44140625" style="239" customWidth="1"/>
    <col min="7" max="7" width="3.33203125" style="240" customWidth="1"/>
    <col min="8" max="8" width="5.44140625" style="239" customWidth="1"/>
    <col min="9" max="9" width="3.33203125" style="240" customWidth="1"/>
    <col min="10" max="10" width="5.44140625" style="239" customWidth="1"/>
    <col min="11" max="11" width="3.33203125" style="240" customWidth="1"/>
    <col min="12" max="12" width="5.44140625" style="239" customWidth="1"/>
    <col min="13" max="13" width="3.33203125" style="240" customWidth="1"/>
    <col min="14" max="14" width="4.44140625" style="239" customWidth="1"/>
    <col min="15" max="15" width="7.5546875" style="239" customWidth="1"/>
    <col min="16" max="16" width="2.109375" style="239" customWidth="1"/>
    <col min="17" max="17" width="7.5546875" style="239" customWidth="1"/>
    <col min="18" max="18" width="2.109375" style="239" customWidth="1"/>
    <col min="19" max="19" width="7.5546875" style="239" customWidth="1"/>
    <col min="20" max="20" width="2.109375" style="239" customWidth="1"/>
    <col min="21" max="21" width="7.5546875" style="239" customWidth="1"/>
    <col min="22" max="22" width="2.109375" style="239" customWidth="1"/>
    <col min="23" max="23" width="7.5546875" style="239" customWidth="1"/>
    <col min="24" max="24" width="2.109375" style="239" customWidth="1"/>
    <col min="25" max="25" width="7.5546875" style="239" customWidth="1"/>
    <col min="26" max="26" width="4.44140625" style="239" customWidth="1"/>
    <col min="27" max="27" width="6.77734375" style="241" customWidth="1"/>
    <col min="28" max="28" width="2.109375" style="241" customWidth="1"/>
    <col min="29" max="29" width="6.77734375" style="241" customWidth="1"/>
    <col min="30" max="30" width="2.109375" style="241" customWidth="1"/>
    <col min="31" max="31" width="6.77734375" style="241" customWidth="1"/>
    <col min="32" max="32" width="2.109375" style="241" customWidth="1"/>
    <col min="33" max="33" width="6.77734375" style="241" customWidth="1"/>
    <col min="34" max="34" width="2.109375" style="241" customWidth="1"/>
    <col min="35" max="35" width="6.77734375" style="241" customWidth="1"/>
    <col min="36" max="36" width="2.109375" style="241" customWidth="1"/>
    <col min="37" max="37" width="6.77734375" style="241" customWidth="1"/>
    <col min="38" max="38" width="4.44140625" style="239" customWidth="1"/>
    <col min="39" max="39" width="4" customWidth="1"/>
    <col min="47" max="16384" width="13.44140625" style="239"/>
  </cols>
  <sheetData>
    <row r="1" spans="1:39" ht="12.75" customHeight="1" x14ac:dyDescent="0.3">
      <c r="A1" s="242"/>
      <c r="B1" s="243"/>
      <c r="C1" s="244"/>
      <c r="D1" s="243"/>
      <c r="E1" s="244"/>
      <c r="F1" s="243"/>
      <c r="G1" s="244"/>
      <c r="H1" s="243"/>
      <c r="I1" s="244"/>
      <c r="J1" s="243"/>
      <c r="K1" s="244"/>
      <c r="L1" s="243"/>
      <c r="M1" s="244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AM1" s="239"/>
    </row>
    <row r="2" spans="1:39" ht="12.75" customHeight="1" x14ac:dyDescent="0.3">
      <c r="A2" s="242"/>
      <c r="B2" s="243"/>
      <c r="C2" s="244"/>
      <c r="D2" s="243"/>
      <c r="E2" s="244"/>
      <c r="F2" s="243"/>
      <c r="G2" s="244"/>
      <c r="H2" s="243"/>
      <c r="I2" s="244"/>
      <c r="J2" s="243"/>
      <c r="K2" s="244"/>
      <c r="L2" s="243"/>
      <c r="M2" s="244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AM2" s="239"/>
    </row>
    <row r="3" spans="1:39" ht="12.75" customHeight="1" x14ac:dyDescent="0.3">
      <c r="A3" s="242"/>
      <c r="B3" s="243"/>
      <c r="C3" s="244"/>
      <c r="D3" s="243"/>
      <c r="E3" s="244"/>
      <c r="F3" s="243"/>
      <c r="G3" s="244"/>
      <c r="H3" s="243"/>
      <c r="I3" s="244"/>
      <c r="J3" s="243"/>
      <c r="K3" s="244"/>
      <c r="L3" s="243"/>
      <c r="M3" s="244"/>
      <c r="O3" s="245"/>
      <c r="P3" s="245"/>
      <c r="Q3" s="245"/>
      <c r="R3" s="245"/>
      <c r="S3" s="245"/>
      <c r="T3" s="245"/>
      <c r="U3" s="245"/>
      <c r="V3" s="245"/>
      <c r="W3" s="245"/>
      <c r="X3" s="245"/>
      <c r="Y3" s="245"/>
      <c r="AM3" s="239"/>
    </row>
    <row r="4" spans="1:39" ht="12.75" customHeight="1" x14ac:dyDescent="0.3">
      <c r="A4" s="242"/>
      <c r="B4" s="243"/>
      <c r="C4" s="244"/>
      <c r="D4" s="243"/>
      <c r="E4" s="244"/>
      <c r="F4" s="243"/>
      <c r="G4" s="244"/>
      <c r="H4" s="243"/>
      <c r="I4" s="244"/>
      <c r="J4" s="243"/>
      <c r="K4" s="244"/>
      <c r="L4" s="243"/>
      <c r="M4" s="244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AM4" s="239"/>
    </row>
    <row r="5" spans="1:39" ht="12.75" customHeight="1" x14ac:dyDescent="0.3">
      <c r="A5" s="242"/>
      <c r="B5" s="243"/>
      <c r="C5" s="244"/>
      <c r="D5" s="243"/>
      <c r="E5" s="244"/>
      <c r="F5" s="243"/>
      <c r="G5" s="244"/>
      <c r="H5" s="243"/>
      <c r="I5" s="244"/>
      <c r="J5" s="243"/>
      <c r="K5" s="244"/>
      <c r="L5" s="243"/>
      <c r="M5" s="244"/>
      <c r="O5" s="245"/>
      <c r="P5" s="245"/>
      <c r="Q5" s="245"/>
      <c r="R5" s="245"/>
      <c r="S5" s="245"/>
      <c r="T5" s="245"/>
      <c r="U5" s="245"/>
      <c r="V5" s="245"/>
      <c r="W5" s="245"/>
      <c r="X5" s="245"/>
      <c r="Y5" s="245"/>
      <c r="AM5" s="239"/>
    </row>
    <row r="6" spans="1:39" ht="12.75" customHeight="1" x14ac:dyDescent="0.3">
      <c r="A6" s="242"/>
      <c r="B6" s="243"/>
      <c r="C6" s="244"/>
      <c r="D6" s="243"/>
      <c r="E6" s="244"/>
      <c r="F6" s="243"/>
      <c r="G6" s="244"/>
      <c r="H6" s="243"/>
      <c r="I6" s="244"/>
      <c r="J6" s="243"/>
      <c r="K6" s="244"/>
      <c r="L6" s="243"/>
      <c r="M6" s="244"/>
      <c r="O6" s="245"/>
      <c r="P6" s="245"/>
      <c r="Q6" s="245"/>
      <c r="R6" s="245"/>
      <c r="S6" s="245"/>
      <c r="T6" s="245"/>
      <c r="U6" s="245"/>
      <c r="V6" s="245"/>
      <c r="W6" s="245"/>
      <c r="X6" s="245"/>
      <c r="Y6" s="245"/>
      <c r="AM6" s="239"/>
    </row>
    <row r="7" spans="1:39" ht="12.75" customHeight="1" x14ac:dyDescent="0.3">
      <c r="A7" s="242"/>
      <c r="B7" s="243"/>
      <c r="C7" s="244"/>
      <c r="D7" s="243"/>
      <c r="E7" s="244"/>
      <c r="F7" s="243"/>
      <c r="G7" s="244"/>
      <c r="H7" s="243"/>
      <c r="I7" s="244"/>
      <c r="J7" s="243"/>
      <c r="K7" s="244"/>
      <c r="L7" s="243"/>
      <c r="M7" s="244"/>
      <c r="O7" s="245"/>
      <c r="P7" s="245"/>
      <c r="Q7" s="245"/>
      <c r="R7" s="245"/>
      <c r="S7" s="245"/>
      <c r="T7" s="245"/>
      <c r="U7" s="245"/>
      <c r="V7" s="245"/>
      <c r="W7" s="245"/>
      <c r="X7" s="245"/>
      <c r="Y7" s="245"/>
      <c r="AM7" s="239"/>
    </row>
    <row r="8" spans="1:39" ht="12.75" customHeight="1" x14ac:dyDescent="0.3">
      <c r="A8" s="242"/>
      <c r="B8" s="243"/>
      <c r="C8" s="244"/>
      <c r="D8" s="243"/>
      <c r="E8" s="244"/>
      <c r="F8" s="243"/>
      <c r="G8" s="244"/>
      <c r="H8" s="243"/>
      <c r="I8" s="244"/>
      <c r="J8" s="243"/>
      <c r="K8" s="244"/>
      <c r="L8" s="243"/>
      <c r="M8" s="244"/>
      <c r="O8" s="245"/>
      <c r="P8" s="245"/>
      <c r="Q8" s="245"/>
      <c r="R8" s="245"/>
      <c r="S8" s="245"/>
      <c r="T8" s="245"/>
      <c r="U8" s="245"/>
      <c r="V8" s="245"/>
      <c r="W8" s="245"/>
      <c r="X8" s="245"/>
      <c r="Y8" s="245"/>
      <c r="AM8" s="239"/>
    </row>
    <row r="9" spans="1:39" ht="12.75" customHeight="1" x14ac:dyDescent="0.3">
      <c r="A9" s="242"/>
      <c r="B9" s="243"/>
      <c r="C9" s="244"/>
      <c r="D9" s="243"/>
      <c r="E9" s="244"/>
      <c r="F9" s="243"/>
      <c r="G9" s="244"/>
      <c r="H9" s="243"/>
      <c r="I9" s="244"/>
      <c r="J9" s="243"/>
      <c r="K9" s="244"/>
      <c r="L9" s="243"/>
      <c r="M9" s="244"/>
      <c r="O9" s="245"/>
      <c r="P9" s="245"/>
      <c r="Q9" s="245"/>
      <c r="R9" s="245"/>
      <c r="S9" s="245"/>
      <c r="T9" s="245"/>
      <c r="U9" s="245"/>
      <c r="V9" s="245"/>
      <c r="W9" s="245"/>
      <c r="X9" s="245"/>
      <c r="Y9" s="245"/>
      <c r="AM9" s="239"/>
    </row>
    <row r="10" spans="1:39" ht="12.75" customHeight="1" x14ac:dyDescent="0.3">
      <c r="A10" s="242"/>
      <c r="B10" s="243"/>
      <c r="C10" s="244"/>
      <c r="D10" s="243"/>
      <c r="E10" s="244"/>
      <c r="F10" s="243"/>
      <c r="G10" s="244"/>
      <c r="H10" s="243"/>
      <c r="I10" s="244"/>
      <c r="J10" s="243"/>
      <c r="K10" s="244"/>
      <c r="L10" s="243"/>
      <c r="M10" s="244"/>
      <c r="O10" s="245"/>
      <c r="P10" s="245"/>
      <c r="Q10" s="245"/>
      <c r="R10" s="245"/>
      <c r="S10" s="245"/>
      <c r="T10" s="245"/>
      <c r="U10" s="245"/>
      <c r="V10" s="245"/>
      <c r="W10" s="245"/>
      <c r="X10" s="245"/>
      <c r="Y10" s="245"/>
      <c r="AM10" s="239"/>
    </row>
    <row r="11" spans="1:39" ht="12.75" customHeight="1" x14ac:dyDescent="0.3">
      <c r="A11" s="242"/>
      <c r="B11" s="243"/>
      <c r="C11" s="244"/>
      <c r="D11" s="243"/>
      <c r="E11" s="244"/>
      <c r="F11" s="243"/>
      <c r="G11" s="244"/>
      <c r="H11" s="243"/>
      <c r="I11" s="244"/>
      <c r="J11" s="243"/>
      <c r="K11" s="244"/>
      <c r="L11" s="243"/>
      <c r="M11" s="244"/>
      <c r="O11" s="245"/>
      <c r="P11" s="245"/>
      <c r="Q11" s="245"/>
      <c r="R11" s="245"/>
      <c r="S11" s="245"/>
      <c r="T11" s="245"/>
      <c r="U11" s="245"/>
      <c r="V11" s="245"/>
      <c r="W11" s="245"/>
      <c r="X11" s="245"/>
      <c r="Y11" s="245"/>
      <c r="AM11" s="239"/>
    </row>
    <row r="12" spans="1:39" ht="12.75" customHeight="1" x14ac:dyDescent="0.3">
      <c r="A12" s="242"/>
      <c r="B12" s="243"/>
      <c r="C12" s="244"/>
      <c r="D12" s="243"/>
      <c r="E12" s="244"/>
      <c r="F12" s="243"/>
      <c r="G12" s="244"/>
      <c r="H12" s="243"/>
      <c r="I12" s="244"/>
      <c r="J12" s="243"/>
      <c r="K12" s="244"/>
      <c r="L12" s="243"/>
      <c r="M12" s="244"/>
      <c r="O12" s="245"/>
      <c r="P12" s="245"/>
      <c r="Q12" s="245"/>
      <c r="R12" s="245"/>
      <c r="S12" s="245"/>
      <c r="T12" s="245"/>
      <c r="U12" s="245"/>
      <c r="V12" s="245"/>
      <c r="W12" s="245"/>
      <c r="X12" s="245"/>
      <c r="Y12" s="245"/>
      <c r="AM12" s="239"/>
    </row>
    <row r="13" spans="1:39" ht="12.75" customHeight="1" x14ac:dyDescent="0.3">
      <c r="A13" s="242"/>
      <c r="B13" s="243"/>
      <c r="C13" s="244"/>
      <c r="D13" s="243"/>
      <c r="E13" s="244"/>
      <c r="F13" s="243"/>
      <c r="G13" s="244"/>
      <c r="H13" s="243"/>
      <c r="I13" s="244"/>
      <c r="J13" s="243"/>
      <c r="K13" s="244"/>
      <c r="L13" s="243"/>
      <c r="M13" s="244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AM13" s="239"/>
    </row>
    <row r="14" spans="1:39" ht="12.75" customHeight="1" x14ac:dyDescent="0.3">
      <c r="A14" s="242"/>
      <c r="B14" s="243"/>
      <c r="C14" s="244"/>
      <c r="D14" s="243"/>
      <c r="E14" s="244"/>
      <c r="F14" s="243"/>
      <c r="G14" s="244"/>
      <c r="H14" s="243"/>
      <c r="I14" s="244"/>
      <c r="J14" s="243"/>
      <c r="K14" s="244"/>
      <c r="L14" s="243"/>
      <c r="M14" s="244"/>
      <c r="O14" s="245"/>
      <c r="P14" s="245"/>
      <c r="Q14" s="245"/>
      <c r="R14" s="245"/>
      <c r="S14" s="245"/>
      <c r="T14" s="245"/>
      <c r="U14" s="245"/>
      <c r="V14" s="245"/>
      <c r="W14" s="245"/>
      <c r="X14" s="245"/>
      <c r="Y14" s="245"/>
      <c r="AM14" s="239"/>
    </row>
    <row r="15" spans="1:39" ht="12.75" customHeight="1" x14ac:dyDescent="0.3">
      <c r="A15" s="242"/>
      <c r="B15" s="243"/>
      <c r="C15" s="244"/>
      <c r="D15" s="243"/>
      <c r="E15" s="244"/>
      <c r="F15" s="243"/>
      <c r="G15" s="244"/>
      <c r="H15" s="243"/>
      <c r="I15" s="244"/>
      <c r="J15" s="243"/>
      <c r="K15" s="244"/>
      <c r="L15" s="243"/>
      <c r="M15" s="244"/>
      <c r="O15" s="245"/>
      <c r="P15" s="245"/>
      <c r="Q15" s="245"/>
      <c r="R15" s="245"/>
      <c r="S15" s="245"/>
      <c r="T15" s="245"/>
      <c r="U15" s="245"/>
      <c r="V15" s="245"/>
      <c r="W15" s="245"/>
      <c r="X15" s="245"/>
      <c r="Y15" s="245"/>
      <c r="AM15" s="239"/>
    </row>
    <row r="16" spans="1:39" ht="12.75" customHeight="1" x14ac:dyDescent="0.3">
      <c r="A16" s="242"/>
      <c r="B16" s="243"/>
      <c r="C16" s="244"/>
      <c r="D16" s="243"/>
      <c r="E16" s="244"/>
      <c r="F16" s="243"/>
      <c r="G16" s="244"/>
      <c r="H16" s="243"/>
      <c r="I16" s="244"/>
      <c r="J16" s="243"/>
      <c r="K16" s="244"/>
      <c r="L16" s="243"/>
      <c r="M16" s="244"/>
      <c r="O16" s="245"/>
      <c r="P16" s="245"/>
      <c r="Q16" s="245"/>
      <c r="R16" s="245"/>
      <c r="S16" s="245"/>
      <c r="T16" s="245"/>
      <c r="U16" s="245"/>
      <c r="V16" s="245"/>
      <c r="W16" s="245"/>
      <c r="X16" s="245"/>
      <c r="Y16" s="245"/>
      <c r="AM16" s="239"/>
    </row>
    <row r="17" spans="1:39" ht="12.75" customHeight="1" x14ac:dyDescent="0.3">
      <c r="A17" s="242"/>
      <c r="B17" s="243"/>
      <c r="C17" s="244"/>
      <c r="D17" s="243"/>
      <c r="E17" s="244"/>
      <c r="F17" s="243"/>
      <c r="G17" s="244"/>
      <c r="H17" s="243"/>
      <c r="I17" s="244"/>
      <c r="J17" s="243"/>
      <c r="K17" s="244"/>
      <c r="L17" s="243"/>
      <c r="M17" s="244"/>
      <c r="O17" s="245"/>
      <c r="P17" s="245"/>
      <c r="Q17" s="245"/>
      <c r="R17" s="245"/>
      <c r="S17" s="245"/>
      <c r="T17" s="245"/>
      <c r="U17" s="245"/>
      <c r="V17" s="245"/>
      <c r="W17" s="245"/>
      <c r="X17" s="245"/>
      <c r="Y17" s="245"/>
      <c r="AM17" s="239"/>
    </row>
    <row r="18" spans="1:39" ht="12.75" customHeight="1" x14ac:dyDescent="0.3">
      <c r="A18" s="242" t="s">
        <v>49</v>
      </c>
      <c r="B18" s="243" t="s">
        <v>12</v>
      </c>
      <c r="C18" s="244">
        <v>565</v>
      </c>
      <c r="D18" s="243" t="s">
        <v>13</v>
      </c>
      <c r="E18" s="244">
        <v>670</v>
      </c>
      <c r="F18" s="243" t="s">
        <v>14</v>
      </c>
      <c r="G18" s="244">
        <v>645</v>
      </c>
      <c r="H18" s="243" t="s">
        <v>15</v>
      </c>
      <c r="I18" s="244">
        <v>80.599999999999994</v>
      </c>
      <c r="J18" s="243" t="s">
        <v>16</v>
      </c>
      <c r="K18" s="244">
        <v>600.1</v>
      </c>
      <c r="L18" s="243" t="s">
        <v>17</v>
      </c>
      <c r="M18" s="244">
        <v>625</v>
      </c>
      <c r="O18" s="245" t="s">
        <v>12</v>
      </c>
      <c r="P18" s="245"/>
      <c r="Q18" s="245" t="s">
        <v>13</v>
      </c>
      <c r="R18" s="245"/>
      <c r="S18" s="245" t="s">
        <v>14</v>
      </c>
      <c r="T18" s="245"/>
      <c r="U18" s="245" t="s">
        <v>15</v>
      </c>
      <c r="V18" s="245"/>
      <c r="W18" s="245" t="s">
        <v>16</v>
      </c>
      <c r="X18" s="245"/>
      <c r="Y18" s="245" t="s">
        <v>17</v>
      </c>
      <c r="AA18" s="241" t="s">
        <v>12</v>
      </c>
      <c r="AC18" s="241" t="s">
        <v>13</v>
      </c>
      <c r="AE18" s="241" t="s">
        <v>14</v>
      </c>
      <c r="AG18" s="241" t="s">
        <v>15</v>
      </c>
      <c r="AI18" s="241" t="s">
        <v>16</v>
      </c>
      <c r="AK18" s="241" t="s">
        <v>17</v>
      </c>
      <c r="AM18" s="239">
        <f>AM29</f>
        <v>4</v>
      </c>
    </row>
    <row r="19" spans="1:39" ht="12.75" customHeight="1" x14ac:dyDescent="0.3">
      <c r="A19" s="238" t="str">
        <f t="shared" ref="A19:A27" si="0">A30</f>
        <v>PyCaret</v>
      </c>
      <c r="B19" s="243">
        <v>90</v>
      </c>
      <c r="C19" s="244">
        <v>0.15929203539823</v>
      </c>
      <c r="D19" s="243">
        <v>60</v>
      </c>
      <c r="E19" s="244">
        <v>8.9552238805970102E-2</v>
      </c>
      <c r="F19" s="243">
        <v>75</v>
      </c>
      <c r="G19" s="244">
        <v>0.116279069767442</v>
      </c>
      <c r="H19" s="243">
        <v>0.1</v>
      </c>
      <c r="I19" s="244">
        <v>1.24069478908189E-3</v>
      </c>
      <c r="J19" s="243">
        <v>90</v>
      </c>
      <c r="K19" s="244">
        <v>0.14997500416597201</v>
      </c>
      <c r="L19" s="243">
        <v>75</v>
      </c>
      <c r="M19" s="244">
        <v>0.12</v>
      </c>
      <c r="O19" s="245">
        <f t="shared" ref="O19:O27" si="1">AA19/$AM$172</f>
        <v>80</v>
      </c>
      <c r="P19" s="245"/>
      <c r="Q19" s="245">
        <f t="shared" ref="Q19:Q27" si="2">AC19/$AM$172</f>
        <v>61.25</v>
      </c>
      <c r="R19" s="245"/>
      <c r="S19" s="245">
        <f t="shared" ref="S19:S27" si="3">AE19/$AM$172</f>
        <v>62.5</v>
      </c>
      <c r="T19" s="245"/>
      <c r="U19" s="245">
        <f t="shared" ref="U19:U27" si="4">AG19/$AM$172</f>
        <v>11.3</v>
      </c>
      <c r="V19" s="245"/>
      <c r="W19" s="245">
        <f t="shared" ref="W19:W27" si="5">AI19/$AM$172</f>
        <v>83.75</v>
      </c>
      <c r="X19" s="245"/>
      <c r="Y19" s="245">
        <f t="shared" ref="Y19:Y27" si="6">AK19/$AM$172</f>
        <v>60</v>
      </c>
      <c r="AA19" s="241">
        <f t="shared" ref="AA19:AA27" si="7">(B63+B52+B41+B30)</f>
        <v>320</v>
      </c>
      <c r="AC19" s="241">
        <f t="shared" ref="AC19:AC27" si="8">(D63+D52+D41+D30)</f>
        <v>245</v>
      </c>
      <c r="AE19" s="241">
        <f t="shared" ref="AE19:AE27" si="9">(F63+F52+F41+F30)</f>
        <v>250</v>
      </c>
      <c r="AG19" s="241">
        <f t="shared" ref="AG19:AG27" si="10">(H63+H52+H41+H30)</f>
        <v>45.2</v>
      </c>
      <c r="AI19" s="241">
        <f t="shared" ref="AI19:AI27" si="11">(J63+J52+J41+J30)</f>
        <v>335</v>
      </c>
      <c r="AK19" s="241">
        <f t="shared" ref="AK19:AK27" si="12">(L63+L52+L41+L30)</f>
        <v>240</v>
      </c>
    </row>
    <row r="20" spans="1:39" ht="12.75" customHeight="1" x14ac:dyDescent="0.3">
      <c r="A20" s="238" t="str">
        <f t="shared" si="0"/>
        <v>ARIMAX</v>
      </c>
      <c r="B20" s="243">
        <v>70</v>
      </c>
      <c r="C20" s="244">
        <v>0.123893805309735</v>
      </c>
      <c r="D20" s="243">
        <v>80</v>
      </c>
      <c r="E20" s="244">
        <v>0.119402985074627</v>
      </c>
      <c r="F20" s="243">
        <v>70</v>
      </c>
      <c r="G20" s="244">
        <v>0.108527131782946</v>
      </c>
      <c r="H20" s="243">
        <v>0.1</v>
      </c>
      <c r="I20" s="244">
        <v>1.24069478908189E-3</v>
      </c>
      <c r="J20" s="243">
        <v>65</v>
      </c>
      <c r="K20" s="244">
        <v>0.108315280786536</v>
      </c>
      <c r="L20" s="243">
        <v>90</v>
      </c>
      <c r="M20" s="244">
        <v>0.14399999999999999</v>
      </c>
      <c r="O20" s="245">
        <f t="shared" si="1"/>
        <v>63.75</v>
      </c>
      <c r="P20" s="245"/>
      <c r="Q20" s="245">
        <f t="shared" si="2"/>
        <v>72.5</v>
      </c>
      <c r="R20" s="245"/>
      <c r="S20" s="245">
        <f t="shared" si="3"/>
        <v>73.75</v>
      </c>
      <c r="T20" s="245"/>
      <c r="U20" s="245">
        <f t="shared" si="4"/>
        <v>1.7999999999999998</v>
      </c>
      <c r="V20" s="245"/>
      <c r="W20" s="245">
        <f t="shared" si="5"/>
        <v>71.25</v>
      </c>
      <c r="X20" s="245"/>
      <c r="Y20" s="245">
        <f t="shared" si="6"/>
        <v>67.5</v>
      </c>
      <c r="AA20" s="241">
        <f t="shared" si="7"/>
        <v>255</v>
      </c>
      <c r="AC20" s="241">
        <f t="shared" si="8"/>
        <v>290</v>
      </c>
      <c r="AE20" s="241">
        <f t="shared" si="9"/>
        <v>295</v>
      </c>
      <c r="AG20" s="241">
        <f t="shared" si="10"/>
        <v>7.1999999999999993</v>
      </c>
      <c r="AI20" s="241">
        <f t="shared" si="11"/>
        <v>285</v>
      </c>
      <c r="AK20" s="241">
        <f t="shared" si="12"/>
        <v>270</v>
      </c>
    </row>
    <row r="21" spans="1:39" ht="12.75" customHeight="1" x14ac:dyDescent="0.3">
      <c r="A21" s="238" t="str">
        <f t="shared" si="0"/>
        <v>PCE</v>
      </c>
      <c r="B21" s="243">
        <v>80</v>
      </c>
      <c r="C21" s="244">
        <v>0.14159292035398199</v>
      </c>
      <c r="D21" s="243">
        <v>65</v>
      </c>
      <c r="E21" s="244">
        <v>9.7014925373134303E-2</v>
      </c>
      <c r="F21" s="243">
        <v>65</v>
      </c>
      <c r="G21" s="244">
        <v>0.10077519379845</v>
      </c>
      <c r="H21" s="243">
        <v>60</v>
      </c>
      <c r="I21" s="244">
        <v>0.74441687344913199</v>
      </c>
      <c r="J21" s="243">
        <v>60</v>
      </c>
      <c r="K21" s="244">
        <v>9.9983336110648205E-2</v>
      </c>
      <c r="L21" s="243">
        <v>70</v>
      </c>
      <c r="M21" s="244">
        <v>0.112</v>
      </c>
      <c r="O21" s="245">
        <f t="shared" si="1"/>
        <v>40</v>
      </c>
      <c r="P21" s="245"/>
      <c r="Q21" s="245">
        <f t="shared" si="2"/>
        <v>32.5</v>
      </c>
      <c r="R21" s="245"/>
      <c r="S21" s="245">
        <f t="shared" si="3"/>
        <v>32.5</v>
      </c>
      <c r="T21" s="245"/>
      <c r="U21" s="245">
        <f t="shared" si="4"/>
        <v>30</v>
      </c>
      <c r="V21" s="245"/>
      <c r="W21" s="245">
        <f t="shared" si="5"/>
        <v>30</v>
      </c>
      <c r="X21" s="245"/>
      <c r="Y21" s="245">
        <f t="shared" si="6"/>
        <v>35</v>
      </c>
      <c r="AA21" s="241">
        <f t="shared" si="7"/>
        <v>160</v>
      </c>
      <c r="AC21" s="241">
        <f t="shared" si="8"/>
        <v>130</v>
      </c>
      <c r="AE21" s="241">
        <f t="shared" si="9"/>
        <v>130</v>
      </c>
      <c r="AG21" s="241">
        <f t="shared" si="10"/>
        <v>120</v>
      </c>
      <c r="AI21" s="241">
        <f t="shared" si="11"/>
        <v>120</v>
      </c>
      <c r="AK21" s="241">
        <f t="shared" si="12"/>
        <v>140</v>
      </c>
    </row>
    <row r="22" spans="1:39" ht="12.75" customHeight="1" x14ac:dyDescent="0.3">
      <c r="A22" s="238" t="str">
        <f t="shared" si="0"/>
        <v>LSTM</v>
      </c>
      <c r="B22" s="243">
        <v>70</v>
      </c>
      <c r="C22" s="244">
        <v>0.123893805309735</v>
      </c>
      <c r="D22" s="243">
        <v>95</v>
      </c>
      <c r="E22" s="244">
        <v>0.14179104477611901</v>
      </c>
      <c r="F22" s="243">
        <v>75</v>
      </c>
      <c r="G22" s="244">
        <v>0.116279069767442</v>
      </c>
      <c r="H22" s="243">
        <v>10</v>
      </c>
      <c r="I22" s="244">
        <v>0.12406947890818899</v>
      </c>
      <c r="J22" s="243">
        <v>95</v>
      </c>
      <c r="K22" s="244">
        <v>0.15830694884186</v>
      </c>
      <c r="L22" s="243">
        <v>30</v>
      </c>
      <c r="M22" s="244">
        <v>4.8000000000000001E-2</v>
      </c>
      <c r="O22" s="245">
        <f t="shared" si="1"/>
        <v>65</v>
      </c>
      <c r="P22" s="245"/>
      <c r="Q22" s="245">
        <f t="shared" si="2"/>
        <v>82.5</v>
      </c>
      <c r="R22" s="245"/>
      <c r="S22" s="245">
        <f t="shared" si="3"/>
        <v>70</v>
      </c>
      <c r="T22" s="245"/>
      <c r="U22" s="245">
        <f t="shared" si="4"/>
        <v>5.5250000000000004</v>
      </c>
      <c r="V22" s="245"/>
      <c r="W22" s="245">
        <f t="shared" si="5"/>
        <v>77.5</v>
      </c>
      <c r="X22" s="245"/>
      <c r="Y22" s="245">
        <f t="shared" si="6"/>
        <v>32.5</v>
      </c>
      <c r="AA22" s="241">
        <f t="shared" si="7"/>
        <v>260</v>
      </c>
      <c r="AC22" s="241">
        <f t="shared" si="8"/>
        <v>330</v>
      </c>
      <c r="AE22" s="241">
        <f t="shared" si="9"/>
        <v>280</v>
      </c>
      <c r="AG22" s="241">
        <f t="shared" si="10"/>
        <v>22.1</v>
      </c>
      <c r="AI22" s="241">
        <f t="shared" si="11"/>
        <v>310</v>
      </c>
      <c r="AK22" s="241">
        <f t="shared" si="12"/>
        <v>130</v>
      </c>
    </row>
    <row r="23" spans="1:39" ht="12.75" customHeight="1" x14ac:dyDescent="0.3">
      <c r="A23" s="238" t="str">
        <f t="shared" si="0"/>
        <v>GARCH</v>
      </c>
      <c r="B23" s="243">
        <v>65</v>
      </c>
      <c r="C23" s="244">
        <v>0.11504424778761101</v>
      </c>
      <c r="D23" s="243">
        <v>75</v>
      </c>
      <c r="E23" s="244">
        <v>0.111940298507463</v>
      </c>
      <c r="F23" s="243">
        <v>75</v>
      </c>
      <c r="G23" s="244">
        <v>0.116279069767442</v>
      </c>
      <c r="H23" s="243">
        <v>10</v>
      </c>
      <c r="I23" s="244">
        <v>0.12406947890818899</v>
      </c>
      <c r="J23" s="243">
        <v>95</v>
      </c>
      <c r="K23" s="244">
        <v>0.15830694884186</v>
      </c>
      <c r="L23" s="243">
        <v>30</v>
      </c>
      <c r="M23" s="244">
        <v>4.8000000000000001E-2</v>
      </c>
      <c r="O23" s="245">
        <f t="shared" si="1"/>
        <v>71.25</v>
      </c>
      <c r="P23" s="245"/>
      <c r="Q23" s="245">
        <f t="shared" si="2"/>
        <v>70</v>
      </c>
      <c r="R23" s="245"/>
      <c r="S23" s="245">
        <f t="shared" si="3"/>
        <v>72.5</v>
      </c>
      <c r="T23" s="245"/>
      <c r="U23" s="245">
        <f t="shared" si="4"/>
        <v>7.5</v>
      </c>
      <c r="V23" s="245"/>
      <c r="W23" s="245">
        <f t="shared" si="5"/>
        <v>80</v>
      </c>
      <c r="X23" s="245"/>
      <c r="Y23" s="245">
        <f t="shared" si="6"/>
        <v>36.25</v>
      </c>
      <c r="AA23" s="241">
        <f t="shared" si="7"/>
        <v>285</v>
      </c>
      <c r="AC23" s="241">
        <f t="shared" si="8"/>
        <v>280</v>
      </c>
      <c r="AE23" s="241">
        <f t="shared" si="9"/>
        <v>290</v>
      </c>
      <c r="AG23" s="241">
        <f t="shared" si="10"/>
        <v>30</v>
      </c>
      <c r="AI23" s="241">
        <f t="shared" si="11"/>
        <v>320</v>
      </c>
      <c r="AK23" s="241">
        <f t="shared" si="12"/>
        <v>145</v>
      </c>
    </row>
    <row r="24" spans="1:39" ht="12.75" customHeight="1" x14ac:dyDescent="0.3">
      <c r="A24" s="238" t="str">
        <f t="shared" si="0"/>
        <v>VAR</v>
      </c>
      <c r="B24" s="243">
        <v>0</v>
      </c>
      <c r="C24" s="244">
        <v>0</v>
      </c>
      <c r="D24" s="243">
        <v>75</v>
      </c>
      <c r="E24" s="244">
        <v>0.111940298507463</v>
      </c>
      <c r="F24" s="243">
        <v>65</v>
      </c>
      <c r="G24" s="244">
        <v>0.10077519379845</v>
      </c>
      <c r="H24" s="243">
        <v>0.1</v>
      </c>
      <c r="I24" s="244">
        <v>1.24069478908189E-3</v>
      </c>
      <c r="J24" s="243">
        <v>65</v>
      </c>
      <c r="K24" s="244">
        <v>0.108315280786536</v>
      </c>
      <c r="L24" s="243">
        <v>70</v>
      </c>
      <c r="M24" s="244">
        <v>0.112</v>
      </c>
      <c r="O24" s="245">
        <f t="shared" si="1"/>
        <v>15</v>
      </c>
      <c r="P24" s="245"/>
      <c r="Q24" s="245">
        <f t="shared" si="2"/>
        <v>73.75</v>
      </c>
      <c r="R24" s="245"/>
      <c r="S24" s="245">
        <f t="shared" si="3"/>
        <v>73.75</v>
      </c>
      <c r="T24" s="245"/>
      <c r="U24" s="245">
        <f t="shared" si="4"/>
        <v>1.7999999999999998</v>
      </c>
      <c r="V24" s="245"/>
      <c r="W24" s="245">
        <f t="shared" si="5"/>
        <v>68.75</v>
      </c>
      <c r="X24" s="245"/>
      <c r="Y24" s="245">
        <f t="shared" si="6"/>
        <v>57.5</v>
      </c>
      <c r="AA24" s="241">
        <f t="shared" si="7"/>
        <v>60</v>
      </c>
      <c r="AC24" s="241">
        <f t="shared" si="8"/>
        <v>295</v>
      </c>
      <c r="AE24" s="241">
        <f t="shared" si="9"/>
        <v>295</v>
      </c>
      <c r="AG24" s="241">
        <f t="shared" si="10"/>
        <v>7.1999999999999993</v>
      </c>
      <c r="AI24" s="241">
        <f t="shared" si="11"/>
        <v>275</v>
      </c>
      <c r="AK24" s="241">
        <f t="shared" si="12"/>
        <v>230</v>
      </c>
    </row>
    <row r="25" spans="1:39" ht="12.75" customHeight="1" x14ac:dyDescent="0.3">
      <c r="A25" s="238" t="str">
        <f t="shared" si="0"/>
        <v>RW</v>
      </c>
      <c r="B25" s="243">
        <v>70</v>
      </c>
      <c r="C25" s="244">
        <v>0.123893805309735</v>
      </c>
      <c r="D25" s="243">
        <v>75</v>
      </c>
      <c r="E25" s="244">
        <v>0.111940298507463</v>
      </c>
      <c r="F25" s="243">
        <v>70</v>
      </c>
      <c r="G25" s="244">
        <v>0.108527131782946</v>
      </c>
      <c r="H25" s="243">
        <v>0.1</v>
      </c>
      <c r="I25" s="244">
        <v>1.24069478908189E-3</v>
      </c>
      <c r="J25" s="243">
        <v>65</v>
      </c>
      <c r="K25" s="244">
        <v>0.108315280786536</v>
      </c>
      <c r="L25" s="243">
        <v>95</v>
      </c>
      <c r="M25" s="244">
        <v>0.152</v>
      </c>
      <c r="O25" s="245">
        <f t="shared" si="1"/>
        <v>58.75</v>
      </c>
      <c r="P25" s="245"/>
      <c r="Q25" s="245">
        <f t="shared" si="2"/>
        <v>72.5</v>
      </c>
      <c r="R25" s="245"/>
      <c r="S25" s="245">
        <f t="shared" si="3"/>
        <v>75</v>
      </c>
      <c r="T25" s="245"/>
      <c r="U25" s="245">
        <f t="shared" si="4"/>
        <v>1.7999999999999998</v>
      </c>
      <c r="V25" s="245"/>
      <c r="W25" s="245">
        <f t="shared" si="5"/>
        <v>67.5</v>
      </c>
      <c r="X25" s="245"/>
      <c r="Y25" s="245">
        <f t="shared" si="6"/>
        <v>78.75</v>
      </c>
      <c r="AA25" s="241">
        <f t="shared" si="7"/>
        <v>235</v>
      </c>
      <c r="AC25" s="241">
        <f t="shared" si="8"/>
        <v>290</v>
      </c>
      <c r="AE25" s="241">
        <f t="shared" si="9"/>
        <v>300</v>
      </c>
      <c r="AG25" s="241">
        <f t="shared" si="10"/>
        <v>7.1999999999999993</v>
      </c>
      <c r="AI25" s="241">
        <f t="shared" si="11"/>
        <v>270</v>
      </c>
      <c r="AK25" s="241">
        <f t="shared" si="12"/>
        <v>315</v>
      </c>
    </row>
    <row r="26" spans="1:39" ht="12.75" customHeight="1" x14ac:dyDescent="0.3">
      <c r="A26" s="238" t="str">
        <f t="shared" si="0"/>
        <v>ETS</v>
      </c>
      <c r="B26" s="243">
        <v>70</v>
      </c>
      <c r="C26" s="244">
        <v>0.123893805309735</v>
      </c>
      <c r="D26" s="243">
        <v>80</v>
      </c>
      <c r="E26" s="244">
        <v>0.119402985074627</v>
      </c>
      <c r="F26" s="243">
        <v>70</v>
      </c>
      <c r="G26" s="244">
        <v>0.108527131782946</v>
      </c>
      <c r="H26" s="243">
        <v>0.1</v>
      </c>
      <c r="I26" s="244">
        <v>1.24069478908189E-3</v>
      </c>
      <c r="J26" s="243">
        <v>0.1</v>
      </c>
      <c r="K26" s="244">
        <v>1.66638893517747E-4</v>
      </c>
      <c r="L26" s="243">
        <v>95</v>
      </c>
      <c r="M26" s="244">
        <v>0.152</v>
      </c>
      <c r="O26" s="245">
        <f t="shared" si="1"/>
        <v>73.75</v>
      </c>
      <c r="P26" s="245"/>
      <c r="Q26" s="245">
        <f t="shared" si="2"/>
        <v>75</v>
      </c>
      <c r="R26" s="245"/>
      <c r="S26" s="245">
        <f t="shared" si="3"/>
        <v>75</v>
      </c>
      <c r="T26" s="245"/>
      <c r="U26" s="245">
        <f t="shared" si="4"/>
        <v>1.7999999999999998</v>
      </c>
      <c r="V26" s="245"/>
      <c r="W26" s="245">
        <f t="shared" si="5"/>
        <v>38.799999999999997</v>
      </c>
      <c r="X26" s="245"/>
      <c r="Y26" s="245">
        <f t="shared" si="6"/>
        <v>78.75</v>
      </c>
      <c r="AA26" s="241">
        <f t="shared" si="7"/>
        <v>295</v>
      </c>
      <c r="AC26" s="241">
        <f t="shared" si="8"/>
        <v>300</v>
      </c>
      <c r="AE26" s="241">
        <f t="shared" si="9"/>
        <v>300</v>
      </c>
      <c r="AG26" s="241">
        <f t="shared" si="10"/>
        <v>7.1999999999999993</v>
      </c>
      <c r="AI26" s="241">
        <f t="shared" si="11"/>
        <v>155.19999999999999</v>
      </c>
      <c r="AK26" s="241">
        <f t="shared" si="12"/>
        <v>315</v>
      </c>
    </row>
    <row r="27" spans="1:39" ht="12.75" customHeight="1" x14ac:dyDescent="0.3">
      <c r="A27" s="238" t="str">
        <f t="shared" si="0"/>
        <v>DynaMix</v>
      </c>
      <c r="B27" s="243">
        <v>50</v>
      </c>
      <c r="C27" s="244">
        <v>8.8495575221238895E-2</v>
      </c>
      <c r="D27" s="243">
        <v>65</v>
      </c>
      <c r="E27" s="244">
        <v>9.7014925373134303E-2</v>
      </c>
      <c r="F27" s="243">
        <v>80</v>
      </c>
      <c r="G27" s="244">
        <v>0.124031007751938</v>
      </c>
      <c r="H27" s="243">
        <v>0.1</v>
      </c>
      <c r="I27" s="244">
        <v>1.24069478908189E-3</v>
      </c>
      <c r="J27" s="243">
        <v>65</v>
      </c>
      <c r="K27" s="244">
        <v>0.108315280786536</v>
      </c>
      <c r="L27" s="243">
        <v>70</v>
      </c>
      <c r="M27" s="244">
        <v>0.112</v>
      </c>
      <c r="O27" s="245">
        <f t="shared" si="1"/>
        <v>63.75</v>
      </c>
      <c r="P27" s="245"/>
      <c r="Q27" s="245">
        <f t="shared" si="2"/>
        <v>68.75</v>
      </c>
      <c r="R27" s="245"/>
      <c r="S27" s="245">
        <f t="shared" si="3"/>
        <v>78.75</v>
      </c>
      <c r="T27" s="245"/>
      <c r="U27" s="245">
        <f t="shared" si="4"/>
        <v>1.0499999999999998</v>
      </c>
      <c r="V27" s="245"/>
      <c r="W27" s="245">
        <f t="shared" si="5"/>
        <v>68.75</v>
      </c>
      <c r="X27" s="245"/>
      <c r="Y27" s="245">
        <f t="shared" si="6"/>
        <v>58.75</v>
      </c>
      <c r="AA27" s="241">
        <f t="shared" si="7"/>
        <v>255</v>
      </c>
      <c r="AC27" s="241">
        <f t="shared" si="8"/>
        <v>275</v>
      </c>
      <c r="AE27" s="241">
        <f t="shared" si="9"/>
        <v>315</v>
      </c>
      <c r="AG27" s="241">
        <f t="shared" si="10"/>
        <v>4.1999999999999993</v>
      </c>
      <c r="AI27" s="241">
        <f t="shared" si="11"/>
        <v>275</v>
      </c>
      <c r="AK27" s="241">
        <f t="shared" si="12"/>
        <v>235</v>
      </c>
    </row>
    <row r="28" spans="1:39" ht="12.75" customHeight="1" x14ac:dyDescent="0.3"/>
    <row r="29" spans="1:39" ht="12.75" customHeight="1" x14ac:dyDescent="0.3">
      <c r="A29" s="242" t="s">
        <v>50</v>
      </c>
      <c r="B29" s="243" t="s">
        <v>12</v>
      </c>
      <c r="C29" s="244">
        <v>565</v>
      </c>
      <c r="D29" s="243" t="s">
        <v>13</v>
      </c>
      <c r="E29" s="244">
        <v>670</v>
      </c>
      <c r="F29" s="243" t="s">
        <v>14</v>
      </c>
      <c r="G29" s="244">
        <v>645</v>
      </c>
      <c r="H29" s="243" t="s">
        <v>15</v>
      </c>
      <c r="I29" s="244">
        <v>80.599999999999994</v>
      </c>
      <c r="J29" s="243" t="s">
        <v>16</v>
      </c>
      <c r="K29" s="244">
        <v>600.1</v>
      </c>
      <c r="L29" s="243" t="s">
        <v>17</v>
      </c>
      <c r="M29" s="244">
        <v>625</v>
      </c>
      <c r="O29" s="245" t="s">
        <v>12</v>
      </c>
      <c r="P29" s="245"/>
      <c r="Q29" s="245" t="s">
        <v>13</v>
      </c>
      <c r="R29" s="245"/>
      <c r="S29" s="245" t="s">
        <v>14</v>
      </c>
      <c r="T29" s="245"/>
      <c r="U29" s="245" t="s">
        <v>15</v>
      </c>
      <c r="V29" s="245"/>
      <c r="W29" s="245" t="s">
        <v>16</v>
      </c>
      <c r="X29" s="245"/>
      <c r="Y29" s="245" t="s">
        <v>17</v>
      </c>
      <c r="AA29" s="241" t="s">
        <v>12</v>
      </c>
      <c r="AC29" s="241" t="s">
        <v>13</v>
      </c>
      <c r="AE29" s="241" t="s">
        <v>14</v>
      </c>
      <c r="AG29" s="241" t="s">
        <v>15</v>
      </c>
      <c r="AI29" s="241" t="s">
        <v>16</v>
      </c>
      <c r="AK29" s="241" t="s">
        <v>17</v>
      </c>
      <c r="AM29" s="239">
        <f>AM40</f>
        <v>4</v>
      </c>
    </row>
    <row r="30" spans="1:39" ht="12.75" customHeight="1" x14ac:dyDescent="0.3">
      <c r="A30" s="238" t="str">
        <f t="shared" ref="A30:A38" si="13">A41</f>
        <v>PyCaret</v>
      </c>
      <c r="B30" s="243">
        <v>90</v>
      </c>
      <c r="C30" s="244">
        <v>0.15929203539823</v>
      </c>
      <c r="D30" s="243">
        <v>60</v>
      </c>
      <c r="E30" s="244">
        <v>8.9552238805970102E-2</v>
      </c>
      <c r="F30" s="243">
        <v>75</v>
      </c>
      <c r="G30" s="244">
        <v>0.116279069767442</v>
      </c>
      <c r="H30" s="243">
        <v>0.1</v>
      </c>
      <c r="I30" s="244">
        <v>1.24069478908189E-3</v>
      </c>
      <c r="J30" s="243">
        <v>90</v>
      </c>
      <c r="K30" s="244">
        <v>0.14997500416597201</v>
      </c>
      <c r="L30" s="243">
        <v>75</v>
      </c>
      <c r="M30" s="244">
        <v>0.12</v>
      </c>
      <c r="O30" s="245">
        <f t="shared" ref="O30:O38" si="14">AA30/$AM$172</f>
        <v>65</v>
      </c>
      <c r="P30" s="245"/>
      <c r="Q30" s="245">
        <f t="shared" ref="Q30:Q38" si="15">AC30/$AM$172</f>
        <v>61.25</v>
      </c>
      <c r="R30" s="245"/>
      <c r="S30" s="245">
        <f t="shared" ref="S30:S38" si="16">AE30/$AM$172</f>
        <v>60</v>
      </c>
      <c r="T30" s="245"/>
      <c r="U30" s="245">
        <f t="shared" ref="U30:U38" si="17">AG30/$AM$172</f>
        <v>31.274999999999999</v>
      </c>
      <c r="V30" s="245"/>
      <c r="W30" s="245">
        <f t="shared" ref="W30:W38" si="18">AI30/$AM$172</f>
        <v>76.25</v>
      </c>
      <c r="X30" s="245"/>
      <c r="Y30" s="245">
        <f t="shared" ref="Y30:Y38" si="19">AK30/$AM$172</f>
        <v>48.75</v>
      </c>
      <c r="AA30" s="241">
        <f t="shared" ref="AA30:AA38" si="20">(B74+B63+B52+B41)</f>
        <v>260</v>
      </c>
      <c r="AC30" s="241">
        <f t="shared" ref="AC30:AC38" si="21">(D74+D63+D52+D41)</f>
        <v>245</v>
      </c>
      <c r="AE30" s="241">
        <f t="shared" ref="AE30:AE38" si="22">(F74+F63+F52+F41)</f>
        <v>240</v>
      </c>
      <c r="AG30" s="241">
        <f t="shared" ref="AG30:AG38" si="23">(H74+H63+H52+H41)</f>
        <v>125.1</v>
      </c>
      <c r="AI30" s="241">
        <f t="shared" ref="AI30:AI38" si="24">(J74+J63+J52+J41)</f>
        <v>305</v>
      </c>
      <c r="AK30" s="241">
        <f t="shared" ref="AK30:AK38" si="25">(L74+L63+L52+L41)</f>
        <v>195</v>
      </c>
    </row>
    <row r="31" spans="1:39" ht="12.75" customHeight="1" x14ac:dyDescent="0.3">
      <c r="A31" s="238" t="str">
        <f t="shared" si="13"/>
        <v>ARIMAX</v>
      </c>
      <c r="B31" s="243">
        <v>70</v>
      </c>
      <c r="C31" s="244">
        <v>0.123893805309735</v>
      </c>
      <c r="D31" s="243">
        <v>80</v>
      </c>
      <c r="E31" s="244">
        <v>0.119402985074627</v>
      </c>
      <c r="F31" s="243">
        <v>70</v>
      </c>
      <c r="G31" s="244">
        <v>0.108527131782946</v>
      </c>
      <c r="H31" s="243">
        <v>0.1</v>
      </c>
      <c r="I31" s="244">
        <v>1.24069478908189E-3</v>
      </c>
      <c r="J31" s="243">
        <v>65</v>
      </c>
      <c r="K31" s="244">
        <v>0.108315280786536</v>
      </c>
      <c r="L31" s="243">
        <v>90</v>
      </c>
      <c r="M31" s="244">
        <v>0.14399999999999999</v>
      </c>
      <c r="O31" s="245">
        <f t="shared" si="14"/>
        <v>63.75</v>
      </c>
      <c r="P31" s="245"/>
      <c r="Q31" s="245">
        <f t="shared" si="15"/>
        <v>67.5</v>
      </c>
      <c r="R31" s="245"/>
      <c r="S31" s="245">
        <f t="shared" si="16"/>
        <v>78.75</v>
      </c>
      <c r="T31" s="245"/>
      <c r="U31" s="245">
        <f t="shared" si="17"/>
        <v>21.774999999999999</v>
      </c>
      <c r="V31" s="245"/>
      <c r="W31" s="245">
        <f t="shared" si="18"/>
        <v>75</v>
      </c>
      <c r="X31" s="245"/>
      <c r="Y31" s="245">
        <f t="shared" si="19"/>
        <v>60</v>
      </c>
      <c r="AA31" s="241">
        <f t="shared" si="20"/>
        <v>255</v>
      </c>
      <c r="AC31" s="241">
        <f t="shared" si="21"/>
        <v>270</v>
      </c>
      <c r="AE31" s="241">
        <f t="shared" si="22"/>
        <v>315</v>
      </c>
      <c r="AG31" s="241">
        <f t="shared" si="23"/>
        <v>87.1</v>
      </c>
      <c r="AI31" s="241">
        <f t="shared" si="24"/>
        <v>300</v>
      </c>
      <c r="AK31" s="241">
        <f t="shared" si="25"/>
        <v>240</v>
      </c>
    </row>
    <row r="32" spans="1:39" ht="12.75" customHeight="1" x14ac:dyDescent="0.3">
      <c r="A32" s="238" t="str">
        <f t="shared" si="13"/>
        <v>PCE</v>
      </c>
      <c r="B32" s="243">
        <v>80</v>
      </c>
      <c r="C32" s="244">
        <v>0.14159292035398199</v>
      </c>
      <c r="D32" s="243">
        <v>65</v>
      </c>
      <c r="E32" s="244">
        <v>9.7014925373134303E-2</v>
      </c>
      <c r="F32" s="243">
        <v>65</v>
      </c>
      <c r="G32" s="244">
        <v>0.10077519379845</v>
      </c>
      <c r="H32" s="243">
        <v>60</v>
      </c>
      <c r="I32" s="244">
        <v>0.74441687344913199</v>
      </c>
      <c r="J32" s="243">
        <v>60</v>
      </c>
      <c r="K32" s="244">
        <v>9.9983336110648205E-2</v>
      </c>
      <c r="L32" s="243">
        <v>70</v>
      </c>
      <c r="M32" s="244">
        <v>0.112</v>
      </c>
      <c r="O32" s="245">
        <f t="shared" si="14"/>
        <v>37.5</v>
      </c>
      <c r="P32" s="245"/>
      <c r="Q32" s="245">
        <f t="shared" si="15"/>
        <v>31.25</v>
      </c>
      <c r="R32" s="245"/>
      <c r="S32" s="245">
        <f t="shared" si="16"/>
        <v>38.75</v>
      </c>
      <c r="T32" s="245"/>
      <c r="U32" s="245">
        <f t="shared" si="17"/>
        <v>30</v>
      </c>
      <c r="V32" s="245"/>
      <c r="W32" s="245">
        <f t="shared" si="18"/>
        <v>35</v>
      </c>
      <c r="X32" s="245"/>
      <c r="Y32" s="245">
        <f t="shared" si="19"/>
        <v>32.5</v>
      </c>
      <c r="AA32" s="241">
        <f t="shared" si="20"/>
        <v>150</v>
      </c>
      <c r="AC32" s="241">
        <f t="shared" si="21"/>
        <v>125</v>
      </c>
      <c r="AE32" s="241">
        <f t="shared" si="22"/>
        <v>155</v>
      </c>
      <c r="AG32" s="241">
        <f t="shared" si="23"/>
        <v>120</v>
      </c>
      <c r="AI32" s="241">
        <f t="shared" si="24"/>
        <v>140</v>
      </c>
      <c r="AK32" s="241">
        <f t="shared" si="25"/>
        <v>130</v>
      </c>
    </row>
    <row r="33" spans="1:39" ht="12.75" customHeight="1" x14ac:dyDescent="0.3">
      <c r="A33" s="238" t="str">
        <f t="shared" si="13"/>
        <v>LSTM</v>
      </c>
      <c r="B33" s="243">
        <v>70</v>
      </c>
      <c r="C33" s="244">
        <v>0.123893805309735</v>
      </c>
      <c r="D33" s="243">
        <v>95</v>
      </c>
      <c r="E33" s="244">
        <v>0.14179104477611901</v>
      </c>
      <c r="F33" s="243">
        <v>75</v>
      </c>
      <c r="G33" s="244">
        <v>0.116279069767442</v>
      </c>
      <c r="H33" s="243">
        <v>10</v>
      </c>
      <c r="I33" s="244">
        <v>0.12406947890818899</v>
      </c>
      <c r="J33" s="243">
        <v>95</v>
      </c>
      <c r="K33" s="244">
        <v>0.15830694884186</v>
      </c>
      <c r="L33" s="243">
        <v>30</v>
      </c>
      <c r="M33" s="244">
        <v>4.8000000000000001E-2</v>
      </c>
      <c r="O33" s="245">
        <f t="shared" si="14"/>
        <v>63.75</v>
      </c>
      <c r="P33" s="245"/>
      <c r="Q33" s="245">
        <f t="shared" si="15"/>
        <v>81.25</v>
      </c>
      <c r="R33" s="245"/>
      <c r="S33" s="245">
        <f t="shared" si="16"/>
        <v>73.75</v>
      </c>
      <c r="T33" s="245"/>
      <c r="U33" s="245">
        <f t="shared" si="17"/>
        <v>21.774999999999999</v>
      </c>
      <c r="V33" s="245"/>
      <c r="W33" s="245">
        <f t="shared" si="18"/>
        <v>68.75</v>
      </c>
      <c r="X33" s="245"/>
      <c r="Y33" s="245">
        <f t="shared" si="19"/>
        <v>40</v>
      </c>
      <c r="AA33" s="241">
        <f t="shared" si="20"/>
        <v>255</v>
      </c>
      <c r="AC33" s="241">
        <f t="shared" si="21"/>
        <v>325</v>
      </c>
      <c r="AE33" s="241">
        <f t="shared" si="22"/>
        <v>295</v>
      </c>
      <c r="AG33" s="241">
        <f t="shared" si="23"/>
        <v>87.1</v>
      </c>
      <c r="AI33" s="241">
        <f t="shared" si="24"/>
        <v>275</v>
      </c>
      <c r="AK33" s="241">
        <f t="shared" si="25"/>
        <v>160</v>
      </c>
    </row>
    <row r="34" spans="1:39" ht="12.75" customHeight="1" x14ac:dyDescent="0.3">
      <c r="A34" s="238" t="str">
        <f t="shared" si="13"/>
        <v>GARCH</v>
      </c>
      <c r="B34" s="243">
        <v>65</v>
      </c>
      <c r="C34" s="244">
        <v>0.11504424778761101</v>
      </c>
      <c r="D34" s="243">
        <v>75</v>
      </c>
      <c r="E34" s="244">
        <v>0.111940298507463</v>
      </c>
      <c r="F34" s="243">
        <v>75</v>
      </c>
      <c r="G34" s="244">
        <v>0.116279069767442</v>
      </c>
      <c r="H34" s="243">
        <v>10</v>
      </c>
      <c r="I34" s="244">
        <v>0.12406947890818899</v>
      </c>
      <c r="J34" s="243">
        <v>95</v>
      </c>
      <c r="K34" s="244">
        <v>0.15830694884186</v>
      </c>
      <c r="L34" s="243">
        <v>30</v>
      </c>
      <c r="M34" s="244">
        <v>4.8000000000000001E-2</v>
      </c>
      <c r="O34" s="245">
        <f t="shared" si="14"/>
        <v>71.25</v>
      </c>
      <c r="P34" s="245"/>
      <c r="Q34" s="245">
        <f t="shared" si="15"/>
        <v>68.75</v>
      </c>
      <c r="R34" s="245"/>
      <c r="S34" s="245">
        <f t="shared" si="16"/>
        <v>76.25</v>
      </c>
      <c r="T34" s="245"/>
      <c r="U34" s="245">
        <f t="shared" si="17"/>
        <v>28.75</v>
      </c>
      <c r="V34" s="245"/>
      <c r="W34" s="245">
        <f t="shared" si="18"/>
        <v>72.5</v>
      </c>
      <c r="X34" s="245"/>
      <c r="Y34" s="245">
        <f t="shared" si="19"/>
        <v>43.75</v>
      </c>
      <c r="AA34" s="241">
        <f t="shared" si="20"/>
        <v>285</v>
      </c>
      <c r="AC34" s="241">
        <f t="shared" si="21"/>
        <v>275</v>
      </c>
      <c r="AE34" s="241">
        <f t="shared" si="22"/>
        <v>305</v>
      </c>
      <c r="AG34" s="241">
        <f t="shared" si="23"/>
        <v>115</v>
      </c>
      <c r="AI34" s="241">
        <f t="shared" si="24"/>
        <v>290</v>
      </c>
      <c r="AK34" s="241">
        <f t="shared" si="25"/>
        <v>175</v>
      </c>
    </row>
    <row r="35" spans="1:39" ht="12.75" customHeight="1" x14ac:dyDescent="0.3">
      <c r="A35" s="238" t="str">
        <f t="shared" si="13"/>
        <v>VAR</v>
      </c>
      <c r="B35" s="243">
        <v>0</v>
      </c>
      <c r="C35" s="244">
        <v>0</v>
      </c>
      <c r="D35" s="243">
        <v>75</v>
      </c>
      <c r="E35" s="244">
        <v>0.111940298507463</v>
      </c>
      <c r="F35" s="243">
        <v>65</v>
      </c>
      <c r="G35" s="244">
        <v>0.10077519379845</v>
      </c>
      <c r="H35" s="243">
        <v>0.1</v>
      </c>
      <c r="I35" s="244">
        <v>1.24069478908189E-3</v>
      </c>
      <c r="J35" s="243">
        <v>65</v>
      </c>
      <c r="K35" s="244">
        <v>0.108315280786536</v>
      </c>
      <c r="L35" s="243">
        <v>70</v>
      </c>
      <c r="M35" s="244">
        <v>0.112</v>
      </c>
      <c r="O35" s="245">
        <f t="shared" si="14"/>
        <v>15</v>
      </c>
      <c r="P35" s="245"/>
      <c r="Q35" s="245">
        <f t="shared" si="15"/>
        <v>72.5</v>
      </c>
      <c r="R35" s="245"/>
      <c r="S35" s="245">
        <f t="shared" si="16"/>
        <v>80</v>
      </c>
      <c r="T35" s="245"/>
      <c r="U35" s="245">
        <f t="shared" si="17"/>
        <v>20.524999999999999</v>
      </c>
      <c r="V35" s="245"/>
      <c r="W35" s="245">
        <f t="shared" si="18"/>
        <v>68.75</v>
      </c>
      <c r="X35" s="245"/>
      <c r="Y35" s="245">
        <f t="shared" si="19"/>
        <v>55</v>
      </c>
      <c r="AA35" s="241">
        <f t="shared" si="20"/>
        <v>60</v>
      </c>
      <c r="AC35" s="241">
        <f t="shared" si="21"/>
        <v>290</v>
      </c>
      <c r="AE35" s="241">
        <f t="shared" si="22"/>
        <v>320</v>
      </c>
      <c r="AG35" s="241">
        <f t="shared" si="23"/>
        <v>82.1</v>
      </c>
      <c r="AI35" s="241">
        <f t="shared" si="24"/>
        <v>275</v>
      </c>
      <c r="AK35" s="241">
        <f t="shared" si="25"/>
        <v>220</v>
      </c>
    </row>
    <row r="36" spans="1:39" ht="12.75" customHeight="1" x14ac:dyDescent="0.3">
      <c r="A36" s="238" t="str">
        <f t="shared" si="13"/>
        <v>RW</v>
      </c>
      <c r="B36" s="243">
        <v>70</v>
      </c>
      <c r="C36" s="244">
        <v>0.123893805309735</v>
      </c>
      <c r="D36" s="243">
        <v>75</v>
      </c>
      <c r="E36" s="244">
        <v>0.111940298507463</v>
      </c>
      <c r="F36" s="243">
        <v>70</v>
      </c>
      <c r="G36" s="244">
        <v>0.108527131782946</v>
      </c>
      <c r="H36" s="243">
        <v>0.1</v>
      </c>
      <c r="I36" s="244">
        <v>1.24069478908189E-3</v>
      </c>
      <c r="J36" s="243">
        <v>65</v>
      </c>
      <c r="K36" s="244">
        <v>0.108315280786536</v>
      </c>
      <c r="L36" s="243">
        <v>95</v>
      </c>
      <c r="M36" s="244">
        <v>0.152</v>
      </c>
      <c r="O36" s="245">
        <f t="shared" si="14"/>
        <v>58.75</v>
      </c>
      <c r="P36" s="245"/>
      <c r="Q36" s="245">
        <f t="shared" si="15"/>
        <v>71.25</v>
      </c>
      <c r="R36" s="245"/>
      <c r="S36" s="245">
        <f t="shared" si="16"/>
        <v>81.25</v>
      </c>
      <c r="T36" s="245"/>
      <c r="U36" s="245">
        <f t="shared" si="17"/>
        <v>25.524999999999999</v>
      </c>
      <c r="V36" s="245"/>
      <c r="W36" s="245">
        <f t="shared" si="18"/>
        <v>67.5</v>
      </c>
      <c r="X36" s="245"/>
      <c r="Y36" s="245">
        <f t="shared" si="19"/>
        <v>70</v>
      </c>
      <c r="AA36" s="241">
        <f t="shared" si="20"/>
        <v>235</v>
      </c>
      <c r="AC36" s="241">
        <f t="shared" si="21"/>
        <v>285</v>
      </c>
      <c r="AE36" s="241">
        <f t="shared" si="22"/>
        <v>325</v>
      </c>
      <c r="AG36" s="241">
        <f t="shared" si="23"/>
        <v>102.1</v>
      </c>
      <c r="AI36" s="241">
        <f t="shared" si="24"/>
        <v>270</v>
      </c>
      <c r="AK36" s="241">
        <f t="shared" si="25"/>
        <v>280</v>
      </c>
    </row>
    <row r="37" spans="1:39" ht="12.75" customHeight="1" x14ac:dyDescent="0.3">
      <c r="A37" s="238" t="str">
        <f t="shared" si="13"/>
        <v>ETS</v>
      </c>
      <c r="B37" s="243">
        <v>70</v>
      </c>
      <c r="C37" s="244">
        <v>0.123893805309735</v>
      </c>
      <c r="D37" s="243">
        <v>80</v>
      </c>
      <c r="E37" s="244">
        <v>0.119402985074627</v>
      </c>
      <c r="F37" s="243">
        <v>70</v>
      </c>
      <c r="G37" s="244">
        <v>0.108527131782946</v>
      </c>
      <c r="H37" s="243">
        <v>0.1</v>
      </c>
      <c r="I37" s="244">
        <v>1.24069478908189E-3</v>
      </c>
      <c r="J37" s="243">
        <v>0.1</v>
      </c>
      <c r="K37" s="244">
        <v>1.66638893517747E-4</v>
      </c>
      <c r="L37" s="243">
        <v>95</v>
      </c>
      <c r="M37" s="244">
        <v>0.152</v>
      </c>
      <c r="O37" s="245">
        <f t="shared" si="14"/>
        <v>73.75</v>
      </c>
      <c r="P37" s="245"/>
      <c r="Q37" s="245">
        <f t="shared" si="15"/>
        <v>72.5</v>
      </c>
      <c r="R37" s="245"/>
      <c r="S37" s="245">
        <f t="shared" si="16"/>
        <v>81.25</v>
      </c>
      <c r="T37" s="245"/>
      <c r="U37" s="245">
        <f t="shared" si="17"/>
        <v>18.024999999999999</v>
      </c>
      <c r="V37" s="245"/>
      <c r="W37" s="245">
        <f t="shared" si="18"/>
        <v>55.024999999999999</v>
      </c>
      <c r="X37" s="245"/>
      <c r="Y37" s="245">
        <f t="shared" si="19"/>
        <v>70</v>
      </c>
      <c r="AA37" s="241">
        <f t="shared" si="20"/>
        <v>295</v>
      </c>
      <c r="AC37" s="241">
        <f t="shared" si="21"/>
        <v>290</v>
      </c>
      <c r="AE37" s="241">
        <f t="shared" si="22"/>
        <v>325</v>
      </c>
      <c r="AG37" s="241">
        <f t="shared" si="23"/>
        <v>72.099999999999994</v>
      </c>
      <c r="AI37" s="241">
        <f t="shared" si="24"/>
        <v>220.1</v>
      </c>
      <c r="AK37" s="241">
        <f t="shared" si="25"/>
        <v>280</v>
      </c>
    </row>
    <row r="38" spans="1:39" ht="12.75" customHeight="1" x14ac:dyDescent="0.3">
      <c r="A38" s="238" t="str">
        <f t="shared" si="13"/>
        <v>DynaMix</v>
      </c>
      <c r="B38" s="243">
        <v>50</v>
      </c>
      <c r="C38" s="244">
        <v>8.8495575221238895E-2</v>
      </c>
      <c r="D38" s="243">
        <v>65</v>
      </c>
      <c r="E38" s="244">
        <v>9.7014925373134303E-2</v>
      </c>
      <c r="F38" s="243">
        <v>80</v>
      </c>
      <c r="G38" s="244">
        <v>0.124031007751938</v>
      </c>
      <c r="H38" s="243">
        <v>0.1</v>
      </c>
      <c r="I38" s="244">
        <v>1.24069478908189E-3</v>
      </c>
      <c r="J38" s="243">
        <v>65</v>
      </c>
      <c r="K38" s="244">
        <v>0.108315280786536</v>
      </c>
      <c r="L38" s="243">
        <v>70</v>
      </c>
      <c r="M38" s="244">
        <v>0.112</v>
      </c>
      <c r="O38" s="245">
        <f t="shared" si="14"/>
        <v>67.5</v>
      </c>
      <c r="P38" s="245"/>
      <c r="Q38" s="245">
        <f t="shared" si="15"/>
        <v>67.5</v>
      </c>
      <c r="R38" s="245"/>
      <c r="S38" s="245">
        <f t="shared" si="16"/>
        <v>82.5</v>
      </c>
      <c r="T38" s="245"/>
      <c r="U38" s="245">
        <f t="shared" si="17"/>
        <v>13.525</v>
      </c>
      <c r="V38" s="245"/>
      <c r="W38" s="245">
        <f t="shared" si="18"/>
        <v>71.25</v>
      </c>
      <c r="X38" s="245"/>
      <c r="Y38" s="245">
        <f t="shared" si="19"/>
        <v>53.75</v>
      </c>
      <c r="AA38" s="241">
        <f t="shared" si="20"/>
        <v>270</v>
      </c>
      <c r="AC38" s="241">
        <f t="shared" si="21"/>
        <v>270</v>
      </c>
      <c r="AE38" s="241">
        <f t="shared" si="22"/>
        <v>330</v>
      </c>
      <c r="AG38" s="241">
        <f t="shared" si="23"/>
        <v>54.1</v>
      </c>
      <c r="AI38" s="241">
        <f t="shared" si="24"/>
        <v>285</v>
      </c>
      <c r="AK38" s="241">
        <f t="shared" si="25"/>
        <v>215</v>
      </c>
    </row>
    <row r="39" spans="1:39" ht="12.75" customHeight="1" x14ac:dyDescent="0.3"/>
    <row r="40" spans="1:39" ht="12.75" customHeight="1" x14ac:dyDescent="0.3">
      <c r="A40" s="242" t="s">
        <v>51</v>
      </c>
      <c r="B40" s="243" t="s">
        <v>12</v>
      </c>
      <c r="C40" s="244">
        <v>565</v>
      </c>
      <c r="D40" s="243" t="s">
        <v>13</v>
      </c>
      <c r="E40" s="244">
        <v>670</v>
      </c>
      <c r="F40" s="243" t="s">
        <v>14</v>
      </c>
      <c r="G40" s="244">
        <v>645</v>
      </c>
      <c r="H40" s="243" t="s">
        <v>15</v>
      </c>
      <c r="I40" s="244">
        <v>80.599999999999994</v>
      </c>
      <c r="J40" s="243" t="s">
        <v>16</v>
      </c>
      <c r="K40" s="244">
        <v>600.1</v>
      </c>
      <c r="L40" s="243" t="s">
        <v>17</v>
      </c>
      <c r="M40" s="244">
        <v>625</v>
      </c>
      <c r="O40" s="246" t="s">
        <v>12</v>
      </c>
      <c r="P40" s="246"/>
      <c r="Q40" s="246" t="s">
        <v>13</v>
      </c>
      <c r="R40" s="246"/>
      <c r="S40" s="246" t="s">
        <v>14</v>
      </c>
      <c r="T40" s="246"/>
      <c r="U40" s="246" t="s">
        <v>15</v>
      </c>
      <c r="V40" s="246"/>
      <c r="W40" s="246" t="s">
        <v>16</v>
      </c>
      <c r="X40" s="246"/>
      <c r="Y40" s="246" t="s">
        <v>17</v>
      </c>
      <c r="AA40" s="241" t="s">
        <v>12</v>
      </c>
      <c r="AC40" s="241" t="s">
        <v>13</v>
      </c>
      <c r="AE40" s="241" t="s">
        <v>14</v>
      </c>
      <c r="AG40" s="241" t="s">
        <v>15</v>
      </c>
      <c r="AI40" s="241" t="s">
        <v>16</v>
      </c>
      <c r="AK40" s="241" t="s">
        <v>17</v>
      </c>
      <c r="AM40" s="239">
        <f>AM51</f>
        <v>4</v>
      </c>
    </row>
    <row r="41" spans="1:39" ht="12.75" customHeight="1" x14ac:dyDescent="0.3">
      <c r="A41" s="238" t="str">
        <f t="shared" ref="A41:A49" si="26">A52</f>
        <v>PyCaret</v>
      </c>
      <c r="B41" s="243">
        <v>90</v>
      </c>
      <c r="C41" s="244">
        <v>0.15929203539823</v>
      </c>
      <c r="D41" s="243">
        <v>60</v>
      </c>
      <c r="E41" s="244">
        <v>8.9552238805970102E-2</v>
      </c>
      <c r="F41" s="243">
        <v>75</v>
      </c>
      <c r="G41" s="244">
        <v>0.116279069767442</v>
      </c>
      <c r="H41" s="243">
        <v>0.1</v>
      </c>
      <c r="I41" s="244">
        <v>1.24069478908189E-3</v>
      </c>
      <c r="J41" s="243">
        <v>90</v>
      </c>
      <c r="K41" s="244">
        <v>0.14997500416597201</v>
      </c>
      <c r="L41" s="243">
        <v>75</v>
      </c>
      <c r="M41" s="244">
        <v>0.12</v>
      </c>
      <c r="O41" s="246">
        <f t="shared" ref="O41:O49" si="27">AA41/$AM$172</f>
        <v>60</v>
      </c>
      <c r="P41" s="246"/>
      <c r="Q41" s="246">
        <f t="shared" ref="Q41:Q49" si="28">AC41/$AM$172</f>
        <v>62.5</v>
      </c>
      <c r="R41" s="246"/>
      <c r="S41" s="246">
        <f t="shared" ref="S41:S49" si="29">AE41/$AM$172</f>
        <v>61.25</v>
      </c>
      <c r="T41" s="246"/>
      <c r="U41" s="246">
        <f t="shared" ref="U41:U49" si="30">AG41/$AM$172</f>
        <v>50</v>
      </c>
      <c r="V41" s="246"/>
      <c r="W41" s="246">
        <f t="shared" ref="W41:W49" si="31">AI41/$AM$172</f>
        <v>72.5</v>
      </c>
      <c r="X41" s="246"/>
      <c r="Y41" s="246">
        <f t="shared" ref="Y41:Y49" si="32">AK41/$AM$172</f>
        <v>53.75</v>
      </c>
      <c r="AA41" s="241">
        <f t="shared" ref="AA41:AA49" si="33">(B85+B74+B63+B52)</f>
        <v>240</v>
      </c>
      <c r="AC41" s="241">
        <f t="shared" ref="AC41:AC49" si="34">(D85+D74+D63+D52)</f>
        <v>250</v>
      </c>
      <c r="AE41" s="241">
        <f t="shared" ref="AE41:AE49" si="35">(F85+F74+F63+F52)</f>
        <v>245</v>
      </c>
      <c r="AG41" s="241">
        <f t="shared" ref="AG41:AG49" si="36">(H85+H74+H63+H52)</f>
        <v>200</v>
      </c>
      <c r="AI41" s="241">
        <f t="shared" ref="AI41:AI49" si="37">(J85+J74+J63+J52)</f>
        <v>290</v>
      </c>
      <c r="AK41" s="241">
        <f t="shared" ref="AK41:AK49" si="38">(L85+L74+L63+L52)</f>
        <v>215</v>
      </c>
    </row>
    <row r="42" spans="1:39" ht="12.75" customHeight="1" x14ac:dyDescent="0.3">
      <c r="A42" s="238" t="str">
        <f t="shared" si="26"/>
        <v>ARIMAX</v>
      </c>
      <c r="B42" s="243">
        <v>70</v>
      </c>
      <c r="C42" s="244">
        <v>0.123893805309735</v>
      </c>
      <c r="D42" s="243">
        <v>80</v>
      </c>
      <c r="E42" s="244">
        <v>0.119402985074627</v>
      </c>
      <c r="F42" s="243">
        <v>70</v>
      </c>
      <c r="G42" s="244">
        <v>0.108527131782946</v>
      </c>
      <c r="H42" s="243">
        <v>0.1</v>
      </c>
      <c r="I42" s="244">
        <v>1.24069478908189E-3</v>
      </c>
      <c r="J42" s="243">
        <v>65</v>
      </c>
      <c r="K42" s="244">
        <v>0.108315280786536</v>
      </c>
      <c r="L42" s="243">
        <v>90</v>
      </c>
      <c r="M42" s="244">
        <v>0.14399999999999999</v>
      </c>
      <c r="O42" s="246">
        <f t="shared" si="27"/>
        <v>65</v>
      </c>
      <c r="P42" s="246"/>
      <c r="Q42" s="246">
        <f t="shared" si="28"/>
        <v>65</v>
      </c>
      <c r="R42" s="246"/>
      <c r="S42" s="246">
        <f t="shared" si="29"/>
        <v>77.5</v>
      </c>
      <c r="T42" s="246"/>
      <c r="U42" s="246">
        <f t="shared" si="30"/>
        <v>29.25</v>
      </c>
      <c r="V42" s="246"/>
      <c r="W42" s="246">
        <f t="shared" si="31"/>
        <v>75</v>
      </c>
      <c r="X42" s="246"/>
      <c r="Y42" s="246">
        <f t="shared" si="32"/>
        <v>55</v>
      </c>
      <c r="AA42" s="241">
        <f t="shared" si="33"/>
        <v>260</v>
      </c>
      <c r="AC42" s="241">
        <f t="shared" si="34"/>
        <v>260</v>
      </c>
      <c r="AE42" s="241">
        <f t="shared" si="35"/>
        <v>310</v>
      </c>
      <c r="AG42" s="241">
        <f t="shared" si="36"/>
        <v>117</v>
      </c>
      <c r="AI42" s="241">
        <f t="shared" si="37"/>
        <v>300</v>
      </c>
      <c r="AK42" s="241">
        <f t="shared" si="38"/>
        <v>220</v>
      </c>
    </row>
    <row r="43" spans="1:39" ht="12.75" customHeight="1" x14ac:dyDescent="0.3">
      <c r="A43" s="238" t="str">
        <f t="shared" si="26"/>
        <v>PCE</v>
      </c>
      <c r="B43" s="243">
        <v>80</v>
      </c>
      <c r="C43" s="244">
        <v>0.14159292035398199</v>
      </c>
      <c r="D43" s="243">
        <v>65</v>
      </c>
      <c r="E43" s="244">
        <v>9.7014925373134303E-2</v>
      </c>
      <c r="F43" s="243">
        <v>65</v>
      </c>
      <c r="G43" s="244">
        <v>0.10077519379845</v>
      </c>
      <c r="H43" s="243">
        <v>60</v>
      </c>
      <c r="I43" s="244">
        <v>0.74441687344913199</v>
      </c>
      <c r="J43" s="243">
        <v>60</v>
      </c>
      <c r="K43" s="244">
        <v>9.9983336110648205E-2</v>
      </c>
      <c r="L43" s="243">
        <v>70</v>
      </c>
      <c r="M43" s="244">
        <v>0.112</v>
      </c>
      <c r="O43" s="246">
        <f t="shared" si="27"/>
        <v>36.25</v>
      </c>
      <c r="P43" s="246"/>
      <c r="Q43" s="246">
        <f t="shared" si="28"/>
        <v>40</v>
      </c>
      <c r="R43" s="246"/>
      <c r="S43" s="246">
        <f t="shared" si="29"/>
        <v>46.25</v>
      </c>
      <c r="T43" s="246"/>
      <c r="U43" s="246">
        <f t="shared" si="30"/>
        <v>31.25</v>
      </c>
      <c r="V43" s="246"/>
      <c r="W43" s="246">
        <f t="shared" si="31"/>
        <v>38.75</v>
      </c>
      <c r="X43" s="246"/>
      <c r="Y43" s="246">
        <f t="shared" si="32"/>
        <v>38.75</v>
      </c>
      <c r="AA43" s="241">
        <f t="shared" si="33"/>
        <v>145</v>
      </c>
      <c r="AC43" s="241">
        <f t="shared" si="34"/>
        <v>160</v>
      </c>
      <c r="AE43" s="241">
        <f t="shared" si="35"/>
        <v>185</v>
      </c>
      <c r="AG43" s="241">
        <f t="shared" si="36"/>
        <v>125</v>
      </c>
      <c r="AI43" s="241">
        <f t="shared" si="37"/>
        <v>155</v>
      </c>
      <c r="AK43" s="241">
        <f t="shared" si="38"/>
        <v>155</v>
      </c>
    </row>
    <row r="44" spans="1:39" ht="12.75" customHeight="1" x14ac:dyDescent="0.3">
      <c r="A44" s="238" t="str">
        <f t="shared" si="26"/>
        <v>LSTM</v>
      </c>
      <c r="B44" s="243">
        <v>70</v>
      </c>
      <c r="C44" s="244">
        <v>0.123893805309735</v>
      </c>
      <c r="D44" s="243">
        <v>95</v>
      </c>
      <c r="E44" s="244">
        <v>0.14179104477611901</v>
      </c>
      <c r="F44" s="243">
        <v>75</v>
      </c>
      <c r="G44" s="244">
        <v>0.116279069767442</v>
      </c>
      <c r="H44" s="243">
        <v>10</v>
      </c>
      <c r="I44" s="244">
        <v>0.12406947890818899</v>
      </c>
      <c r="J44" s="243">
        <v>95</v>
      </c>
      <c r="K44" s="244">
        <v>0.15830694884186</v>
      </c>
      <c r="L44" s="243">
        <v>30</v>
      </c>
      <c r="M44" s="244">
        <v>4.8000000000000001E-2</v>
      </c>
      <c r="O44" s="246">
        <f t="shared" si="27"/>
        <v>66.25</v>
      </c>
      <c r="P44" s="246"/>
      <c r="Q44" s="246">
        <f t="shared" si="28"/>
        <v>73.75</v>
      </c>
      <c r="R44" s="246"/>
      <c r="S44" s="246">
        <f t="shared" si="29"/>
        <v>77.5</v>
      </c>
      <c r="T44" s="246"/>
      <c r="U44" s="246">
        <f t="shared" si="30"/>
        <v>26.774999999999999</v>
      </c>
      <c r="V44" s="246"/>
      <c r="W44" s="246">
        <f t="shared" si="31"/>
        <v>60</v>
      </c>
      <c r="X44" s="246"/>
      <c r="Y44" s="246">
        <f t="shared" si="32"/>
        <v>47.5</v>
      </c>
      <c r="AA44" s="241">
        <f t="shared" si="33"/>
        <v>265</v>
      </c>
      <c r="AC44" s="241">
        <f t="shared" si="34"/>
        <v>295</v>
      </c>
      <c r="AE44" s="241">
        <f t="shared" si="35"/>
        <v>310</v>
      </c>
      <c r="AG44" s="241">
        <f t="shared" si="36"/>
        <v>107.1</v>
      </c>
      <c r="AI44" s="241">
        <f t="shared" si="37"/>
        <v>240</v>
      </c>
      <c r="AK44" s="241">
        <f t="shared" si="38"/>
        <v>190</v>
      </c>
    </row>
    <row r="45" spans="1:39" ht="12.75" customHeight="1" x14ac:dyDescent="0.3">
      <c r="A45" s="238" t="str">
        <f t="shared" si="26"/>
        <v>GARCH</v>
      </c>
      <c r="B45" s="243">
        <v>65</v>
      </c>
      <c r="C45" s="244">
        <v>0.11504424778761101</v>
      </c>
      <c r="D45" s="243">
        <v>75</v>
      </c>
      <c r="E45" s="244">
        <v>0.111940298507463</v>
      </c>
      <c r="F45" s="243">
        <v>75</v>
      </c>
      <c r="G45" s="244">
        <v>0.116279069767442</v>
      </c>
      <c r="H45" s="243">
        <v>10</v>
      </c>
      <c r="I45" s="244">
        <v>0.12406947890818899</v>
      </c>
      <c r="J45" s="243">
        <v>95</v>
      </c>
      <c r="K45" s="244">
        <v>0.15830694884186</v>
      </c>
      <c r="L45" s="243">
        <v>30</v>
      </c>
      <c r="M45" s="244">
        <v>4.8000000000000001E-2</v>
      </c>
      <c r="O45" s="246">
        <f t="shared" si="27"/>
        <v>77.5</v>
      </c>
      <c r="P45" s="246"/>
      <c r="Q45" s="246">
        <f t="shared" si="28"/>
        <v>70</v>
      </c>
      <c r="R45" s="246"/>
      <c r="S45" s="246">
        <f t="shared" si="29"/>
        <v>77.5</v>
      </c>
      <c r="T45" s="246"/>
      <c r="U45" s="246">
        <f t="shared" si="30"/>
        <v>33.75</v>
      </c>
      <c r="V45" s="246"/>
      <c r="W45" s="246">
        <f t="shared" si="31"/>
        <v>65</v>
      </c>
      <c r="X45" s="246"/>
      <c r="Y45" s="246">
        <f t="shared" si="32"/>
        <v>60</v>
      </c>
      <c r="AA45" s="241">
        <f t="shared" si="33"/>
        <v>310</v>
      </c>
      <c r="AC45" s="241">
        <f t="shared" si="34"/>
        <v>280</v>
      </c>
      <c r="AE45" s="241">
        <f t="shared" si="35"/>
        <v>310</v>
      </c>
      <c r="AG45" s="241">
        <f t="shared" si="36"/>
        <v>135</v>
      </c>
      <c r="AI45" s="241">
        <f t="shared" si="37"/>
        <v>260</v>
      </c>
      <c r="AK45" s="241">
        <f t="shared" si="38"/>
        <v>240</v>
      </c>
    </row>
    <row r="46" spans="1:39" ht="12.75" customHeight="1" x14ac:dyDescent="0.3">
      <c r="A46" s="238" t="str">
        <f t="shared" si="26"/>
        <v>VAR</v>
      </c>
      <c r="B46" s="243">
        <v>0</v>
      </c>
      <c r="C46" s="244">
        <v>0</v>
      </c>
      <c r="D46" s="243">
        <v>75</v>
      </c>
      <c r="E46" s="244">
        <v>0.111940298507463</v>
      </c>
      <c r="F46" s="243">
        <v>65</v>
      </c>
      <c r="G46" s="244">
        <v>0.10077519379845</v>
      </c>
      <c r="H46" s="243">
        <v>0.1</v>
      </c>
      <c r="I46" s="244">
        <v>1.24069478908189E-3</v>
      </c>
      <c r="J46" s="243">
        <v>65</v>
      </c>
      <c r="K46" s="244">
        <v>0.108315280786536</v>
      </c>
      <c r="L46" s="243">
        <v>70</v>
      </c>
      <c r="M46" s="244">
        <v>0.112</v>
      </c>
      <c r="O46" s="246">
        <f t="shared" si="27"/>
        <v>15</v>
      </c>
      <c r="P46" s="246"/>
      <c r="Q46" s="246">
        <f t="shared" si="28"/>
        <v>73.75</v>
      </c>
      <c r="R46" s="246"/>
      <c r="S46" s="246">
        <f t="shared" si="29"/>
        <v>83.75</v>
      </c>
      <c r="T46" s="246"/>
      <c r="U46" s="246">
        <f t="shared" si="30"/>
        <v>30.5</v>
      </c>
      <c r="V46" s="246"/>
      <c r="W46" s="246">
        <f t="shared" si="31"/>
        <v>68.75</v>
      </c>
      <c r="X46" s="246"/>
      <c r="Y46" s="246">
        <f t="shared" si="32"/>
        <v>57.5</v>
      </c>
      <c r="AA46" s="241">
        <f t="shared" si="33"/>
        <v>60</v>
      </c>
      <c r="AC46" s="241">
        <f t="shared" si="34"/>
        <v>295</v>
      </c>
      <c r="AE46" s="241">
        <f t="shared" si="35"/>
        <v>335</v>
      </c>
      <c r="AG46" s="241">
        <f t="shared" si="36"/>
        <v>122</v>
      </c>
      <c r="AI46" s="241">
        <f t="shared" si="37"/>
        <v>275</v>
      </c>
      <c r="AK46" s="241">
        <f t="shared" si="38"/>
        <v>230</v>
      </c>
    </row>
    <row r="47" spans="1:39" ht="12.75" customHeight="1" x14ac:dyDescent="0.3">
      <c r="A47" s="238" t="str">
        <f t="shared" si="26"/>
        <v>RW</v>
      </c>
      <c r="B47" s="243">
        <v>70</v>
      </c>
      <c r="C47" s="244">
        <v>0.123893805309735</v>
      </c>
      <c r="D47" s="243">
        <v>75</v>
      </c>
      <c r="E47" s="244">
        <v>0.111940298507463</v>
      </c>
      <c r="F47" s="243">
        <v>70</v>
      </c>
      <c r="G47" s="244">
        <v>0.108527131782946</v>
      </c>
      <c r="H47" s="243">
        <v>0.1</v>
      </c>
      <c r="I47" s="244">
        <v>1.24069478908189E-3</v>
      </c>
      <c r="J47" s="243">
        <v>65</v>
      </c>
      <c r="K47" s="244">
        <v>0.108315280786536</v>
      </c>
      <c r="L47" s="243">
        <v>95</v>
      </c>
      <c r="M47" s="244">
        <v>0.152</v>
      </c>
      <c r="O47" s="246">
        <f t="shared" si="27"/>
        <v>63.75</v>
      </c>
      <c r="P47" s="246"/>
      <c r="Q47" s="246">
        <f t="shared" si="28"/>
        <v>72.5</v>
      </c>
      <c r="R47" s="246"/>
      <c r="S47" s="246">
        <f t="shared" si="29"/>
        <v>82.5</v>
      </c>
      <c r="T47" s="246"/>
      <c r="U47" s="246">
        <f t="shared" si="30"/>
        <v>33</v>
      </c>
      <c r="V47" s="246"/>
      <c r="W47" s="246">
        <f t="shared" si="31"/>
        <v>67.5</v>
      </c>
      <c r="X47" s="246"/>
      <c r="Y47" s="246">
        <f t="shared" si="32"/>
        <v>62.5</v>
      </c>
      <c r="AA47" s="241">
        <f t="shared" si="33"/>
        <v>255</v>
      </c>
      <c r="AC47" s="241">
        <f t="shared" si="34"/>
        <v>290</v>
      </c>
      <c r="AE47" s="241">
        <f t="shared" si="35"/>
        <v>330</v>
      </c>
      <c r="AG47" s="241">
        <f t="shared" si="36"/>
        <v>132</v>
      </c>
      <c r="AI47" s="241">
        <f t="shared" si="37"/>
        <v>270</v>
      </c>
      <c r="AK47" s="241">
        <f t="shared" si="38"/>
        <v>250</v>
      </c>
    </row>
    <row r="48" spans="1:39" ht="12.75" customHeight="1" x14ac:dyDescent="0.3">
      <c r="A48" s="238" t="str">
        <f t="shared" si="26"/>
        <v>ETS</v>
      </c>
      <c r="B48" s="243">
        <v>70</v>
      </c>
      <c r="C48" s="244">
        <v>0.123893805309735</v>
      </c>
      <c r="D48" s="243">
        <v>80</v>
      </c>
      <c r="E48" s="244">
        <v>0.119402985074627</v>
      </c>
      <c r="F48" s="243">
        <v>70</v>
      </c>
      <c r="G48" s="244">
        <v>0.108527131782946</v>
      </c>
      <c r="H48" s="243">
        <v>0.1</v>
      </c>
      <c r="I48" s="244">
        <v>1.24069478908189E-3</v>
      </c>
      <c r="J48" s="243">
        <v>0.1</v>
      </c>
      <c r="K48" s="244">
        <v>1.66638893517747E-4</v>
      </c>
      <c r="L48" s="243">
        <v>95</v>
      </c>
      <c r="M48" s="244">
        <v>0.152</v>
      </c>
      <c r="O48" s="246">
        <f t="shared" si="27"/>
        <v>78.75</v>
      </c>
      <c r="P48" s="246"/>
      <c r="Q48" s="246">
        <f t="shared" si="28"/>
        <v>72.5</v>
      </c>
      <c r="R48" s="246"/>
      <c r="S48" s="246">
        <f t="shared" si="29"/>
        <v>82.5</v>
      </c>
      <c r="T48" s="246"/>
      <c r="U48" s="246">
        <f t="shared" si="30"/>
        <v>23</v>
      </c>
      <c r="V48" s="246"/>
      <c r="W48" s="246">
        <f t="shared" si="31"/>
        <v>71.25</v>
      </c>
      <c r="X48" s="246"/>
      <c r="Y48" s="246">
        <f t="shared" si="32"/>
        <v>62.5</v>
      </c>
      <c r="AA48" s="241">
        <f t="shared" si="33"/>
        <v>315</v>
      </c>
      <c r="AC48" s="241">
        <f t="shared" si="34"/>
        <v>290</v>
      </c>
      <c r="AE48" s="241">
        <f t="shared" si="35"/>
        <v>330</v>
      </c>
      <c r="AG48" s="241">
        <f t="shared" si="36"/>
        <v>92</v>
      </c>
      <c r="AI48" s="241">
        <f t="shared" si="37"/>
        <v>285</v>
      </c>
      <c r="AK48" s="241">
        <f t="shared" si="38"/>
        <v>250</v>
      </c>
    </row>
    <row r="49" spans="1:39" ht="12.75" customHeight="1" x14ac:dyDescent="0.3">
      <c r="A49" s="238" t="str">
        <f t="shared" si="26"/>
        <v>DynaMix</v>
      </c>
      <c r="B49" s="243">
        <v>50</v>
      </c>
      <c r="C49" s="244">
        <v>8.8495575221238895E-2</v>
      </c>
      <c r="D49" s="243">
        <v>65</v>
      </c>
      <c r="E49" s="244">
        <v>9.7014925373134303E-2</v>
      </c>
      <c r="F49" s="243">
        <v>80</v>
      </c>
      <c r="G49" s="244">
        <v>0.124031007751938</v>
      </c>
      <c r="H49" s="243">
        <v>0.1</v>
      </c>
      <c r="I49" s="244">
        <v>1.24069478908189E-3</v>
      </c>
      <c r="J49" s="243">
        <v>65</v>
      </c>
      <c r="K49" s="244">
        <v>0.108315280786536</v>
      </c>
      <c r="L49" s="243">
        <v>70</v>
      </c>
      <c r="M49" s="244">
        <v>0.112</v>
      </c>
      <c r="O49" s="246">
        <f t="shared" si="27"/>
        <v>75</v>
      </c>
      <c r="P49" s="246"/>
      <c r="Q49" s="246">
        <f t="shared" si="28"/>
        <v>73.75</v>
      </c>
      <c r="R49" s="246"/>
      <c r="S49" s="246">
        <f t="shared" si="29"/>
        <v>80</v>
      </c>
      <c r="T49" s="246"/>
      <c r="U49" s="246">
        <f t="shared" si="30"/>
        <v>21</v>
      </c>
      <c r="V49" s="246"/>
      <c r="W49" s="246">
        <f t="shared" si="31"/>
        <v>67.5</v>
      </c>
      <c r="X49" s="246"/>
      <c r="Y49" s="246">
        <f t="shared" si="32"/>
        <v>52.5</v>
      </c>
      <c r="AA49" s="241">
        <f t="shared" si="33"/>
        <v>300</v>
      </c>
      <c r="AC49" s="241">
        <f t="shared" si="34"/>
        <v>295</v>
      </c>
      <c r="AE49" s="241">
        <f t="shared" si="35"/>
        <v>320</v>
      </c>
      <c r="AG49" s="241">
        <f t="shared" si="36"/>
        <v>84</v>
      </c>
      <c r="AI49" s="241">
        <f t="shared" si="37"/>
        <v>270</v>
      </c>
      <c r="AK49" s="241">
        <f t="shared" si="38"/>
        <v>210</v>
      </c>
    </row>
    <row r="50" spans="1:39" ht="12.75" customHeight="1" x14ac:dyDescent="0.3"/>
    <row r="51" spans="1:39" ht="12.75" customHeight="1" x14ac:dyDescent="0.3">
      <c r="A51" s="247" t="s">
        <v>52</v>
      </c>
      <c r="B51" s="248" t="s">
        <v>12</v>
      </c>
      <c r="C51" s="249">
        <v>615</v>
      </c>
      <c r="D51" s="248" t="s">
        <v>13</v>
      </c>
      <c r="E51" s="249">
        <v>705</v>
      </c>
      <c r="F51" s="248" t="s">
        <v>14</v>
      </c>
      <c r="G51" s="249">
        <v>675</v>
      </c>
      <c r="H51" s="248" t="s">
        <v>15</v>
      </c>
      <c r="I51" s="249">
        <v>55.1</v>
      </c>
      <c r="J51" s="248" t="s">
        <v>16</v>
      </c>
      <c r="K51" s="249">
        <v>665</v>
      </c>
      <c r="L51" s="248" t="s">
        <v>17</v>
      </c>
      <c r="M51" s="249">
        <v>560</v>
      </c>
      <c r="N51" s="250"/>
      <c r="O51" s="246" t="s">
        <v>12</v>
      </c>
      <c r="P51" s="246"/>
      <c r="Q51" s="246" t="s">
        <v>13</v>
      </c>
      <c r="R51" s="246"/>
      <c r="S51" s="246" t="s">
        <v>14</v>
      </c>
      <c r="T51" s="246"/>
      <c r="U51" s="246" t="s">
        <v>15</v>
      </c>
      <c r="V51" s="246"/>
      <c r="W51" s="246" t="s">
        <v>16</v>
      </c>
      <c r="X51" s="246"/>
      <c r="Y51" s="246" t="s">
        <v>17</v>
      </c>
      <c r="Z51" s="250"/>
      <c r="AA51" s="251" t="s">
        <v>12</v>
      </c>
      <c r="AB51" s="251"/>
      <c r="AC51" s="251" t="s">
        <v>13</v>
      </c>
      <c r="AD51" s="251"/>
      <c r="AE51" s="251" t="s">
        <v>14</v>
      </c>
      <c r="AF51" s="251"/>
      <c r="AG51" s="251" t="s">
        <v>15</v>
      </c>
      <c r="AH51" s="251"/>
      <c r="AI51" s="251" t="s">
        <v>16</v>
      </c>
      <c r="AJ51" s="251"/>
      <c r="AK51" s="251" t="s">
        <v>17</v>
      </c>
      <c r="AM51" s="239">
        <f>AM62</f>
        <v>4</v>
      </c>
    </row>
    <row r="52" spans="1:39" ht="12.75" customHeight="1" x14ac:dyDescent="0.3">
      <c r="A52" s="238" t="str">
        <f t="shared" ref="A52:A60" si="39">A63</f>
        <v>PyCaret</v>
      </c>
      <c r="B52" s="248">
        <v>90</v>
      </c>
      <c r="C52" s="249">
        <v>0.146341463414634</v>
      </c>
      <c r="D52" s="248">
        <v>75</v>
      </c>
      <c r="E52" s="249">
        <v>0.10638297872340401</v>
      </c>
      <c r="F52" s="248">
        <v>50</v>
      </c>
      <c r="G52" s="249">
        <v>7.4074074074074098E-2</v>
      </c>
      <c r="H52" s="248">
        <v>40</v>
      </c>
      <c r="I52" s="249">
        <v>0.72595281306715098</v>
      </c>
      <c r="J52" s="248">
        <v>90</v>
      </c>
      <c r="K52" s="249">
        <v>0.13533834586466201</v>
      </c>
      <c r="L52" s="248">
        <v>60</v>
      </c>
      <c r="M52" s="249">
        <v>0.107142857142857</v>
      </c>
      <c r="N52" s="250"/>
      <c r="O52" s="246">
        <f t="shared" ref="O52:O60" si="40">AA52/$AM$172</f>
        <v>60</v>
      </c>
      <c r="P52" s="246"/>
      <c r="Q52" s="246">
        <f t="shared" ref="Q52:Q60" si="41">AC52/$AM$172</f>
        <v>58.75</v>
      </c>
      <c r="R52" s="246"/>
      <c r="S52" s="246">
        <f t="shared" ref="S52:S60" si="42">AE52/$AM$172</f>
        <v>67.5</v>
      </c>
      <c r="T52" s="246"/>
      <c r="U52" s="246">
        <f t="shared" ref="U52:U60" si="43">AG52/$AM$172</f>
        <v>40.024999999999999</v>
      </c>
      <c r="V52" s="246"/>
      <c r="W52" s="246">
        <f t="shared" ref="W52:W60" si="44">AI52/$AM$172</f>
        <v>72.5</v>
      </c>
      <c r="X52" s="246"/>
      <c r="Y52" s="246">
        <f t="shared" ref="Y52:Y60" si="45">AK52/$AM$172</f>
        <v>57.5</v>
      </c>
      <c r="Z52" s="250"/>
      <c r="AA52" s="251">
        <f t="shared" ref="AA52:AA60" si="46">(B96+B85+B74+B63)</f>
        <v>240</v>
      </c>
      <c r="AB52" s="251"/>
      <c r="AC52" s="251">
        <f t="shared" ref="AC52:AC60" si="47">(D96+D85+D74+D63)</f>
        <v>235</v>
      </c>
      <c r="AD52" s="251"/>
      <c r="AE52" s="251">
        <f t="shared" ref="AE52:AE60" si="48">(F96+F85+F74+F63)</f>
        <v>270</v>
      </c>
      <c r="AF52" s="251"/>
      <c r="AG52" s="251">
        <f t="shared" ref="AG52:AG60" si="49">(H96+H85+H74+H63)</f>
        <v>160.1</v>
      </c>
      <c r="AH52" s="251"/>
      <c r="AI52" s="251">
        <f t="shared" ref="AI52:AI60" si="50">(J96+J85+J74+J63)</f>
        <v>290</v>
      </c>
      <c r="AJ52" s="251"/>
      <c r="AK52" s="251">
        <f t="shared" ref="AK52:AK60" si="51">(L96+L85+L74+L63)</f>
        <v>230</v>
      </c>
    </row>
    <row r="53" spans="1:39" ht="12.75" customHeight="1" x14ac:dyDescent="0.3">
      <c r="A53" s="238" t="str">
        <f t="shared" si="39"/>
        <v>ARIMAX</v>
      </c>
      <c r="B53" s="248">
        <v>65</v>
      </c>
      <c r="C53" s="249">
        <v>0.105691056910569</v>
      </c>
      <c r="D53" s="248">
        <v>90</v>
      </c>
      <c r="E53" s="249">
        <v>0.12765957446808501</v>
      </c>
      <c r="F53" s="248">
        <v>95</v>
      </c>
      <c r="G53" s="249">
        <v>0.140740740740741</v>
      </c>
      <c r="H53" s="248">
        <v>2</v>
      </c>
      <c r="I53" s="249">
        <v>3.6297640653357499E-2</v>
      </c>
      <c r="J53" s="248">
        <v>95</v>
      </c>
      <c r="K53" s="249">
        <v>0.14285714285714299</v>
      </c>
      <c r="L53" s="248">
        <v>70</v>
      </c>
      <c r="M53" s="249">
        <v>0.125</v>
      </c>
      <c r="N53" s="250"/>
      <c r="O53" s="246">
        <f t="shared" si="40"/>
        <v>66.25</v>
      </c>
      <c r="P53" s="246"/>
      <c r="Q53" s="246">
        <f t="shared" si="41"/>
        <v>62.5</v>
      </c>
      <c r="R53" s="246"/>
      <c r="S53" s="246">
        <f t="shared" si="42"/>
        <v>71.25</v>
      </c>
      <c r="T53" s="246"/>
      <c r="U53" s="246">
        <f t="shared" si="43"/>
        <v>28.774999999999999</v>
      </c>
      <c r="V53" s="246"/>
      <c r="W53" s="246">
        <f t="shared" si="44"/>
        <v>67.5</v>
      </c>
      <c r="X53" s="246"/>
      <c r="Y53" s="246">
        <f t="shared" si="45"/>
        <v>60</v>
      </c>
      <c r="Z53" s="250"/>
      <c r="AA53" s="251">
        <f t="shared" si="46"/>
        <v>265</v>
      </c>
      <c r="AB53" s="251"/>
      <c r="AC53" s="251">
        <f t="shared" si="47"/>
        <v>250</v>
      </c>
      <c r="AD53" s="251"/>
      <c r="AE53" s="251">
        <f t="shared" si="48"/>
        <v>285</v>
      </c>
      <c r="AF53" s="251"/>
      <c r="AG53" s="251">
        <f t="shared" si="49"/>
        <v>115.1</v>
      </c>
      <c r="AH53" s="251"/>
      <c r="AI53" s="251">
        <f t="shared" si="50"/>
        <v>270</v>
      </c>
      <c r="AJ53" s="251"/>
      <c r="AK53" s="251">
        <f t="shared" si="51"/>
        <v>240</v>
      </c>
    </row>
    <row r="54" spans="1:39" ht="12.75" customHeight="1" x14ac:dyDescent="0.3">
      <c r="A54" s="238" t="str">
        <f t="shared" si="39"/>
        <v>PCE</v>
      </c>
      <c r="B54" s="248">
        <v>0</v>
      </c>
      <c r="C54" s="249">
        <v>0</v>
      </c>
      <c r="D54" s="248">
        <v>0</v>
      </c>
      <c r="E54" s="249">
        <v>0</v>
      </c>
      <c r="F54" s="248">
        <v>0</v>
      </c>
      <c r="G54" s="249">
        <v>0</v>
      </c>
      <c r="H54" s="248">
        <v>0</v>
      </c>
      <c r="I54" s="249">
        <v>0</v>
      </c>
      <c r="J54" s="248">
        <v>0</v>
      </c>
      <c r="K54" s="249">
        <v>0</v>
      </c>
      <c r="L54" s="248">
        <v>0</v>
      </c>
      <c r="M54" s="249">
        <v>0</v>
      </c>
      <c r="N54" s="250"/>
      <c r="O54" s="246">
        <f t="shared" si="40"/>
        <v>56.25</v>
      </c>
      <c r="P54" s="246"/>
      <c r="Q54" s="246">
        <f t="shared" si="41"/>
        <v>56.25</v>
      </c>
      <c r="R54" s="246"/>
      <c r="S54" s="246">
        <f t="shared" si="42"/>
        <v>62.5</v>
      </c>
      <c r="T54" s="246"/>
      <c r="U54" s="246">
        <f t="shared" si="43"/>
        <v>46.25</v>
      </c>
      <c r="V54" s="246"/>
      <c r="W54" s="246">
        <f t="shared" si="44"/>
        <v>53.75</v>
      </c>
      <c r="X54" s="246"/>
      <c r="Y54" s="246">
        <f t="shared" si="45"/>
        <v>56.25</v>
      </c>
      <c r="Z54" s="250"/>
      <c r="AA54" s="251">
        <f t="shared" si="46"/>
        <v>225</v>
      </c>
      <c r="AB54" s="251"/>
      <c r="AC54" s="251">
        <f t="shared" si="47"/>
        <v>225</v>
      </c>
      <c r="AD54" s="251"/>
      <c r="AE54" s="251">
        <f t="shared" si="48"/>
        <v>250</v>
      </c>
      <c r="AF54" s="251"/>
      <c r="AG54" s="251">
        <f t="shared" si="49"/>
        <v>185</v>
      </c>
      <c r="AH54" s="251"/>
      <c r="AI54" s="251">
        <f t="shared" si="50"/>
        <v>215</v>
      </c>
      <c r="AJ54" s="251"/>
      <c r="AK54" s="251">
        <f t="shared" si="51"/>
        <v>225</v>
      </c>
    </row>
    <row r="55" spans="1:39" ht="12.75" customHeight="1" x14ac:dyDescent="0.3">
      <c r="A55" s="238" t="str">
        <f t="shared" si="39"/>
        <v>LSTM</v>
      </c>
      <c r="B55" s="248">
        <v>80</v>
      </c>
      <c r="C55" s="249">
        <v>0.13008130081300801</v>
      </c>
      <c r="D55" s="248">
        <v>90</v>
      </c>
      <c r="E55" s="249">
        <v>0.12765957446808501</v>
      </c>
      <c r="F55" s="248">
        <v>65</v>
      </c>
      <c r="G55" s="249">
        <v>9.6296296296296297E-2</v>
      </c>
      <c r="H55" s="248">
        <v>0.1</v>
      </c>
      <c r="I55" s="249">
        <v>1.81488203266788E-3</v>
      </c>
      <c r="J55" s="248">
        <v>60</v>
      </c>
      <c r="K55" s="249">
        <v>9.0225563909774403E-2</v>
      </c>
      <c r="L55" s="248">
        <v>50</v>
      </c>
      <c r="M55" s="249">
        <v>8.9285714285714302E-2</v>
      </c>
      <c r="N55" s="250"/>
      <c r="O55" s="246">
        <f t="shared" si="40"/>
        <v>63.75</v>
      </c>
      <c r="P55" s="246"/>
      <c r="Q55" s="246">
        <f t="shared" si="41"/>
        <v>75</v>
      </c>
      <c r="R55" s="246"/>
      <c r="S55" s="246">
        <f t="shared" si="42"/>
        <v>80</v>
      </c>
      <c r="T55" s="246"/>
      <c r="U55" s="246">
        <f t="shared" si="43"/>
        <v>29.25</v>
      </c>
      <c r="V55" s="246"/>
      <c r="W55" s="246">
        <f t="shared" si="44"/>
        <v>68.75</v>
      </c>
      <c r="X55" s="246"/>
      <c r="Y55" s="246">
        <f t="shared" si="45"/>
        <v>42.5</v>
      </c>
      <c r="Z55" s="250"/>
      <c r="AA55" s="251">
        <f t="shared" si="46"/>
        <v>255</v>
      </c>
      <c r="AB55" s="251"/>
      <c r="AC55" s="251">
        <f t="shared" si="47"/>
        <v>300</v>
      </c>
      <c r="AD55" s="251"/>
      <c r="AE55" s="251">
        <f t="shared" si="48"/>
        <v>320</v>
      </c>
      <c r="AF55" s="251"/>
      <c r="AG55" s="251">
        <f t="shared" si="49"/>
        <v>117</v>
      </c>
      <c r="AH55" s="251"/>
      <c r="AI55" s="251">
        <f t="shared" si="50"/>
        <v>275</v>
      </c>
      <c r="AJ55" s="251"/>
      <c r="AK55" s="251">
        <f t="shared" si="51"/>
        <v>170</v>
      </c>
    </row>
    <row r="56" spans="1:39" ht="12.75" customHeight="1" x14ac:dyDescent="0.3">
      <c r="A56" s="238" t="str">
        <f t="shared" si="39"/>
        <v>GARCH</v>
      </c>
      <c r="B56" s="248">
        <v>95</v>
      </c>
      <c r="C56" s="249">
        <v>0.154471544715447</v>
      </c>
      <c r="D56" s="248">
        <v>80</v>
      </c>
      <c r="E56" s="249">
        <v>0.11347517730496499</v>
      </c>
      <c r="F56" s="248">
        <v>80</v>
      </c>
      <c r="G56" s="249">
        <v>0.11851851851851899</v>
      </c>
      <c r="H56" s="248">
        <v>5</v>
      </c>
      <c r="I56" s="249">
        <v>9.0744101633393803E-2</v>
      </c>
      <c r="J56" s="248">
        <v>70</v>
      </c>
      <c r="K56" s="249">
        <v>0.105263157894737</v>
      </c>
      <c r="L56" s="248">
        <v>65</v>
      </c>
      <c r="M56" s="249">
        <v>0.11607142857142901</v>
      </c>
      <c r="N56" s="250"/>
      <c r="O56" s="246">
        <f t="shared" si="40"/>
        <v>70</v>
      </c>
      <c r="P56" s="246"/>
      <c r="Q56" s="246">
        <f t="shared" si="41"/>
        <v>68.75</v>
      </c>
      <c r="R56" s="246"/>
      <c r="S56" s="246">
        <f t="shared" si="42"/>
        <v>76.25</v>
      </c>
      <c r="T56" s="246"/>
      <c r="U56" s="246">
        <f t="shared" si="43"/>
        <v>35</v>
      </c>
      <c r="V56" s="246"/>
      <c r="W56" s="246">
        <f t="shared" si="44"/>
        <v>71.25</v>
      </c>
      <c r="X56" s="246"/>
      <c r="Y56" s="246">
        <f t="shared" si="45"/>
        <v>51.25</v>
      </c>
      <c r="Z56" s="250"/>
      <c r="AA56" s="251">
        <f t="shared" si="46"/>
        <v>280</v>
      </c>
      <c r="AB56" s="251"/>
      <c r="AC56" s="251">
        <f t="shared" si="47"/>
        <v>275</v>
      </c>
      <c r="AD56" s="251"/>
      <c r="AE56" s="251">
        <f t="shared" si="48"/>
        <v>305</v>
      </c>
      <c r="AF56" s="251"/>
      <c r="AG56" s="251">
        <f t="shared" si="49"/>
        <v>140</v>
      </c>
      <c r="AH56" s="251"/>
      <c r="AI56" s="251">
        <f t="shared" si="50"/>
        <v>285</v>
      </c>
      <c r="AJ56" s="251"/>
      <c r="AK56" s="251">
        <f t="shared" si="51"/>
        <v>205</v>
      </c>
    </row>
    <row r="57" spans="1:39" ht="12.75" customHeight="1" x14ac:dyDescent="0.3">
      <c r="A57" s="238" t="str">
        <f t="shared" si="39"/>
        <v>VAR</v>
      </c>
      <c r="B57" s="248">
        <v>0</v>
      </c>
      <c r="C57" s="249">
        <v>0</v>
      </c>
      <c r="D57" s="248">
        <v>95</v>
      </c>
      <c r="E57" s="249">
        <v>0.134751773049645</v>
      </c>
      <c r="F57" s="248">
        <v>100</v>
      </c>
      <c r="G57" s="249">
        <v>0.148148148148148</v>
      </c>
      <c r="H57" s="248">
        <v>2</v>
      </c>
      <c r="I57" s="249">
        <v>3.6297640653357499E-2</v>
      </c>
      <c r="J57" s="248">
        <v>80</v>
      </c>
      <c r="K57" s="249">
        <v>0.12030075187969901</v>
      </c>
      <c r="L57" s="248">
        <v>60</v>
      </c>
      <c r="M57" s="249">
        <v>0.107142857142857</v>
      </c>
      <c r="N57" s="250"/>
      <c r="O57" s="246">
        <f t="shared" si="40"/>
        <v>15</v>
      </c>
      <c r="P57" s="246"/>
      <c r="Q57" s="246">
        <f t="shared" si="41"/>
        <v>68.75</v>
      </c>
      <c r="R57" s="246"/>
      <c r="S57" s="246">
        <f t="shared" si="42"/>
        <v>75</v>
      </c>
      <c r="T57" s="246"/>
      <c r="U57" s="246">
        <f t="shared" si="43"/>
        <v>30.024999999999999</v>
      </c>
      <c r="V57" s="246"/>
      <c r="W57" s="246">
        <f t="shared" si="44"/>
        <v>65</v>
      </c>
      <c r="X57" s="246"/>
      <c r="Y57" s="246">
        <f t="shared" si="45"/>
        <v>60</v>
      </c>
      <c r="Z57" s="250"/>
      <c r="AA57" s="251">
        <f t="shared" si="46"/>
        <v>60</v>
      </c>
      <c r="AB57" s="251"/>
      <c r="AC57" s="251">
        <f t="shared" si="47"/>
        <v>275</v>
      </c>
      <c r="AD57" s="251"/>
      <c r="AE57" s="251">
        <f t="shared" si="48"/>
        <v>300</v>
      </c>
      <c r="AF57" s="251"/>
      <c r="AG57" s="251">
        <f t="shared" si="49"/>
        <v>120.1</v>
      </c>
      <c r="AH57" s="251"/>
      <c r="AI57" s="251">
        <f t="shared" si="50"/>
        <v>260</v>
      </c>
      <c r="AJ57" s="251"/>
      <c r="AK57" s="251">
        <f t="shared" si="51"/>
        <v>240</v>
      </c>
    </row>
    <row r="58" spans="1:39" ht="12.75" customHeight="1" x14ac:dyDescent="0.3">
      <c r="A58" s="238" t="str">
        <f t="shared" si="39"/>
        <v>RW</v>
      </c>
      <c r="B58" s="248">
        <v>95</v>
      </c>
      <c r="C58" s="249">
        <v>0.154471544715447</v>
      </c>
      <c r="D58" s="248">
        <v>90</v>
      </c>
      <c r="E58" s="249">
        <v>0.12765957446808501</v>
      </c>
      <c r="F58" s="248">
        <v>95</v>
      </c>
      <c r="G58" s="249">
        <v>0.140740740740741</v>
      </c>
      <c r="H58" s="248">
        <v>2</v>
      </c>
      <c r="I58" s="249">
        <v>3.6297640653357499E-2</v>
      </c>
      <c r="J58" s="248">
        <v>80</v>
      </c>
      <c r="K58" s="249">
        <v>0.12030075187969901</v>
      </c>
      <c r="L58" s="248">
        <v>95</v>
      </c>
      <c r="M58" s="249">
        <v>0.16964285714285701</v>
      </c>
      <c r="N58" s="250"/>
      <c r="O58" s="246">
        <f t="shared" si="40"/>
        <v>57.5</v>
      </c>
      <c r="P58" s="246"/>
      <c r="Q58" s="246">
        <f t="shared" si="41"/>
        <v>68.75</v>
      </c>
      <c r="R58" s="246"/>
      <c r="S58" s="246">
        <f t="shared" si="42"/>
        <v>76.25</v>
      </c>
      <c r="T58" s="246"/>
      <c r="U58" s="246">
        <f t="shared" si="43"/>
        <v>32.524999999999999</v>
      </c>
      <c r="V58" s="246"/>
      <c r="W58" s="246">
        <f t="shared" si="44"/>
        <v>63.75</v>
      </c>
      <c r="X58" s="246"/>
      <c r="Y58" s="246">
        <f t="shared" si="45"/>
        <v>56.25</v>
      </c>
      <c r="Z58" s="250"/>
      <c r="AA58" s="251">
        <f t="shared" si="46"/>
        <v>230</v>
      </c>
      <c r="AB58" s="251"/>
      <c r="AC58" s="251">
        <f t="shared" si="47"/>
        <v>275</v>
      </c>
      <c r="AD58" s="251"/>
      <c r="AE58" s="251">
        <f t="shared" si="48"/>
        <v>305</v>
      </c>
      <c r="AF58" s="251"/>
      <c r="AG58" s="251">
        <f t="shared" si="49"/>
        <v>130.1</v>
      </c>
      <c r="AH58" s="251"/>
      <c r="AI58" s="251">
        <f t="shared" si="50"/>
        <v>255</v>
      </c>
      <c r="AJ58" s="251"/>
      <c r="AK58" s="251">
        <f t="shared" si="51"/>
        <v>225</v>
      </c>
    </row>
    <row r="59" spans="1:39" ht="12.75" customHeight="1" x14ac:dyDescent="0.3">
      <c r="A59" s="238" t="str">
        <f t="shared" si="39"/>
        <v>ETS</v>
      </c>
      <c r="B59" s="248">
        <v>95</v>
      </c>
      <c r="C59" s="249">
        <v>0.154471544715447</v>
      </c>
      <c r="D59" s="248">
        <v>90</v>
      </c>
      <c r="E59" s="249">
        <v>0.12765957446808501</v>
      </c>
      <c r="F59" s="248">
        <v>95</v>
      </c>
      <c r="G59" s="249">
        <v>0.140740740740741</v>
      </c>
      <c r="H59" s="248">
        <v>2</v>
      </c>
      <c r="I59" s="249">
        <v>3.6297640653357499E-2</v>
      </c>
      <c r="J59" s="248">
        <v>95</v>
      </c>
      <c r="K59" s="249">
        <v>0.14285714285714299</v>
      </c>
      <c r="L59" s="248">
        <v>95</v>
      </c>
      <c r="M59" s="249">
        <v>0.16964285714285701</v>
      </c>
      <c r="N59" s="250"/>
      <c r="O59" s="246">
        <f t="shared" si="40"/>
        <v>72.5</v>
      </c>
      <c r="P59" s="246"/>
      <c r="Q59" s="246">
        <f t="shared" si="41"/>
        <v>70</v>
      </c>
      <c r="R59" s="246"/>
      <c r="S59" s="246">
        <f t="shared" si="42"/>
        <v>76.25</v>
      </c>
      <c r="T59" s="246"/>
      <c r="U59" s="246">
        <f t="shared" si="43"/>
        <v>22.524999999999999</v>
      </c>
      <c r="V59" s="246"/>
      <c r="W59" s="246">
        <f t="shared" si="44"/>
        <v>47.524999999999999</v>
      </c>
      <c r="X59" s="246"/>
      <c r="Y59" s="246">
        <f t="shared" si="45"/>
        <v>56.25</v>
      </c>
      <c r="Z59" s="250"/>
      <c r="AA59" s="251">
        <f t="shared" si="46"/>
        <v>290</v>
      </c>
      <c r="AB59" s="251"/>
      <c r="AC59" s="251">
        <f t="shared" si="47"/>
        <v>280</v>
      </c>
      <c r="AD59" s="251"/>
      <c r="AE59" s="251">
        <f t="shared" si="48"/>
        <v>305</v>
      </c>
      <c r="AF59" s="251"/>
      <c r="AG59" s="251">
        <f t="shared" si="49"/>
        <v>90.1</v>
      </c>
      <c r="AH59" s="251"/>
      <c r="AI59" s="251">
        <f t="shared" si="50"/>
        <v>190.1</v>
      </c>
      <c r="AJ59" s="251"/>
      <c r="AK59" s="251">
        <f t="shared" si="51"/>
        <v>225</v>
      </c>
    </row>
    <row r="60" spans="1:39" ht="12.75" customHeight="1" x14ac:dyDescent="0.3">
      <c r="A60" s="238" t="str">
        <f t="shared" si="39"/>
        <v>DynaMix</v>
      </c>
      <c r="B60" s="248">
        <v>95</v>
      </c>
      <c r="C60" s="249">
        <v>0.154471544715447</v>
      </c>
      <c r="D60" s="248">
        <v>95</v>
      </c>
      <c r="E60" s="249">
        <v>0.134751773049645</v>
      </c>
      <c r="F60" s="248">
        <v>95</v>
      </c>
      <c r="G60" s="249">
        <v>0.140740740740741</v>
      </c>
      <c r="H60" s="248">
        <v>2</v>
      </c>
      <c r="I60" s="249">
        <v>3.6297640653357499E-2</v>
      </c>
      <c r="J60" s="248">
        <v>95</v>
      </c>
      <c r="K60" s="249">
        <v>0.14285714285714299</v>
      </c>
      <c r="L60" s="248">
        <v>65</v>
      </c>
      <c r="M60" s="249">
        <v>0.11607142857142901</v>
      </c>
      <c r="N60" s="250"/>
      <c r="O60" s="246">
        <f t="shared" si="40"/>
        <v>63.75</v>
      </c>
      <c r="P60" s="246"/>
      <c r="Q60" s="246">
        <f t="shared" si="41"/>
        <v>66.25</v>
      </c>
      <c r="R60" s="246"/>
      <c r="S60" s="246">
        <f t="shared" si="42"/>
        <v>76.25</v>
      </c>
      <c r="T60" s="246"/>
      <c r="U60" s="246">
        <f t="shared" si="43"/>
        <v>20.524999999999999</v>
      </c>
      <c r="V60" s="246"/>
      <c r="W60" s="246">
        <f t="shared" si="44"/>
        <v>60</v>
      </c>
      <c r="X60" s="246"/>
      <c r="Y60" s="246">
        <f t="shared" si="45"/>
        <v>51.25</v>
      </c>
      <c r="Z60" s="250"/>
      <c r="AA60" s="251">
        <f t="shared" si="46"/>
        <v>255</v>
      </c>
      <c r="AB60" s="251"/>
      <c r="AC60" s="251">
        <f t="shared" si="47"/>
        <v>265</v>
      </c>
      <c r="AD60" s="251"/>
      <c r="AE60" s="251">
        <f t="shared" si="48"/>
        <v>305</v>
      </c>
      <c r="AF60" s="251"/>
      <c r="AG60" s="251">
        <f t="shared" si="49"/>
        <v>82.1</v>
      </c>
      <c r="AH60" s="251"/>
      <c r="AI60" s="251">
        <f t="shared" si="50"/>
        <v>240</v>
      </c>
      <c r="AJ60" s="251"/>
      <c r="AK60" s="251">
        <f t="shared" si="51"/>
        <v>205</v>
      </c>
    </row>
    <row r="61" spans="1:39" ht="12.75" customHeight="1" x14ac:dyDescent="0.3"/>
    <row r="62" spans="1:39" ht="12.75" customHeight="1" x14ac:dyDescent="0.3">
      <c r="A62" s="242" t="s">
        <v>53</v>
      </c>
      <c r="B62" s="248" t="s">
        <v>12</v>
      </c>
      <c r="C62" s="249">
        <v>380</v>
      </c>
      <c r="D62" s="248" t="s">
        <v>13</v>
      </c>
      <c r="E62" s="249">
        <v>390</v>
      </c>
      <c r="F62" s="248" t="s">
        <v>14</v>
      </c>
      <c r="G62" s="249">
        <v>490</v>
      </c>
      <c r="H62" s="248" t="s">
        <v>15</v>
      </c>
      <c r="I62" s="249">
        <v>34</v>
      </c>
      <c r="J62" s="248" t="s">
        <v>16</v>
      </c>
      <c r="K62" s="249">
        <v>480</v>
      </c>
      <c r="L62" s="248" t="s">
        <v>17</v>
      </c>
      <c r="M62" s="249">
        <v>210</v>
      </c>
      <c r="N62" s="250"/>
      <c r="O62" s="246" t="s">
        <v>12</v>
      </c>
      <c r="P62" s="246"/>
      <c r="Q62" s="246" t="s">
        <v>13</v>
      </c>
      <c r="R62" s="246"/>
      <c r="S62" s="246" t="s">
        <v>14</v>
      </c>
      <c r="T62" s="246"/>
      <c r="U62" s="246" t="s">
        <v>15</v>
      </c>
      <c r="V62" s="246"/>
      <c r="W62" s="246" t="s">
        <v>16</v>
      </c>
      <c r="X62" s="246"/>
      <c r="Y62" s="246" t="s">
        <v>17</v>
      </c>
      <c r="AA62" s="241" t="s">
        <v>12</v>
      </c>
      <c r="AC62" s="241" t="s">
        <v>13</v>
      </c>
      <c r="AE62" s="241" t="s">
        <v>14</v>
      </c>
      <c r="AG62" s="241" t="s">
        <v>15</v>
      </c>
      <c r="AI62" s="241" t="s">
        <v>16</v>
      </c>
      <c r="AK62" s="241" t="s">
        <v>17</v>
      </c>
      <c r="AM62" s="239">
        <f>AM73</f>
        <v>4</v>
      </c>
    </row>
    <row r="63" spans="1:39" ht="12.75" customHeight="1" x14ac:dyDescent="0.3">
      <c r="A63" s="238" t="str">
        <f t="shared" ref="A63:A71" si="52">A74</f>
        <v>PyCaret</v>
      </c>
      <c r="B63" s="248">
        <v>50</v>
      </c>
      <c r="C63" s="249">
        <v>0.13157894736842099</v>
      </c>
      <c r="D63" s="248">
        <v>50</v>
      </c>
      <c r="E63" s="249">
        <v>0.128205128205128</v>
      </c>
      <c r="F63" s="248">
        <v>50</v>
      </c>
      <c r="G63" s="249">
        <v>0.102040816326531</v>
      </c>
      <c r="H63" s="248">
        <v>5</v>
      </c>
      <c r="I63" s="249">
        <v>0.14705882352941199</v>
      </c>
      <c r="J63" s="248">
        <v>65</v>
      </c>
      <c r="K63" s="249">
        <v>0.13541666666666699</v>
      </c>
      <c r="L63" s="248">
        <v>30</v>
      </c>
      <c r="M63" s="249">
        <v>0.14285714285714299</v>
      </c>
      <c r="N63" s="250"/>
      <c r="O63" s="246">
        <f t="shared" ref="O63:O71" si="53">AA63/$AM$172</f>
        <v>57.5</v>
      </c>
      <c r="P63" s="246"/>
      <c r="Q63" s="246">
        <f t="shared" ref="Q63:Q71" si="54">AC63/$AM$172</f>
        <v>56.25</v>
      </c>
      <c r="R63" s="246"/>
      <c r="S63" s="246">
        <f t="shared" ref="S63:S71" si="55">AE63/$AM$172</f>
        <v>77.5</v>
      </c>
      <c r="T63" s="246"/>
      <c r="U63" s="246">
        <f t="shared" ref="U63:U71" si="56">AG63/$AM$172</f>
        <v>51.274999999999999</v>
      </c>
      <c r="V63" s="246"/>
      <c r="W63" s="246">
        <f t="shared" ref="W63:W71" si="57">AI63/$AM$172</f>
        <v>76.25</v>
      </c>
      <c r="X63" s="246"/>
      <c r="Y63" s="246">
        <f t="shared" ref="Y63:Y71" si="58">AK63/$AM$172</f>
        <v>67.5</v>
      </c>
      <c r="AA63" s="241">
        <f t="shared" ref="AA63:AA71" si="59">(B107+B96+B85+B74)</f>
        <v>230</v>
      </c>
      <c r="AC63" s="241">
        <f t="shared" ref="AC63:AC71" si="60">(D107+D96+D85+D74)</f>
        <v>225</v>
      </c>
      <c r="AE63" s="241">
        <f t="shared" ref="AE63:AE71" si="61">(F107+F96+F85+F74)</f>
        <v>310</v>
      </c>
      <c r="AG63" s="241">
        <f t="shared" ref="AG63:AG71" si="62">(H107+H96+H85+H74)</f>
        <v>205.1</v>
      </c>
      <c r="AI63" s="241">
        <f t="shared" ref="AI63:AI71" si="63">(J107+J96+J85+J74)</f>
        <v>305</v>
      </c>
      <c r="AK63" s="241">
        <f t="shared" ref="AK63:AK71" si="64">(L107+L96+L85+L74)</f>
        <v>270</v>
      </c>
    </row>
    <row r="64" spans="1:39" ht="12.75" customHeight="1" x14ac:dyDescent="0.3">
      <c r="A64" s="238" t="str">
        <f t="shared" si="52"/>
        <v>ARIMAX</v>
      </c>
      <c r="B64" s="248">
        <v>50</v>
      </c>
      <c r="C64" s="249">
        <v>0.13157894736842099</v>
      </c>
      <c r="D64" s="248">
        <v>40</v>
      </c>
      <c r="E64" s="249">
        <v>0.102564102564103</v>
      </c>
      <c r="F64" s="248">
        <v>60</v>
      </c>
      <c r="G64" s="249">
        <v>0.122448979591837</v>
      </c>
      <c r="H64" s="248">
        <v>5</v>
      </c>
      <c r="I64" s="249">
        <v>0.14705882352941199</v>
      </c>
      <c r="J64" s="248">
        <v>60</v>
      </c>
      <c r="K64" s="249">
        <v>0.125</v>
      </c>
      <c r="L64" s="248">
        <v>20</v>
      </c>
      <c r="M64" s="249">
        <v>9.5238095238095205E-2</v>
      </c>
      <c r="N64" s="250"/>
      <c r="O64" s="246">
        <f t="shared" si="53"/>
        <v>71.25</v>
      </c>
      <c r="P64" s="246"/>
      <c r="Q64" s="246">
        <f t="shared" si="54"/>
        <v>76.25</v>
      </c>
      <c r="R64" s="246"/>
      <c r="S64" s="246">
        <f t="shared" si="55"/>
        <v>80</v>
      </c>
      <c r="T64" s="246"/>
      <c r="U64" s="246">
        <f t="shared" si="56"/>
        <v>40.024999999999999</v>
      </c>
      <c r="V64" s="246"/>
      <c r="W64" s="246">
        <f t="shared" si="57"/>
        <v>71.25</v>
      </c>
      <c r="X64" s="246"/>
      <c r="Y64" s="246">
        <f t="shared" si="58"/>
        <v>67.5</v>
      </c>
      <c r="AA64" s="241">
        <f t="shared" si="59"/>
        <v>285</v>
      </c>
      <c r="AC64" s="241">
        <f t="shared" si="60"/>
        <v>305</v>
      </c>
      <c r="AE64" s="241">
        <f t="shared" si="61"/>
        <v>320</v>
      </c>
      <c r="AG64" s="241">
        <f t="shared" si="62"/>
        <v>160.1</v>
      </c>
      <c r="AI64" s="241">
        <f t="shared" si="63"/>
        <v>285</v>
      </c>
      <c r="AK64" s="241">
        <f t="shared" si="64"/>
        <v>270</v>
      </c>
    </row>
    <row r="65" spans="1:39" ht="12.75" customHeight="1" x14ac:dyDescent="0.3">
      <c r="A65" s="238" t="str">
        <f t="shared" si="52"/>
        <v>PCE</v>
      </c>
      <c r="B65" s="248">
        <v>0</v>
      </c>
      <c r="C65" s="249">
        <v>0</v>
      </c>
      <c r="D65" s="248">
        <v>0</v>
      </c>
      <c r="E65" s="249">
        <v>0</v>
      </c>
      <c r="F65" s="248">
        <v>0</v>
      </c>
      <c r="G65" s="249">
        <v>0</v>
      </c>
      <c r="H65" s="248">
        <v>0</v>
      </c>
      <c r="I65" s="249">
        <v>0</v>
      </c>
      <c r="J65" s="248">
        <v>0</v>
      </c>
      <c r="K65" s="249">
        <v>0</v>
      </c>
      <c r="L65" s="248">
        <v>0</v>
      </c>
      <c r="M65" s="249">
        <v>0</v>
      </c>
      <c r="N65" s="250"/>
      <c r="O65" s="246">
        <f t="shared" si="53"/>
        <v>72.5</v>
      </c>
      <c r="P65" s="246"/>
      <c r="Q65" s="246">
        <f t="shared" si="54"/>
        <v>81.25</v>
      </c>
      <c r="R65" s="246"/>
      <c r="S65" s="246">
        <f t="shared" si="55"/>
        <v>82.5</v>
      </c>
      <c r="T65" s="246"/>
      <c r="U65" s="246">
        <f t="shared" si="56"/>
        <v>48.75</v>
      </c>
      <c r="V65" s="246"/>
      <c r="W65" s="246">
        <f t="shared" si="57"/>
        <v>76.25</v>
      </c>
      <c r="X65" s="246"/>
      <c r="Y65" s="246">
        <f t="shared" si="58"/>
        <v>76.25</v>
      </c>
      <c r="AA65" s="241">
        <f t="shared" si="59"/>
        <v>290</v>
      </c>
      <c r="AC65" s="241">
        <f t="shared" si="60"/>
        <v>325</v>
      </c>
      <c r="AE65" s="241">
        <f t="shared" si="61"/>
        <v>330</v>
      </c>
      <c r="AG65" s="241">
        <f t="shared" si="62"/>
        <v>195</v>
      </c>
      <c r="AI65" s="241">
        <f t="shared" si="63"/>
        <v>305</v>
      </c>
      <c r="AK65" s="241">
        <f t="shared" si="64"/>
        <v>305</v>
      </c>
    </row>
    <row r="66" spans="1:39" ht="12.75" customHeight="1" x14ac:dyDescent="0.3">
      <c r="A66" s="238" t="str">
        <f t="shared" si="52"/>
        <v>LSTM</v>
      </c>
      <c r="B66" s="248">
        <v>40</v>
      </c>
      <c r="C66" s="249">
        <v>0.105263157894737</v>
      </c>
      <c r="D66" s="248">
        <v>50</v>
      </c>
      <c r="E66" s="249">
        <v>0.128205128205128</v>
      </c>
      <c r="F66" s="248">
        <v>65</v>
      </c>
      <c r="G66" s="249">
        <v>0.13265306122449</v>
      </c>
      <c r="H66" s="248">
        <v>2</v>
      </c>
      <c r="I66" s="249">
        <v>5.8823529411764698E-2</v>
      </c>
      <c r="J66" s="248">
        <v>60</v>
      </c>
      <c r="K66" s="249">
        <v>0.125</v>
      </c>
      <c r="L66" s="248">
        <v>20</v>
      </c>
      <c r="M66" s="249">
        <v>9.5238095238095205E-2</v>
      </c>
      <c r="N66" s="250"/>
      <c r="O66" s="246">
        <f t="shared" si="53"/>
        <v>70</v>
      </c>
      <c r="P66" s="246"/>
      <c r="Q66" s="246">
        <f t="shared" si="54"/>
        <v>82.5</v>
      </c>
      <c r="R66" s="246"/>
      <c r="S66" s="246">
        <f t="shared" si="55"/>
        <v>86.25</v>
      </c>
      <c r="T66" s="246"/>
      <c r="U66" s="246">
        <f t="shared" si="56"/>
        <v>46.25</v>
      </c>
      <c r="V66" s="246"/>
      <c r="W66" s="246">
        <f t="shared" si="57"/>
        <v>68.75</v>
      </c>
      <c r="X66" s="246"/>
      <c r="Y66" s="246">
        <f t="shared" si="58"/>
        <v>47.5</v>
      </c>
      <c r="AA66" s="241">
        <f t="shared" si="59"/>
        <v>280</v>
      </c>
      <c r="AC66" s="241">
        <f t="shared" si="60"/>
        <v>330</v>
      </c>
      <c r="AE66" s="241">
        <f t="shared" si="61"/>
        <v>345</v>
      </c>
      <c r="AG66" s="241">
        <f t="shared" si="62"/>
        <v>185</v>
      </c>
      <c r="AI66" s="241">
        <f t="shared" si="63"/>
        <v>275</v>
      </c>
      <c r="AK66" s="241">
        <f t="shared" si="64"/>
        <v>190</v>
      </c>
    </row>
    <row r="67" spans="1:39" ht="12.75" customHeight="1" x14ac:dyDescent="0.3">
      <c r="A67" s="238" t="str">
        <f t="shared" si="52"/>
        <v>GARCH</v>
      </c>
      <c r="B67" s="248">
        <v>60</v>
      </c>
      <c r="C67" s="249">
        <v>0.157894736842105</v>
      </c>
      <c r="D67" s="248">
        <v>50</v>
      </c>
      <c r="E67" s="249">
        <v>0.128205128205128</v>
      </c>
      <c r="F67" s="248">
        <v>60</v>
      </c>
      <c r="G67" s="249">
        <v>0.122448979591837</v>
      </c>
      <c r="H67" s="248">
        <v>5</v>
      </c>
      <c r="I67" s="249">
        <v>0.14705882352941199</v>
      </c>
      <c r="J67" s="248">
        <v>60</v>
      </c>
      <c r="K67" s="249">
        <v>0.125</v>
      </c>
      <c r="L67" s="248">
        <v>20</v>
      </c>
      <c r="M67" s="249">
        <v>9.5238095238095205E-2</v>
      </c>
      <c r="N67" s="250"/>
      <c r="O67" s="246">
        <f t="shared" si="53"/>
        <v>72.5</v>
      </c>
      <c r="P67" s="246"/>
      <c r="Q67" s="246">
        <f t="shared" si="54"/>
        <v>80</v>
      </c>
      <c r="R67" s="246"/>
      <c r="S67" s="246">
        <f t="shared" si="55"/>
        <v>83.75</v>
      </c>
      <c r="T67" s="246"/>
      <c r="U67" s="246">
        <f t="shared" si="56"/>
        <v>46.25</v>
      </c>
      <c r="V67" s="246"/>
      <c r="W67" s="246">
        <f t="shared" si="57"/>
        <v>75</v>
      </c>
      <c r="X67" s="246"/>
      <c r="Y67" s="246">
        <f t="shared" si="58"/>
        <v>61.25</v>
      </c>
      <c r="AA67" s="241">
        <f t="shared" si="59"/>
        <v>290</v>
      </c>
      <c r="AC67" s="241">
        <f t="shared" si="60"/>
        <v>320</v>
      </c>
      <c r="AE67" s="241">
        <f t="shared" si="61"/>
        <v>335</v>
      </c>
      <c r="AG67" s="241">
        <f t="shared" si="62"/>
        <v>185</v>
      </c>
      <c r="AI67" s="241">
        <f t="shared" si="63"/>
        <v>300</v>
      </c>
      <c r="AK67" s="241">
        <f t="shared" si="64"/>
        <v>245</v>
      </c>
    </row>
    <row r="68" spans="1:39" ht="12.75" customHeight="1" x14ac:dyDescent="0.3">
      <c r="A68" s="238" t="str">
        <f t="shared" si="52"/>
        <v>VAR</v>
      </c>
      <c r="B68" s="248">
        <v>60</v>
      </c>
      <c r="C68" s="249">
        <v>0.157894736842105</v>
      </c>
      <c r="D68" s="248">
        <v>50</v>
      </c>
      <c r="E68" s="249">
        <v>0.128205128205128</v>
      </c>
      <c r="F68" s="248">
        <v>65</v>
      </c>
      <c r="G68" s="249">
        <v>0.13265306122449</v>
      </c>
      <c r="H68" s="248">
        <v>5</v>
      </c>
      <c r="I68" s="249">
        <v>0.14705882352941199</v>
      </c>
      <c r="J68" s="248">
        <v>65</v>
      </c>
      <c r="K68" s="249">
        <v>0.13541666666666699</v>
      </c>
      <c r="L68" s="248">
        <v>30</v>
      </c>
      <c r="M68" s="249">
        <v>0.14285714285714299</v>
      </c>
      <c r="N68" s="250"/>
      <c r="O68" s="246">
        <f t="shared" si="53"/>
        <v>0</v>
      </c>
      <c r="P68" s="246"/>
      <c r="Q68" s="246">
        <f t="shared" si="54"/>
        <v>78.75</v>
      </c>
      <c r="R68" s="246"/>
      <c r="S68" s="246">
        <f t="shared" si="55"/>
        <v>81.25</v>
      </c>
      <c r="T68" s="246"/>
      <c r="U68" s="246">
        <f t="shared" si="56"/>
        <v>36.274999999999999</v>
      </c>
      <c r="V68" s="246"/>
      <c r="W68" s="246">
        <f t="shared" si="57"/>
        <v>66.25</v>
      </c>
      <c r="X68" s="246"/>
      <c r="Y68" s="246">
        <f t="shared" si="58"/>
        <v>67.5</v>
      </c>
      <c r="AA68" s="241">
        <f t="shared" si="59"/>
        <v>0</v>
      </c>
      <c r="AC68" s="241">
        <f t="shared" si="60"/>
        <v>315</v>
      </c>
      <c r="AE68" s="241">
        <f t="shared" si="61"/>
        <v>325</v>
      </c>
      <c r="AG68" s="241">
        <f t="shared" si="62"/>
        <v>145.1</v>
      </c>
      <c r="AI68" s="241">
        <f t="shared" si="63"/>
        <v>265</v>
      </c>
      <c r="AK68" s="241">
        <f t="shared" si="64"/>
        <v>270</v>
      </c>
    </row>
    <row r="69" spans="1:39" ht="12.75" customHeight="1" x14ac:dyDescent="0.3">
      <c r="A69" s="238" t="str">
        <f t="shared" si="52"/>
        <v>RW</v>
      </c>
      <c r="B69" s="248">
        <v>0</v>
      </c>
      <c r="C69" s="249">
        <v>0</v>
      </c>
      <c r="D69" s="248">
        <v>50</v>
      </c>
      <c r="E69" s="249">
        <v>0.128205128205128</v>
      </c>
      <c r="F69" s="248">
        <v>65</v>
      </c>
      <c r="G69" s="249">
        <v>0.13265306122449</v>
      </c>
      <c r="H69" s="248">
        <v>5</v>
      </c>
      <c r="I69" s="249">
        <v>0.14705882352941199</v>
      </c>
      <c r="J69" s="248">
        <v>60</v>
      </c>
      <c r="K69" s="249">
        <v>0.125</v>
      </c>
      <c r="L69" s="248">
        <v>30</v>
      </c>
      <c r="M69" s="249">
        <v>0.14285714285714299</v>
      </c>
      <c r="N69" s="250"/>
      <c r="O69" s="246">
        <f t="shared" si="53"/>
        <v>75</v>
      </c>
      <c r="P69" s="246"/>
      <c r="Q69" s="246">
        <f t="shared" si="54"/>
        <v>80</v>
      </c>
      <c r="R69" s="246"/>
      <c r="S69" s="246">
        <f t="shared" si="55"/>
        <v>83.75</v>
      </c>
      <c r="T69" s="246"/>
      <c r="U69" s="246">
        <f t="shared" si="56"/>
        <v>43.774999999999999</v>
      </c>
      <c r="V69" s="246"/>
      <c r="W69" s="246">
        <f t="shared" si="57"/>
        <v>66.25</v>
      </c>
      <c r="X69" s="246"/>
      <c r="Y69" s="246">
        <f t="shared" si="58"/>
        <v>72.5</v>
      </c>
      <c r="AA69" s="241">
        <f t="shared" si="59"/>
        <v>300</v>
      </c>
      <c r="AC69" s="241">
        <f t="shared" si="60"/>
        <v>320</v>
      </c>
      <c r="AE69" s="241">
        <f t="shared" si="61"/>
        <v>335</v>
      </c>
      <c r="AG69" s="241">
        <f t="shared" si="62"/>
        <v>175.1</v>
      </c>
      <c r="AI69" s="241">
        <f t="shared" si="63"/>
        <v>265</v>
      </c>
      <c r="AK69" s="241">
        <f t="shared" si="64"/>
        <v>290</v>
      </c>
    </row>
    <row r="70" spans="1:39" ht="12.75" customHeight="1" x14ac:dyDescent="0.3">
      <c r="A70" s="238" t="str">
        <f t="shared" si="52"/>
        <v>ETS</v>
      </c>
      <c r="B70" s="248">
        <v>60</v>
      </c>
      <c r="C70" s="249">
        <v>0.157894736842105</v>
      </c>
      <c r="D70" s="248">
        <v>50</v>
      </c>
      <c r="E70" s="249">
        <v>0.128205128205128</v>
      </c>
      <c r="F70" s="248">
        <v>65</v>
      </c>
      <c r="G70" s="249">
        <v>0.13265306122449</v>
      </c>
      <c r="H70" s="248">
        <v>5</v>
      </c>
      <c r="I70" s="249">
        <v>0.14705882352941199</v>
      </c>
      <c r="J70" s="248">
        <v>60</v>
      </c>
      <c r="K70" s="249">
        <v>0.125</v>
      </c>
      <c r="L70" s="248">
        <v>30</v>
      </c>
      <c r="M70" s="249">
        <v>0.14285714285714299</v>
      </c>
      <c r="N70" s="250"/>
      <c r="O70" s="246">
        <f t="shared" si="53"/>
        <v>75</v>
      </c>
      <c r="P70" s="246"/>
      <c r="Q70" s="246">
        <f t="shared" si="54"/>
        <v>81.25</v>
      </c>
      <c r="R70" s="246"/>
      <c r="S70" s="246">
        <f t="shared" si="55"/>
        <v>83.75</v>
      </c>
      <c r="T70" s="246"/>
      <c r="U70" s="246">
        <f t="shared" si="56"/>
        <v>37.524999999999999</v>
      </c>
      <c r="V70" s="246"/>
      <c r="W70" s="246">
        <f t="shared" si="57"/>
        <v>50.024999999999999</v>
      </c>
      <c r="X70" s="246"/>
      <c r="Y70" s="246">
        <f t="shared" si="58"/>
        <v>72.5</v>
      </c>
      <c r="AA70" s="241">
        <f t="shared" si="59"/>
        <v>300</v>
      </c>
      <c r="AC70" s="241">
        <f t="shared" si="60"/>
        <v>325</v>
      </c>
      <c r="AE70" s="241">
        <f t="shared" si="61"/>
        <v>335</v>
      </c>
      <c r="AG70" s="241">
        <f t="shared" si="62"/>
        <v>150.1</v>
      </c>
      <c r="AI70" s="241">
        <f t="shared" si="63"/>
        <v>200.1</v>
      </c>
      <c r="AK70" s="241">
        <f t="shared" si="64"/>
        <v>290</v>
      </c>
    </row>
    <row r="71" spans="1:39" ht="12.75" customHeight="1" x14ac:dyDescent="0.3">
      <c r="A71" s="238" t="str">
        <f t="shared" si="52"/>
        <v>DynaMix</v>
      </c>
      <c r="B71" s="248">
        <v>60</v>
      </c>
      <c r="C71" s="249">
        <v>0.157894736842105</v>
      </c>
      <c r="D71" s="248">
        <v>50</v>
      </c>
      <c r="E71" s="249">
        <v>0.128205128205128</v>
      </c>
      <c r="F71" s="248">
        <v>60</v>
      </c>
      <c r="G71" s="249">
        <v>0.122448979591837</v>
      </c>
      <c r="H71" s="248">
        <v>2</v>
      </c>
      <c r="I71" s="249">
        <v>5.8823529411764698E-2</v>
      </c>
      <c r="J71" s="248">
        <v>50</v>
      </c>
      <c r="K71" s="249">
        <v>0.104166666666667</v>
      </c>
      <c r="L71" s="248">
        <v>30</v>
      </c>
      <c r="M71" s="249">
        <v>0.14285714285714299</v>
      </c>
      <c r="N71" s="250"/>
      <c r="O71" s="246">
        <f t="shared" si="53"/>
        <v>66.25</v>
      </c>
      <c r="P71" s="246"/>
      <c r="Q71" s="246">
        <f t="shared" si="54"/>
        <v>77.5</v>
      </c>
      <c r="R71" s="246"/>
      <c r="S71" s="246">
        <f t="shared" si="55"/>
        <v>81.25</v>
      </c>
      <c r="T71" s="246"/>
      <c r="U71" s="246">
        <f t="shared" si="56"/>
        <v>37.524999999999999</v>
      </c>
      <c r="V71" s="246"/>
      <c r="W71" s="246">
        <f t="shared" si="57"/>
        <v>65</v>
      </c>
      <c r="X71" s="246"/>
      <c r="Y71" s="246">
        <f t="shared" si="58"/>
        <v>67.5</v>
      </c>
      <c r="AA71" s="241">
        <f t="shared" si="59"/>
        <v>265</v>
      </c>
      <c r="AC71" s="241">
        <f t="shared" si="60"/>
        <v>310</v>
      </c>
      <c r="AE71" s="241">
        <f t="shared" si="61"/>
        <v>325</v>
      </c>
      <c r="AG71" s="241">
        <f t="shared" si="62"/>
        <v>150.1</v>
      </c>
      <c r="AI71" s="241">
        <f t="shared" si="63"/>
        <v>260</v>
      </c>
      <c r="AK71" s="241">
        <f t="shared" si="64"/>
        <v>270</v>
      </c>
    </row>
    <row r="72" spans="1:39" ht="12.75" customHeight="1" x14ac:dyDescent="0.3"/>
    <row r="73" spans="1:39" ht="12.75" customHeight="1" x14ac:dyDescent="0.3">
      <c r="A73" s="242" t="s">
        <v>54</v>
      </c>
      <c r="B73" s="252" t="s">
        <v>12</v>
      </c>
      <c r="C73" s="249">
        <v>505</v>
      </c>
      <c r="D73" s="252" t="s">
        <v>13</v>
      </c>
      <c r="E73" s="249">
        <v>610</v>
      </c>
      <c r="F73" s="252" t="s">
        <v>14</v>
      </c>
      <c r="G73" s="249">
        <v>800</v>
      </c>
      <c r="H73" s="252" t="s">
        <v>15</v>
      </c>
      <c r="I73" s="249">
        <v>675</v>
      </c>
      <c r="J73" s="252" t="s">
        <v>16</v>
      </c>
      <c r="K73" s="249">
        <v>615</v>
      </c>
      <c r="L73" s="252" t="s">
        <v>17</v>
      </c>
      <c r="M73" s="249">
        <v>500</v>
      </c>
      <c r="N73" s="253"/>
      <c r="O73" s="246" t="s">
        <v>12</v>
      </c>
      <c r="P73" s="246"/>
      <c r="Q73" s="246" t="s">
        <v>13</v>
      </c>
      <c r="R73" s="246"/>
      <c r="S73" s="246" t="s">
        <v>14</v>
      </c>
      <c r="T73" s="246"/>
      <c r="U73" s="246" t="s">
        <v>15</v>
      </c>
      <c r="V73" s="246"/>
      <c r="W73" s="246" t="s">
        <v>16</v>
      </c>
      <c r="X73" s="246"/>
      <c r="Y73" s="246" t="s">
        <v>17</v>
      </c>
      <c r="AA73" s="241" t="s">
        <v>12</v>
      </c>
      <c r="AC73" s="241" t="s">
        <v>13</v>
      </c>
      <c r="AE73" s="241" t="s">
        <v>14</v>
      </c>
      <c r="AG73" s="241" t="s">
        <v>15</v>
      </c>
      <c r="AI73" s="241" t="s">
        <v>16</v>
      </c>
      <c r="AK73" s="241" t="s">
        <v>17</v>
      </c>
      <c r="AM73" s="239">
        <f>AM84</f>
        <v>4</v>
      </c>
    </row>
    <row r="74" spans="1:39" ht="12.75" customHeight="1" x14ac:dyDescent="0.3">
      <c r="A74" s="238" t="str">
        <f t="shared" ref="A74:A82" si="65">A85</f>
        <v>PyCaret</v>
      </c>
      <c r="B74" s="252">
        <v>30</v>
      </c>
      <c r="C74" s="249">
        <v>5.9405940594059403E-2</v>
      </c>
      <c r="D74" s="252">
        <v>60</v>
      </c>
      <c r="E74" s="249">
        <v>9.8360655737704902E-2</v>
      </c>
      <c r="F74" s="252">
        <v>65</v>
      </c>
      <c r="G74" s="249">
        <v>8.1250000000000003E-2</v>
      </c>
      <c r="H74" s="252">
        <v>80</v>
      </c>
      <c r="I74" s="249">
        <v>0.11851851851851899</v>
      </c>
      <c r="J74" s="252">
        <v>60</v>
      </c>
      <c r="K74" s="249">
        <v>9.7560975609756101E-2</v>
      </c>
      <c r="L74" s="252">
        <v>30</v>
      </c>
      <c r="M74" s="249">
        <v>0.06</v>
      </c>
      <c r="N74" s="253"/>
      <c r="O74" s="246">
        <f t="shared" ref="O74:O82" si="66">AA74/$AM$172</f>
        <v>70</v>
      </c>
      <c r="P74" s="246"/>
      <c r="Q74" s="246">
        <f t="shared" ref="Q74:Q82" si="67">AC74/$AM$172</f>
        <v>63.75</v>
      </c>
      <c r="R74" s="246"/>
      <c r="S74" s="246">
        <f t="shared" ref="S74:S82" si="68">AE74/$AM$172</f>
        <v>78.75</v>
      </c>
      <c r="T74" s="246"/>
      <c r="U74" s="246">
        <f t="shared" ref="U74:U82" si="69">AG74/$AM$172</f>
        <v>31.3</v>
      </c>
      <c r="V74" s="246"/>
      <c r="W74" s="246">
        <f t="shared" ref="W74:W82" si="70">AI74/$AM$172</f>
        <v>76.25</v>
      </c>
      <c r="X74" s="246"/>
      <c r="Y74" s="246">
        <f t="shared" ref="Y74:Y82" si="71">AK74/$AM$172</f>
        <v>70</v>
      </c>
      <c r="AA74" s="241">
        <f t="shared" ref="AA74:AA82" si="72">(B118+B107+B96+B85)</f>
        <v>280</v>
      </c>
      <c r="AC74" s="241">
        <f t="shared" ref="AC74:AC82" si="73">(D118+D107+D96+D85)</f>
        <v>255</v>
      </c>
      <c r="AE74" s="241">
        <f t="shared" ref="AE74:AE82" si="74">(F118+F107+F96+F85)</f>
        <v>315</v>
      </c>
      <c r="AG74" s="241">
        <f t="shared" ref="AG74:AG82" si="75">(H118+H107+H96+H85)</f>
        <v>125.2</v>
      </c>
      <c r="AI74" s="241">
        <f t="shared" ref="AI74:AI82" si="76">(J118+J107+J96+J85)</f>
        <v>305</v>
      </c>
      <c r="AK74" s="241">
        <f t="shared" ref="AK74:AK82" si="77">(L118+L107+L96+L85)</f>
        <v>280</v>
      </c>
    </row>
    <row r="75" spans="1:39" ht="12.75" customHeight="1" x14ac:dyDescent="0.3">
      <c r="A75" s="238" t="str">
        <f t="shared" si="65"/>
        <v>ARIMAX</v>
      </c>
      <c r="B75" s="252">
        <v>70</v>
      </c>
      <c r="C75" s="249">
        <v>0.13861386138613899</v>
      </c>
      <c r="D75" s="252">
        <v>60</v>
      </c>
      <c r="E75" s="249">
        <v>9.8360655737704902E-2</v>
      </c>
      <c r="F75" s="252">
        <v>90</v>
      </c>
      <c r="G75" s="249">
        <v>0.1125</v>
      </c>
      <c r="H75" s="252">
        <v>80</v>
      </c>
      <c r="I75" s="249">
        <v>0.11851851851851899</v>
      </c>
      <c r="J75" s="252">
        <v>80</v>
      </c>
      <c r="K75" s="249">
        <v>0.13008130081300801</v>
      </c>
      <c r="L75" s="252">
        <v>60</v>
      </c>
      <c r="M75" s="249">
        <v>0.12</v>
      </c>
      <c r="N75" s="253"/>
      <c r="O75" s="246">
        <f t="shared" si="66"/>
        <v>78.75</v>
      </c>
      <c r="P75" s="246"/>
      <c r="Q75" s="246">
        <f t="shared" si="67"/>
        <v>85</v>
      </c>
      <c r="R75" s="246"/>
      <c r="S75" s="246">
        <f t="shared" si="68"/>
        <v>81.25</v>
      </c>
      <c r="T75" s="246"/>
      <c r="U75" s="246">
        <f t="shared" si="69"/>
        <v>22.524999999999999</v>
      </c>
      <c r="V75" s="246"/>
      <c r="W75" s="246">
        <f t="shared" si="70"/>
        <v>73.75</v>
      </c>
      <c r="X75" s="246"/>
      <c r="Y75" s="246">
        <f t="shared" si="71"/>
        <v>75</v>
      </c>
      <c r="AA75" s="241">
        <f t="shared" si="72"/>
        <v>315</v>
      </c>
      <c r="AC75" s="241">
        <f t="shared" si="73"/>
        <v>340</v>
      </c>
      <c r="AE75" s="241">
        <f t="shared" si="74"/>
        <v>325</v>
      </c>
      <c r="AG75" s="241">
        <f t="shared" si="75"/>
        <v>90.1</v>
      </c>
      <c r="AI75" s="241">
        <f t="shared" si="76"/>
        <v>295</v>
      </c>
      <c r="AK75" s="241">
        <f t="shared" si="77"/>
        <v>300</v>
      </c>
    </row>
    <row r="76" spans="1:39" ht="12.75" customHeight="1" x14ac:dyDescent="0.3">
      <c r="A76" s="238" t="str">
        <f t="shared" si="65"/>
        <v>PCE</v>
      </c>
      <c r="B76" s="252">
        <v>70</v>
      </c>
      <c r="C76" s="249">
        <v>0.13861386138613899</v>
      </c>
      <c r="D76" s="252">
        <v>60</v>
      </c>
      <c r="E76" s="249">
        <v>9.8360655737704902E-2</v>
      </c>
      <c r="F76" s="252">
        <v>90</v>
      </c>
      <c r="G76" s="249">
        <v>0.1125</v>
      </c>
      <c r="H76" s="252">
        <v>60</v>
      </c>
      <c r="I76" s="249">
        <v>8.8888888888888906E-2</v>
      </c>
      <c r="J76" s="252">
        <v>80</v>
      </c>
      <c r="K76" s="249">
        <v>0.13008130081300801</v>
      </c>
      <c r="L76" s="252">
        <v>60</v>
      </c>
      <c r="M76" s="249">
        <v>0.12</v>
      </c>
      <c r="N76" s="253"/>
      <c r="O76" s="246">
        <f t="shared" si="66"/>
        <v>78.75</v>
      </c>
      <c r="P76" s="246"/>
      <c r="Q76" s="246">
        <f t="shared" si="67"/>
        <v>90</v>
      </c>
      <c r="R76" s="246"/>
      <c r="S76" s="246">
        <f t="shared" si="68"/>
        <v>82.5</v>
      </c>
      <c r="T76" s="246"/>
      <c r="U76" s="246">
        <f t="shared" si="69"/>
        <v>34</v>
      </c>
      <c r="V76" s="246"/>
      <c r="W76" s="246">
        <f t="shared" si="70"/>
        <v>75</v>
      </c>
      <c r="X76" s="246"/>
      <c r="Y76" s="246">
        <f t="shared" si="71"/>
        <v>80</v>
      </c>
      <c r="AA76" s="241">
        <f t="shared" si="72"/>
        <v>315</v>
      </c>
      <c r="AC76" s="241">
        <f t="shared" si="73"/>
        <v>360</v>
      </c>
      <c r="AE76" s="241">
        <f t="shared" si="74"/>
        <v>330</v>
      </c>
      <c r="AG76" s="241">
        <f t="shared" si="75"/>
        <v>136</v>
      </c>
      <c r="AI76" s="241">
        <f t="shared" si="76"/>
        <v>300</v>
      </c>
      <c r="AK76" s="241">
        <f t="shared" si="77"/>
        <v>320</v>
      </c>
    </row>
    <row r="77" spans="1:39" ht="12.75" customHeight="1" x14ac:dyDescent="0.3">
      <c r="A77" s="238" t="str">
        <f t="shared" si="65"/>
        <v>LSTM</v>
      </c>
      <c r="B77" s="252">
        <v>65</v>
      </c>
      <c r="C77" s="249">
        <v>0.12871287128712899</v>
      </c>
      <c r="D77" s="252">
        <v>90</v>
      </c>
      <c r="E77" s="249">
        <v>0.14754098360655701</v>
      </c>
      <c r="F77" s="252">
        <v>90</v>
      </c>
      <c r="G77" s="249">
        <v>0.1125</v>
      </c>
      <c r="H77" s="252">
        <v>75</v>
      </c>
      <c r="I77" s="249">
        <v>0.11111111111111099</v>
      </c>
      <c r="J77" s="252">
        <v>60</v>
      </c>
      <c r="K77" s="249">
        <v>9.7560975609756101E-2</v>
      </c>
      <c r="L77" s="252">
        <v>60</v>
      </c>
      <c r="M77" s="249">
        <v>0.12</v>
      </c>
      <c r="N77" s="253"/>
      <c r="O77" s="246">
        <f t="shared" si="66"/>
        <v>73.75</v>
      </c>
      <c r="P77" s="246"/>
      <c r="Q77" s="246">
        <f t="shared" si="67"/>
        <v>82.5</v>
      </c>
      <c r="R77" s="246"/>
      <c r="S77" s="246">
        <f t="shared" si="68"/>
        <v>87.5</v>
      </c>
      <c r="T77" s="246"/>
      <c r="U77" s="246">
        <f t="shared" si="69"/>
        <v>28.75</v>
      </c>
      <c r="V77" s="246"/>
      <c r="W77" s="246">
        <f t="shared" si="70"/>
        <v>72.5</v>
      </c>
      <c r="X77" s="246"/>
      <c r="Y77" s="246">
        <f t="shared" si="71"/>
        <v>55</v>
      </c>
      <c r="AA77" s="241">
        <f t="shared" si="72"/>
        <v>295</v>
      </c>
      <c r="AC77" s="241">
        <f t="shared" si="73"/>
        <v>330</v>
      </c>
      <c r="AE77" s="241">
        <f t="shared" si="74"/>
        <v>350</v>
      </c>
      <c r="AG77" s="241">
        <f t="shared" si="75"/>
        <v>115</v>
      </c>
      <c r="AI77" s="241">
        <f t="shared" si="76"/>
        <v>290</v>
      </c>
      <c r="AK77" s="241">
        <f t="shared" si="77"/>
        <v>220</v>
      </c>
    </row>
    <row r="78" spans="1:39" ht="12.75" customHeight="1" x14ac:dyDescent="0.3">
      <c r="A78" s="238" t="str">
        <f t="shared" si="65"/>
        <v>GARCH</v>
      </c>
      <c r="B78" s="252">
        <v>65</v>
      </c>
      <c r="C78" s="249">
        <v>0.12871287128712899</v>
      </c>
      <c r="D78" s="252">
        <v>70</v>
      </c>
      <c r="E78" s="249">
        <v>0.114754098360656</v>
      </c>
      <c r="F78" s="252">
        <v>90</v>
      </c>
      <c r="G78" s="249">
        <v>0.1125</v>
      </c>
      <c r="H78" s="252">
        <v>95</v>
      </c>
      <c r="I78" s="249">
        <v>0.140740740740741</v>
      </c>
      <c r="J78" s="252">
        <v>65</v>
      </c>
      <c r="K78" s="249">
        <v>0.105691056910569</v>
      </c>
      <c r="L78" s="252">
        <v>60</v>
      </c>
      <c r="M78" s="249">
        <v>0.12</v>
      </c>
      <c r="N78" s="253"/>
      <c r="O78" s="246">
        <f t="shared" si="66"/>
        <v>80</v>
      </c>
      <c r="P78" s="246"/>
      <c r="Q78" s="246">
        <f t="shared" si="67"/>
        <v>85</v>
      </c>
      <c r="R78" s="246"/>
      <c r="S78" s="246">
        <f t="shared" si="68"/>
        <v>85</v>
      </c>
      <c r="T78" s="246"/>
      <c r="U78" s="246">
        <f t="shared" si="69"/>
        <v>25</v>
      </c>
      <c r="V78" s="246"/>
      <c r="W78" s="246">
        <f t="shared" si="70"/>
        <v>81.25</v>
      </c>
      <c r="X78" s="246"/>
      <c r="Y78" s="246">
        <f t="shared" si="71"/>
        <v>65</v>
      </c>
      <c r="AA78" s="241">
        <f t="shared" si="72"/>
        <v>320</v>
      </c>
      <c r="AC78" s="241">
        <f t="shared" si="73"/>
        <v>340</v>
      </c>
      <c r="AE78" s="241">
        <f t="shared" si="74"/>
        <v>340</v>
      </c>
      <c r="AG78" s="241">
        <f t="shared" si="75"/>
        <v>100</v>
      </c>
      <c r="AI78" s="241">
        <f t="shared" si="76"/>
        <v>325</v>
      </c>
      <c r="AK78" s="241">
        <f t="shared" si="77"/>
        <v>260</v>
      </c>
    </row>
    <row r="79" spans="1:39" ht="12.75" customHeight="1" x14ac:dyDescent="0.3">
      <c r="A79" s="238" t="str">
        <f t="shared" si="65"/>
        <v>VAR</v>
      </c>
      <c r="B79" s="252">
        <v>0</v>
      </c>
      <c r="C79" s="249">
        <v>0</v>
      </c>
      <c r="D79" s="252">
        <v>70</v>
      </c>
      <c r="E79" s="249">
        <v>0.114754098360656</v>
      </c>
      <c r="F79" s="252">
        <v>90</v>
      </c>
      <c r="G79" s="249">
        <v>0.1125</v>
      </c>
      <c r="H79" s="252">
        <v>75</v>
      </c>
      <c r="I79" s="249">
        <v>0.11111111111111099</v>
      </c>
      <c r="J79" s="252">
        <v>65</v>
      </c>
      <c r="K79" s="249">
        <v>0.105691056910569</v>
      </c>
      <c r="L79" s="252">
        <v>60</v>
      </c>
      <c r="M79" s="249">
        <v>0.12</v>
      </c>
      <c r="N79" s="253"/>
      <c r="O79" s="246">
        <f t="shared" si="66"/>
        <v>0</v>
      </c>
      <c r="P79" s="246"/>
      <c r="Q79" s="246">
        <f t="shared" si="67"/>
        <v>83.75</v>
      </c>
      <c r="R79" s="246"/>
      <c r="S79" s="246">
        <f t="shared" si="68"/>
        <v>81.25</v>
      </c>
      <c r="T79" s="246"/>
      <c r="U79" s="246">
        <f t="shared" si="69"/>
        <v>20.024999999999999</v>
      </c>
      <c r="V79" s="246"/>
      <c r="W79" s="246">
        <f t="shared" si="70"/>
        <v>72.5</v>
      </c>
      <c r="X79" s="246"/>
      <c r="Y79" s="246">
        <f t="shared" si="71"/>
        <v>72.5</v>
      </c>
      <c r="AA79" s="241">
        <f t="shared" si="72"/>
        <v>0</v>
      </c>
      <c r="AC79" s="241">
        <f t="shared" si="73"/>
        <v>335</v>
      </c>
      <c r="AE79" s="241">
        <f t="shared" si="74"/>
        <v>325</v>
      </c>
      <c r="AG79" s="241">
        <f t="shared" si="75"/>
        <v>80.099999999999994</v>
      </c>
      <c r="AI79" s="241">
        <f t="shared" si="76"/>
        <v>290</v>
      </c>
      <c r="AK79" s="241">
        <f t="shared" si="77"/>
        <v>290</v>
      </c>
    </row>
    <row r="80" spans="1:39" ht="12.75" customHeight="1" x14ac:dyDescent="0.3">
      <c r="A80" s="238" t="str">
        <f t="shared" si="65"/>
        <v>RW</v>
      </c>
      <c r="B80" s="252">
        <v>70</v>
      </c>
      <c r="C80" s="249">
        <v>0.13861386138613899</v>
      </c>
      <c r="D80" s="252">
        <v>70</v>
      </c>
      <c r="E80" s="249">
        <v>0.114754098360656</v>
      </c>
      <c r="F80" s="252">
        <v>95</v>
      </c>
      <c r="G80" s="249">
        <v>0.11874999999999999</v>
      </c>
      <c r="H80" s="252">
        <v>95</v>
      </c>
      <c r="I80" s="249">
        <v>0.140740740740741</v>
      </c>
      <c r="J80" s="252">
        <v>65</v>
      </c>
      <c r="K80" s="249">
        <v>0.105691056910569</v>
      </c>
      <c r="L80" s="252">
        <v>60</v>
      </c>
      <c r="M80" s="249">
        <v>0.12</v>
      </c>
      <c r="N80" s="253"/>
      <c r="O80" s="246">
        <f t="shared" si="66"/>
        <v>81.25</v>
      </c>
      <c r="P80" s="246"/>
      <c r="Q80" s="246">
        <f t="shared" si="67"/>
        <v>85</v>
      </c>
      <c r="R80" s="246"/>
      <c r="S80" s="246">
        <f t="shared" si="68"/>
        <v>83.75</v>
      </c>
      <c r="T80" s="246"/>
      <c r="U80" s="246">
        <f t="shared" si="69"/>
        <v>25.024999999999999</v>
      </c>
      <c r="V80" s="246"/>
      <c r="W80" s="246">
        <f t="shared" si="70"/>
        <v>72.5</v>
      </c>
      <c r="X80" s="246"/>
      <c r="Y80" s="246">
        <f t="shared" si="71"/>
        <v>58.75</v>
      </c>
      <c r="AA80" s="241">
        <f t="shared" si="72"/>
        <v>325</v>
      </c>
      <c r="AC80" s="241">
        <f t="shared" si="73"/>
        <v>340</v>
      </c>
      <c r="AE80" s="241">
        <f t="shared" si="74"/>
        <v>335</v>
      </c>
      <c r="AG80" s="241">
        <f t="shared" si="75"/>
        <v>100.1</v>
      </c>
      <c r="AI80" s="241">
        <f t="shared" si="76"/>
        <v>290</v>
      </c>
      <c r="AK80" s="241">
        <f t="shared" si="77"/>
        <v>235</v>
      </c>
    </row>
    <row r="81" spans="1:39" ht="12.75" customHeight="1" x14ac:dyDescent="0.3">
      <c r="A81" s="238" t="str">
        <f t="shared" si="65"/>
        <v>ETS</v>
      </c>
      <c r="B81" s="252">
        <v>70</v>
      </c>
      <c r="C81" s="249">
        <v>0.13861386138613899</v>
      </c>
      <c r="D81" s="252">
        <v>70</v>
      </c>
      <c r="E81" s="249">
        <v>0.114754098360656</v>
      </c>
      <c r="F81" s="252">
        <v>95</v>
      </c>
      <c r="G81" s="249">
        <v>0.11874999999999999</v>
      </c>
      <c r="H81" s="252">
        <v>65</v>
      </c>
      <c r="I81" s="249">
        <v>9.6296296296296297E-2</v>
      </c>
      <c r="J81" s="252">
        <v>65</v>
      </c>
      <c r="K81" s="249">
        <v>0.105691056910569</v>
      </c>
      <c r="L81" s="252">
        <v>60</v>
      </c>
      <c r="M81" s="249">
        <v>0.12</v>
      </c>
      <c r="N81" s="253"/>
      <c r="O81" s="246">
        <f t="shared" si="66"/>
        <v>81.25</v>
      </c>
      <c r="P81" s="246"/>
      <c r="Q81" s="246">
        <f t="shared" si="67"/>
        <v>86.25</v>
      </c>
      <c r="R81" s="246"/>
      <c r="S81" s="246">
        <f t="shared" si="68"/>
        <v>83.75</v>
      </c>
      <c r="T81" s="246"/>
      <c r="U81" s="246">
        <f t="shared" si="69"/>
        <v>26.274999999999999</v>
      </c>
      <c r="V81" s="246"/>
      <c r="W81" s="246">
        <f t="shared" si="70"/>
        <v>56.274999999999999</v>
      </c>
      <c r="X81" s="246"/>
      <c r="Y81" s="246">
        <f t="shared" si="71"/>
        <v>58.75</v>
      </c>
      <c r="AA81" s="241">
        <f t="shared" si="72"/>
        <v>325</v>
      </c>
      <c r="AC81" s="241">
        <f t="shared" si="73"/>
        <v>345</v>
      </c>
      <c r="AE81" s="241">
        <f t="shared" si="74"/>
        <v>335</v>
      </c>
      <c r="AG81" s="241">
        <f t="shared" si="75"/>
        <v>105.1</v>
      </c>
      <c r="AI81" s="241">
        <f t="shared" si="76"/>
        <v>225.1</v>
      </c>
      <c r="AK81" s="241">
        <f t="shared" si="77"/>
        <v>235</v>
      </c>
    </row>
    <row r="82" spans="1:39" ht="12.75" customHeight="1" x14ac:dyDescent="0.3">
      <c r="A82" s="238" t="str">
        <f t="shared" si="65"/>
        <v>DynaMix</v>
      </c>
      <c r="B82" s="252">
        <v>65</v>
      </c>
      <c r="C82" s="249">
        <v>0.12871287128712899</v>
      </c>
      <c r="D82" s="252">
        <v>60</v>
      </c>
      <c r="E82" s="249">
        <v>9.8360655737704902E-2</v>
      </c>
      <c r="F82" s="252">
        <v>95</v>
      </c>
      <c r="G82" s="249">
        <v>0.11874999999999999</v>
      </c>
      <c r="H82" s="252">
        <v>50</v>
      </c>
      <c r="I82" s="249">
        <v>7.4074074074074098E-2</v>
      </c>
      <c r="J82" s="252">
        <v>75</v>
      </c>
      <c r="K82" s="249">
        <v>0.12195121951219499</v>
      </c>
      <c r="L82" s="252">
        <v>50</v>
      </c>
      <c r="M82" s="249">
        <v>0.1</v>
      </c>
      <c r="N82" s="253"/>
      <c r="O82" s="246">
        <f t="shared" si="66"/>
        <v>70</v>
      </c>
      <c r="P82" s="246"/>
      <c r="Q82" s="246">
        <f t="shared" si="67"/>
        <v>86.25</v>
      </c>
      <c r="R82" s="246"/>
      <c r="S82" s="246">
        <f t="shared" si="68"/>
        <v>80</v>
      </c>
      <c r="T82" s="246"/>
      <c r="U82" s="246">
        <f t="shared" si="69"/>
        <v>30.024999999999999</v>
      </c>
      <c r="V82" s="246"/>
      <c r="W82" s="246">
        <f t="shared" si="70"/>
        <v>63.75</v>
      </c>
      <c r="X82" s="246"/>
      <c r="Y82" s="246">
        <f t="shared" si="71"/>
        <v>56.25</v>
      </c>
      <c r="AA82" s="241">
        <f t="shared" si="72"/>
        <v>280</v>
      </c>
      <c r="AC82" s="241">
        <f t="shared" si="73"/>
        <v>345</v>
      </c>
      <c r="AE82" s="241">
        <f t="shared" si="74"/>
        <v>320</v>
      </c>
      <c r="AG82" s="241">
        <f t="shared" si="75"/>
        <v>120.1</v>
      </c>
      <c r="AI82" s="241">
        <f t="shared" si="76"/>
        <v>255</v>
      </c>
      <c r="AK82" s="241">
        <f t="shared" si="77"/>
        <v>225</v>
      </c>
    </row>
    <row r="83" spans="1:39" ht="12.75" customHeight="1" x14ac:dyDescent="0.3"/>
    <row r="84" spans="1:39" ht="12.75" customHeight="1" x14ac:dyDescent="0.3">
      <c r="A84" s="247" t="s">
        <v>55</v>
      </c>
      <c r="B84" s="252" t="s">
        <v>12</v>
      </c>
      <c r="C84" s="249">
        <v>650</v>
      </c>
      <c r="D84" s="252" t="s">
        <v>13</v>
      </c>
      <c r="E84" s="249">
        <v>710</v>
      </c>
      <c r="F84" s="252" t="s">
        <v>14</v>
      </c>
      <c r="G84" s="249">
        <v>710</v>
      </c>
      <c r="H84" s="252" t="s">
        <v>15</v>
      </c>
      <c r="I84" s="249">
        <v>350</v>
      </c>
      <c r="J84" s="252" t="s">
        <v>16</v>
      </c>
      <c r="K84" s="249">
        <v>585</v>
      </c>
      <c r="L84" s="252" t="s">
        <v>17</v>
      </c>
      <c r="M84" s="249">
        <v>690</v>
      </c>
      <c r="O84" s="246" t="s">
        <v>12</v>
      </c>
      <c r="P84" s="246"/>
      <c r="Q84" s="246" t="s">
        <v>13</v>
      </c>
      <c r="R84" s="246"/>
      <c r="S84" s="246" t="s">
        <v>14</v>
      </c>
      <c r="T84" s="246"/>
      <c r="U84" s="246" t="s">
        <v>15</v>
      </c>
      <c r="V84" s="246"/>
      <c r="W84" s="246" t="s">
        <v>16</v>
      </c>
      <c r="X84" s="246"/>
      <c r="Y84" s="246" t="s">
        <v>17</v>
      </c>
      <c r="AA84" s="241" t="s">
        <v>12</v>
      </c>
      <c r="AC84" s="241" t="s">
        <v>13</v>
      </c>
      <c r="AE84" s="241" t="s">
        <v>14</v>
      </c>
      <c r="AG84" s="241" t="s">
        <v>15</v>
      </c>
      <c r="AI84" s="241" t="s">
        <v>16</v>
      </c>
      <c r="AK84" s="241" t="s">
        <v>17</v>
      </c>
      <c r="AM84" s="239">
        <f>AM95</f>
        <v>4</v>
      </c>
    </row>
    <row r="85" spans="1:39" ht="12.75" customHeight="1" x14ac:dyDescent="0.3">
      <c r="A85" s="254" t="str">
        <f t="shared" ref="A85:A93" si="78">A96</f>
        <v>PyCaret</v>
      </c>
      <c r="B85" s="252">
        <v>70</v>
      </c>
      <c r="C85" s="249">
        <v>0.107692307692308</v>
      </c>
      <c r="D85" s="252">
        <v>65</v>
      </c>
      <c r="E85" s="249">
        <v>9.1549295774647904E-2</v>
      </c>
      <c r="F85" s="252">
        <v>80</v>
      </c>
      <c r="G85" s="249">
        <v>0.11267605633802801</v>
      </c>
      <c r="H85" s="252">
        <v>75</v>
      </c>
      <c r="I85" s="249">
        <v>0.214285714285714</v>
      </c>
      <c r="J85" s="252">
        <v>75</v>
      </c>
      <c r="K85" s="249">
        <v>0.128205128205128</v>
      </c>
      <c r="L85" s="252">
        <v>95</v>
      </c>
      <c r="M85" s="249">
        <v>0.13768115942028999</v>
      </c>
      <c r="O85" s="246">
        <f t="shared" ref="O85:O93" si="79">AA85/$AM$172</f>
        <v>75</v>
      </c>
      <c r="P85" s="246"/>
      <c r="Q85" s="246">
        <f t="shared" ref="Q85:Q93" si="80">AC85/$AM$172</f>
        <v>65</v>
      </c>
      <c r="R85" s="246"/>
      <c r="S85" s="246">
        <f t="shared" ref="S85:S93" si="81">AE85/$AM$172</f>
        <v>68.75</v>
      </c>
      <c r="T85" s="246"/>
      <c r="U85" s="246">
        <f t="shared" ref="U85:U93" si="82">AG85/$AM$172</f>
        <v>17.549999999999997</v>
      </c>
      <c r="V85" s="246"/>
      <c r="W85" s="246">
        <f t="shared" ref="W85:W93" si="83">AI85/$AM$172</f>
        <v>81.25</v>
      </c>
      <c r="X85" s="246"/>
      <c r="Y85" s="246">
        <f t="shared" ref="Y85:Y93" si="84">AK85/$AM$172</f>
        <v>62.5</v>
      </c>
      <c r="AA85" s="241">
        <f t="shared" ref="AA85:AA93" si="85">(B129+B118+B107+B96)</f>
        <v>300</v>
      </c>
      <c r="AC85" s="241">
        <f t="shared" ref="AC85:AC93" si="86">(D129+D118+D107+D96)</f>
        <v>260</v>
      </c>
      <c r="AE85" s="241">
        <f t="shared" ref="AE85:AE93" si="87">(F129+F118+F107+F96)</f>
        <v>275</v>
      </c>
      <c r="AG85" s="241">
        <f t="shared" ref="AG85:AG93" si="88">(H129+H118+H107+H96)</f>
        <v>70.199999999999989</v>
      </c>
      <c r="AI85" s="241">
        <f t="shared" ref="AI85:AI93" si="89">(J129+J118+J107+J96)</f>
        <v>325</v>
      </c>
      <c r="AK85" s="241">
        <f t="shared" ref="AK85:AK93" si="90">(L129+L118+L107+L96)</f>
        <v>250</v>
      </c>
    </row>
    <row r="86" spans="1:39" ht="12.75" customHeight="1" x14ac:dyDescent="0.3">
      <c r="A86" s="254" t="str">
        <f t="shared" si="78"/>
        <v>ARIMAX</v>
      </c>
      <c r="B86" s="252">
        <v>75</v>
      </c>
      <c r="C86" s="249">
        <v>0.115384615384615</v>
      </c>
      <c r="D86" s="252">
        <v>70</v>
      </c>
      <c r="E86" s="249">
        <v>9.85915492957746E-2</v>
      </c>
      <c r="F86" s="252">
        <v>65</v>
      </c>
      <c r="G86" s="249">
        <v>9.1549295774647904E-2</v>
      </c>
      <c r="H86" s="252">
        <v>30</v>
      </c>
      <c r="I86" s="249">
        <v>8.5714285714285701E-2</v>
      </c>
      <c r="J86" s="252">
        <v>65</v>
      </c>
      <c r="K86" s="249">
        <v>0.11111111111111099</v>
      </c>
      <c r="L86" s="252">
        <v>70</v>
      </c>
      <c r="M86" s="249">
        <v>0.101449275362319</v>
      </c>
      <c r="O86" s="246">
        <f t="shared" si="79"/>
        <v>77.5</v>
      </c>
      <c r="P86" s="246"/>
      <c r="Q86" s="246">
        <f t="shared" si="80"/>
        <v>85</v>
      </c>
      <c r="R86" s="246"/>
      <c r="S86" s="246">
        <f t="shared" si="81"/>
        <v>82.5</v>
      </c>
      <c r="T86" s="246"/>
      <c r="U86" s="246">
        <f t="shared" si="82"/>
        <v>37.524999999999999</v>
      </c>
      <c r="V86" s="246"/>
      <c r="W86" s="246">
        <f t="shared" si="83"/>
        <v>72.5</v>
      </c>
      <c r="X86" s="246"/>
      <c r="Y86" s="246">
        <f t="shared" si="84"/>
        <v>75</v>
      </c>
      <c r="AA86" s="241">
        <f t="shared" si="85"/>
        <v>310</v>
      </c>
      <c r="AC86" s="241">
        <f t="shared" si="86"/>
        <v>340</v>
      </c>
      <c r="AE86" s="241">
        <f t="shared" si="87"/>
        <v>330</v>
      </c>
      <c r="AG86" s="241">
        <f t="shared" si="88"/>
        <v>150.1</v>
      </c>
      <c r="AI86" s="241">
        <f t="shared" si="89"/>
        <v>290</v>
      </c>
      <c r="AK86" s="241">
        <f t="shared" si="90"/>
        <v>300</v>
      </c>
    </row>
    <row r="87" spans="1:39" ht="12.75" customHeight="1" x14ac:dyDescent="0.3">
      <c r="A87" s="254" t="str">
        <f t="shared" si="78"/>
        <v>PCE</v>
      </c>
      <c r="B87" s="252">
        <v>75</v>
      </c>
      <c r="C87" s="249">
        <v>0.115384615384615</v>
      </c>
      <c r="D87" s="252">
        <v>100</v>
      </c>
      <c r="E87" s="249">
        <v>0.140845070422535</v>
      </c>
      <c r="F87" s="252">
        <v>95</v>
      </c>
      <c r="G87" s="249">
        <v>0.13380281690140799</v>
      </c>
      <c r="H87" s="252">
        <v>65</v>
      </c>
      <c r="I87" s="249">
        <v>0.185714285714286</v>
      </c>
      <c r="J87" s="252">
        <v>75</v>
      </c>
      <c r="K87" s="249">
        <v>0.128205128205128</v>
      </c>
      <c r="L87" s="252">
        <v>95</v>
      </c>
      <c r="M87" s="249">
        <v>0.13768115942028999</v>
      </c>
      <c r="O87" s="246">
        <f t="shared" si="79"/>
        <v>80</v>
      </c>
      <c r="P87" s="246"/>
      <c r="Q87" s="246">
        <f t="shared" si="80"/>
        <v>80</v>
      </c>
      <c r="R87" s="246"/>
      <c r="S87" s="246">
        <f t="shared" si="81"/>
        <v>82.5</v>
      </c>
      <c r="T87" s="246"/>
      <c r="U87" s="246">
        <f t="shared" si="82"/>
        <v>17.774999999999999</v>
      </c>
      <c r="V87" s="246"/>
      <c r="W87" s="246">
        <f t="shared" si="83"/>
        <v>73.75</v>
      </c>
      <c r="X87" s="246"/>
      <c r="Y87" s="246">
        <f t="shared" si="84"/>
        <v>78.75</v>
      </c>
      <c r="AA87" s="241">
        <f t="shared" si="85"/>
        <v>320</v>
      </c>
      <c r="AC87" s="241">
        <f t="shared" si="86"/>
        <v>320</v>
      </c>
      <c r="AE87" s="241">
        <f t="shared" si="87"/>
        <v>330</v>
      </c>
      <c r="AG87" s="241">
        <f t="shared" si="88"/>
        <v>71.099999999999994</v>
      </c>
      <c r="AI87" s="241">
        <f t="shared" si="89"/>
        <v>295</v>
      </c>
      <c r="AK87" s="241">
        <f t="shared" si="90"/>
        <v>315</v>
      </c>
    </row>
    <row r="88" spans="1:39" ht="12.75" customHeight="1" x14ac:dyDescent="0.3">
      <c r="A88" s="254" t="str">
        <f t="shared" si="78"/>
        <v>LSTM</v>
      </c>
      <c r="B88" s="252">
        <v>80</v>
      </c>
      <c r="C88" s="249">
        <v>0.123076923076923</v>
      </c>
      <c r="D88" s="252">
        <v>65</v>
      </c>
      <c r="E88" s="249">
        <v>9.1549295774647904E-2</v>
      </c>
      <c r="F88" s="252">
        <v>90</v>
      </c>
      <c r="G88" s="249">
        <v>0.12676056338028199</v>
      </c>
      <c r="H88" s="252">
        <v>30</v>
      </c>
      <c r="I88" s="249">
        <v>8.5714285714285701E-2</v>
      </c>
      <c r="J88" s="252">
        <v>60</v>
      </c>
      <c r="K88" s="249">
        <v>0.102564102564103</v>
      </c>
      <c r="L88" s="252">
        <v>60</v>
      </c>
      <c r="M88" s="249">
        <v>8.6956521739130405E-2</v>
      </c>
      <c r="O88" s="246">
        <f t="shared" si="79"/>
        <v>76.25</v>
      </c>
      <c r="P88" s="246"/>
      <c r="Q88" s="246">
        <f t="shared" si="80"/>
        <v>81.25</v>
      </c>
      <c r="R88" s="246"/>
      <c r="S88" s="246">
        <f t="shared" si="81"/>
        <v>85</v>
      </c>
      <c r="T88" s="246"/>
      <c r="U88" s="246">
        <f t="shared" si="82"/>
        <v>23.75</v>
      </c>
      <c r="V88" s="246"/>
      <c r="W88" s="246">
        <f t="shared" si="83"/>
        <v>75</v>
      </c>
      <c r="X88" s="246"/>
      <c r="Y88" s="246">
        <f t="shared" si="84"/>
        <v>62.5</v>
      </c>
      <c r="AA88" s="241">
        <f t="shared" si="85"/>
        <v>305</v>
      </c>
      <c r="AC88" s="241">
        <f t="shared" si="86"/>
        <v>325</v>
      </c>
      <c r="AE88" s="241">
        <f t="shared" si="87"/>
        <v>340</v>
      </c>
      <c r="AG88" s="241">
        <f t="shared" si="88"/>
        <v>95</v>
      </c>
      <c r="AI88" s="241">
        <f t="shared" si="89"/>
        <v>300</v>
      </c>
      <c r="AK88" s="241">
        <f t="shared" si="90"/>
        <v>250</v>
      </c>
    </row>
    <row r="89" spans="1:39" ht="12.75" customHeight="1" x14ac:dyDescent="0.3">
      <c r="A89" s="254" t="str">
        <f t="shared" si="78"/>
        <v>GARCH</v>
      </c>
      <c r="B89" s="252">
        <v>90</v>
      </c>
      <c r="C89" s="249">
        <v>0.138461538461538</v>
      </c>
      <c r="D89" s="252">
        <v>80</v>
      </c>
      <c r="E89" s="249">
        <v>0.11267605633802801</v>
      </c>
      <c r="F89" s="252">
        <v>80</v>
      </c>
      <c r="G89" s="249">
        <v>0.11267605633802801</v>
      </c>
      <c r="H89" s="252">
        <v>30</v>
      </c>
      <c r="I89" s="249">
        <v>8.5714285714285701E-2</v>
      </c>
      <c r="J89" s="252">
        <v>65</v>
      </c>
      <c r="K89" s="249">
        <v>0.11111111111111099</v>
      </c>
      <c r="L89" s="252">
        <v>95</v>
      </c>
      <c r="M89" s="249">
        <v>0.13768115942028999</v>
      </c>
      <c r="O89" s="246">
        <f t="shared" si="79"/>
        <v>81.25</v>
      </c>
      <c r="P89" s="246"/>
      <c r="Q89" s="246">
        <f t="shared" si="80"/>
        <v>82.5</v>
      </c>
      <c r="R89" s="246"/>
      <c r="S89" s="246">
        <f t="shared" si="81"/>
        <v>83.75</v>
      </c>
      <c r="T89" s="246"/>
      <c r="U89" s="246">
        <f t="shared" si="82"/>
        <v>25</v>
      </c>
      <c r="V89" s="246"/>
      <c r="W89" s="246">
        <f t="shared" si="83"/>
        <v>80</v>
      </c>
      <c r="X89" s="246"/>
      <c r="Y89" s="246">
        <f t="shared" si="84"/>
        <v>65</v>
      </c>
      <c r="AA89" s="241">
        <f t="shared" si="85"/>
        <v>325</v>
      </c>
      <c r="AC89" s="241">
        <f t="shared" si="86"/>
        <v>330</v>
      </c>
      <c r="AE89" s="241">
        <f t="shared" si="87"/>
        <v>335</v>
      </c>
      <c r="AG89" s="241">
        <f t="shared" si="88"/>
        <v>100</v>
      </c>
      <c r="AI89" s="241">
        <f t="shared" si="89"/>
        <v>320</v>
      </c>
      <c r="AK89" s="241">
        <f t="shared" si="90"/>
        <v>260</v>
      </c>
    </row>
    <row r="90" spans="1:39" ht="12.75" customHeight="1" x14ac:dyDescent="0.3">
      <c r="A90" s="254" t="str">
        <f t="shared" si="78"/>
        <v>VAR</v>
      </c>
      <c r="B90" s="252">
        <v>0</v>
      </c>
      <c r="C90" s="249">
        <v>0</v>
      </c>
      <c r="D90" s="252">
        <v>80</v>
      </c>
      <c r="E90" s="249">
        <v>0.11267605633802801</v>
      </c>
      <c r="F90" s="252">
        <v>80</v>
      </c>
      <c r="G90" s="249">
        <v>0.11267605633802801</v>
      </c>
      <c r="H90" s="252">
        <v>40</v>
      </c>
      <c r="I90" s="249">
        <v>0.114285714285714</v>
      </c>
      <c r="J90" s="252">
        <v>65</v>
      </c>
      <c r="K90" s="249">
        <v>0.11111111111111099</v>
      </c>
      <c r="L90" s="252">
        <v>80</v>
      </c>
      <c r="M90" s="249">
        <v>0.115942028985507</v>
      </c>
      <c r="O90" s="246">
        <f t="shared" si="79"/>
        <v>0</v>
      </c>
      <c r="P90" s="246"/>
      <c r="Q90" s="246">
        <f t="shared" si="80"/>
        <v>81.25</v>
      </c>
      <c r="R90" s="246"/>
      <c r="S90" s="246">
        <f t="shared" si="81"/>
        <v>85</v>
      </c>
      <c r="T90" s="246"/>
      <c r="U90" s="246">
        <f t="shared" si="82"/>
        <v>12.525</v>
      </c>
      <c r="V90" s="246"/>
      <c r="W90" s="246">
        <f t="shared" si="83"/>
        <v>71.25</v>
      </c>
      <c r="X90" s="246"/>
      <c r="Y90" s="246">
        <f t="shared" si="84"/>
        <v>70</v>
      </c>
      <c r="AA90" s="241">
        <f t="shared" si="85"/>
        <v>0</v>
      </c>
      <c r="AC90" s="241">
        <f t="shared" si="86"/>
        <v>325</v>
      </c>
      <c r="AE90" s="241">
        <f t="shared" si="87"/>
        <v>340</v>
      </c>
      <c r="AG90" s="241">
        <f t="shared" si="88"/>
        <v>50.1</v>
      </c>
      <c r="AI90" s="241">
        <f t="shared" si="89"/>
        <v>285</v>
      </c>
      <c r="AK90" s="241">
        <f t="shared" si="90"/>
        <v>280</v>
      </c>
    </row>
    <row r="91" spans="1:39" ht="12.75" customHeight="1" x14ac:dyDescent="0.3">
      <c r="A91" s="254" t="str">
        <f t="shared" si="78"/>
        <v>RW</v>
      </c>
      <c r="B91" s="252">
        <v>90</v>
      </c>
      <c r="C91" s="249">
        <v>0.138461538461538</v>
      </c>
      <c r="D91" s="252">
        <v>80</v>
      </c>
      <c r="E91" s="249">
        <v>0.11267605633802801</v>
      </c>
      <c r="F91" s="252">
        <v>75</v>
      </c>
      <c r="G91" s="249">
        <v>0.105633802816901</v>
      </c>
      <c r="H91" s="252">
        <v>30</v>
      </c>
      <c r="I91" s="249">
        <v>8.5714285714285701E-2</v>
      </c>
      <c r="J91" s="252">
        <v>65</v>
      </c>
      <c r="K91" s="249">
        <v>0.11111111111111099</v>
      </c>
      <c r="L91" s="252">
        <v>65</v>
      </c>
      <c r="M91" s="249">
        <v>9.4202898550724598E-2</v>
      </c>
      <c r="O91" s="246">
        <f t="shared" si="79"/>
        <v>82.5</v>
      </c>
      <c r="P91" s="246"/>
      <c r="Q91" s="246">
        <f t="shared" si="80"/>
        <v>81.25</v>
      </c>
      <c r="R91" s="246"/>
      <c r="S91" s="246">
        <f t="shared" si="81"/>
        <v>85</v>
      </c>
      <c r="T91" s="246"/>
      <c r="U91" s="246">
        <f t="shared" si="82"/>
        <v>25.024999999999999</v>
      </c>
      <c r="V91" s="246"/>
      <c r="W91" s="246">
        <f t="shared" si="83"/>
        <v>71.25</v>
      </c>
      <c r="X91" s="246"/>
      <c r="Y91" s="246">
        <f t="shared" si="84"/>
        <v>62.5</v>
      </c>
      <c r="AA91" s="241">
        <f t="shared" si="85"/>
        <v>330</v>
      </c>
      <c r="AC91" s="241">
        <f t="shared" si="86"/>
        <v>325</v>
      </c>
      <c r="AE91" s="241">
        <f t="shared" si="87"/>
        <v>340</v>
      </c>
      <c r="AG91" s="241">
        <f t="shared" si="88"/>
        <v>100.1</v>
      </c>
      <c r="AI91" s="241">
        <f t="shared" si="89"/>
        <v>285</v>
      </c>
      <c r="AK91" s="241">
        <f t="shared" si="90"/>
        <v>250</v>
      </c>
    </row>
    <row r="92" spans="1:39" ht="12.75" customHeight="1" x14ac:dyDescent="0.3">
      <c r="A92" s="254" t="str">
        <f t="shared" si="78"/>
        <v>ETS</v>
      </c>
      <c r="B92" s="252">
        <v>90</v>
      </c>
      <c r="C92" s="249">
        <v>0.138461538461538</v>
      </c>
      <c r="D92" s="252">
        <v>80</v>
      </c>
      <c r="E92" s="249">
        <v>0.11267605633802801</v>
      </c>
      <c r="F92" s="252">
        <v>75</v>
      </c>
      <c r="G92" s="249">
        <v>0.105633802816901</v>
      </c>
      <c r="H92" s="252">
        <v>20</v>
      </c>
      <c r="I92" s="249">
        <v>5.7142857142857099E-2</v>
      </c>
      <c r="J92" s="252">
        <v>65</v>
      </c>
      <c r="K92" s="249">
        <v>0.11111111111111099</v>
      </c>
      <c r="L92" s="252">
        <v>65</v>
      </c>
      <c r="M92" s="249">
        <v>9.4202898550724598E-2</v>
      </c>
      <c r="O92" s="246">
        <f t="shared" si="79"/>
        <v>82.5</v>
      </c>
      <c r="P92" s="246"/>
      <c r="Q92" s="246">
        <f t="shared" si="80"/>
        <v>83.75</v>
      </c>
      <c r="R92" s="246"/>
      <c r="S92" s="246">
        <f t="shared" si="81"/>
        <v>85</v>
      </c>
      <c r="T92" s="246"/>
      <c r="U92" s="246">
        <f t="shared" si="82"/>
        <v>28.774999999999999</v>
      </c>
      <c r="V92" s="246"/>
      <c r="W92" s="246">
        <f t="shared" si="83"/>
        <v>55.024999999999999</v>
      </c>
      <c r="X92" s="246"/>
      <c r="Y92" s="246">
        <f t="shared" si="84"/>
        <v>62.5</v>
      </c>
      <c r="AA92" s="241">
        <f t="shared" si="85"/>
        <v>330</v>
      </c>
      <c r="AC92" s="241">
        <f t="shared" si="86"/>
        <v>335</v>
      </c>
      <c r="AE92" s="241">
        <f t="shared" si="87"/>
        <v>340</v>
      </c>
      <c r="AG92" s="241">
        <f t="shared" si="88"/>
        <v>115.1</v>
      </c>
      <c r="AI92" s="241">
        <f t="shared" si="89"/>
        <v>220.1</v>
      </c>
      <c r="AK92" s="241">
        <f t="shared" si="90"/>
        <v>250</v>
      </c>
    </row>
    <row r="93" spans="1:39" ht="12.75" customHeight="1" x14ac:dyDescent="0.3">
      <c r="A93" s="254" t="str">
        <f t="shared" si="78"/>
        <v>DynaMix</v>
      </c>
      <c r="B93" s="252">
        <v>80</v>
      </c>
      <c r="C93" s="249">
        <v>0.123076923076923</v>
      </c>
      <c r="D93" s="252">
        <v>90</v>
      </c>
      <c r="E93" s="249">
        <v>0.12676056338028199</v>
      </c>
      <c r="F93" s="252">
        <v>70</v>
      </c>
      <c r="G93" s="249">
        <v>9.85915492957746E-2</v>
      </c>
      <c r="H93" s="252">
        <v>30</v>
      </c>
      <c r="I93" s="249">
        <v>8.5714285714285701E-2</v>
      </c>
      <c r="J93" s="252">
        <v>50</v>
      </c>
      <c r="K93" s="249">
        <v>8.54700854700855E-2</v>
      </c>
      <c r="L93" s="252">
        <v>65</v>
      </c>
      <c r="M93" s="249">
        <v>9.4202898550724598E-2</v>
      </c>
      <c r="O93" s="246">
        <f t="shared" si="79"/>
        <v>66.25</v>
      </c>
      <c r="P93" s="246"/>
      <c r="Q93" s="246">
        <f t="shared" si="80"/>
        <v>81.25</v>
      </c>
      <c r="R93" s="246"/>
      <c r="S93" s="246">
        <f t="shared" si="81"/>
        <v>85</v>
      </c>
      <c r="T93" s="246"/>
      <c r="U93" s="246">
        <f t="shared" si="82"/>
        <v>40.024999999999999</v>
      </c>
      <c r="V93" s="246"/>
      <c r="W93" s="246">
        <f t="shared" si="83"/>
        <v>66.25</v>
      </c>
      <c r="X93" s="246"/>
      <c r="Y93" s="246">
        <f t="shared" si="84"/>
        <v>56.25</v>
      </c>
      <c r="AA93" s="241">
        <f t="shared" si="85"/>
        <v>265</v>
      </c>
      <c r="AC93" s="241">
        <f t="shared" si="86"/>
        <v>325</v>
      </c>
      <c r="AE93" s="241">
        <f t="shared" si="87"/>
        <v>340</v>
      </c>
      <c r="AG93" s="241">
        <f t="shared" si="88"/>
        <v>160.1</v>
      </c>
      <c r="AI93" s="241">
        <f t="shared" si="89"/>
        <v>265</v>
      </c>
      <c r="AK93" s="241">
        <f t="shared" si="90"/>
        <v>225</v>
      </c>
    </row>
    <row r="94" spans="1:39" ht="12.75" customHeight="1" x14ac:dyDescent="0.3"/>
    <row r="95" spans="1:39" ht="13.5" customHeight="1" x14ac:dyDescent="0.3">
      <c r="A95" s="247" t="s">
        <v>56</v>
      </c>
      <c r="B95" s="252" t="s">
        <v>12</v>
      </c>
      <c r="C95" s="249">
        <v>565</v>
      </c>
      <c r="D95" s="252" t="s">
        <v>13</v>
      </c>
      <c r="E95" s="249">
        <v>670</v>
      </c>
      <c r="F95" s="252" t="s">
        <v>14</v>
      </c>
      <c r="G95" s="249">
        <v>645</v>
      </c>
      <c r="H95" s="252" t="s">
        <v>15</v>
      </c>
      <c r="I95" s="249">
        <v>80.599999999999994</v>
      </c>
      <c r="J95" s="252" t="s">
        <v>16</v>
      </c>
      <c r="K95" s="249">
        <v>600.1</v>
      </c>
      <c r="L95" s="252" t="s">
        <v>17</v>
      </c>
      <c r="M95" s="249">
        <v>565</v>
      </c>
      <c r="N95" s="253"/>
      <c r="O95" s="246" t="s">
        <v>12</v>
      </c>
      <c r="P95" s="246"/>
      <c r="Q95" s="246" t="s">
        <v>13</v>
      </c>
      <c r="R95" s="246"/>
      <c r="S95" s="246" t="s">
        <v>14</v>
      </c>
      <c r="T95" s="246"/>
      <c r="U95" s="246" t="s">
        <v>15</v>
      </c>
      <c r="V95" s="246"/>
      <c r="W95" s="246" t="s">
        <v>16</v>
      </c>
      <c r="X95" s="246"/>
      <c r="Y95" s="246" t="s">
        <v>17</v>
      </c>
      <c r="AA95" s="241" t="s">
        <v>12</v>
      </c>
      <c r="AC95" s="241" t="s">
        <v>13</v>
      </c>
      <c r="AE95" s="241" t="s">
        <v>14</v>
      </c>
      <c r="AG95" s="241" t="s">
        <v>15</v>
      </c>
      <c r="AI95" s="241" t="s">
        <v>16</v>
      </c>
      <c r="AK95" s="241" t="s">
        <v>17</v>
      </c>
      <c r="AM95" s="239">
        <f>AM106</f>
        <v>4</v>
      </c>
    </row>
    <row r="96" spans="1:39" ht="13.5" customHeight="1" x14ac:dyDescent="0.3">
      <c r="A96" s="254" t="str">
        <f t="shared" ref="A96:A104" si="91">A107</f>
        <v>PyCaret</v>
      </c>
      <c r="B96" s="252">
        <v>90</v>
      </c>
      <c r="C96" s="249">
        <v>0.15929203539823</v>
      </c>
      <c r="D96" s="252">
        <v>60</v>
      </c>
      <c r="E96" s="249">
        <v>8.9552238805970102E-2</v>
      </c>
      <c r="F96" s="252">
        <v>75</v>
      </c>
      <c r="G96" s="249">
        <v>0.116279069767442</v>
      </c>
      <c r="H96" s="252">
        <v>0.1</v>
      </c>
      <c r="I96" s="249">
        <v>1.24069478908189E-3</v>
      </c>
      <c r="J96" s="252">
        <v>90</v>
      </c>
      <c r="K96" s="249">
        <v>0.14997500416597201</v>
      </c>
      <c r="L96" s="252">
        <v>75</v>
      </c>
      <c r="M96" s="249">
        <v>0.132743362831858</v>
      </c>
      <c r="N96" s="253"/>
      <c r="O96" s="246">
        <f t="shared" ref="O96:O104" si="92">AA96/$AM$172</f>
        <v>67.5</v>
      </c>
      <c r="P96" s="246"/>
      <c r="Q96" s="246">
        <f t="shared" ref="Q96:Q104" si="93">AC96/$AM$172</f>
        <v>62.5</v>
      </c>
      <c r="R96" s="246"/>
      <c r="S96" s="246">
        <f t="shared" ref="S96:S104" si="94">AE96/$AM$172</f>
        <v>73.75</v>
      </c>
      <c r="T96" s="246"/>
      <c r="U96" s="246">
        <f t="shared" ref="U96:U104" si="95">AG96/$AM$172</f>
        <v>25.024999999999999</v>
      </c>
      <c r="V96" s="246"/>
      <c r="W96" s="246">
        <f t="shared" ref="W96:W104" si="96">AI96/$AM$172</f>
        <v>75</v>
      </c>
      <c r="X96" s="246"/>
      <c r="Y96" s="246">
        <f t="shared" ref="Y96:Y104" si="97">AK96/$AM$172</f>
        <v>58.75</v>
      </c>
      <c r="AA96" s="241">
        <f t="shared" ref="AA96:AA104" si="98">(B140+B129+B118+B107)</f>
        <v>270</v>
      </c>
      <c r="AC96" s="241">
        <f t="shared" ref="AC96:AC104" si="99">(D140+D129+D118+D107)</f>
        <v>250</v>
      </c>
      <c r="AE96" s="241">
        <f t="shared" ref="AE96:AE104" si="100">(F140+F129+F118+F107)</f>
        <v>295</v>
      </c>
      <c r="AG96" s="241">
        <f t="shared" ref="AG96:AG104" si="101">(H140+H129+H118+H107)</f>
        <v>100.1</v>
      </c>
      <c r="AI96" s="241">
        <f t="shared" ref="AI96:AI104" si="102">(J140+J129+J118+J107)</f>
        <v>300</v>
      </c>
      <c r="AK96" s="241">
        <f t="shared" ref="AK96:AK104" si="103">(L140+L129+L118+L107)</f>
        <v>235</v>
      </c>
    </row>
    <row r="97" spans="1:39" ht="13.5" customHeight="1" x14ac:dyDescent="0.3">
      <c r="A97" s="254" t="str">
        <f t="shared" si="91"/>
        <v>ARIMAX</v>
      </c>
      <c r="B97" s="252">
        <v>70</v>
      </c>
      <c r="C97" s="249">
        <v>0.123893805309735</v>
      </c>
      <c r="D97" s="252">
        <v>80</v>
      </c>
      <c r="E97" s="249">
        <v>0.119402985074627</v>
      </c>
      <c r="F97" s="252">
        <v>70</v>
      </c>
      <c r="G97" s="249">
        <v>0.108527131782946</v>
      </c>
      <c r="H97" s="252">
        <v>0.1</v>
      </c>
      <c r="I97" s="249">
        <v>1.24069478908189E-3</v>
      </c>
      <c r="J97" s="252">
        <v>65</v>
      </c>
      <c r="K97" s="249">
        <v>0.108315280786536</v>
      </c>
      <c r="L97" s="252">
        <v>90</v>
      </c>
      <c r="M97" s="249">
        <v>0.15929203539823</v>
      </c>
      <c r="N97" s="253"/>
      <c r="O97" s="246">
        <f t="shared" si="92"/>
        <v>75</v>
      </c>
      <c r="P97" s="246"/>
      <c r="Q97" s="246">
        <f t="shared" si="93"/>
        <v>81.25</v>
      </c>
      <c r="R97" s="246"/>
      <c r="S97" s="246">
        <f t="shared" si="94"/>
        <v>87.5</v>
      </c>
      <c r="T97" s="246"/>
      <c r="U97" s="246">
        <f t="shared" si="95"/>
        <v>45</v>
      </c>
      <c r="V97" s="246"/>
      <c r="W97" s="246">
        <f t="shared" si="96"/>
        <v>72.5</v>
      </c>
      <c r="X97" s="246"/>
      <c r="Y97" s="246">
        <f t="shared" si="97"/>
        <v>65</v>
      </c>
      <c r="AA97" s="241">
        <f t="shared" si="98"/>
        <v>300</v>
      </c>
      <c r="AC97" s="241">
        <f t="shared" si="99"/>
        <v>325</v>
      </c>
      <c r="AE97" s="241">
        <f t="shared" si="100"/>
        <v>350</v>
      </c>
      <c r="AG97" s="241">
        <f t="shared" si="101"/>
        <v>180</v>
      </c>
      <c r="AI97" s="241">
        <f t="shared" si="102"/>
        <v>290</v>
      </c>
      <c r="AK97" s="241">
        <f t="shared" si="103"/>
        <v>260</v>
      </c>
    </row>
    <row r="98" spans="1:39" ht="13.5" customHeight="1" x14ac:dyDescent="0.3">
      <c r="A98" s="254" t="str">
        <f t="shared" si="91"/>
        <v>PCE</v>
      </c>
      <c r="B98" s="252">
        <v>80</v>
      </c>
      <c r="C98" s="249">
        <v>0.14159292035398199</v>
      </c>
      <c r="D98" s="252">
        <v>65</v>
      </c>
      <c r="E98" s="249">
        <v>9.7014925373134303E-2</v>
      </c>
      <c r="F98" s="252">
        <v>65</v>
      </c>
      <c r="G98" s="249">
        <v>0.10077519379845</v>
      </c>
      <c r="H98" s="252">
        <v>60</v>
      </c>
      <c r="I98" s="249">
        <v>0.74441687344913199</v>
      </c>
      <c r="J98" s="252">
        <v>60</v>
      </c>
      <c r="K98" s="249">
        <v>9.9983336110648205E-2</v>
      </c>
      <c r="L98" s="252">
        <v>70</v>
      </c>
      <c r="M98" s="249">
        <v>0.123893805309735</v>
      </c>
      <c r="N98" s="253"/>
      <c r="O98" s="246">
        <f t="shared" si="92"/>
        <v>77.5</v>
      </c>
      <c r="P98" s="246"/>
      <c r="Q98" s="246">
        <f t="shared" si="93"/>
        <v>78.75</v>
      </c>
      <c r="R98" s="246"/>
      <c r="S98" s="246">
        <f t="shared" si="94"/>
        <v>90</v>
      </c>
      <c r="T98" s="246"/>
      <c r="U98" s="246">
        <f t="shared" si="95"/>
        <v>5.2750000000000004</v>
      </c>
      <c r="V98" s="246"/>
      <c r="W98" s="246">
        <f t="shared" si="96"/>
        <v>76.25</v>
      </c>
      <c r="X98" s="246"/>
      <c r="Y98" s="246">
        <f t="shared" si="97"/>
        <v>73.75</v>
      </c>
      <c r="AA98" s="241">
        <f t="shared" si="98"/>
        <v>310</v>
      </c>
      <c r="AC98" s="241">
        <f t="shared" si="99"/>
        <v>315</v>
      </c>
      <c r="AE98" s="241">
        <f t="shared" si="100"/>
        <v>360</v>
      </c>
      <c r="AG98" s="241">
        <f t="shared" si="101"/>
        <v>21.1</v>
      </c>
      <c r="AI98" s="241">
        <f t="shared" si="102"/>
        <v>305</v>
      </c>
      <c r="AK98" s="241">
        <f t="shared" si="103"/>
        <v>295</v>
      </c>
    </row>
    <row r="99" spans="1:39" ht="13.5" customHeight="1" x14ac:dyDescent="0.3">
      <c r="A99" s="254" t="str">
        <f t="shared" si="91"/>
        <v>LSTM</v>
      </c>
      <c r="B99" s="252">
        <v>70</v>
      </c>
      <c r="C99" s="249">
        <v>0.123893805309735</v>
      </c>
      <c r="D99" s="252">
        <v>95</v>
      </c>
      <c r="E99" s="249">
        <v>0.14179104477611901</v>
      </c>
      <c r="F99" s="252">
        <v>75</v>
      </c>
      <c r="G99" s="249">
        <v>0.116279069767442</v>
      </c>
      <c r="H99" s="252">
        <v>10</v>
      </c>
      <c r="I99" s="249">
        <v>0.12406947890818899</v>
      </c>
      <c r="J99" s="252">
        <v>95</v>
      </c>
      <c r="K99" s="249">
        <v>0.15830694884186</v>
      </c>
      <c r="L99" s="252">
        <v>30</v>
      </c>
      <c r="M99" s="249">
        <v>5.3097345132743397E-2</v>
      </c>
      <c r="N99" s="253"/>
      <c r="O99" s="246">
        <f t="shared" si="92"/>
        <v>73.75</v>
      </c>
      <c r="P99" s="246"/>
      <c r="Q99" s="246">
        <f t="shared" si="93"/>
        <v>76.25</v>
      </c>
      <c r="R99" s="246"/>
      <c r="S99" s="246">
        <f t="shared" si="94"/>
        <v>85</v>
      </c>
      <c r="T99" s="246"/>
      <c r="U99" s="246">
        <f t="shared" si="95"/>
        <v>23.75</v>
      </c>
      <c r="V99" s="246"/>
      <c r="W99" s="246">
        <f t="shared" si="96"/>
        <v>71.25</v>
      </c>
      <c r="X99" s="246"/>
      <c r="Y99" s="246">
        <f t="shared" si="97"/>
        <v>67.5</v>
      </c>
      <c r="AA99" s="241">
        <f t="shared" si="98"/>
        <v>295</v>
      </c>
      <c r="AC99" s="241">
        <f t="shared" si="99"/>
        <v>305</v>
      </c>
      <c r="AE99" s="241">
        <f t="shared" si="100"/>
        <v>340</v>
      </c>
      <c r="AG99" s="241">
        <f t="shared" si="101"/>
        <v>95</v>
      </c>
      <c r="AI99" s="241">
        <f t="shared" si="102"/>
        <v>285</v>
      </c>
      <c r="AK99" s="241">
        <f t="shared" si="103"/>
        <v>270</v>
      </c>
    </row>
    <row r="100" spans="1:39" ht="13.5" customHeight="1" x14ac:dyDescent="0.3">
      <c r="A100" s="254" t="str">
        <f t="shared" si="91"/>
        <v>GARCH</v>
      </c>
      <c r="B100" s="252">
        <v>65</v>
      </c>
      <c r="C100" s="249">
        <v>0.11504424778761101</v>
      </c>
      <c r="D100" s="252">
        <v>75</v>
      </c>
      <c r="E100" s="249">
        <v>0.111940298507463</v>
      </c>
      <c r="F100" s="252">
        <v>75</v>
      </c>
      <c r="G100" s="249">
        <v>0.116279069767442</v>
      </c>
      <c r="H100" s="252">
        <v>10</v>
      </c>
      <c r="I100" s="249">
        <v>0.12406947890818899</v>
      </c>
      <c r="J100" s="252">
        <v>95</v>
      </c>
      <c r="K100" s="249">
        <v>0.15830694884186</v>
      </c>
      <c r="L100" s="252">
        <v>30</v>
      </c>
      <c r="M100" s="249">
        <v>5.3097345132743397E-2</v>
      </c>
      <c r="N100" s="253"/>
      <c r="O100" s="246">
        <f t="shared" si="92"/>
        <v>80</v>
      </c>
      <c r="P100" s="246"/>
      <c r="Q100" s="246">
        <f t="shared" si="93"/>
        <v>80</v>
      </c>
      <c r="R100" s="246"/>
      <c r="S100" s="246">
        <f t="shared" si="94"/>
        <v>87.5</v>
      </c>
      <c r="T100" s="246"/>
      <c r="U100" s="246">
        <f t="shared" si="95"/>
        <v>30</v>
      </c>
      <c r="V100" s="246"/>
      <c r="W100" s="246">
        <f t="shared" si="96"/>
        <v>72.5</v>
      </c>
      <c r="X100" s="246"/>
      <c r="Y100" s="246">
        <f t="shared" si="97"/>
        <v>70</v>
      </c>
      <c r="AA100" s="241">
        <f t="shared" si="98"/>
        <v>320</v>
      </c>
      <c r="AC100" s="241">
        <f t="shared" si="99"/>
        <v>320</v>
      </c>
      <c r="AE100" s="241">
        <f t="shared" si="100"/>
        <v>350</v>
      </c>
      <c r="AG100" s="241">
        <f t="shared" si="101"/>
        <v>120</v>
      </c>
      <c r="AI100" s="241">
        <f t="shared" si="102"/>
        <v>290</v>
      </c>
      <c r="AK100" s="241">
        <f t="shared" si="103"/>
        <v>280</v>
      </c>
    </row>
    <row r="101" spans="1:39" ht="13.5" customHeight="1" x14ac:dyDescent="0.3">
      <c r="A101" s="254" t="str">
        <f t="shared" si="91"/>
        <v>VAR</v>
      </c>
      <c r="B101" s="252">
        <v>0</v>
      </c>
      <c r="C101" s="249">
        <v>0</v>
      </c>
      <c r="D101" s="252">
        <v>75</v>
      </c>
      <c r="E101" s="249">
        <v>0.111940298507463</v>
      </c>
      <c r="F101" s="252">
        <v>65</v>
      </c>
      <c r="G101" s="249">
        <v>0.10077519379845</v>
      </c>
      <c r="H101" s="252">
        <v>0.1</v>
      </c>
      <c r="I101" s="249">
        <v>1.24069478908189E-3</v>
      </c>
      <c r="J101" s="252">
        <v>65</v>
      </c>
      <c r="K101" s="249">
        <v>0.108315280786536</v>
      </c>
      <c r="L101" s="252">
        <v>70</v>
      </c>
      <c r="M101" s="249">
        <v>0.123893805309735</v>
      </c>
      <c r="N101" s="253"/>
      <c r="O101" s="246">
        <f t="shared" si="92"/>
        <v>0</v>
      </c>
      <c r="P101" s="246"/>
      <c r="Q101" s="246">
        <f t="shared" si="93"/>
        <v>78.75</v>
      </c>
      <c r="R101" s="246"/>
      <c r="S101" s="246">
        <f t="shared" si="94"/>
        <v>92.5</v>
      </c>
      <c r="T101" s="246"/>
      <c r="U101" s="246">
        <f t="shared" si="95"/>
        <v>17.5</v>
      </c>
      <c r="V101" s="246"/>
      <c r="W101" s="246">
        <f t="shared" si="96"/>
        <v>71.25</v>
      </c>
      <c r="X101" s="246"/>
      <c r="Y101" s="246">
        <f t="shared" si="97"/>
        <v>65</v>
      </c>
      <c r="AA101" s="241">
        <f t="shared" si="98"/>
        <v>0</v>
      </c>
      <c r="AC101" s="241">
        <f t="shared" si="99"/>
        <v>315</v>
      </c>
      <c r="AE101" s="241">
        <f t="shared" si="100"/>
        <v>370</v>
      </c>
      <c r="AG101" s="241">
        <f t="shared" si="101"/>
        <v>70</v>
      </c>
      <c r="AI101" s="241">
        <f t="shared" si="102"/>
        <v>285</v>
      </c>
      <c r="AK101" s="241">
        <f t="shared" si="103"/>
        <v>260</v>
      </c>
    </row>
    <row r="102" spans="1:39" ht="13.5" customHeight="1" x14ac:dyDescent="0.3">
      <c r="A102" s="254" t="str">
        <f t="shared" si="91"/>
        <v>RW</v>
      </c>
      <c r="B102" s="252">
        <v>70</v>
      </c>
      <c r="C102" s="249">
        <v>0.123893805309735</v>
      </c>
      <c r="D102" s="252">
        <v>75</v>
      </c>
      <c r="E102" s="249">
        <v>0.111940298507463</v>
      </c>
      <c r="F102" s="252">
        <v>70</v>
      </c>
      <c r="G102" s="249">
        <v>0.108527131782946</v>
      </c>
      <c r="H102" s="252">
        <v>0.1</v>
      </c>
      <c r="I102" s="249">
        <v>1.24069478908189E-3</v>
      </c>
      <c r="J102" s="252">
        <v>65</v>
      </c>
      <c r="K102" s="249">
        <v>0.108315280786536</v>
      </c>
      <c r="L102" s="252">
        <v>70</v>
      </c>
      <c r="M102" s="249">
        <v>0.123893805309735</v>
      </c>
      <c r="N102" s="253"/>
      <c r="O102" s="246">
        <f t="shared" si="92"/>
        <v>80</v>
      </c>
      <c r="P102" s="246"/>
      <c r="Q102" s="246">
        <f t="shared" si="93"/>
        <v>78.75</v>
      </c>
      <c r="R102" s="246"/>
      <c r="S102" s="246">
        <f t="shared" si="94"/>
        <v>90</v>
      </c>
      <c r="T102" s="246"/>
      <c r="U102" s="246">
        <f t="shared" si="95"/>
        <v>37.5</v>
      </c>
      <c r="V102" s="246"/>
      <c r="W102" s="246">
        <f t="shared" si="96"/>
        <v>71.25</v>
      </c>
      <c r="X102" s="246"/>
      <c r="Y102" s="246">
        <f t="shared" si="97"/>
        <v>45.024999999999999</v>
      </c>
      <c r="AA102" s="241">
        <f t="shared" si="98"/>
        <v>320</v>
      </c>
      <c r="AC102" s="241">
        <f t="shared" si="99"/>
        <v>315</v>
      </c>
      <c r="AE102" s="241">
        <f t="shared" si="100"/>
        <v>360</v>
      </c>
      <c r="AG102" s="241">
        <f t="shared" si="101"/>
        <v>150</v>
      </c>
      <c r="AI102" s="241">
        <f t="shared" si="102"/>
        <v>285</v>
      </c>
      <c r="AK102" s="241">
        <f t="shared" si="103"/>
        <v>180.1</v>
      </c>
    </row>
    <row r="103" spans="1:39" ht="13.5" customHeight="1" x14ac:dyDescent="0.3">
      <c r="A103" s="254" t="str">
        <f t="shared" si="91"/>
        <v>ETS</v>
      </c>
      <c r="B103" s="252">
        <v>70</v>
      </c>
      <c r="C103" s="249">
        <v>0.123893805309735</v>
      </c>
      <c r="D103" s="252">
        <v>80</v>
      </c>
      <c r="E103" s="249">
        <v>0.119402985074627</v>
      </c>
      <c r="F103" s="252">
        <v>70</v>
      </c>
      <c r="G103" s="249">
        <v>0.108527131782946</v>
      </c>
      <c r="H103" s="252">
        <v>0.1</v>
      </c>
      <c r="I103" s="249">
        <v>1.24069478908189E-3</v>
      </c>
      <c r="J103" s="252">
        <v>0.1</v>
      </c>
      <c r="K103" s="249">
        <v>1.66638893517747E-4</v>
      </c>
      <c r="L103" s="252">
        <v>70</v>
      </c>
      <c r="M103" s="249">
        <v>0.123893805309735</v>
      </c>
      <c r="N103" s="253"/>
      <c r="O103" s="246">
        <f t="shared" si="92"/>
        <v>80</v>
      </c>
      <c r="P103" s="246"/>
      <c r="Q103" s="246">
        <f t="shared" si="93"/>
        <v>80</v>
      </c>
      <c r="R103" s="246"/>
      <c r="S103" s="246">
        <f t="shared" si="94"/>
        <v>90</v>
      </c>
      <c r="T103" s="246"/>
      <c r="U103" s="246">
        <f t="shared" si="95"/>
        <v>38.75</v>
      </c>
      <c r="V103" s="246"/>
      <c r="W103" s="246">
        <f t="shared" si="96"/>
        <v>71.25</v>
      </c>
      <c r="X103" s="246"/>
      <c r="Y103" s="246">
        <f t="shared" si="97"/>
        <v>45.024999999999999</v>
      </c>
      <c r="AA103" s="241">
        <f t="shared" si="98"/>
        <v>320</v>
      </c>
      <c r="AC103" s="241">
        <f t="shared" si="99"/>
        <v>320</v>
      </c>
      <c r="AE103" s="241">
        <f t="shared" si="100"/>
        <v>360</v>
      </c>
      <c r="AG103" s="241">
        <f t="shared" si="101"/>
        <v>155</v>
      </c>
      <c r="AI103" s="241">
        <f t="shared" si="102"/>
        <v>285</v>
      </c>
      <c r="AK103" s="241">
        <f t="shared" si="103"/>
        <v>180.1</v>
      </c>
    </row>
    <row r="104" spans="1:39" ht="13.5" customHeight="1" x14ac:dyDescent="0.3">
      <c r="A104" s="254" t="str">
        <f t="shared" si="91"/>
        <v>DynaMix</v>
      </c>
      <c r="B104" s="252">
        <v>50</v>
      </c>
      <c r="C104" s="249">
        <v>8.8495575221238895E-2</v>
      </c>
      <c r="D104" s="252">
        <v>65</v>
      </c>
      <c r="E104" s="249">
        <v>9.7014925373134303E-2</v>
      </c>
      <c r="F104" s="252">
        <v>80</v>
      </c>
      <c r="G104" s="249">
        <v>0.124031007751938</v>
      </c>
      <c r="H104" s="252">
        <v>0.1</v>
      </c>
      <c r="I104" s="249">
        <v>1.24069478908189E-3</v>
      </c>
      <c r="J104" s="252">
        <v>65</v>
      </c>
      <c r="K104" s="249">
        <v>0.108315280786536</v>
      </c>
      <c r="L104" s="252">
        <v>60</v>
      </c>
      <c r="M104" s="249">
        <v>0.106194690265487</v>
      </c>
      <c r="N104" s="253"/>
      <c r="O104" s="246">
        <f t="shared" si="92"/>
        <v>68.75</v>
      </c>
      <c r="P104" s="246"/>
      <c r="Q104" s="246">
        <f t="shared" si="93"/>
        <v>81.25</v>
      </c>
      <c r="R104" s="246"/>
      <c r="S104" s="246">
        <f t="shared" si="94"/>
        <v>88.75</v>
      </c>
      <c r="T104" s="246"/>
      <c r="U104" s="246">
        <f t="shared" si="95"/>
        <v>47.5</v>
      </c>
      <c r="V104" s="246"/>
      <c r="W104" s="246">
        <f t="shared" si="96"/>
        <v>66.25</v>
      </c>
      <c r="X104" s="246"/>
      <c r="Y104" s="246">
        <f t="shared" si="97"/>
        <v>41.274999999999999</v>
      </c>
      <c r="AA104" s="241">
        <f t="shared" si="98"/>
        <v>275</v>
      </c>
      <c r="AC104" s="241">
        <f t="shared" si="99"/>
        <v>325</v>
      </c>
      <c r="AE104" s="241">
        <f t="shared" si="100"/>
        <v>355</v>
      </c>
      <c r="AG104" s="241">
        <f t="shared" si="101"/>
        <v>190</v>
      </c>
      <c r="AI104" s="241">
        <f t="shared" si="102"/>
        <v>265</v>
      </c>
      <c r="AK104" s="241">
        <f t="shared" si="103"/>
        <v>165.1</v>
      </c>
    </row>
    <row r="105" spans="1:39" ht="13.5" customHeight="1" x14ac:dyDescent="0.3">
      <c r="A105" s="254"/>
    </row>
    <row r="106" spans="1:39" ht="13.5" customHeight="1" x14ac:dyDescent="0.3">
      <c r="A106" s="247" t="s">
        <v>57</v>
      </c>
      <c r="B106" s="248" t="s">
        <v>12</v>
      </c>
      <c r="C106" s="249">
        <v>520</v>
      </c>
      <c r="D106" s="248" t="s">
        <v>13</v>
      </c>
      <c r="E106" s="249">
        <v>785</v>
      </c>
      <c r="F106" s="248" t="s">
        <v>14</v>
      </c>
      <c r="G106" s="249">
        <v>805</v>
      </c>
      <c r="H106" s="248" t="s">
        <v>15</v>
      </c>
      <c r="I106" s="249">
        <v>445</v>
      </c>
      <c r="J106" s="248" t="s">
        <v>16</v>
      </c>
      <c r="K106" s="249">
        <v>660</v>
      </c>
      <c r="L106" s="248" t="s">
        <v>17</v>
      </c>
      <c r="M106" s="249">
        <v>645</v>
      </c>
      <c r="N106" s="250"/>
      <c r="O106" s="246" t="s">
        <v>12</v>
      </c>
      <c r="P106" s="246"/>
      <c r="Q106" s="246" t="s">
        <v>13</v>
      </c>
      <c r="R106" s="246"/>
      <c r="S106" s="246" t="s">
        <v>14</v>
      </c>
      <c r="T106" s="246"/>
      <c r="U106" s="246" t="s">
        <v>15</v>
      </c>
      <c r="V106" s="246"/>
      <c r="W106" s="246" t="s">
        <v>16</v>
      </c>
      <c r="X106" s="246"/>
      <c r="Y106" s="246" t="s">
        <v>17</v>
      </c>
      <c r="AA106" s="241" t="s">
        <v>12</v>
      </c>
      <c r="AC106" s="241" t="s">
        <v>13</v>
      </c>
      <c r="AE106" s="241" t="s">
        <v>14</v>
      </c>
      <c r="AG106" s="241" t="s">
        <v>15</v>
      </c>
      <c r="AI106" s="241" t="s">
        <v>16</v>
      </c>
      <c r="AK106" s="241" t="s">
        <v>17</v>
      </c>
      <c r="AM106" s="239">
        <f>AM117</f>
        <v>4</v>
      </c>
    </row>
    <row r="107" spans="1:39" ht="13.5" customHeight="1" x14ac:dyDescent="0.3">
      <c r="A107" s="254" t="str">
        <f t="shared" ref="A107:A115" si="104">A118</f>
        <v>PyCaret</v>
      </c>
      <c r="B107" s="248">
        <v>40</v>
      </c>
      <c r="C107" s="249">
        <v>7.69230769230769E-2</v>
      </c>
      <c r="D107" s="248">
        <v>40</v>
      </c>
      <c r="E107" s="249">
        <v>5.0955414012738898E-2</v>
      </c>
      <c r="F107" s="248">
        <v>90</v>
      </c>
      <c r="G107" s="249">
        <v>0.111801242236025</v>
      </c>
      <c r="H107" s="248">
        <v>50</v>
      </c>
      <c r="I107" s="249">
        <v>0.112359550561798</v>
      </c>
      <c r="J107" s="248">
        <v>80</v>
      </c>
      <c r="K107" s="249">
        <v>0.12121212121212099</v>
      </c>
      <c r="L107" s="248">
        <v>70</v>
      </c>
      <c r="M107" s="249">
        <v>0.108527131782946</v>
      </c>
      <c r="N107" s="250"/>
      <c r="O107" s="246">
        <f t="shared" ref="O107:O115" si="105">AA107/$AM$172</f>
        <v>81.25</v>
      </c>
      <c r="P107" s="246"/>
      <c r="Q107" s="246">
        <f t="shared" ref="Q107:Q115" si="106">AC107/$AM$172</f>
        <v>76.25</v>
      </c>
      <c r="R107" s="246"/>
      <c r="S107" s="246">
        <f t="shared" ref="S107:S115" si="107">AE107/$AM$172</f>
        <v>66.25</v>
      </c>
      <c r="T107" s="246"/>
      <c r="U107" s="246">
        <f t="shared" ref="U107:U115" si="108">AG107/$AM$172</f>
        <v>27.524999999999999</v>
      </c>
      <c r="V107" s="246"/>
      <c r="W107" s="246">
        <f t="shared" ref="W107:W115" si="109">AI107/$AM$172</f>
        <v>70</v>
      </c>
      <c r="X107" s="246"/>
      <c r="Y107" s="246">
        <f t="shared" ref="Y107:Y115" si="110">AK107/$AM$172</f>
        <v>60</v>
      </c>
      <c r="AA107" s="241">
        <f t="shared" ref="AA107:AA115" si="111">(B151+B140+B129+B118)</f>
        <v>325</v>
      </c>
      <c r="AC107" s="241">
        <f t="shared" ref="AC107:AC115" si="112">(D151+D140+D129+D118)</f>
        <v>305</v>
      </c>
      <c r="AE107" s="241">
        <f t="shared" ref="AE107:AE115" si="113">(F151+F140+F129+F118)</f>
        <v>265</v>
      </c>
      <c r="AG107" s="241">
        <f t="shared" ref="AG107:AG115" si="114">(H151+H140+H129+H118)</f>
        <v>110.1</v>
      </c>
      <c r="AI107" s="241">
        <f t="shared" ref="AI107:AI115" si="115">(J151+J140+J129+J118)</f>
        <v>280</v>
      </c>
      <c r="AK107" s="241">
        <f t="shared" ref="AK107:AK115" si="116">(L151+L140+L129+L118)</f>
        <v>240</v>
      </c>
    </row>
    <row r="108" spans="1:39" ht="13.5" customHeight="1" x14ac:dyDescent="0.3">
      <c r="A108" s="254" t="str">
        <f t="shared" si="104"/>
        <v>ARIMAX</v>
      </c>
      <c r="B108" s="248">
        <v>70</v>
      </c>
      <c r="C108" s="249">
        <v>0.134615384615385</v>
      </c>
      <c r="D108" s="248">
        <v>95</v>
      </c>
      <c r="E108" s="249">
        <v>0.121019108280255</v>
      </c>
      <c r="F108" s="248">
        <v>95</v>
      </c>
      <c r="G108" s="249">
        <v>0.118012422360248</v>
      </c>
      <c r="H108" s="248">
        <v>50</v>
      </c>
      <c r="I108" s="249">
        <v>0.112359550561798</v>
      </c>
      <c r="J108" s="248">
        <v>75</v>
      </c>
      <c r="K108" s="249">
        <v>0.11363636363636399</v>
      </c>
      <c r="L108" s="248">
        <v>50</v>
      </c>
      <c r="M108" s="249">
        <v>7.7519379844961198E-2</v>
      </c>
      <c r="N108" s="250"/>
      <c r="O108" s="246">
        <f t="shared" si="105"/>
        <v>67.5</v>
      </c>
      <c r="P108" s="246"/>
      <c r="Q108" s="246">
        <f t="shared" si="106"/>
        <v>72.5</v>
      </c>
      <c r="R108" s="246"/>
      <c r="S108" s="246">
        <f t="shared" si="107"/>
        <v>78.75</v>
      </c>
      <c r="T108" s="246"/>
      <c r="U108" s="246">
        <f t="shared" si="108"/>
        <v>32.524999999999999</v>
      </c>
      <c r="V108" s="246"/>
      <c r="W108" s="246">
        <f t="shared" si="109"/>
        <v>63.75</v>
      </c>
      <c r="X108" s="246"/>
      <c r="Y108" s="246">
        <f t="shared" si="110"/>
        <v>62.5</v>
      </c>
      <c r="AA108" s="241">
        <f t="shared" si="111"/>
        <v>270</v>
      </c>
      <c r="AC108" s="241">
        <f t="shared" si="112"/>
        <v>290</v>
      </c>
      <c r="AE108" s="241">
        <f t="shared" si="113"/>
        <v>315</v>
      </c>
      <c r="AG108" s="241">
        <f t="shared" si="114"/>
        <v>130.1</v>
      </c>
      <c r="AI108" s="241">
        <f t="shared" si="115"/>
        <v>255</v>
      </c>
      <c r="AK108" s="241">
        <f t="shared" si="116"/>
        <v>250</v>
      </c>
    </row>
    <row r="109" spans="1:39" ht="13.5" customHeight="1" x14ac:dyDescent="0.3">
      <c r="A109" s="254" t="str">
        <f t="shared" si="104"/>
        <v>PCE</v>
      </c>
      <c r="B109" s="248">
        <v>65</v>
      </c>
      <c r="C109" s="249">
        <v>0.125</v>
      </c>
      <c r="D109" s="248">
        <v>100</v>
      </c>
      <c r="E109" s="249">
        <v>0.12738853503184699</v>
      </c>
      <c r="F109" s="248">
        <v>80</v>
      </c>
      <c r="G109" s="249">
        <v>9.9378881987577605E-2</v>
      </c>
      <c r="H109" s="248">
        <v>10</v>
      </c>
      <c r="I109" s="249">
        <v>2.2471910112359599E-2</v>
      </c>
      <c r="J109" s="248">
        <v>90</v>
      </c>
      <c r="K109" s="249">
        <v>0.13636363636363599</v>
      </c>
      <c r="L109" s="248">
        <v>80</v>
      </c>
      <c r="M109" s="249">
        <v>0.124031007751938</v>
      </c>
      <c r="N109" s="250"/>
      <c r="O109" s="246">
        <f t="shared" si="105"/>
        <v>62.5</v>
      </c>
      <c r="P109" s="246"/>
      <c r="Q109" s="246">
        <f t="shared" si="106"/>
        <v>68.75</v>
      </c>
      <c r="R109" s="246"/>
      <c r="S109" s="246">
        <f t="shared" si="107"/>
        <v>87.5</v>
      </c>
      <c r="T109" s="246"/>
      <c r="U109" s="246">
        <f t="shared" si="108"/>
        <v>5.2750000000000004</v>
      </c>
      <c r="V109" s="246"/>
      <c r="W109" s="246">
        <f t="shared" si="109"/>
        <v>71.25</v>
      </c>
      <c r="X109" s="246"/>
      <c r="Y109" s="246">
        <f t="shared" si="110"/>
        <v>77.5</v>
      </c>
      <c r="AA109" s="241">
        <f t="shared" si="111"/>
        <v>250</v>
      </c>
      <c r="AC109" s="241">
        <f t="shared" si="112"/>
        <v>275</v>
      </c>
      <c r="AE109" s="241">
        <f t="shared" si="113"/>
        <v>350</v>
      </c>
      <c r="AG109" s="241">
        <f t="shared" si="114"/>
        <v>21.1</v>
      </c>
      <c r="AI109" s="241">
        <f t="shared" si="115"/>
        <v>285</v>
      </c>
      <c r="AK109" s="241">
        <f t="shared" si="116"/>
        <v>310</v>
      </c>
    </row>
    <row r="110" spans="1:39" ht="13.5" customHeight="1" x14ac:dyDescent="0.3">
      <c r="A110" s="254" t="str">
        <f t="shared" si="104"/>
        <v>LSTM</v>
      </c>
      <c r="B110" s="248">
        <v>65</v>
      </c>
      <c r="C110" s="249">
        <v>0.125</v>
      </c>
      <c r="D110" s="248">
        <v>80</v>
      </c>
      <c r="E110" s="249">
        <v>0.101910828025478</v>
      </c>
      <c r="F110" s="248">
        <v>90</v>
      </c>
      <c r="G110" s="249">
        <v>0.111801242236025</v>
      </c>
      <c r="H110" s="248">
        <v>70</v>
      </c>
      <c r="I110" s="249">
        <v>0.15730337078651699</v>
      </c>
      <c r="J110" s="248">
        <v>60</v>
      </c>
      <c r="K110" s="249">
        <v>9.0909090909090898E-2</v>
      </c>
      <c r="L110" s="248">
        <v>40</v>
      </c>
      <c r="M110" s="249">
        <v>6.2015503875968998E-2</v>
      </c>
      <c r="N110" s="250"/>
      <c r="O110" s="246">
        <f t="shared" si="105"/>
        <v>80</v>
      </c>
      <c r="P110" s="246"/>
      <c r="Q110" s="246">
        <f t="shared" si="106"/>
        <v>80</v>
      </c>
      <c r="R110" s="246"/>
      <c r="S110" s="246">
        <f t="shared" si="107"/>
        <v>85</v>
      </c>
      <c r="T110" s="246"/>
      <c r="U110" s="246">
        <f t="shared" si="108"/>
        <v>7.5</v>
      </c>
      <c r="V110" s="246"/>
      <c r="W110" s="246">
        <f t="shared" si="109"/>
        <v>78.75</v>
      </c>
      <c r="X110" s="246"/>
      <c r="Y110" s="246">
        <f t="shared" si="110"/>
        <v>73.75</v>
      </c>
      <c r="AA110" s="241">
        <f t="shared" si="111"/>
        <v>320</v>
      </c>
      <c r="AC110" s="241">
        <f t="shared" si="112"/>
        <v>320</v>
      </c>
      <c r="AE110" s="241">
        <f t="shared" si="113"/>
        <v>340</v>
      </c>
      <c r="AG110" s="241">
        <f t="shared" si="114"/>
        <v>30</v>
      </c>
      <c r="AI110" s="241">
        <f t="shared" si="115"/>
        <v>315</v>
      </c>
      <c r="AK110" s="241">
        <f t="shared" si="116"/>
        <v>295</v>
      </c>
    </row>
    <row r="111" spans="1:39" ht="13.5" customHeight="1" x14ac:dyDescent="0.3">
      <c r="A111" s="254" t="str">
        <f t="shared" si="104"/>
        <v>GARCH</v>
      </c>
      <c r="B111" s="248">
        <v>70</v>
      </c>
      <c r="C111" s="249">
        <v>0.134615384615385</v>
      </c>
      <c r="D111" s="248">
        <v>95</v>
      </c>
      <c r="E111" s="249">
        <v>0.121019108280255</v>
      </c>
      <c r="F111" s="248">
        <v>90</v>
      </c>
      <c r="G111" s="249">
        <v>0.111801242236025</v>
      </c>
      <c r="H111" s="248">
        <v>50</v>
      </c>
      <c r="I111" s="249">
        <v>0.112359550561798</v>
      </c>
      <c r="J111" s="248">
        <v>75</v>
      </c>
      <c r="K111" s="249">
        <v>0.11363636363636399</v>
      </c>
      <c r="L111" s="248">
        <v>60</v>
      </c>
      <c r="M111" s="249">
        <v>9.3023255813953501E-2</v>
      </c>
      <c r="N111" s="250"/>
      <c r="O111" s="246">
        <f t="shared" si="105"/>
        <v>82.5</v>
      </c>
      <c r="P111" s="246"/>
      <c r="Q111" s="246">
        <f t="shared" si="106"/>
        <v>80</v>
      </c>
      <c r="R111" s="246"/>
      <c r="S111" s="246">
        <f t="shared" si="107"/>
        <v>85</v>
      </c>
      <c r="T111" s="246"/>
      <c r="U111" s="246">
        <f t="shared" si="108"/>
        <v>35</v>
      </c>
      <c r="V111" s="246"/>
      <c r="W111" s="246">
        <f t="shared" si="109"/>
        <v>72.5</v>
      </c>
      <c r="X111" s="246"/>
      <c r="Y111" s="246">
        <f t="shared" si="110"/>
        <v>75</v>
      </c>
      <c r="AA111" s="241">
        <f t="shared" si="111"/>
        <v>330</v>
      </c>
      <c r="AC111" s="241">
        <f t="shared" si="112"/>
        <v>320</v>
      </c>
      <c r="AE111" s="241">
        <f t="shared" si="113"/>
        <v>340</v>
      </c>
      <c r="AG111" s="241">
        <f t="shared" si="114"/>
        <v>140</v>
      </c>
      <c r="AI111" s="241">
        <f t="shared" si="115"/>
        <v>290</v>
      </c>
      <c r="AK111" s="241">
        <f t="shared" si="116"/>
        <v>300</v>
      </c>
    </row>
    <row r="112" spans="1:39" ht="13.5" customHeight="1" x14ac:dyDescent="0.3">
      <c r="A112" s="254" t="str">
        <f t="shared" si="104"/>
        <v>VAR</v>
      </c>
      <c r="B112" s="248">
        <v>0</v>
      </c>
      <c r="C112" s="249">
        <v>0</v>
      </c>
      <c r="D112" s="248">
        <v>90</v>
      </c>
      <c r="E112" s="249">
        <v>0.11464968152866201</v>
      </c>
      <c r="F112" s="248">
        <v>90</v>
      </c>
      <c r="G112" s="249">
        <v>0.111801242236025</v>
      </c>
      <c r="H112" s="248">
        <v>30</v>
      </c>
      <c r="I112" s="249">
        <v>6.7415730337078705E-2</v>
      </c>
      <c r="J112" s="248">
        <v>70</v>
      </c>
      <c r="K112" s="249">
        <v>0.10606060606060599</v>
      </c>
      <c r="L112" s="248">
        <v>60</v>
      </c>
      <c r="M112" s="249">
        <v>9.3023255813953501E-2</v>
      </c>
      <c r="N112" s="250"/>
      <c r="O112" s="246">
        <f t="shared" si="105"/>
        <v>0</v>
      </c>
      <c r="P112" s="246"/>
      <c r="Q112" s="246">
        <f t="shared" si="106"/>
        <v>80</v>
      </c>
      <c r="R112" s="246"/>
      <c r="S112" s="246">
        <f t="shared" si="107"/>
        <v>93.75</v>
      </c>
      <c r="T112" s="246"/>
      <c r="U112" s="246">
        <f t="shared" si="108"/>
        <v>26.25</v>
      </c>
      <c r="V112" s="246"/>
      <c r="W112" s="246">
        <f t="shared" si="109"/>
        <v>76.25</v>
      </c>
      <c r="X112" s="246"/>
      <c r="Y112" s="246">
        <f t="shared" si="110"/>
        <v>66.25</v>
      </c>
      <c r="AA112" s="241">
        <f t="shared" si="111"/>
        <v>0</v>
      </c>
      <c r="AC112" s="241">
        <f t="shared" si="112"/>
        <v>320</v>
      </c>
      <c r="AE112" s="241">
        <f t="shared" si="113"/>
        <v>375</v>
      </c>
      <c r="AG112" s="241">
        <f t="shared" si="114"/>
        <v>105</v>
      </c>
      <c r="AI112" s="241">
        <f t="shared" si="115"/>
        <v>305</v>
      </c>
      <c r="AK112" s="241">
        <f t="shared" si="116"/>
        <v>265</v>
      </c>
    </row>
    <row r="113" spans="1:39" ht="13.5" customHeight="1" x14ac:dyDescent="0.3">
      <c r="A113" s="254" t="str">
        <f t="shared" si="104"/>
        <v>RW</v>
      </c>
      <c r="B113" s="248">
        <v>70</v>
      </c>
      <c r="C113" s="249">
        <v>0.134615384615385</v>
      </c>
      <c r="D113" s="248">
        <v>95</v>
      </c>
      <c r="E113" s="249">
        <v>0.121019108280255</v>
      </c>
      <c r="F113" s="248">
        <v>95</v>
      </c>
      <c r="G113" s="249">
        <v>0.118012422360248</v>
      </c>
      <c r="H113" s="248">
        <v>50</v>
      </c>
      <c r="I113" s="249">
        <v>0.112359550561798</v>
      </c>
      <c r="J113" s="248">
        <v>70</v>
      </c>
      <c r="K113" s="249">
        <v>0.10606060606060599</v>
      </c>
      <c r="L113" s="248">
        <v>95</v>
      </c>
      <c r="M113" s="249">
        <v>0.14728682170542601</v>
      </c>
      <c r="N113" s="250"/>
      <c r="O113" s="246">
        <f t="shared" si="105"/>
        <v>85</v>
      </c>
      <c r="P113" s="246"/>
      <c r="Q113" s="246">
        <f t="shared" si="106"/>
        <v>78.75</v>
      </c>
      <c r="R113" s="246"/>
      <c r="S113" s="246">
        <f t="shared" si="107"/>
        <v>90</v>
      </c>
      <c r="T113" s="246"/>
      <c r="U113" s="246">
        <f t="shared" si="108"/>
        <v>43.75</v>
      </c>
      <c r="V113" s="246"/>
      <c r="W113" s="246">
        <f t="shared" si="109"/>
        <v>77.5</v>
      </c>
      <c r="X113" s="246"/>
      <c r="Y113" s="246">
        <f t="shared" si="110"/>
        <v>43.774999999999999</v>
      </c>
      <c r="AA113" s="241">
        <f t="shared" si="111"/>
        <v>340</v>
      </c>
      <c r="AC113" s="241">
        <f t="shared" si="112"/>
        <v>315</v>
      </c>
      <c r="AE113" s="241">
        <f t="shared" si="113"/>
        <v>360</v>
      </c>
      <c r="AG113" s="241">
        <f t="shared" si="114"/>
        <v>175</v>
      </c>
      <c r="AI113" s="241">
        <f t="shared" si="115"/>
        <v>310</v>
      </c>
      <c r="AK113" s="241">
        <f t="shared" si="116"/>
        <v>175.1</v>
      </c>
    </row>
    <row r="114" spans="1:39" ht="13.5" customHeight="1" x14ac:dyDescent="0.3">
      <c r="A114" s="254" t="str">
        <f t="shared" si="104"/>
        <v>ETS</v>
      </c>
      <c r="B114" s="248">
        <v>70</v>
      </c>
      <c r="C114" s="249">
        <v>0.134615384615385</v>
      </c>
      <c r="D114" s="248">
        <v>95</v>
      </c>
      <c r="E114" s="249">
        <v>0.121019108280255</v>
      </c>
      <c r="F114" s="248">
        <v>95</v>
      </c>
      <c r="G114" s="249">
        <v>0.118012422360248</v>
      </c>
      <c r="H114" s="248">
        <v>65</v>
      </c>
      <c r="I114" s="249">
        <v>0.14606741573033699</v>
      </c>
      <c r="J114" s="248">
        <v>70</v>
      </c>
      <c r="K114" s="249">
        <v>0.10606060606060599</v>
      </c>
      <c r="L114" s="248">
        <v>95</v>
      </c>
      <c r="M114" s="249">
        <v>0.14728682170542601</v>
      </c>
      <c r="N114" s="250"/>
      <c r="O114" s="246">
        <f t="shared" si="105"/>
        <v>85</v>
      </c>
      <c r="P114" s="246"/>
      <c r="Q114" s="246">
        <f t="shared" si="106"/>
        <v>80</v>
      </c>
      <c r="R114" s="246"/>
      <c r="S114" s="246">
        <f t="shared" si="107"/>
        <v>90</v>
      </c>
      <c r="T114" s="246"/>
      <c r="U114" s="246">
        <f t="shared" si="108"/>
        <v>38.75</v>
      </c>
      <c r="V114" s="246"/>
      <c r="W114" s="246">
        <f t="shared" si="109"/>
        <v>77.5</v>
      </c>
      <c r="X114" s="246"/>
      <c r="Y114" s="246">
        <f t="shared" si="110"/>
        <v>43.774999999999999</v>
      </c>
      <c r="AA114" s="241">
        <f t="shared" si="111"/>
        <v>340</v>
      </c>
      <c r="AC114" s="241">
        <f t="shared" si="112"/>
        <v>320</v>
      </c>
      <c r="AE114" s="241">
        <f t="shared" si="113"/>
        <v>360</v>
      </c>
      <c r="AG114" s="241">
        <f t="shared" si="114"/>
        <v>155</v>
      </c>
      <c r="AI114" s="241">
        <f t="shared" si="115"/>
        <v>310</v>
      </c>
      <c r="AK114" s="241">
        <f t="shared" si="116"/>
        <v>175.1</v>
      </c>
    </row>
    <row r="115" spans="1:39" ht="13.5" customHeight="1" x14ac:dyDescent="0.3">
      <c r="A115" s="254" t="str">
        <f t="shared" si="104"/>
        <v>DynaMix</v>
      </c>
      <c r="B115" s="248">
        <v>70</v>
      </c>
      <c r="C115" s="249">
        <v>0.134615384615385</v>
      </c>
      <c r="D115" s="248">
        <v>95</v>
      </c>
      <c r="E115" s="249">
        <v>0.121019108280255</v>
      </c>
      <c r="F115" s="248">
        <v>80</v>
      </c>
      <c r="G115" s="249">
        <v>9.9378881987577605E-2</v>
      </c>
      <c r="H115" s="248">
        <v>70</v>
      </c>
      <c r="I115" s="249">
        <v>0.15730337078651699</v>
      </c>
      <c r="J115" s="248">
        <v>70</v>
      </c>
      <c r="K115" s="249">
        <v>0.10606060606060599</v>
      </c>
      <c r="L115" s="248">
        <v>95</v>
      </c>
      <c r="M115" s="249">
        <v>0.14728682170542601</v>
      </c>
      <c r="N115" s="250"/>
      <c r="O115" s="246">
        <f t="shared" si="105"/>
        <v>71.25</v>
      </c>
      <c r="P115" s="246"/>
      <c r="Q115" s="246">
        <f t="shared" si="106"/>
        <v>80</v>
      </c>
      <c r="R115" s="246"/>
      <c r="S115" s="246">
        <f t="shared" si="107"/>
        <v>86.25</v>
      </c>
      <c r="T115" s="246"/>
      <c r="U115" s="246">
        <f t="shared" si="108"/>
        <v>52.5</v>
      </c>
      <c r="V115" s="246"/>
      <c r="W115" s="246">
        <f t="shared" si="109"/>
        <v>65</v>
      </c>
      <c r="X115" s="246"/>
      <c r="Y115" s="246">
        <f t="shared" si="110"/>
        <v>37.524999999999999</v>
      </c>
      <c r="AA115" s="241">
        <f t="shared" si="111"/>
        <v>285</v>
      </c>
      <c r="AC115" s="241">
        <f t="shared" si="112"/>
        <v>320</v>
      </c>
      <c r="AE115" s="241">
        <f t="shared" si="113"/>
        <v>345</v>
      </c>
      <c r="AG115" s="241">
        <f t="shared" si="114"/>
        <v>210</v>
      </c>
      <c r="AI115" s="241">
        <f t="shared" si="115"/>
        <v>260</v>
      </c>
      <c r="AK115" s="241">
        <f t="shared" si="116"/>
        <v>150.1</v>
      </c>
    </row>
    <row r="116" spans="1:39" ht="13.5" customHeight="1" x14ac:dyDescent="0.3">
      <c r="O116" s="255"/>
      <c r="P116" s="255"/>
      <c r="Q116" s="255"/>
      <c r="R116" s="255"/>
      <c r="S116" s="255"/>
      <c r="T116" s="255"/>
      <c r="U116" s="255"/>
      <c r="V116" s="255"/>
      <c r="W116" s="255"/>
      <c r="X116" s="255"/>
      <c r="Y116" s="255"/>
    </row>
    <row r="117" spans="1:39" ht="13.5" customHeight="1" x14ac:dyDescent="0.3">
      <c r="A117" s="247" t="s">
        <v>58</v>
      </c>
      <c r="B117" s="248" t="s">
        <v>12</v>
      </c>
      <c r="C117" s="249">
        <v>720</v>
      </c>
      <c r="D117" s="248" t="s">
        <v>13</v>
      </c>
      <c r="E117" s="249">
        <v>825</v>
      </c>
      <c r="F117" s="248" t="s">
        <v>14</v>
      </c>
      <c r="G117" s="249">
        <v>815</v>
      </c>
      <c r="H117" s="248" t="s">
        <v>15</v>
      </c>
      <c r="I117" s="249">
        <v>96.1</v>
      </c>
      <c r="J117" s="248" t="s">
        <v>16</v>
      </c>
      <c r="K117" s="249">
        <v>730</v>
      </c>
      <c r="L117" s="248" t="s">
        <v>17</v>
      </c>
      <c r="M117" s="249">
        <v>465</v>
      </c>
      <c r="O117" s="246" t="s">
        <v>12</v>
      </c>
      <c r="P117" s="246"/>
      <c r="Q117" s="246" t="s">
        <v>13</v>
      </c>
      <c r="R117" s="246"/>
      <c r="S117" s="246" t="s">
        <v>14</v>
      </c>
      <c r="T117" s="246"/>
      <c r="U117" s="246" t="s">
        <v>15</v>
      </c>
      <c r="V117" s="246"/>
      <c r="W117" s="246" t="s">
        <v>16</v>
      </c>
      <c r="X117" s="246"/>
      <c r="Y117" s="246" t="s">
        <v>17</v>
      </c>
      <c r="AA117" s="241" t="s">
        <v>12</v>
      </c>
      <c r="AC117" s="241" t="s">
        <v>13</v>
      </c>
      <c r="AE117" s="241" t="s">
        <v>14</v>
      </c>
      <c r="AG117" s="241" t="s">
        <v>15</v>
      </c>
      <c r="AI117" s="241" t="s">
        <v>16</v>
      </c>
      <c r="AK117" s="241" t="s">
        <v>17</v>
      </c>
      <c r="AM117" s="239">
        <f>AM128</f>
        <v>4</v>
      </c>
    </row>
    <row r="118" spans="1:39" ht="13.5" customHeight="1" x14ac:dyDescent="0.3">
      <c r="A118" s="238" t="str">
        <f t="shared" ref="A118:A126" si="117">A129</f>
        <v>PyCaret</v>
      </c>
      <c r="B118" s="248">
        <v>80</v>
      </c>
      <c r="C118" s="249">
        <v>0.11111111111111099</v>
      </c>
      <c r="D118" s="248">
        <v>90</v>
      </c>
      <c r="E118" s="249">
        <v>0.109090909090909</v>
      </c>
      <c r="F118" s="248">
        <v>70</v>
      </c>
      <c r="G118" s="249">
        <v>8.5889570552147201E-2</v>
      </c>
      <c r="H118" s="248">
        <v>0.1</v>
      </c>
      <c r="I118" s="249">
        <v>1.04058272632674E-3</v>
      </c>
      <c r="J118" s="248">
        <v>60</v>
      </c>
      <c r="K118" s="249">
        <v>8.2191780821917804E-2</v>
      </c>
      <c r="L118" s="248">
        <v>40</v>
      </c>
      <c r="M118" s="249">
        <v>8.6021505376344107E-2</v>
      </c>
      <c r="O118" s="246">
        <f t="shared" ref="O118:O126" si="118">AA118/$AM$172</f>
        <v>83.75</v>
      </c>
      <c r="P118" s="246"/>
      <c r="Q118" s="246">
        <f t="shared" ref="Q118:Q126" si="119">AC118/$AM$172</f>
        <v>72.5</v>
      </c>
      <c r="R118" s="246"/>
      <c r="S118" s="246">
        <f t="shared" ref="S118:S126" si="120">AE118/$AM$172</f>
        <v>66.25</v>
      </c>
      <c r="T118" s="246"/>
      <c r="U118" s="246">
        <f t="shared" ref="U118:U126" si="121">AG118/$AM$172</f>
        <v>35</v>
      </c>
      <c r="V118" s="246"/>
      <c r="W118" s="246">
        <f t="shared" ref="W118:W126" si="122">AI118/$AM$172</f>
        <v>73.75</v>
      </c>
      <c r="X118" s="246"/>
      <c r="Y118" s="246">
        <f t="shared" ref="Y118:Y126" si="123">AK118/$AM$172</f>
        <v>66.25</v>
      </c>
      <c r="AA118" s="241">
        <f t="shared" ref="AA118:AA126" si="124">(B162+B151+B140+B129)</f>
        <v>335</v>
      </c>
      <c r="AC118" s="241">
        <f t="shared" ref="AC118:AC126" si="125">(D162+D151+D140+D129)</f>
        <v>290</v>
      </c>
      <c r="AE118" s="241">
        <f t="shared" ref="AE118:AE126" si="126">(F162+F151+F140+F129)</f>
        <v>265</v>
      </c>
      <c r="AG118" s="241">
        <f t="shared" ref="AG118:AG126" si="127">(H162+H151+H140+H129)</f>
        <v>140</v>
      </c>
      <c r="AI118" s="241">
        <f t="shared" ref="AI118:AI126" si="128">(J162+J151+J140+J129)</f>
        <v>295</v>
      </c>
      <c r="AK118" s="241">
        <f t="shared" ref="AK118:AK126" si="129">(L162+L151+L140+L129)</f>
        <v>265</v>
      </c>
    </row>
    <row r="119" spans="1:39" ht="13.5" customHeight="1" x14ac:dyDescent="0.3">
      <c r="A119" s="238" t="str">
        <f t="shared" si="117"/>
        <v>ARIMAX</v>
      </c>
      <c r="B119" s="248">
        <v>100</v>
      </c>
      <c r="C119" s="249">
        <v>0.13888888888888901</v>
      </c>
      <c r="D119" s="248">
        <v>95</v>
      </c>
      <c r="E119" s="249">
        <v>0.115151515151515</v>
      </c>
      <c r="F119" s="248">
        <v>95</v>
      </c>
      <c r="G119" s="249">
        <v>0.11656441717791401</v>
      </c>
      <c r="H119" s="248">
        <v>10</v>
      </c>
      <c r="I119" s="249">
        <v>0.104058272632674</v>
      </c>
      <c r="J119" s="248">
        <v>90</v>
      </c>
      <c r="K119" s="249">
        <v>0.123287671232877</v>
      </c>
      <c r="L119" s="248">
        <v>90</v>
      </c>
      <c r="M119" s="249">
        <v>0.19354838709677399</v>
      </c>
      <c r="O119" s="246">
        <f t="shared" si="118"/>
        <v>62.5</v>
      </c>
      <c r="P119" s="246"/>
      <c r="Q119" s="246">
        <f t="shared" si="119"/>
        <v>68.75</v>
      </c>
      <c r="R119" s="246"/>
      <c r="S119" s="246">
        <f t="shared" si="120"/>
        <v>77.5</v>
      </c>
      <c r="T119" s="246"/>
      <c r="U119" s="246">
        <f t="shared" si="121"/>
        <v>35.024999999999999</v>
      </c>
      <c r="V119" s="246"/>
      <c r="W119" s="246">
        <f t="shared" si="122"/>
        <v>61.25</v>
      </c>
      <c r="X119" s="246"/>
      <c r="Y119" s="246">
        <f t="shared" si="123"/>
        <v>52.5</v>
      </c>
      <c r="AA119" s="241">
        <f t="shared" si="124"/>
        <v>250</v>
      </c>
      <c r="AC119" s="241">
        <f t="shared" si="125"/>
        <v>275</v>
      </c>
      <c r="AE119" s="241">
        <f t="shared" si="126"/>
        <v>310</v>
      </c>
      <c r="AG119" s="241">
        <f t="shared" si="127"/>
        <v>140.1</v>
      </c>
      <c r="AI119" s="241">
        <f t="shared" si="128"/>
        <v>245</v>
      </c>
      <c r="AK119" s="241">
        <f t="shared" si="129"/>
        <v>210</v>
      </c>
    </row>
    <row r="120" spans="1:39" ht="13.5" customHeight="1" x14ac:dyDescent="0.3">
      <c r="A120" s="238" t="str">
        <f t="shared" si="117"/>
        <v>PCE</v>
      </c>
      <c r="B120" s="248">
        <v>95</v>
      </c>
      <c r="C120" s="249">
        <v>0.131944444444444</v>
      </c>
      <c r="D120" s="248">
        <v>95</v>
      </c>
      <c r="E120" s="249">
        <v>0.115151515151515</v>
      </c>
      <c r="F120" s="248">
        <v>90</v>
      </c>
      <c r="G120" s="249">
        <v>0.110429447852761</v>
      </c>
      <c r="H120" s="248">
        <v>1</v>
      </c>
      <c r="I120" s="249">
        <v>1.04058272632674E-2</v>
      </c>
      <c r="J120" s="248">
        <v>75</v>
      </c>
      <c r="K120" s="249">
        <v>0.102739726027397</v>
      </c>
      <c r="L120" s="248">
        <v>75</v>
      </c>
      <c r="M120" s="249">
        <v>0.16129032258064499</v>
      </c>
      <c r="O120" s="246">
        <f t="shared" si="118"/>
        <v>43.75</v>
      </c>
      <c r="P120" s="246"/>
      <c r="Q120" s="246">
        <f t="shared" si="119"/>
        <v>61.25</v>
      </c>
      <c r="R120" s="246"/>
      <c r="S120" s="246">
        <f t="shared" si="120"/>
        <v>85</v>
      </c>
      <c r="T120" s="246"/>
      <c r="U120" s="246">
        <f t="shared" si="121"/>
        <v>12.525</v>
      </c>
      <c r="V120" s="246"/>
      <c r="W120" s="246">
        <f t="shared" si="122"/>
        <v>70</v>
      </c>
      <c r="X120" s="246"/>
      <c r="Y120" s="246">
        <f t="shared" si="123"/>
        <v>78.75</v>
      </c>
      <c r="AA120" s="241">
        <f t="shared" si="124"/>
        <v>175</v>
      </c>
      <c r="AC120" s="241">
        <f t="shared" si="125"/>
        <v>245</v>
      </c>
      <c r="AE120" s="241">
        <f t="shared" si="126"/>
        <v>340</v>
      </c>
      <c r="AG120" s="241">
        <f t="shared" si="127"/>
        <v>50.1</v>
      </c>
      <c r="AI120" s="241">
        <f t="shared" si="128"/>
        <v>280</v>
      </c>
      <c r="AK120" s="241">
        <f t="shared" si="129"/>
        <v>315</v>
      </c>
    </row>
    <row r="121" spans="1:39" ht="13.5" customHeight="1" x14ac:dyDescent="0.3">
      <c r="A121" s="238" t="str">
        <f t="shared" si="117"/>
        <v>LSTM</v>
      </c>
      <c r="B121" s="248">
        <v>80</v>
      </c>
      <c r="C121" s="249">
        <v>0.11111111111111099</v>
      </c>
      <c r="D121" s="248">
        <v>90</v>
      </c>
      <c r="E121" s="249">
        <v>0.109090909090909</v>
      </c>
      <c r="F121" s="248">
        <v>95</v>
      </c>
      <c r="G121" s="249">
        <v>0.11656441717791401</v>
      </c>
      <c r="H121" s="248">
        <v>5</v>
      </c>
      <c r="I121" s="249">
        <v>5.2029136316337203E-2</v>
      </c>
      <c r="J121" s="248">
        <v>75</v>
      </c>
      <c r="K121" s="249">
        <v>0.102739726027397</v>
      </c>
      <c r="L121" s="248">
        <v>90</v>
      </c>
      <c r="M121" s="249">
        <v>0.19354838709677399</v>
      </c>
      <c r="O121" s="246">
        <f t="shared" si="118"/>
        <v>80</v>
      </c>
      <c r="P121" s="246"/>
      <c r="Q121" s="246">
        <f t="shared" si="119"/>
        <v>72.5</v>
      </c>
      <c r="R121" s="246"/>
      <c r="S121" s="246">
        <f t="shared" si="120"/>
        <v>76.25</v>
      </c>
      <c r="T121" s="246"/>
      <c r="U121" s="246">
        <f t="shared" si="121"/>
        <v>6.75</v>
      </c>
      <c r="V121" s="246"/>
      <c r="W121" s="246">
        <f t="shared" si="122"/>
        <v>70</v>
      </c>
      <c r="X121" s="246"/>
      <c r="Y121" s="246">
        <f t="shared" si="123"/>
        <v>70</v>
      </c>
      <c r="AA121" s="241">
        <f t="shared" si="124"/>
        <v>320</v>
      </c>
      <c r="AC121" s="241">
        <f t="shared" si="125"/>
        <v>290</v>
      </c>
      <c r="AE121" s="241">
        <f t="shared" si="126"/>
        <v>305</v>
      </c>
      <c r="AG121" s="241">
        <f t="shared" si="127"/>
        <v>27</v>
      </c>
      <c r="AI121" s="241">
        <f t="shared" si="128"/>
        <v>280</v>
      </c>
      <c r="AK121" s="241">
        <f t="shared" si="129"/>
        <v>280</v>
      </c>
    </row>
    <row r="122" spans="1:39" ht="13.5" customHeight="1" x14ac:dyDescent="0.3">
      <c r="A122" s="238" t="str">
        <f t="shared" si="117"/>
        <v>GARCH</v>
      </c>
      <c r="B122" s="248">
        <v>95</v>
      </c>
      <c r="C122" s="249">
        <v>0.131944444444444</v>
      </c>
      <c r="D122" s="248">
        <v>90</v>
      </c>
      <c r="E122" s="249">
        <v>0.109090909090909</v>
      </c>
      <c r="F122" s="248">
        <v>95</v>
      </c>
      <c r="G122" s="249">
        <v>0.11656441717791401</v>
      </c>
      <c r="H122" s="248">
        <v>10</v>
      </c>
      <c r="I122" s="249">
        <v>0.104058272632674</v>
      </c>
      <c r="J122" s="248">
        <v>90</v>
      </c>
      <c r="K122" s="249">
        <v>0.123287671232877</v>
      </c>
      <c r="L122" s="248">
        <v>75</v>
      </c>
      <c r="M122" s="249">
        <v>0.16129032258064499</v>
      </c>
      <c r="O122" s="246">
        <f t="shared" si="118"/>
        <v>82.5</v>
      </c>
      <c r="P122" s="246"/>
      <c r="Q122" s="246">
        <f t="shared" si="119"/>
        <v>80</v>
      </c>
      <c r="R122" s="246"/>
      <c r="S122" s="246">
        <f t="shared" si="120"/>
        <v>78.75</v>
      </c>
      <c r="T122" s="246"/>
      <c r="U122" s="246">
        <f t="shared" si="121"/>
        <v>42.5</v>
      </c>
      <c r="V122" s="246"/>
      <c r="W122" s="246">
        <f t="shared" si="122"/>
        <v>65</v>
      </c>
      <c r="X122" s="246"/>
      <c r="Y122" s="246">
        <f t="shared" si="123"/>
        <v>73.75</v>
      </c>
      <c r="AA122" s="241">
        <f t="shared" si="124"/>
        <v>330</v>
      </c>
      <c r="AC122" s="241">
        <f t="shared" si="125"/>
        <v>320</v>
      </c>
      <c r="AE122" s="241">
        <f t="shared" si="126"/>
        <v>315</v>
      </c>
      <c r="AG122" s="241">
        <f t="shared" si="127"/>
        <v>170</v>
      </c>
      <c r="AI122" s="241">
        <f t="shared" si="128"/>
        <v>260</v>
      </c>
      <c r="AK122" s="241">
        <f t="shared" si="129"/>
        <v>295</v>
      </c>
    </row>
    <row r="123" spans="1:39" ht="13.5" customHeight="1" x14ac:dyDescent="0.3">
      <c r="A123" s="238" t="str">
        <f t="shared" si="117"/>
        <v>VAR</v>
      </c>
      <c r="B123" s="248">
        <v>0</v>
      </c>
      <c r="C123" s="249">
        <v>0</v>
      </c>
      <c r="D123" s="248">
        <v>90</v>
      </c>
      <c r="E123" s="249">
        <v>0.109090909090909</v>
      </c>
      <c r="F123" s="248">
        <v>90</v>
      </c>
      <c r="G123" s="249">
        <v>0.110429447852761</v>
      </c>
      <c r="H123" s="248">
        <v>10</v>
      </c>
      <c r="I123" s="249">
        <v>0.104058272632674</v>
      </c>
      <c r="J123" s="248">
        <v>90</v>
      </c>
      <c r="K123" s="249">
        <v>0.123287671232877</v>
      </c>
      <c r="L123" s="248">
        <v>80</v>
      </c>
      <c r="M123" s="249">
        <v>0.17204301075268799</v>
      </c>
      <c r="O123" s="246">
        <f t="shared" si="118"/>
        <v>0</v>
      </c>
      <c r="P123" s="246"/>
      <c r="Q123" s="246">
        <f t="shared" si="119"/>
        <v>77.5</v>
      </c>
      <c r="R123" s="246"/>
      <c r="S123" s="246">
        <f t="shared" si="120"/>
        <v>93.75</v>
      </c>
      <c r="T123" s="246"/>
      <c r="U123" s="246">
        <f t="shared" si="121"/>
        <v>31.25</v>
      </c>
      <c r="V123" s="246"/>
      <c r="W123" s="246">
        <f t="shared" si="122"/>
        <v>71.25</v>
      </c>
      <c r="X123" s="246"/>
      <c r="Y123" s="246">
        <f t="shared" si="123"/>
        <v>70</v>
      </c>
      <c r="AA123" s="241">
        <f t="shared" si="124"/>
        <v>0</v>
      </c>
      <c r="AC123" s="241">
        <f t="shared" si="125"/>
        <v>310</v>
      </c>
      <c r="AE123" s="241">
        <f t="shared" si="126"/>
        <v>375</v>
      </c>
      <c r="AG123" s="241">
        <f t="shared" si="127"/>
        <v>125</v>
      </c>
      <c r="AI123" s="241">
        <f t="shared" si="128"/>
        <v>285</v>
      </c>
      <c r="AK123" s="241">
        <f t="shared" si="129"/>
        <v>280</v>
      </c>
    </row>
    <row r="124" spans="1:39" ht="13.5" customHeight="1" x14ac:dyDescent="0.3">
      <c r="A124" s="238" t="str">
        <f t="shared" si="117"/>
        <v>RW</v>
      </c>
      <c r="B124" s="248">
        <v>95</v>
      </c>
      <c r="C124" s="249">
        <v>0.131944444444444</v>
      </c>
      <c r="D124" s="248">
        <v>90</v>
      </c>
      <c r="E124" s="249">
        <v>0.109090909090909</v>
      </c>
      <c r="F124" s="248">
        <v>95</v>
      </c>
      <c r="G124" s="249">
        <v>0.11656441717791401</v>
      </c>
      <c r="H124" s="248">
        <v>20</v>
      </c>
      <c r="I124" s="249">
        <v>0.20811654526534901</v>
      </c>
      <c r="J124" s="248">
        <v>90</v>
      </c>
      <c r="K124" s="249">
        <v>0.123287671232877</v>
      </c>
      <c r="L124" s="248">
        <v>5</v>
      </c>
      <c r="M124" s="249">
        <v>1.0752688172042999E-2</v>
      </c>
      <c r="O124" s="246">
        <f t="shared" si="118"/>
        <v>83.75</v>
      </c>
      <c r="P124" s="246"/>
      <c r="Q124" s="246">
        <f t="shared" si="119"/>
        <v>80</v>
      </c>
      <c r="R124" s="246"/>
      <c r="S124" s="246">
        <f t="shared" si="120"/>
        <v>86.25</v>
      </c>
      <c r="T124" s="246"/>
      <c r="U124" s="246">
        <f t="shared" si="121"/>
        <v>46.25</v>
      </c>
      <c r="V124" s="246"/>
      <c r="W124" s="246">
        <f t="shared" si="122"/>
        <v>71.25</v>
      </c>
      <c r="X124" s="246"/>
      <c r="Y124" s="246">
        <f t="shared" si="123"/>
        <v>60.024999999999999</v>
      </c>
      <c r="AA124" s="241">
        <f t="shared" si="124"/>
        <v>335</v>
      </c>
      <c r="AC124" s="241">
        <f t="shared" si="125"/>
        <v>320</v>
      </c>
      <c r="AE124" s="241">
        <f t="shared" si="126"/>
        <v>345</v>
      </c>
      <c r="AG124" s="241">
        <f t="shared" si="127"/>
        <v>185</v>
      </c>
      <c r="AI124" s="241">
        <f t="shared" si="128"/>
        <v>285</v>
      </c>
      <c r="AK124" s="241">
        <f t="shared" si="129"/>
        <v>240.1</v>
      </c>
    </row>
    <row r="125" spans="1:39" ht="13.5" customHeight="1" x14ac:dyDescent="0.3">
      <c r="A125" s="238" t="str">
        <f t="shared" si="117"/>
        <v>ETS</v>
      </c>
      <c r="B125" s="248">
        <v>95</v>
      </c>
      <c r="C125" s="249">
        <v>0.131944444444444</v>
      </c>
      <c r="D125" s="248">
        <v>90</v>
      </c>
      <c r="E125" s="249">
        <v>0.109090909090909</v>
      </c>
      <c r="F125" s="248">
        <v>95</v>
      </c>
      <c r="G125" s="249">
        <v>0.11656441717791401</v>
      </c>
      <c r="H125" s="248">
        <v>20</v>
      </c>
      <c r="I125" s="249">
        <v>0.20811654526534901</v>
      </c>
      <c r="J125" s="248">
        <v>90</v>
      </c>
      <c r="K125" s="249">
        <v>0.123287671232877</v>
      </c>
      <c r="L125" s="248">
        <v>5</v>
      </c>
      <c r="M125" s="249">
        <v>1.0752688172042999E-2</v>
      </c>
      <c r="O125" s="246">
        <f t="shared" si="118"/>
        <v>83.75</v>
      </c>
      <c r="P125" s="246"/>
      <c r="Q125" s="246">
        <f t="shared" si="119"/>
        <v>81.25</v>
      </c>
      <c r="R125" s="246"/>
      <c r="S125" s="246">
        <f t="shared" si="120"/>
        <v>86.25</v>
      </c>
      <c r="T125" s="246"/>
      <c r="U125" s="246">
        <f t="shared" si="121"/>
        <v>48.75</v>
      </c>
      <c r="V125" s="246"/>
      <c r="W125" s="246">
        <f t="shared" si="122"/>
        <v>71.25</v>
      </c>
      <c r="X125" s="246"/>
      <c r="Y125" s="246">
        <f t="shared" si="123"/>
        <v>60.024999999999999</v>
      </c>
      <c r="AA125" s="241">
        <f t="shared" si="124"/>
        <v>335</v>
      </c>
      <c r="AC125" s="241">
        <f t="shared" si="125"/>
        <v>325</v>
      </c>
      <c r="AE125" s="241">
        <f t="shared" si="126"/>
        <v>345</v>
      </c>
      <c r="AG125" s="241">
        <f t="shared" si="127"/>
        <v>195</v>
      </c>
      <c r="AI125" s="241">
        <f t="shared" si="128"/>
        <v>285</v>
      </c>
      <c r="AK125" s="241">
        <f t="shared" si="129"/>
        <v>240.1</v>
      </c>
    </row>
    <row r="126" spans="1:39" ht="13.5" customHeight="1" x14ac:dyDescent="0.3">
      <c r="A126" s="238" t="str">
        <f t="shared" si="117"/>
        <v>DynaMix</v>
      </c>
      <c r="B126" s="248">
        <v>80</v>
      </c>
      <c r="C126" s="249">
        <v>0.11111111111111099</v>
      </c>
      <c r="D126" s="248">
        <v>95</v>
      </c>
      <c r="E126" s="249">
        <v>0.115151515151515</v>
      </c>
      <c r="F126" s="248">
        <v>90</v>
      </c>
      <c r="G126" s="249">
        <v>0.110429447852761</v>
      </c>
      <c r="H126" s="248">
        <v>20</v>
      </c>
      <c r="I126" s="249">
        <v>0.20811654526534901</v>
      </c>
      <c r="J126" s="248">
        <v>70</v>
      </c>
      <c r="K126" s="249">
        <v>9.5890410958904104E-2</v>
      </c>
      <c r="L126" s="248">
        <v>5</v>
      </c>
      <c r="M126" s="249">
        <v>1.0752688172042999E-2</v>
      </c>
      <c r="O126" s="246">
        <f t="shared" si="118"/>
        <v>68.75</v>
      </c>
      <c r="P126" s="246"/>
      <c r="Q126" s="246">
        <f t="shared" si="119"/>
        <v>72.5</v>
      </c>
      <c r="R126" s="246"/>
      <c r="S126" s="246">
        <f t="shared" si="120"/>
        <v>82.5</v>
      </c>
      <c r="T126" s="246"/>
      <c r="U126" s="246">
        <f t="shared" si="121"/>
        <v>52.5</v>
      </c>
      <c r="V126" s="246"/>
      <c r="W126" s="246">
        <f t="shared" si="122"/>
        <v>65</v>
      </c>
      <c r="X126" s="246"/>
      <c r="Y126" s="246">
        <f t="shared" si="123"/>
        <v>51.274999999999999</v>
      </c>
      <c r="AA126" s="241">
        <f t="shared" si="124"/>
        <v>275</v>
      </c>
      <c r="AC126" s="241">
        <f t="shared" si="125"/>
        <v>290</v>
      </c>
      <c r="AE126" s="241">
        <f t="shared" si="126"/>
        <v>330</v>
      </c>
      <c r="AG126" s="241">
        <f t="shared" si="127"/>
        <v>210</v>
      </c>
      <c r="AI126" s="241">
        <f t="shared" si="128"/>
        <v>260</v>
      </c>
      <c r="AK126" s="241">
        <f t="shared" si="129"/>
        <v>205.1</v>
      </c>
    </row>
    <row r="127" spans="1:39" ht="13.5" customHeight="1" x14ac:dyDescent="0.3">
      <c r="O127" s="255"/>
      <c r="P127" s="255"/>
      <c r="Q127" s="255"/>
      <c r="R127" s="255"/>
      <c r="S127" s="255"/>
      <c r="T127" s="255"/>
      <c r="U127" s="255"/>
      <c r="V127" s="255"/>
      <c r="W127" s="255"/>
      <c r="X127" s="255"/>
      <c r="Y127" s="255"/>
    </row>
    <row r="128" spans="1:39" ht="13.5" customHeight="1" x14ac:dyDescent="0.3">
      <c r="A128" s="247" t="s">
        <v>59</v>
      </c>
      <c r="B128" s="248" t="s">
        <v>12</v>
      </c>
      <c r="C128" s="249">
        <v>680</v>
      </c>
      <c r="D128" s="248" t="s">
        <v>13</v>
      </c>
      <c r="E128" s="249">
        <v>605</v>
      </c>
      <c r="F128" s="248" t="s">
        <v>14</v>
      </c>
      <c r="G128" s="249">
        <v>705</v>
      </c>
      <c r="H128" s="248" t="s">
        <v>15</v>
      </c>
      <c r="I128" s="249">
        <v>290.10000000000002</v>
      </c>
      <c r="J128" s="248" t="s">
        <v>16</v>
      </c>
      <c r="K128" s="249">
        <v>595</v>
      </c>
      <c r="L128" s="248" t="s">
        <v>17</v>
      </c>
      <c r="M128" s="249">
        <v>705</v>
      </c>
      <c r="N128" s="250"/>
      <c r="O128" s="246" t="s">
        <v>12</v>
      </c>
      <c r="P128" s="246"/>
      <c r="Q128" s="246" t="s">
        <v>13</v>
      </c>
      <c r="R128" s="246"/>
      <c r="S128" s="246" t="s">
        <v>14</v>
      </c>
      <c r="T128" s="246"/>
      <c r="U128" s="246" t="s">
        <v>15</v>
      </c>
      <c r="V128" s="246"/>
      <c r="W128" s="246" t="s">
        <v>16</v>
      </c>
      <c r="X128" s="246"/>
      <c r="Y128" s="246" t="s">
        <v>17</v>
      </c>
      <c r="AA128" s="241" t="s">
        <v>12</v>
      </c>
      <c r="AC128" s="241" t="s">
        <v>13</v>
      </c>
      <c r="AE128" s="241" t="s">
        <v>14</v>
      </c>
      <c r="AG128" s="241" t="s">
        <v>15</v>
      </c>
      <c r="AI128" s="241" t="s">
        <v>16</v>
      </c>
      <c r="AK128" s="241" t="s">
        <v>17</v>
      </c>
      <c r="AM128" s="239">
        <f>AM139</f>
        <v>4</v>
      </c>
    </row>
    <row r="129" spans="1:39" ht="13.5" customHeight="1" x14ac:dyDescent="0.3">
      <c r="A129" s="238" t="str">
        <f t="shared" ref="A129:A137" si="130">A140</f>
        <v>PyCaret</v>
      </c>
      <c r="B129" s="248">
        <v>90</v>
      </c>
      <c r="C129" s="249">
        <v>0.13235294117647101</v>
      </c>
      <c r="D129" s="248">
        <v>70</v>
      </c>
      <c r="E129" s="249">
        <v>0.11570247933884301</v>
      </c>
      <c r="F129" s="248">
        <v>40</v>
      </c>
      <c r="G129" s="249">
        <v>5.6737588652482303E-2</v>
      </c>
      <c r="H129" s="248">
        <v>20</v>
      </c>
      <c r="I129" s="249">
        <v>6.8941744226128907E-2</v>
      </c>
      <c r="J129" s="248">
        <v>95</v>
      </c>
      <c r="K129" s="249">
        <v>0.159663865546218</v>
      </c>
      <c r="L129" s="248">
        <v>65</v>
      </c>
      <c r="M129" s="249">
        <v>9.2198581560283696E-2</v>
      </c>
      <c r="N129" s="250"/>
      <c r="O129" s="246">
        <f t="shared" ref="O129:O137" si="131">AA129/$AM$172</f>
        <v>73.75</v>
      </c>
      <c r="P129" s="246"/>
      <c r="Q129" s="246">
        <f t="shared" ref="Q129:Q137" si="132">AC129/$AM$172</f>
        <v>70</v>
      </c>
      <c r="R129" s="246"/>
      <c r="S129" s="246">
        <f t="shared" ref="S129:S137" si="133">AE129/$AM$172</f>
        <v>76.25</v>
      </c>
      <c r="T129" s="246"/>
      <c r="U129" s="246">
        <f t="shared" ref="U129:U137" si="134">AG129/$AM$172</f>
        <v>30.024999999999999</v>
      </c>
      <c r="V129" s="246"/>
      <c r="W129" s="246">
        <f t="shared" ref="W129:W137" si="135">AI129/$AM$172</f>
        <v>66.25</v>
      </c>
      <c r="X129" s="246"/>
      <c r="Y129" s="246">
        <f t="shared" ref="Y129:Y137" si="136">AK129/$AM$172</f>
        <v>73.75</v>
      </c>
      <c r="AA129" s="241">
        <f t="shared" ref="AA129:AA137" si="137">(B173+B162+B151+B140)</f>
        <v>295</v>
      </c>
      <c r="AC129" s="241">
        <f t="shared" ref="AC129:AC137" si="138">(D173+D162+D151+D140)</f>
        <v>280</v>
      </c>
      <c r="AE129" s="241">
        <f t="shared" ref="AE129:AE137" si="139">(F173+F162+F151+F140)</f>
        <v>305</v>
      </c>
      <c r="AG129" s="241">
        <f t="shared" ref="AG129:AG137" si="140">(H173+H162+H151+H140)</f>
        <v>120.1</v>
      </c>
      <c r="AI129" s="241">
        <f t="shared" ref="AI129:AI137" si="141">(J173+J162+J151+J140)</f>
        <v>265</v>
      </c>
      <c r="AK129" s="241">
        <f t="shared" ref="AK129:AK137" si="142">(L173+L162+L151+L140)</f>
        <v>295</v>
      </c>
    </row>
    <row r="130" spans="1:39" ht="13.5" customHeight="1" x14ac:dyDescent="0.3">
      <c r="A130" s="238" t="str">
        <f t="shared" si="130"/>
        <v>ARIMAX</v>
      </c>
      <c r="B130" s="248">
        <v>70</v>
      </c>
      <c r="C130" s="249">
        <v>0.10294117647058799</v>
      </c>
      <c r="D130" s="248">
        <v>70</v>
      </c>
      <c r="E130" s="249">
        <v>0.11570247933884301</v>
      </c>
      <c r="F130" s="248">
        <v>70</v>
      </c>
      <c r="G130" s="249">
        <v>9.9290780141844004E-2</v>
      </c>
      <c r="H130" s="248">
        <v>90</v>
      </c>
      <c r="I130" s="249">
        <v>0.31023784901758</v>
      </c>
      <c r="J130" s="248">
        <v>60</v>
      </c>
      <c r="K130" s="249">
        <v>0.10084033613445401</v>
      </c>
      <c r="L130" s="248">
        <v>70</v>
      </c>
      <c r="M130" s="249">
        <v>9.9290780141844004E-2</v>
      </c>
      <c r="N130" s="250"/>
      <c r="O130" s="246">
        <f t="shared" si="131"/>
        <v>65</v>
      </c>
      <c r="P130" s="246"/>
      <c r="Q130" s="246">
        <f t="shared" si="132"/>
        <v>67.5</v>
      </c>
      <c r="R130" s="246"/>
      <c r="S130" s="246">
        <f t="shared" si="133"/>
        <v>75</v>
      </c>
      <c r="T130" s="246"/>
      <c r="U130" s="246">
        <f t="shared" si="134"/>
        <v>20.024999999999999</v>
      </c>
      <c r="V130" s="246"/>
      <c r="W130" s="246">
        <f t="shared" si="135"/>
        <v>61.25</v>
      </c>
      <c r="X130" s="246"/>
      <c r="Y130" s="246">
        <f t="shared" si="136"/>
        <v>50</v>
      </c>
      <c r="AA130" s="241">
        <f t="shared" si="137"/>
        <v>260</v>
      </c>
      <c r="AC130" s="241">
        <f t="shared" si="138"/>
        <v>270</v>
      </c>
      <c r="AE130" s="241">
        <f t="shared" si="139"/>
        <v>300</v>
      </c>
      <c r="AG130" s="241">
        <f t="shared" si="140"/>
        <v>80.099999999999994</v>
      </c>
      <c r="AI130" s="241">
        <f t="shared" si="141"/>
        <v>245</v>
      </c>
      <c r="AK130" s="241">
        <f t="shared" si="142"/>
        <v>200</v>
      </c>
    </row>
    <row r="131" spans="1:39" ht="13.5" customHeight="1" x14ac:dyDescent="0.3">
      <c r="A131" s="238" t="str">
        <f t="shared" si="130"/>
        <v>PCE</v>
      </c>
      <c r="B131" s="248">
        <v>80</v>
      </c>
      <c r="C131" s="249">
        <v>0.11764705882352899</v>
      </c>
      <c r="D131" s="248">
        <v>60</v>
      </c>
      <c r="E131" s="249">
        <v>9.9173553719008295E-2</v>
      </c>
      <c r="F131" s="248">
        <v>95</v>
      </c>
      <c r="G131" s="249">
        <v>0.134751773049645</v>
      </c>
      <c r="H131" s="248">
        <v>0.1</v>
      </c>
      <c r="I131" s="249">
        <v>3.4470872113064499E-4</v>
      </c>
      <c r="J131" s="248">
        <v>70</v>
      </c>
      <c r="K131" s="249">
        <v>0.11764705882352899</v>
      </c>
      <c r="L131" s="248">
        <v>90</v>
      </c>
      <c r="M131" s="249">
        <v>0.12765957446808501</v>
      </c>
      <c r="N131" s="250"/>
      <c r="O131" s="246">
        <f t="shared" si="131"/>
        <v>40</v>
      </c>
      <c r="P131" s="246"/>
      <c r="Q131" s="246">
        <f t="shared" si="132"/>
        <v>62.5</v>
      </c>
      <c r="R131" s="246"/>
      <c r="S131" s="246">
        <f t="shared" si="133"/>
        <v>78.75</v>
      </c>
      <c r="T131" s="246"/>
      <c r="U131" s="246">
        <f t="shared" si="134"/>
        <v>13</v>
      </c>
      <c r="V131" s="246"/>
      <c r="W131" s="246">
        <f t="shared" si="135"/>
        <v>68.75</v>
      </c>
      <c r="X131" s="246"/>
      <c r="Y131" s="246">
        <f t="shared" si="136"/>
        <v>73.75</v>
      </c>
      <c r="AA131" s="241">
        <f t="shared" si="137"/>
        <v>160</v>
      </c>
      <c r="AC131" s="241">
        <f t="shared" si="138"/>
        <v>250</v>
      </c>
      <c r="AE131" s="241">
        <f t="shared" si="139"/>
        <v>315</v>
      </c>
      <c r="AG131" s="241">
        <f t="shared" si="140"/>
        <v>52</v>
      </c>
      <c r="AI131" s="241">
        <f t="shared" si="141"/>
        <v>275</v>
      </c>
      <c r="AK131" s="241">
        <f t="shared" si="142"/>
        <v>295</v>
      </c>
    </row>
    <row r="132" spans="1:39" ht="13.5" customHeight="1" x14ac:dyDescent="0.3">
      <c r="A132" s="238" t="str">
        <f t="shared" si="130"/>
        <v>LSTM</v>
      </c>
      <c r="B132" s="248">
        <v>90</v>
      </c>
      <c r="C132" s="249">
        <v>0.13235294117647101</v>
      </c>
      <c r="D132" s="248">
        <v>60</v>
      </c>
      <c r="E132" s="249">
        <v>9.9173553719008295E-2</v>
      </c>
      <c r="F132" s="248">
        <v>80</v>
      </c>
      <c r="G132" s="249">
        <v>0.11347517730496499</v>
      </c>
      <c r="H132" s="248">
        <v>10</v>
      </c>
      <c r="I132" s="249">
        <v>3.4470872113064502E-2</v>
      </c>
      <c r="J132" s="248">
        <v>70</v>
      </c>
      <c r="K132" s="249">
        <v>0.11764705882352899</v>
      </c>
      <c r="L132" s="248">
        <v>90</v>
      </c>
      <c r="M132" s="249">
        <v>0.12765957446808501</v>
      </c>
      <c r="N132" s="250"/>
      <c r="O132" s="246">
        <f t="shared" si="131"/>
        <v>72.5</v>
      </c>
      <c r="P132" s="246"/>
      <c r="Q132" s="246">
        <f t="shared" si="132"/>
        <v>81.25</v>
      </c>
      <c r="R132" s="246"/>
      <c r="S132" s="246">
        <f t="shared" si="133"/>
        <v>73.75</v>
      </c>
      <c r="T132" s="246"/>
      <c r="U132" s="246">
        <f t="shared" si="134"/>
        <v>4.75</v>
      </c>
      <c r="V132" s="246"/>
      <c r="W132" s="246">
        <f t="shared" si="135"/>
        <v>67.5</v>
      </c>
      <c r="X132" s="246"/>
      <c r="Y132" s="246">
        <f t="shared" si="136"/>
        <v>63.75</v>
      </c>
      <c r="AA132" s="241">
        <f t="shared" si="137"/>
        <v>290</v>
      </c>
      <c r="AC132" s="241">
        <f t="shared" si="138"/>
        <v>325</v>
      </c>
      <c r="AE132" s="241">
        <f t="shared" si="139"/>
        <v>295</v>
      </c>
      <c r="AG132" s="241">
        <f t="shared" si="140"/>
        <v>19</v>
      </c>
      <c r="AI132" s="241">
        <f t="shared" si="141"/>
        <v>270</v>
      </c>
      <c r="AK132" s="241">
        <f t="shared" si="142"/>
        <v>255</v>
      </c>
    </row>
    <row r="133" spans="1:39" ht="13.5" customHeight="1" x14ac:dyDescent="0.3">
      <c r="A133" s="238" t="str">
        <f t="shared" si="130"/>
        <v>GARCH</v>
      </c>
      <c r="B133" s="248">
        <v>95</v>
      </c>
      <c r="C133" s="249">
        <v>0.13970588235294101</v>
      </c>
      <c r="D133" s="248">
        <v>70</v>
      </c>
      <c r="E133" s="249">
        <v>0.11570247933884301</v>
      </c>
      <c r="F133" s="248">
        <v>75</v>
      </c>
      <c r="G133" s="249">
        <v>0.10638297872340401</v>
      </c>
      <c r="H133" s="248">
        <v>30</v>
      </c>
      <c r="I133" s="249">
        <v>0.10341261633919301</v>
      </c>
      <c r="J133" s="248">
        <v>60</v>
      </c>
      <c r="K133" s="249">
        <v>0.10084033613445401</v>
      </c>
      <c r="L133" s="248">
        <v>95</v>
      </c>
      <c r="M133" s="249">
        <v>0.134751773049645</v>
      </c>
      <c r="N133" s="250"/>
      <c r="O133" s="246">
        <f t="shared" si="131"/>
        <v>77.5</v>
      </c>
      <c r="P133" s="246"/>
      <c r="Q133" s="246">
        <f t="shared" si="132"/>
        <v>78.75</v>
      </c>
      <c r="R133" s="246"/>
      <c r="S133" s="246">
        <f t="shared" si="133"/>
        <v>75</v>
      </c>
      <c r="T133" s="246"/>
      <c r="U133" s="246">
        <f t="shared" si="134"/>
        <v>36.25</v>
      </c>
      <c r="V133" s="246"/>
      <c r="W133" s="246">
        <f t="shared" si="135"/>
        <v>62.5</v>
      </c>
      <c r="X133" s="246"/>
      <c r="Y133" s="246">
        <f t="shared" si="136"/>
        <v>65</v>
      </c>
      <c r="AA133" s="241">
        <f t="shared" si="137"/>
        <v>310</v>
      </c>
      <c r="AC133" s="241">
        <f t="shared" si="138"/>
        <v>315</v>
      </c>
      <c r="AE133" s="241">
        <f t="shared" si="139"/>
        <v>300</v>
      </c>
      <c r="AG133" s="241">
        <f t="shared" si="140"/>
        <v>145</v>
      </c>
      <c r="AI133" s="241">
        <f t="shared" si="141"/>
        <v>250</v>
      </c>
      <c r="AK133" s="241">
        <f t="shared" si="142"/>
        <v>260</v>
      </c>
    </row>
    <row r="134" spans="1:39" ht="13.5" customHeight="1" x14ac:dyDescent="0.3">
      <c r="A134" s="238" t="str">
        <f t="shared" si="130"/>
        <v>VAR</v>
      </c>
      <c r="B134" s="248">
        <v>0</v>
      </c>
      <c r="C134" s="249">
        <v>0</v>
      </c>
      <c r="D134" s="248">
        <v>70</v>
      </c>
      <c r="E134" s="249">
        <v>0.11570247933884301</v>
      </c>
      <c r="F134" s="248">
        <v>95</v>
      </c>
      <c r="G134" s="249">
        <v>0.134751773049645</v>
      </c>
      <c r="H134" s="248">
        <v>10</v>
      </c>
      <c r="I134" s="249">
        <v>3.4470872113064502E-2</v>
      </c>
      <c r="J134" s="248">
        <v>60</v>
      </c>
      <c r="K134" s="249">
        <v>0.10084033613445401</v>
      </c>
      <c r="L134" s="248">
        <v>70</v>
      </c>
      <c r="M134" s="249">
        <v>9.9290780141844004E-2</v>
      </c>
      <c r="N134" s="250"/>
      <c r="O134" s="246">
        <f t="shared" si="131"/>
        <v>0</v>
      </c>
      <c r="P134" s="246"/>
      <c r="Q134" s="246">
        <f t="shared" si="132"/>
        <v>76.25</v>
      </c>
      <c r="R134" s="246"/>
      <c r="S134" s="246">
        <f t="shared" si="133"/>
        <v>85</v>
      </c>
      <c r="T134" s="246"/>
      <c r="U134" s="246">
        <f t="shared" si="134"/>
        <v>29.25</v>
      </c>
      <c r="V134" s="246"/>
      <c r="W134" s="246">
        <f t="shared" si="135"/>
        <v>71.25</v>
      </c>
      <c r="X134" s="246"/>
      <c r="Y134" s="246">
        <f t="shared" si="136"/>
        <v>67.5</v>
      </c>
      <c r="AA134" s="241">
        <f t="shared" si="137"/>
        <v>0</v>
      </c>
      <c r="AC134" s="241">
        <f t="shared" si="138"/>
        <v>305</v>
      </c>
      <c r="AE134" s="241">
        <f t="shared" si="139"/>
        <v>340</v>
      </c>
      <c r="AG134" s="241">
        <f t="shared" si="140"/>
        <v>117</v>
      </c>
      <c r="AI134" s="241">
        <f t="shared" si="141"/>
        <v>285</v>
      </c>
      <c r="AK134" s="241">
        <f t="shared" si="142"/>
        <v>270</v>
      </c>
    </row>
    <row r="135" spans="1:39" ht="13.5" customHeight="1" x14ac:dyDescent="0.3">
      <c r="A135" s="238" t="str">
        <f t="shared" si="130"/>
        <v>RW</v>
      </c>
      <c r="B135" s="248">
        <v>95</v>
      </c>
      <c r="C135" s="249">
        <v>0.13970588235294101</v>
      </c>
      <c r="D135" s="248">
        <v>65</v>
      </c>
      <c r="E135" s="249">
        <v>0.107438016528926</v>
      </c>
      <c r="F135" s="248">
        <v>80</v>
      </c>
      <c r="G135" s="249">
        <v>0.11347517730496499</v>
      </c>
      <c r="H135" s="248">
        <v>30</v>
      </c>
      <c r="I135" s="249">
        <v>0.10341261633919301</v>
      </c>
      <c r="J135" s="248">
        <v>60</v>
      </c>
      <c r="K135" s="249">
        <v>0.10084033613445401</v>
      </c>
      <c r="L135" s="248">
        <v>80</v>
      </c>
      <c r="M135" s="249">
        <v>0.11347517730496499</v>
      </c>
      <c r="N135" s="250"/>
      <c r="O135" s="246">
        <f t="shared" si="131"/>
        <v>82.5</v>
      </c>
      <c r="P135" s="246"/>
      <c r="Q135" s="246">
        <f t="shared" si="132"/>
        <v>80</v>
      </c>
      <c r="R135" s="246"/>
      <c r="S135" s="246">
        <f t="shared" si="133"/>
        <v>81.25</v>
      </c>
      <c r="T135" s="246"/>
      <c r="U135" s="246">
        <f t="shared" si="134"/>
        <v>40</v>
      </c>
      <c r="V135" s="246"/>
      <c r="W135" s="246">
        <f t="shared" si="135"/>
        <v>71.25</v>
      </c>
      <c r="X135" s="246"/>
      <c r="Y135" s="246">
        <f t="shared" si="136"/>
        <v>56.274999999999999</v>
      </c>
      <c r="AA135" s="241">
        <f t="shared" si="137"/>
        <v>330</v>
      </c>
      <c r="AC135" s="241">
        <f t="shared" si="138"/>
        <v>320</v>
      </c>
      <c r="AE135" s="241">
        <f t="shared" si="139"/>
        <v>325</v>
      </c>
      <c r="AG135" s="241">
        <f t="shared" si="140"/>
        <v>160</v>
      </c>
      <c r="AI135" s="241">
        <f t="shared" si="141"/>
        <v>285</v>
      </c>
      <c r="AK135" s="241">
        <f t="shared" si="142"/>
        <v>225.1</v>
      </c>
    </row>
    <row r="136" spans="1:39" ht="13.5" customHeight="1" x14ac:dyDescent="0.3">
      <c r="A136" s="238" t="str">
        <f t="shared" si="130"/>
        <v>ETS</v>
      </c>
      <c r="B136" s="248">
        <v>95</v>
      </c>
      <c r="C136" s="249">
        <v>0.13970588235294101</v>
      </c>
      <c r="D136" s="248">
        <v>70</v>
      </c>
      <c r="E136" s="249">
        <v>0.11570247933884301</v>
      </c>
      <c r="F136" s="248">
        <v>80</v>
      </c>
      <c r="G136" s="249">
        <v>0.11347517730496499</v>
      </c>
      <c r="H136" s="248">
        <v>30</v>
      </c>
      <c r="I136" s="249">
        <v>0.10341261633919301</v>
      </c>
      <c r="J136" s="248">
        <v>60</v>
      </c>
      <c r="K136" s="249">
        <v>0.10084033613445401</v>
      </c>
      <c r="L136" s="248">
        <v>80</v>
      </c>
      <c r="M136" s="249">
        <v>0.11347517730496499</v>
      </c>
      <c r="N136" s="250"/>
      <c r="O136" s="246">
        <f t="shared" si="131"/>
        <v>82.5</v>
      </c>
      <c r="P136" s="246"/>
      <c r="Q136" s="246">
        <f t="shared" si="132"/>
        <v>80</v>
      </c>
      <c r="R136" s="246"/>
      <c r="S136" s="246">
        <f t="shared" si="133"/>
        <v>81.25</v>
      </c>
      <c r="T136" s="246"/>
      <c r="U136" s="246">
        <f t="shared" si="134"/>
        <v>42.5</v>
      </c>
      <c r="V136" s="246"/>
      <c r="W136" s="246">
        <f t="shared" si="135"/>
        <v>71.25</v>
      </c>
      <c r="X136" s="246"/>
      <c r="Y136" s="246">
        <f t="shared" si="136"/>
        <v>56.274999999999999</v>
      </c>
      <c r="AA136" s="241">
        <f t="shared" si="137"/>
        <v>330</v>
      </c>
      <c r="AC136" s="241">
        <f t="shared" si="138"/>
        <v>320</v>
      </c>
      <c r="AE136" s="241">
        <f t="shared" si="139"/>
        <v>325</v>
      </c>
      <c r="AG136" s="241">
        <f t="shared" si="140"/>
        <v>170</v>
      </c>
      <c r="AI136" s="241">
        <f t="shared" si="141"/>
        <v>285</v>
      </c>
      <c r="AK136" s="241">
        <f t="shared" si="142"/>
        <v>225.1</v>
      </c>
    </row>
    <row r="137" spans="1:39" ht="13.5" customHeight="1" x14ac:dyDescent="0.3">
      <c r="A137" s="238" t="str">
        <f t="shared" si="130"/>
        <v>DynaMix</v>
      </c>
      <c r="B137" s="248">
        <v>65</v>
      </c>
      <c r="C137" s="249">
        <v>9.5588235294117599E-2</v>
      </c>
      <c r="D137" s="248">
        <v>70</v>
      </c>
      <c r="E137" s="249">
        <v>0.11570247933884301</v>
      </c>
      <c r="F137" s="248">
        <v>90</v>
      </c>
      <c r="G137" s="249">
        <v>0.12765957446808501</v>
      </c>
      <c r="H137" s="248">
        <v>70</v>
      </c>
      <c r="I137" s="249">
        <v>0.241296104791451</v>
      </c>
      <c r="J137" s="248">
        <v>60</v>
      </c>
      <c r="K137" s="249">
        <v>0.10084033613445401</v>
      </c>
      <c r="L137" s="248">
        <v>65</v>
      </c>
      <c r="M137" s="249">
        <v>9.2198581560283696E-2</v>
      </c>
      <c r="N137" s="250"/>
      <c r="O137" s="246">
        <f t="shared" si="131"/>
        <v>70</v>
      </c>
      <c r="P137" s="246"/>
      <c r="Q137" s="246">
        <f t="shared" si="132"/>
        <v>72.5</v>
      </c>
      <c r="R137" s="246"/>
      <c r="S137" s="246">
        <f t="shared" si="133"/>
        <v>76.25</v>
      </c>
      <c r="T137" s="246"/>
      <c r="U137" s="246">
        <f t="shared" si="134"/>
        <v>36.25</v>
      </c>
      <c r="V137" s="246"/>
      <c r="W137" s="246">
        <f t="shared" si="135"/>
        <v>66.25</v>
      </c>
      <c r="X137" s="246"/>
      <c r="Y137" s="246">
        <f t="shared" si="136"/>
        <v>57.524999999999999</v>
      </c>
      <c r="AA137" s="241">
        <f t="shared" si="137"/>
        <v>280</v>
      </c>
      <c r="AC137" s="241">
        <f t="shared" si="138"/>
        <v>290</v>
      </c>
      <c r="AE137" s="241">
        <f t="shared" si="139"/>
        <v>305</v>
      </c>
      <c r="AG137" s="241">
        <f t="shared" si="140"/>
        <v>145</v>
      </c>
      <c r="AI137" s="241">
        <f t="shared" si="141"/>
        <v>265</v>
      </c>
      <c r="AK137" s="241">
        <f t="shared" si="142"/>
        <v>230.1</v>
      </c>
    </row>
    <row r="138" spans="1:39" ht="13.5" customHeight="1" x14ac:dyDescent="0.3">
      <c r="O138" s="255"/>
      <c r="P138" s="255"/>
      <c r="Q138" s="255"/>
      <c r="R138" s="255"/>
      <c r="S138" s="255"/>
      <c r="T138" s="255"/>
      <c r="U138" s="255"/>
      <c r="V138" s="255"/>
      <c r="W138" s="255"/>
      <c r="X138" s="255"/>
      <c r="Y138" s="255"/>
    </row>
    <row r="139" spans="1:39" ht="13.5" customHeight="1" x14ac:dyDescent="0.3">
      <c r="A139" s="247" t="s">
        <v>60</v>
      </c>
      <c r="B139" s="252" t="s">
        <v>12</v>
      </c>
      <c r="C139" s="249">
        <v>490</v>
      </c>
      <c r="D139" s="252" t="s">
        <v>13</v>
      </c>
      <c r="E139" s="249">
        <v>575</v>
      </c>
      <c r="F139" s="252" t="s">
        <v>14</v>
      </c>
      <c r="G139" s="249">
        <v>815</v>
      </c>
      <c r="H139" s="252" t="s">
        <v>15</v>
      </c>
      <c r="I139" s="249">
        <v>250</v>
      </c>
      <c r="J139" s="252" t="s">
        <v>16</v>
      </c>
      <c r="K139" s="249">
        <v>605</v>
      </c>
      <c r="L139" s="252" t="s">
        <v>17</v>
      </c>
      <c r="M139" s="249">
        <v>310.3</v>
      </c>
      <c r="N139" s="253"/>
      <c r="O139" s="246" t="s">
        <v>12</v>
      </c>
      <c r="P139" s="246"/>
      <c r="Q139" s="246" t="s">
        <v>13</v>
      </c>
      <c r="R139" s="246"/>
      <c r="S139" s="246" t="s">
        <v>14</v>
      </c>
      <c r="T139" s="246"/>
      <c r="U139" s="246" t="s">
        <v>15</v>
      </c>
      <c r="V139" s="246"/>
      <c r="W139" s="246" t="s">
        <v>16</v>
      </c>
      <c r="X139" s="246"/>
      <c r="Y139" s="246" t="s">
        <v>17</v>
      </c>
      <c r="AA139" s="241" t="s">
        <v>12</v>
      </c>
      <c r="AC139" s="241" t="s">
        <v>13</v>
      </c>
      <c r="AE139" s="241" t="s">
        <v>14</v>
      </c>
      <c r="AG139" s="241" t="s">
        <v>15</v>
      </c>
      <c r="AI139" s="241" t="s">
        <v>16</v>
      </c>
      <c r="AK139" s="241" t="s">
        <v>17</v>
      </c>
      <c r="AM139" s="239">
        <f>AM150</f>
        <v>4</v>
      </c>
    </row>
    <row r="140" spans="1:39" ht="13.5" customHeight="1" x14ac:dyDescent="0.3">
      <c r="A140" s="238" t="str">
        <f t="shared" ref="A140:A148" si="143">A151</f>
        <v>PyCaret</v>
      </c>
      <c r="B140" s="252">
        <v>60</v>
      </c>
      <c r="C140" s="249">
        <v>0.122448979591837</v>
      </c>
      <c r="D140" s="252">
        <v>50</v>
      </c>
      <c r="E140" s="249">
        <v>8.6956521739130405E-2</v>
      </c>
      <c r="F140" s="252">
        <v>95</v>
      </c>
      <c r="G140" s="249">
        <v>0.11656441717791401</v>
      </c>
      <c r="H140" s="252">
        <v>30</v>
      </c>
      <c r="I140" s="249">
        <v>0.12</v>
      </c>
      <c r="J140" s="252">
        <v>65</v>
      </c>
      <c r="K140" s="249">
        <v>0.107438016528926</v>
      </c>
      <c r="L140" s="252">
        <v>60</v>
      </c>
      <c r="M140" s="249">
        <v>0.19336126329358699</v>
      </c>
      <c r="N140" s="253"/>
      <c r="O140" s="246">
        <f t="shared" ref="O140:O148" si="144">AA140/$AM$172</f>
        <v>81.25</v>
      </c>
      <c r="P140" s="246"/>
      <c r="Q140" s="246">
        <f t="shared" ref="Q140:Q148" si="145">AC140/$AM$172</f>
        <v>80</v>
      </c>
      <c r="R140" s="246"/>
      <c r="S140" s="246">
        <f t="shared" ref="S140:S148" si="146">AE140/$AM$172</f>
        <v>75</v>
      </c>
      <c r="T140" s="246"/>
      <c r="U140" s="246">
        <f t="shared" ref="U140:U148" si="147">AG140/$AM$172</f>
        <v>45.024999999999999</v>
      </c>
      <c r="V140" s="246"/>
      <c r="W140" s="246">
        <f t="shared" ref="W140:W148" si="148">AI140/$AM$172</f>
        <v>72.5</v>
      </c>
      <c r="X140" s="246"/>
      <c r="Y140" s="246">
        <f t="shared" ref="Y140:Y148" si="149">AK140/$AM$172</f>
        <v>81.25</v>
      </c>
      <c r="AA140" s="241">
        <f t="shared" ref="AA140:AA148" si="150">(B184+B173+B162+B151)</f>
        <v>325</v>
      </c>
      <c r="AC140" s="241">
        <f t="shared" ref="AC140:AC148" si="151">(D184+D173+D162+D151)</f>
        <v>320</v>
      </c>
      <c r="AE140" s="241">
        <f t="shared" ref="AE140:AE148" si="152">(F184+F173+F162+F151)</f>
        <v>300</v>
      </c>
      <c r="AG140" s="241">
        <f t="shared" ref="AG140:AG148" si="153">(H184+H173+H162+H151)</f>
        <v>180.1</v>
      </c>
      <c r="AI140" s="241">
        <f t="shared" ref="AI140:AI148" si="154">(J184+J173+J162+J151)</f>
        <v>290</v>
      </c>
      <c r="AK140" s="241">
        <f t="shared" ref="AK140:AK148" si="155">(L184+L173+L162+L151)</f>
        <v>325</v>
      </c>
    </row>
    <row r="141" spans="1:39" ht="13.5" customHeight="1" x14ac:dyDescent="0.3">
      <c r="A141" s="238" t="str">
        <f t="shared" si="143"/>
        <v>ARIMAX</v>
      </c>
      <c r="B141" s="252">
        <v>60</v>
      </c>
      <c r="C141" s="249">
        <v>0.122448979591837</v>
      </c>
      <c r="D141" s="252">
        <v>65</v>
      </c>
      <c r="E141" s="249">
        <v>0.11304347826087</v>
      </c>
      <c r="F141" s="252">
        <v>90</v>
      </c>
      <c r="G141" s="249">
        <v>0.110429447852761</v>
      </c>
      <c r="H141" s="252">
        <v>30</v>
      </c>
      <c r="I141" s="249">
        <v>0.12</v>
      </c>
      <c r="J141" s="252">
        <v>65</v>
      </c>
      <c r="K141" s="249">
        <v>0.107438016528926</v>
      </c>
      <c r="L141" s="252">
        <v>50</v>
      </c>
      <c r="M141" s="249">
        <v>0.16113438607798899</v>
      </c>
      <c r="N141" s="253"/>
      <c r="O141" s="246">
        <f t="shared" si="144"/>
        <v>72.5</v>
      </c>
      <c r="P141" s="246"/>
      <c r="Q141" s="246">
        <f t="shared" si="145"/>
        <v>73.75</v>
      </c>
      <c r="R141" s="246"/>
      <c r="S141" s="246">
        <f t="shared" si="146"/>
        <v>75</v>
      </c>
      <c r="T141" s="246"/>
      <c r="U141" s="246">
        <f t="shared" si="147"/>
        <v>35.024999999999999</v>
      </c>
      <c r="V141" s="246"/>
      <c r="W141" s="246">
        <f t="shared" si="148"/>
        <v>67.5</v>
      </c>
      <c r="X141" s="246"/>
      <c r="Y141" s="246">
        <f t="shared" si="149"/>
        <v>60</v>
      </c>
      <c r="AA141" s="241">
        <f t="shared" si="150"/>
        <v>290</v>
      </c>
      <c r="AC141" s="241">
        <f t="shared" si="151"/>
        <v>295</v>
      </c>
      <c r="AE141" s="241">
        <f t="shared" si="152"/>
        <v>300</v>
      </c>
      <c r="AG141" s="241">
        <f t="shared" si="153"/>
        <v>140.1</v>
      </c>
      <c r="AI141" s="241">
        <f t="shared" si="154"/>
        <v>270</v>
      </c>
      <c r="AK141" s="241">
        <f t="shared" si="155"/>
        <v>240</v>
      </c>
    </row>
    <row r="142" spans="1:39" ht="13.5" customHeight="1" x14ac:dyDescent="0.3">
      <c r="A142" s="238" t="str">
        <f t="shared" si="143"/>
        <v>PCE</v>
      </c>
      <c r="B142" s="252">
        <v>70</v>
      </c>
      <c r="C142" s="249">
        <v>0.14285714285714299</v>
      </c>
      <c r="D142" s="252">
        <v>60</v>
      </c>
      <c r="E142" s="249">
        <v>0.104347826086957</v>
      </c>
      <c r="F142" s="252">
        <v>95</v>
      </c>
      <c r="G142" s="249">
        <v>0.11656441717791401</v>
      </c>
      <c r="H142" s="252">
        <v>10</v>
      </c>
      <c r="I142" s="249">
        <v>0.04</v>
      </c>
      <c r="J142" s="252">
        <v>70</v>
      </c>
      <c r="K142" s="249">
        <v>0.11570247933884301</v>
      </c>
      <c r="L142" s="252">
        <v>50</v>
      </c>
      <c r="M142" s="249">
        <v>0.16113438607798899</v>
      </c>
      <c r="N142" s="253"/>
      <c r="O142" s="246">
        <f t="shared" si="144"/>
        <v>45</v>
      </c>
      <c r="P142" s="246"/>
      <c r="Q142" s="246">
        <f t="shared" si="145"/>
        <v>70</v>
      </c>
      <c r="R142" s="246"/>
      <c r="S142" s="246">
        <f t="shared" si="146"/>
        <v>77.5</v>
      </c>
      <c r="T142" s="246"/>
      <c r="U142" s="246">
        <f t="shared" si="147"/>
        <v>33</v>
      </c>
      <c r="V142" s="246"/>
      <c r="W142" s="246">
        <f t="shared" si="148"/>
        <v>73.75</v>
      </c>
      <c r="X142" s="246"/>
      <c r="Y142" s="246">
        <f t="shared" si="149"/>
        <v>83.75</v>
      </c>
      <c r="AA142" s="241">
        <f t="shared" si="150"/>
        <v>180</v>
      </c>
      <c r="AC142" s="241">
        <f t="shared" si="151"/>
        <v>280</v>
      </c>
      <c r="AE142" s="241">
        <f t="shared" si="152"/>
        <v>310</v>
      </c>
      <c r="AG142" s="241">
        <f t="shared" si="153"/>
        <v>132</v>
      </c>
      <c r="AI142" s="241">
        <f t="shared" si="154"/>
        <v>295</v>
      </c>
      <c r="AK142" s="241">
        <f t="shared" si="155"/>
        <v>335</v>
      </c>
    </row>
    <row r="143" spans="1:39" ht="13.5" customHeight="1" x14ac:dyDescent="0.3">
      <c r="A143" s="238" t="str">
        <f t="shared" si="143"/>
        <v>LSTM</v>
      </c>
      <c r="B143" s="252">
        <v>60</v>
      </c>
      <c r="C143" s="249">
        <v>0.122448979591837</v>
      </c>
      <c r="D143" s="252">
        <v>75</v>
      </c>
      <c r="E143" s="249">
        <v>0.13043478260869601</v>
      </c>
      <c r="F143" s="252">
        <v>75</v>
      </c>
      <c r="G143" s="249">
        <v>9.2024539877300596E-2</v>
      </c>
      <c r="H143" s="252">
        <v>10</v>
      </c>
      <c r="I143" s="249">
        <v>0.04</v>
      </c>
      <c r="J143" s="252">
        <v>80</v>
      </c>
      <c r="K143" s="249">
        <v>0.13223140495867799</v>
      </c>
      <c r="L143" s="252">
        <v>50</v>
      </c>
      <c r="M143" s="249">
        <v>0.16113438607798899</v>
      </c>
      <c r="N143" s="253"/>
      <c r="O143" s="246">
        <f t="shared" si="144"/>
        <v>80</v>
      </c>
      <c r="P143" s="246"/>
      <c r="Q143" s="246">
        <f t="shared" si="145"/>
        <v>85</v>
      </c>
      <c r="R143" s="246"/>
      <c r="S143" s="246">
        <f t="shared" si="146"/>
        <v>77.5</v>
      </c>
      <c r="T143" s="246"/>
      <c r="U143" s="246">
        <f t="shared" si="147"/>
        <v>24.75</v>
      </c>
      <c r="V143" s="246"/>
      <c r="W143" s="246">
        <f t="shared" si="148"/>
        <v>70</v>
      </c>
      <c r="X143" s="246"/>
      <c r="Y143" s="246">
        <f t="shared" si="149"/>
        <v>73.75</v>
      </c>
      <c r="AA143" s="241">
        <f t="shared" si="150"/>
        <v>320</v>
      </c>
      <c r="AC143" s="241">
        <f t="shared" si="151"/>
        <v>340</v>
      </c>
      <c r="AE143" s="241">
        <f t="shared" si="152"/>
        <v>310</v>
      </c>
      <c r="AG143" s="241">
        <f t="shared" si="153"/>
        <v>99</v>
      </c>
      <c r="AI143" s="241">
        <f t="shared" si="154"/>
        <v>280</v>
      </c>
      <c r="AK143" s="241">
        <f t="shared" si="155"/>
        <v>295</v>
      </c>
    </row>
    <row r="144" spans="1:39" ht="13.5" customHeight="1" x14ac:dyDescent="0.3">
      <c r="A144" s="238" t="str">
        <f t="shared" si="143"/>
        <v>GARCH</v>
      </c>
      <c r="B144" s="252">
        <v>60</v>
      </c>
      <c r="C144" s="249">
        <v>0.122448979591837</v>
      </c>
      <c r="D144" s="252">
        <v>65</v>
      </c>
      <c r="E144" s="249">
        <v>0.11304347826087</v>
      </c>
      <c r="F144" s="252">
        <v>90</v>
      </c>
      <c r="G144" s="249">
        <v>0.110429447852761</v>
      </c>
      <c r="H144" s="252">
        <v>30</v>
      </c>
      <c r="I144" s="249">
        <v>0.12</v>
      </c>
      <c r="J144" s="252">
        <v>65</v>
      </c>
      <c r="K144" s="249">
        <v>0.107438016528926</v>
      </c>
      <c r="L144" s="252">
        <v>50</v>
      </c>
      <c r="M144" s="249">
        <v>0.16113438607798899</v>
      </c>
      <c r="N144" s="253"/>
      <c r="O144" s="246">
        <f t="shared" si="144"/>
        <v>85</v>
      </c>
      <c r="P144" s="246"/>
      <c r="Q144" s="246">
        <f t="shared" si="145"/>
        <v>85</v>
      </c>
      <c r="R144" s="246"/>
      <c r="S144" s="246">
        <f t="shared" si="146"/>
        <v>75</v>
      </c>
      <c r="T144" s="246"/>
      <c r="U144" s="246">
        <f t="shared" si="147"/>
        <v>51.25</v>
      </c>
      <c r="V144" s="246"/>
      <c r="W144" s="246">
        <f t="shared" si="148"/>
        <v>68.75</v>
      </c>
      <c r="X144" s="246"/>
      <c r="Y144" s="246">
        <f t="shared" si="149"/>
        <v>75</v>
      </c>
      <c r="AA144" s="241">
        <f t="shared" si="150"/>
        <v>340</v>
      </c>
      <c r="AC144" s="241">
        <f t="shared" si="151"/>
        <v>340</v>
      </c>
      <c r="AE144" s="241">
        <f t="shared" si="152"/>
        <v>300</v>
      </c>
      <c r="AG144" s="241">
        <f t="shared" si="153"/>
        <v>205</v>
      </c>
      <c r="AI144" s="241">
        <f t="shared" si="154"/>
        <v>275</v>
      </c>
      <c r="AK144" s="241">
        <f t="shared" si="155"/>
        <v>300</v>
      </c>
    </row>
    <row r="145" spans="1:39" ht="13.5" customHeight="1" x14ac:dyDescent="0.3">
      <c r="A145" s="238" t="str">
        <f t="shared" si="143"/>
        <v>VAR</v>
      </c>
      <c r="B145" s="252">
        <v>0</v>
      </c>
      <c r="C145" s="249">
        <v>0</v>
      </c>
      <c r="D145" s="252">
        <v>65</v>
      </c>
      <c r="E145" s="249">
        <v>0.11304347826087</v>
      </c>
      <c r="F145" s="252">
        <v>95</v>
      </c>
      <c r="G145" s="249">
        <v>0.11656441717791401</v>
      </c>
      <c r="H145" s="252">
        <v>20</v>
      </c>
      <c r="I145" s="249">
        <v>0.08</v>
      </c>
      <c r="J145" s="252">
        <v>65</v>
      </c>
      <c r="K145" s="249">
        <v>0.107438016528926</v>
      </c>
      <c r="L145" s="252">
        <v>50</v>
      </c>
      <c r="M145" s="249">
        <v>0.16113438607798899</v>
      </c>
      <c r="N145" s="253"/>
      <c r="O145" s="246">
        <f t="shared" si="144"/>
        <v>0</v>
      </c>
      <c r="P145" s="246"/>
      <c r="Q145" s="246">
        <f t="shared" si="145"/>
        <v>82.5</v>
      </c>
      <c r="R145" s="246"/>
      <c r="S145" s="246">
        <f t="shared" si="146"/>
        <v>83.75</v>
      </c>
      <c r="T145" s="246"/>
      <c r="U145" s="246">
        <f t="shared" si="147"/>
        <v>46.75</v>
      </c>
      <c r="V145" s="246"/>
      <c r="W145" s="246">
        <f t="shared" si="148"/>
        <v>77.5</v>
      </c>
      <c r="X145" s="246"/>
      <c r="Y145" s="246">
        <f t="shared" si="149"/>
        <v>77.5</v>
      </c>
      <c r="AA145" s="241">
        <f t="shared" si="150"/>
        <v>0</v>
      </c>
      <c r="AC145" s="241">
        <f t="shared" si="151"/>
        <v>330</v>
      </c>
      <c r="AE145" s="241">
        <f t="shared" si="152"/>
        <v>335</v>
      </c>
      <c r="AG145" s="241">
        <f t="shared" si="153"/>
        <v>187</v>
      </c>
      <c r="AI145" s="241">
        <f t="shared" si="154"/>
        <v>310</v>
      </c>
      <c r="AK145" s="241">
        <f t="shared" si="155"/>
        <v>310</v>
      </c>
    </row>
    <row r="146" spans="1:39" ht="13.5" customHeight="1" x14ac:dyDescent="0.3">
      <c r="A146" s="238" t="str">
        <f t="shared" si="143"/>
        <v>RW</v>
      </c>
      <c r="B146" s="252">
        <v>60</v>
      </c>
      <c r="C146" s="249">
        <v>0.122448979591837</v>
      </c>
      <c r="D146" s="252">
        <v>65</v>
      </c>
      <c r="E146" s="249">
        <v>0.11304347826087</v>
      </c>
      <c r="F146" s="252">
        <v>90</v>
      </c>
      <c r="G146" s="249">
        <v>0.110429447852761</v>
      </c>
      <c r="H146" s="252">
        <v>50</v>
      </c>
      <c r="I146" s="249">
        <v>0.2</v>
      </c>
      <c r="J146" s="252">
        <v>65</v>
      </c>
      <c r="K146" s="249">
        <v>0.107438016528926</v>
      </c>
      <c r="L146" s="252">
        <v>0.1</v>
      </c>
      <c r="M146" s="249">
        <v>3.22268772155978E-4</v>
      </c>
      <c r="N146" s="253"/>
      <c r="O146" s="246">
        <f t="shared" si="144"/>
        <v>90</v>
      </c>
      <c r="P146" s="246"/>
      <c r="Q146" s="246">
        <f t="shared" si="145"/>
        <v>86.25</v>
      </c>
      <c r="R146" s="246"/>
      <c r="S146" s="246">
        <f t="shared" si="146"/>
        <v>81.25</v>
      </c>
      <c r="T146" s="246"/>
      <c r="U146" s="246">
        <f t="shared" si="147"/>
        <v>50</v>
      </c>
      <c r="V146" s="246"/>
      <c r="W146" s="246">
        <f t="shared" si="148"/>
        <v>77.5</v>
      </c>
      <c r="X146" s="246"/>
      <c r="Y146" s="246">
        <f t="shared" si="149"/>
        <v>78.75</v>
      </c>
      <c r="AA146" s="241">
        <f t="shared" si="150"/>
        <v>360</v>
      </c>
      <c r="AC146" s="241">
        <f t="shared" si="151"/>
        <v>345</v>
      </c>
      <c r="AE146" s="241">
        <f t="shared" si="152"/>
        <v>325</v>
      </c>
      <c r="AG146" s="241">
        <f t="shared" si="153"/>
        <v>200</v>
      </c>
      <c r="AI146" s="241">
        <f t="shared" si="154"/>
        <v>310</v>
      </c>
      <c r="AK146" s="241">
        <f t="shared" si="155"/>
        <v>315</v>
      </c>
    </row>
    <row r="147" spans="1:39" ht="13.5" customHeight="1" x14ac:dyDescent="0.3">
      <c r="A147" s="238" t="str">
        <f t="shared" si="143"/>
        <v>ETS</v>
      </c>
      <c r="B147" s="252">
        <v>60</v>
      </c>
      <c r="C147" s="249">
        <v>0.122448979591837</v>
      </c>
      <c r="D147" s="252">
        <v>65</v>
      </c>
      <c r="E147" s="249">
        <v>0.11304347826087</v>
      </c>
      <c r="F147" s="252">
        <v>90</v>
      </c>
      <c r="G147" s="249">
        <v>0.110429447852761</v>
      </c>
      <c r="H147" s="252">
        <v>40</v>
      </c>
      <c r="I147" s="249">
        <v>0.16</v>
      </c>
      <c r="J147" s="252">
        <v>65</v>
      </c>
      <c r="K147" s="249">
        <v>0.107438016528926</v>
      </c>
      <c r="L147" s="252">
        <v>0.1</v>
      </c>
      <c r="M147" s="249">
        <v>3.22268772155978E-4</v>
      </c>
      <c r="N147" s="253"/>
      <c r="O147" s="246">
        <f t="shared" si="144"/>
        <v>90</v>
      </c>
      <c r="P147" s="246"/>
      <c r="Q147" s="246">
        <f t="shared" si="145"/>
        <v>86.25</v>
      </c>
      <c r="R147" s="246"/>
      <c r="S147" s="246">
        <f t="shared" si="146"/>
        <v>81.25</v>
      </c>
      <c r="T147" s="246"/>
      <c r="U147" s="246">
        <f t="shared" si="147"/>
        <v>55</v>
      </c>
      <c r="V147" s="246"/>
      <c r="W147" s="246">
        <f t="shared" si="148"/>
        <v>77.5</v>
      </c>
      <c r="X147" s="246"/>
      <c r="Y147" s="246">
        <f t="shared" si="149"/>
        <v>78.75</v>
      </c>
      <c r="AA147" s="241">
        <f t="shared" si="150"/>
        <v>360</v>
      </c>
      <c r="AC147" s="241">
        <f t="shared" si="151"/>
        <v>345</v>
      </c>
      <c r="AE147" s="241">
        <f t="shared" si="152"/>
        <v>325</v>
      </c>
      <c r="AG147" s="241">
        <f t="shared" si="153"/>
        <v>220</v>
      </c>
      <c r="AI147" s="241">
        <f t="shared" si="154"/>
        <v>310</v>
      </c>
      <c r="AK147" s="241">
        <f t="shared" si="155"/>
        <v>315</v>
      </c>
    </row>
    <row r="148" spans="1:39" ht="13.5" customHeight="1" x14ac:dyDescent="0.3">
      <c r="A148" s="238" t="str">
        <f t="shared" si="143"/>
        <v>DynaMix</v>
      </c>
      <c r="B148" s="252">
        <v>60</v>
      </c>
      <c r="C148" s="249">
        <v>0.122448979591837</v>
      </c>
      <c r="D148" s="252">
        <v>65</v>
      </c>
      <c r="E148" s="249">
        <v>0.11304347826087</v>
      </c>
      <c r="F148" s="252">
        <v>95</v>
      </c>
      <c r="G148" s="249">
        <v>0.11656441717791401</v>
      </c>
      <c r="H148" s="252">
        <v>30</v>
      </c>
      <c r="I148" s="249">
        <v>0.12</v>
      </c>
      <c r="J148" s="252">
        <v>65</v>
      </c>
      <c r="K148" s="249">
        <v>0.107438016528926</v>
      </c>
      <c r="L148" s="252">
        <v>0.1</v>
      </c>
      <c r="M148" s="249">
        <v>3.22268772155978E-4</v>
      </c>
      <c r="N148" s="253"/>
      <c r="O148" s="246">
        <f t="shared" si="144"/>
        <v>77.5</v>
      </c>
      <c r="P148" s="246"/>
      <c r="Q148" s="246">
        <f t="shared" si="145"/>
        <v>78.75</v>
      </c>
      <c r="R148" s="246"/>
      <c r="S148" s="246">
        <f t="shared" si="146"/>
        <v>75</v>
      </c>
      <c r="T148" s="246"/>
      <c r="U148" s="246">
        <f t="shared" si="147"/>
        <v>51.25</v>
      </c>
      <c r="V148" s="246"/>
      <c r="W148" s="246">
        <f t="shared" si="148"/>
        <v>72.5</v>
      </c>
      <c r="X148" s="246"/>
      <c r="Y148" s="246">
        <f t="shared" si="149"/>
        <v>80</v>
      </c>
      <c r="AA148" s="241">
        <f t="shared" si="150"/>
        <v>310</v>
      </c>
      <c r="AC148" s="241">
        <f t="shared" si="151"/>
        <v>315</v>
      </c>
      <c r="AE148" s="241">
        <f t="shared" si="152"/>
        <v>300</v>
      </c>
      <c r="AG148" s="241">
        <f t="shared" si="153"/>
        <v>205</v>
      </c>
      <c r="AI148" s="241">
        <f t="shared" si="154"/>
        <v>290</v>
      </c>
      <c r="AK148" s="241">
        <f t="shared" si="155"/>
        <v>320</v>
      </c>
    </row>
    <row r="149" spans="1:39" ht="13.5" customHeight="1" x14ac:dyDescent="0.3">
      <c r="B149" s="253"/>
      <c r="C149" s="256"/>
      <c r="D149" s="253"/>
      <c r="E149" s="256"/>
      <c r="F149" s="253"/>
      <c r="G149" s="256"/>
      <c r="H149" s="253"/>
      <c r="I149" s="256"/>
      <c r="J149" s="253"/>
      <c r="K149" s="256"/>
      <c r="L149" s="253"/>
      <c r="M149" s="256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</row>
    <row r="150" spans="1:39" ht="13.5" customHeight="1" x14ac:dyDescent="0.3">
      <c r="A150" s="247" t="s">
        <v>61</v>
      </c>
      <c r="B150" s="252" t="s">
        <v>12</v>
      </c>
      <c r="C150" s="249">
        <v>570</v>
      </c>
      <c r="D150" s="252" t="s">
        <v>13</v>
      </c>
      <c r="E150" s="249">
        <v>780</v>
      </c>
      <c r="F150" s="252" t="s">
        <v>14</v>
      </c>
      <c r="G150" s="249">
        <v>715</v>
      </c>
      <c r="H150" s="252" t="s">
        <v>15</v>
      </c>
      <c r="I150" s="249">
        <v>440.1</v>
      </c>
      <c r="J150" s="252" t="s">
        <v>16</v>
      </c>
      <c r="K150" s="249">
        <v>680</v>
      </c>
      <c r="L150" s="252" t="s">
        <v>17</v>
      </c>
      <c r="M150" s="249">
        <v>496</v>
      </c>
      <c r="N150" s="253"/>
      <c r="O150" s="246" t="s">
        <v>12</v>
      </c>
      <c r="P150" s="246"/>
      <c r="Q150" s="246" t="s">
        <v>13</v>
      </c>
      <c r="R150" s="246"/>
      <c r="S150" s="246" t="s">
        <v>14</v>
      </c>
      <c r="T150" s="246"/>
      <c r="U150" s="246" t="s">
        <v>15</v>
      </c>
      <c r="V150" s="246"/>
      <c r="W150" s="246" t="s">
        <v>16</v>
      </c>
      <c r="X150" s="246"/>
      <c r="Y150" s="246" t="s">
        <v>17</v>
      </c>
      <c r="AA150" s="241" t="s">
        <v>12</v>
      </c>
      <c r="AC150" s="241" t="s">
        <v>13</v>
      </c>
      <c r="AE150" s="241" t="s">
        <v>14</v>
      </c>
      <c r="AG150" s="241" t="s">
        <v>15</v>
      </c>
      <c r="AI150" s="241" t="s">
        <v>16</v>
      </c>
      <c r="AK150" s="241" t="s">
        <v>17</v>
      </c>
      <c r="AM150" s="239">
        <f>AM161</f>
        <v>4</v>
      </c>
    </row>
    <row r="151" spans="1:39" ht="13.5" customHeight="1" x14ac:dyDescent="0.3">
      <c r="A151" s="238" t="str">
        <f t="shared" ref="A151:A159" si="156">A162</f>
        <v>PyCaret</v>
      </c>
      <c r="B151" s="252">
        <v>95</v>
      </c>
      <c r="C151" s="249">
        <v>0.16666666666666699</v>
      </c>
      <c r="D151" s="252">
        <v>95</v>
      </c>
      <c r="E151" s="249">
        <v>0.121794871794872</v>
      </c>
      <c r="F151" s="252">
        <v>60</v>
      </c>
      <c r="G151" s="249">
        <v>8.3916083916083906E-2</v>
      </c>
      <c r="H151" s="252">
        <v>60</v>
      </c>
      <c r="I151" s="249">
        <v>0.13633265167007499</v>
      </c>
      <c r="J151" s="252">
        <v>60</v>
      </c>
      <c r="K151" s="249">
        <v>8.8235294117647106E-2</v>
      </c>
      <c r="L151" s="252">
        <v>75</v>
      </c>
      <c r="M151" s="249">
        <v>0.102362204724409</v>
      </c>
      <c r="N151" s="253"/>
      <c r="O151" s="246">
        <f>AA151/$AM$172</f>
        <v>80</v>
      </c>
      <c r="P151" s="246"/>
      <c r="Q151" s="246">
        <f t="shared" ref="Q151:Q159" si="157">AC151/$AM$172</f>
        <v>78.75</v>
      </c>
      <c r="R151" s="246"/>
      <c r="S151" s="246">
        <f t="shared" ref="S151:S159" si="158">AE151/$AM$172</f>
        <v>82.5</v>
      </c>
      <c r="T151" s="246"/>
      <c r="U151" s="246">
        <f t="shared" ref="U151:U159" si="159">AG151/$AM$172</f>
        <v>52.524999999999999</v>
      </c>
      <c r="V151" s="246"/>
      <c r="W151" s="246">
        <f t="shared" ref="W151:W159" si="160">AI151/$AM$172</f>
        <v>80</v>
      </c>
      <c r="X151" s="246"/>
      <c r="Y151" s="246">
        <f t="shared" ref="Y151:Y159" si="161">AK151/$AM$172</f>
        <v>85</v>
      </c>
      <c r="AA151" s="241">
        <f t="shared" ref="AA151:AA159" si="162">(B195+B184+B173+B162)</f>
        <v>320</v>
      </c>
      <c r="AC151" s="241">
        <f t="shared" ref="AC151:AC159" si="163">(D195+D184+D173+D162)</f>
        <v>315</v>
      </c>
      <c r="AE151" s="241">
        <f t="shared" ref="AE151:AE159" si="164">(F195+F184+F173+F162)</f>
        <v>330</v>
      </c>
      <c r="AG151" s="241">
        <f t="shared" ref="AG151:AG159" si="165">(H195+H184+H173+H162)</f>
        <v>210.1</v>
      </c>
      <c r="AI151" s="241">
        <f t="shared" ref="AI151:AI159" si="166">(J195+J184+J173+J162)</f>
        <v>320</v>
      </c>
      <c r="AK151" s="241">
        <f t="shared" ref="AK151:AK159" si="167">(L195+L184+L173+L162)</f>
        <v>340</v>
      </c>
    </row>
    <row r="152" spans="1:39" ht="13.5" customHeight="1" x14ac:dyDescent="0.3">
      <c r="A152" s="238" t="str">
        <f t="shared" si="156"/>
        <v>ARIMAX</v>
      </c>
      <c r="B152" s="252">
        <v>40</v>
      </c>
      <c r="C152" s="249">
        <v>7.0175438596491196E-2</v>
      </c>
      <c r="D152" s="252">
        <v>60</v>
      </c>
      <c r="E152" s="249">
        <v>7.69230769230769E-2</v>
      </c>
      <c r="F152" s="252">
        <v>60</v>
      </c>
      <c r="G152" s="249">
        <v>8.3916083916083906E-2</v>
      </c>
      <c r="H152" s="252">
        <v>0.1</v>
      </c>
      <c r="I152" s="249">
        <v>2.27221086116792E-4</v>
      </c>
      <c r="J152" s="252">
        <v>40</v>
      </c>
      <c r="K152" s="249">
        <v>5.8823529411764698E-2</v>
      </c>
      <c r="L152" s="252">
        <v>40</v>
      </c>
      <c r="M152" s="249">
        <v>7.8740157480315001E-2</v>
      </c>
      <c r="N152" s="253"/>
      <c r="O152" s="246">
        <f>AA152/$AM$172</f>
        <v>85</v>
      </c>
      <c r="P152" s="246"/>
      <c r="Q152" s="246">
        <f t="shared" si="157"/>
        <v>81.25</v>
      </c>
      <c r="R152" s="246"/>
      <c r="S152" s="246">
        <f t="shared" si="158"/>
        <v>82.5</v>
      </c>
      <c r="T152" s="246"/>
      <c r="U152" s="246">
        <f t="shared" si="159"/>
        <v>57.5</v>
      </c>
      <c r="V152" s="246"/>
      <c r="W152" s="246">
        <f t="shared" si="160"/>
        <v>80</v>
      </c>
      <c r="X152" s="246"/>
      <c r="Y152" s="246">
        <f t="shared" si="161"/>
        <v>72.5</v>
      </c>
      <c r="AA152" s="241">
        <f t="shared" si="162"/>
        <v>340</v>
      </c>
      <c r="AC152" s="241">
        <f t="shared" si="163"/>
        <v>325</v>
      </c>
      <c r="AE152" s="241">
        <f t="shared" si="164"/>
        <v>330</v>
      </c>
      <c r="AG152" s="241">
        <f t="shared" si="165"/>
        <v>230</v>
      </c>
      <c r="AI152" s="241">
        <f t="shared" si="166"/>
        <v>320</v>
      </c>
      <c r="AK152" s="241">
        <f t="shared" si="167"/>
        <v>290</v>
      </c>
    </row>
    <row r="153" spans="1:39" ht="13.5" customHeight="1" x14ac:dyDescent="0.3">
      <c r="A153" s="238" t="str">
        <f t="shared" si="156"/>
        <v>PCE</v>
      </c>
      <c r="B153" s="252">
        <v>5</v>
      </c>
      <c r="C153" s="249">
        <v>8.7719298245613996E-3</v>
      </c>
      <c r="D153" s="252">
        <v>60</v>
      </c>
      <c r="E153" s="249">
        <v>7.69230769230769E-2</v>
      </c>
      <c r="F153" s="252">
        <v>70</v>
      </c>
      <c r="G153" s="249">
        <v>9.7902097902097904E-2</v>
      </c>
      <c r="H153" s="252">
        <v>10</v>
      </c>
      <c r="I153" s="249">
        <v>2.2722108611679202E-2</v>
      </c>
      <c r="J153" s="252">
        <v>70</v>
      </c>
      <c r="K153" s="249">
        <v>0.10294117647058799</v>
      </c>
      <c r="L153" s="252">
        <v>95</v>
      </c>
      <c r="M153" s="249">
        <v>0.12598425196850399</v>
      </c>
      <c r="N153" s="253"/>
      <c r="O153" s="246">
        <f>AA153/$AM$172</f>
        <v>66.25</v>
      </c>
      <c r="P153" s="246"/>
      <c r="Q153" s="246">
        <f t="shared" si="157"/>
        <v>77.5</v>
      </c>
      <c r="R153" s="246"/>
      <c r="S153" s="246">
        <f t="shared" si="158"/>
        <v>82.5</v>
      </c>
      <c r="T153" s="246"/>
      <c r="U153" s="246">
        <f t="shared" si="159"/>
        <v>53</v>
      </c>
      <c r="V153" s="246"/>
      <c r="W153" s="246">
        <f t="shared" si="160"/>
        <v>78.75</v>
      </c>
      <c r="X153" s="246"/>
      <c r="Y153" s="246">
        <f t="shared" si="161"/>
        <v>82.5</v>
      </c>
      <c r="AA153" s="241">
        <f t="shared" si="162"/>
        <v>265</v>
      </c>
      <c r="AC153" s="241">
        <f t="shared" si="163"/>
        <v>310</v>
      </c>
      <c r="AE153" s="241">
        <f t="shared" si="164"/>
        <v>330</v>
      </c>
      <c r="AG153" s="241">
        <f t="shared" si="165"/>
        <v>212</v>
      </c>
      <c r="AI153" s="241">
        <f t="shared" si="166"/>
        <v>315</v>
      </c>
      <c r="AK153" s="241">
        <f t="shared" si="167"/>
        <v>330</v>
      </c>
    </row>
    <row r="154" spans="1:39" ht="13.5" customHeight="1" x14ac:dyDescent="0.3">
      <c r="A154" s="238" t="str">
        <f t="shared" si="156"/>
        <v>LSTM</v>
      </c>
      <c r="B154" s="252">
        <v>90</v>
      </c>
      <c r="C154" s="249">
        <v>0.157894736842105</v>
      </c>
      <c r="D154" s="252">
        <v>95</v>
      </c>
      <c r="E154" s="249">
        <v>0.121794871794872</v>
      </c>
      <c r="F154" s="252">
        <v>90</v>
      </c>
      <c r="G154" s="249">
        <v>0.125874125874126</v>
      </c>
      <c r="H154" s="252">
        <v>5</v>
      </c>
      <c r="I154" s="249">
        <v>1.1361054305839601E-2</v>
      </c>
      <c r="J154" s="252">
        <v>90</v>
      </c>
      <c r="K154" s="249">
        <v>0.13235294117647101</v>
      </c>
      <c r="L154" s="252">
        <v>65</v>
      </c>
      <c r="M154" s="249">
        <v>0.118110236220472</v>
      </c>
      <c r="N154" s="253"/>
      <c r="O154" s="246">
        <f>AA154/$AM$172</f>
        <v>80</v>
      </c>
      <c r="P154" s="246"/>
      <c r="Q154" s="246">
        <f t="shared" si="157"/>
        <v>83.75</v>
      </c>
      <c r="R154" s="246"/>
      <c r="S154" s="246">
        <f t="shared" si="158"/>
        <v>77.5</v>
      </c>
      <c r="T154" s="246"/>
      <c r="U154" s="246">
        <f t="shared" si="159"/>
        <v>46</v>
      </c>
      <c r="V154" s="246"/>
      <c r="W154" s="246">
        <f t="shared" si="160"/>
        <v>70</v>
      </c>
      <c r="X154" s="246"/>
      <c r="Y154" s="246">
        <f t="shared" si="161"/>
        <v>80</v>
      </c>
      <c r="AA154" s="241">
        <f t="shared" si="162"/>
        <v>320</v>
      </c>
      <c r="AC154" s="241">
        <f t="shared" si="163"/>
        <v>335</v>
      </c>
      <c r="AE154" s="241">
        <f t="shared" si="164"/>
        <v>310</v>
      </c>
      <c r="AG154" s="241">
        <f t="shared" si="165"/>
        <v>184</v>
      </c>
      <c r="AI154" s="241">
        <f t="shared" si="166"/>
        <v>280</v>
      </c>
      <c r="AK154" s="241">
        <f t="shared" si="167"/>
        <v>320</v>
      </c>
    </row>
    <row r="155" spans="1:39" ht="13.5" customHeight="1" x14ac:dyDescent="0.3">
      <c r="A155" s="238" t="str">
        <f t="shared" si="156"/>
        <v>GARCH</v>
      </c>
      <c r="B155" s="252">
        <v>80</v>
      </c>
      <c r="C155" s="249">
        <v>0.140350877192982</v>
      </c>
      <c r="D155" s="252">
        <v>95</v>
      </c>
      <c r="E155" s="249">
        <v>0.121794871794872</v>
      </c>
      <c r="F155" s="252">
        <v>80</v>
      </c>
      <c r="G155" s="249">
        <v>0.111888111888112</v>
      </c>
      <c r="H155" s="252">
        <v>70</v>
      </c>
      <c r="I155" s="249">
        <v>0.159054760281754</v>
      </c>
      <c r="J155" s="252">
        <v>75</v>
      </c>
      <c r="K155" s="249">
        <v>0.110294117647059</v>
      </c>
      <c r="L155" s="252">
        <v>80</v>
      </c>
      <c r="M155" s="249">
        <v>0.110236220472441</v>
      </c>
      <c r="N155" s="253"/>
      <c r="O155" s="246">
        <f>AA155/$AM$172</f>
        <v>87.5</v>
      </c>
      <c r="P155" s="246"/>
      <c r="Q155" s="246">
        <f t="shared" si="157"/>
        <v>83.75</v>
      </c>
      <c r="R155" s="246"/>
      <c r="S155" s="246">
        <f t="shared" si="158"/>
        <v>77.5</v>
      </c>
      <c r="T155" s="246"/>
      <c r="U155" s="246">
        <f t="shared" si="159"/>
        <v>56.25</v>
      </c>
      <c r="V155" s="246"/>
      <c r="W155" s="246">
        <f t="shared" si="160"/>
        <v>72.5</v>
      </c>
      <c r="X155" s="246"/>
      <c r="Y155" s="246">
        <f t="shared" si="161"/>
        <v>77.5</v>
      </c>
      <c r="AA155" s="241">
        <f t="shared" si="162"/>
        <v>350</v>
      </c>
      <c r="AC155" s="241">
        <f t="shared" si="163"/>
        <v>335</v>
      </c>
      <c r="AE155" s="241">
        <f t="shared" si="164"/>
        <v>310</v>
      </c>
      <c r="AG155" s="241">
        <f t="shared" si="165"/>
        <v>225</v>
      </c>
      <c r="AI155" s="241">
        <f t="shared" si="166"/>
        <v>290</v>
      </c>
      <c r="AK155" s="241">
        <f t="shared" si="167"/>
        <v>310</v>
      </c>
    </row>
    <row r="156" spans="1:39" ht="13.5" customHeight="1" x14ac:dyDescent="0.3">
      <c r="A156" s="238" t="str">
        <f t="shared" si="156"/>
        <v>VAR</v>
      </c>
      <c r="B156" s="252">
        <v>0</v>
      </c>
      <c r="C156" s="249">
        <v>0</v>
      </c>
      <c r="D156" s="252">
        <v>95</v>
      </c>
      <c r="E156" s="249">
        <v>0.121794871794872</v>
      </c>
      <c r="F156" s="252">
        <v>95</v>
      </c>
      <c r="G156" s="249">
        <v>0.132867132867133</v>
      </c>
      <c r="H156" s="252">
        <v>65</v>
      </c>
      <c r="I156" s="249">
        <v>0.147693705975915</v>
      </c>
      <c r="J156" s="252">
        <v>90</v>
      </c>
      <c r="K156" s="249">
        <v>0.13235294117647101</v>
      </c>
      <c r="L156" s="252">
        <v>65</v>
      </c>
      <c r="M156" s="249">
        <v>0.14960629921259799</v>
      </c>
      <c r="N156" s="253"/>
      <c r="O156" s="246">
        <v>0</v>
      </c>
      <c r="P156" s="246"/>
      <c r="Q156" s="246">
        <f t="shared" si="157"/>
        <v>81.25</v>
      </c>
      <c r="R156" s="246"/>
      <c r="S156" s="246">
        <f t="shared" si="158"/>
        <v>82.5</v>
      </c>
      <c r="T156" s="246"/>
      <c r="U156" s="246">
        <f t="shared" si="159"/>
        <v>53</v>
      </c>
      <c r="V156" s="246"/>
      <c r="W156" s="246">
        <f t="shared" si="160"/>
        <v>77.5</v>
      </c>
      <c r="X156" s="246"/>
      <c r="Y156" s="246">
        <f t="shared" si="161"/>
        <v>83.75</v>
      </c>
      <c r="AA156" s="241">
        <f t="shared" si="162"/>
        <v>0</v>
      </c>
      <c r="AC156" s="241">
        <f t="shared" si="163"/>
        <v>325</v>
      </c>
      <c r="AE156" s="241">
        <f t="shared" si="164"/>
        <v>330</v>
      </c>
      <c r="AG156" s="241">
        <f t="shared" si="165"/>
        <v>212</v>
      </c>
      <c r="AI156" s="241">
        <f t="shared" si="166"/>
        <v>310</v>
      </c>
      <c r="AK156" s="241">
        <f t="shared" si="167"/>
        <v>335</v>
      </c>
    </row>
    <row r="157" spans="1:39" ht="13.5" customHeight="1" x14ac:dyDescent="0.3">
      <c r="A157" s="238" t="str">
        <f t="shared" si="156"/>
        <v>RW</v>
      </c>
      <c r="B157" s="252">
        <v>90</v>
      </c>
      <c r="C157" s="249">
        <v>0.157894736842105</v>
      </c>
      <c r="D157" s="252">
        <v>95</v>
      </c>
      <c r="E157" s="249">
        <v>0.121794871794872</v>
      </c>
      <c r="F157" s="252">
        <v>95</v>
      </c>
      <c r="G157" s="249">
        <v>0.132867132867133</v>
      </c>
      <c r="H157" s="252">
        <v>75</v>
      </c>
      <c r="I157" s="249">
        <v>0.170415814587594</v>
      </c>
      <c r="J157" s="252">
        <v>95</v>
      </c>
      <c r="K157" s="249">
        <v>0.13970588235294101</v>
      </c>
      <c r="L157" s="252">
        <v>90</v>
      </c>
      <c r="M157" s="249">
        <v>0.110236220472441</v>
      </c>
      <c r="N157" s="253"/>
      <c r="O157" s="246">
        <f>AA157/$AM$172</f>
        <v>90</v>
      </c>
      <c r="P157" s="246"/>
      <c r="Q157" s="246">
        <f t="shared" si="157"/>
        <v>85</v>
      </c>
      <c r="R157" s="246"/>
      <c r="S157" s="246">
        <f t="shared" si="158"/>
        <v>80</v>
      </c>
      <c r="T157" s="246"/>
      <c r="U157" s="246">
        <f t="shared" si="159"/>
        <v>53.75</v>
      </c>
      <c r="V157" s="246"/>
      <c r="W157" s="246">
        <f t="shared" si="160"/>
        <v>76.25</v>
      </c>
      <c r="X157" s="246"/>
      <c r="Y157" s="246">
        <f t="shared" si="161"/>
        <v>78.75</v>
      </c>
      <c r="AA157" s="241">
        <f t="shared" si="162"/>
        <v>360</v>
      </c>
      <c r="AC157" s="241">
        <f t="shared" si="163"/>
        <v>340</v>
      </c>
      <c r="AE157" s="241">
        <f t="shared" si="164"/>
        <v>320</v>
      </c>
      <c r="AG157" s="241">
        <f t="shared" si="165"/>
        <v>215</v>
      </c>
      <c r="AI157" s="241">
        <f t="shared" si="166"/>
        <v>305</v>
      </c>
      <c r="AK157" s="241">
        <f t="shared" si="167"/>
        <v>315</v>
      </c>
    </row>
    <row r="158" spans="1:39" ht="13.5" customHeight="1" x14ac:dyDescent="0.3">
      <c r="A158" s="238" t="str">
        <f t="shared" si="156"/>
        <v>ETS</v>
      </c>
      <c r="B158" s="252">
        <v>90</v>
      </c>
      <c r="C158" s="249">
        <v>0.157894736842105</v>
      </c>
      <c r="D158" s="252">
        <v>95</v>
      </c>
      <c r="E158" s="249">
        <v>0.121794871794872</v>
      </c>
      <c r="F158" s="252">
        <v>95</v>
      </c>
      <c r="G158" s="249">
        <v>0.132867132867133</v>
      </c>
      <c r="H158" s="252">
        <v>65</v>
      </c>
      <c r="I158" s="249">
        <v>0.147693705975915</v>
      </c>
      <c r="J158" s="252">
        <v>95</v>
      </c>
      <c r="K158" s="249">
        <v>0.13970588235294101</v>
      </c>
      <c r="L158" s="252">
        <v>90</v>
      </c>
      <c r="M158" s="249">
        <v>0.110236220472441</v>
      </c>
      <c r="N158" s="253"/>
      <c r="O158" s="246">
        <f>AA158/$AM$172</f>
        <v>90</v>
      </c>
      <c r="P158" s="246"/>
      <c r="Q158" s="246">
        <f t="shared" si="157"/>
        <v>85</v>
      </c>
      <c r="R158" s="246"/>
      <c r="S158" s="246">
        <f t="shared" si="158"/>
        <v>80</v>
      </c>
      <c r="T158" s="246"/>
      <c r="U158" s="246">
        <f t="shared" si="159"/>
        <v>61.25</v>
      </c>
      <c r="V158" s="246"/>
      <c r="W158" s="246">
        <f t="shared" si="160"/>
        <v>76.25</v>
      </c>
      <c r="X158" s="246"/>
      <c r="Y158" s="246">
        <f t="shared" si="161"/>
        <v>78.75</v>
      </c>
      <c r="AA158" s="241">
        <f t="shared" si="162"/>
        <v>360</v>
      </c>
      <c r="AC158" s="241">
        <f t="shared" si="163"/>
        <v>340</v>
      </c>
      <c r="AE158" s="241">
        <f t="shared" si="164"/>
        <v>320</v>
      </c>
      <c r="AG158" s="241">
        <f t="shared" si="165"/>
        <v>245</v>
      </c>
      <c r="AI158" s="241">
        <f t="shared" si="166"/>
        <v>305</v>
      </c>
      <c r="AK158" s="241">
        <f t="shared" si="167"/>
        <v>315</v>
      </c>
    </row>
    <row r="159" spans="1:39" ht="13.5" customHeight="1" x14ac:dyDescent="0.3">
      <c r="A159" s="238" t="str">
        <f t="shared" si="156"/>
        <v>DynaMix</v>
      </c>
      <c r="B159" s="252">
        <v>80</v>
      </c>
      <c r="C159" s="249">
        <v>0.140350877192982</v>
      </c>
      <c r="D159" s="252">
        <v>90</v>
      </c>
      <c r="E159" s="249">
        <v>0.115384615384615</v>
      </c>
      <c r="F159" s="252">
        <v>70</v>
      </c>
      <c r="G159" s="249">
        <v>9.7902097902097904E-2</v>
      </c>
      <c r="H159" s="252">
        <v>90</v>
      </c>
      <c r="I159" s="249">
        <v>0.20449897750511201</v>
      </c>
      <c r="J159" s="252">
        <v>65</v>
      </c>
      <c r="K159" s="249">
        <v>9.5588235294117599E-2</v>
      </c>
      <c r="L159" s="252">
        <v>80</v>
      </c>
      <c r="M159" s="249">
        <v>9.4488188976377993E-2</v>
      </c>
      <c r="N159" s="253"/>
      <c r="O159" s="246">
        <f>AA159/$AM$172</f>
        <v>80</v>
      </c>
      <c r="P159" s="246"/>
      <c r="Q159" s="246">
        <f t="shared" si="157"/>
        <v>78.75</v>
      </c>
      <c r="R159" s="246"/>
      <c r="S159" s="246">
        <f t="shared" si="158"/>
        <v>80</v>
      </c>
      <c r="T159" s="246"/>
      <c r="U159" s="246">
        <f t="shared" si="159"/>
        <v>51.25</v>
      </c>
      <c r="V159" s="246"/>
      <c r="W159" s="246">
        <f t="shared" si="160"/>
        <v>78.75</v>
      </c>
      <c r="X159" s="246"/>
      <c r="Y159" s="246">
        <f t="shared" si="161"/>
        <v>82.5</v>
      </c>
      <c r="AA159" s="241">
        <f t="shared" si="162"/>
        <v>320</v>
      </c>
      <c r="AC159" s="241">
        <f t="shared" si="163"/>
        <v>315</v>
      </c>
      <c r="AE159" s="241">
        <f t="shared" si="164"/>
        <v>320</v>
      </c>
      <c r="AG159" s="241">
        <f t="shared" si="165"/>
        <v>205</v>
      </c>
      <c r="AI159" s="241">
        <f t="shared" si="166"/>
        <v>315</v>
      </c>
      <c r="AK159" s="241">
        <f t="shared" si="167"/>
        <v>330</v>
      </c>
    </row>
    <row r="160" spans="1:39" ht="13.5" customHeight="1" x14ac:dyDescent="0.3">
      <c r="O160" s="255"/>
      <c r="P160" s="255"/>
      <c r="Q160" s="255"/>
      <c r="R160" s="255"/>
      <c r="S160" s="255"/>
      <c r="T160" s="255"/>
      <c r="U160" s="255"/>
      <c r="V160" s="255"/>
      <c r="W160" s="255"/>
      <c r="X160" s="255"/>
      <c r="Y160" s="255"/>
    </row>
    <row r="161" spans="1:39" ht="13.5" customHeight="1" x14ac:dyDescent="0.3">
      <c r="A161" s="247" t="s">
        <v>62</v>
      </c>
      <c r="B161" s="248" t="s">
        <v>12</v>
      </c>
      <c r="C161" s="249">
        <v>665.75</v>
      </c>
      <c r="D161" s="248" t="s">
        <v>13</v>
      </c>
      <c r="E161" s="249">
        <v>620.5</v>
      </c>
      <c r="F161" s="248" t="s">
        <v>14</v>
      </c>
      <c r="G161" s="249">
        <v>609.5</v>
      </c>
      <c r="H161" s="248" t="s">
        <v>15</v>
      </c>
      <c r="I161" s="249">
        <v>344.75</v>
      </c>
      <c r="J161" s="248" t="s">
        <v>16</v>
      </c>
      <c r="K161" s="249">
        <v>567</v>
      </c>
      <c r="L161" s="248" t="s">
        <v>17</v>
      </c>
      <c r="M161" s="249">
        <v>496</v>
      </c>
      <c r="N161" s="250"/>
      <c r="O161" s="246" t="s">
        <v>12</v>
      </c>
      <c r="P161" s="246"/>
      <c r="Q161" s="246" t="s">
        <v>13</v>
      </c>
      <c r="R161" s="246"/>
      <c r="S161" s="246" t="s">
        <v>14</v>
      </c>
      <c r="T161" s="246"/>
      <c r="U161" s="246" t="s">
        <v>15</v>
      </c>
      <c r="V161" s="246"/>
      <c r="W161" s="246" t="s">
        <v>16</v>
      </c>
      <c r="X161" s="246"/>
      <c r="Y161" s="246" t="s">
        <v>17</v>
      </c>
      <c r="AA161" s="241" t="s">
        <v>12</v>
      </c>
      <c r="AC161" s="241" t="s">
        <v>13</v>
      </c>
      <c r="AE161" s="241" t="s">
        <v>14</v>
      </c>
      <c r="AG161" s="241" t="s">
        <v>15</v>
      </c>
      <c r="AI161" s="241" t="s">
        <v>16</v>
      </c>
      <c r="AK161" s="241" t="s">
        <v>17</v>
      </c>
      <c r="AM161" s="239">
        <f>AM172</f>
        <v>4</v>
      </c>
    </row>
    <row r="162" spans="1:39" ht="13.5" customHeight="1" x14ac:dyDescent="0.3">
      <c r="A162" s="238" t="str">
        <f t="shared" ref="A162:A170" si="168">A173</f>
        <v>PyCaret</v>
      </c>
      <c r="B162" s="248">
        <v>90</v>
      </c>
      <c r="C162" s="249">
        <v>0.146341463414634</v>
      </c>
      <c r="D162" s="248">
        <v>75</v>
      </c>
      <c r="E162" s="249">
        <v>0.10638297872340401</v>
      </c>
      <c r="F162" s="248">
        <v>70</v>
      </c>
      <c r="G162" s="249">
        <v>0.100719424460432</v>
      </c>
      <c r="H162" s="248">
        <v>30</v>
      </c>
      <c r="I162" s="249">
        <v>0.114503816793893</v>
      </c>
      <c r="J162" s="248">
        <v>75</v>
      </c>
      <c r="K162" s="249">
        <v>0.126050420168067</v>
      </c>
      <c r="L162" s="248">
        <v>65</v>
      </c>
      <c r="M162" s="249">
        <v>0.121975806451613</v>
      </c>
      <c r="N162" s="250"/>
      <c r="O162" s="246">
        <f t="shared" ref="O162:O170" si="169">AA162/$AM$172</f>
        <v>80</v>
      </c>
      <c r="P162" s="246"/>
      <c r="Q162" s="246">
        <f t="shared" ref="Q162:Q170" si="170">AC162/$AM$172</f>
        <v>82.5</v>
      </c>
      <c r="R162" s="246"/>
      <c r="S162" s="246">
        <f t="shared" ref="S162:S170" si="171">AE162/$AM$172</f>
        <v>87.5</v>
      </c>
      <c r="T162" s="246"/>
      <c r="U162" s="246">
        <f t="shared" ref="U162:U170" si="172">AG162/$AM$172</f>
        <v>67.525000000000006</v>
      </c>
      <c r="V162" s="246"/>
      <c r="W162" s="246">
        <f t="shared" ref="W162:W170" si="173">AI162/$AM$172</f>
        <v>83.75</v>
      </c>
      <c r="X162" s="246"/>
      <c r="Y162" s="246">
        <f t="shared" ref="Y162:Y170" si="174">AK162/$AM$172</f>
        <v>91.25</v>
      </c>
      <c r="AA162" s="241">
        <f t="shared" ref="AA162:AA170" si="175">(B206+B195+B184+B173)</f>
        <v>320</v>
      </c>
      <c r="AC162" s="241">
        <f t="shared" ref="AC162:AC170" si="176">(D206+D195+D184+D173)</f>
        <v>330</v>
      </c>
      <c r="AE162" s="241">
        <f t="shared" ref="AE162:AE170" si="177">(F206+F195+F184+F173)</f>
        <v>350</v>
      </c>
      <c r="AG162" s="241">
        <f t="shared" ref="AG162:AG170" si="178">(H206+H195+H184+H173)</f>
        <v>270.10000000000002</v>
      </c>
      <c r="AI162" s="241">
        <f t="shared" ref="AI162:AI170" si="179">(J206+J195+J184+J173)</f>
        <v>335</v>
      </c>
      <c r="AK162" s="241">
        <f t="shared" ref="AK162:AK170" si="180">(L206+L195+L184+L173)</f>
        <v>365</v>
      </c>
    </row>
    <row r="163" spans="1:39" ht="13.5" customHeight="1" x14ac:dyDescent="0.3">
      <c r="A163" s="238" t="str">
        <f t="shared" si="168"/>
        <v>ARIMAX</v>
      </c>
      <c r="B163" s="248">
        <v>80</v>
      </c>
      <c r="C163" s="249">
        <v>0.13008130081300801</v>
      </c>
      <c r="D163" s="248">
        <v>80</v>
      </c>
      <c r="E163" s="249">
        <v>0.11347517730496499</v>
      </c>
      <c r="F163" s="248">
        <v>90</v>
      </c>
      <c r="G163" s="249">
        <v>0.12949640287769801</v>
      </c>
      <c r="H163" s="248">
        <v>20</v>
      </c>
      <c r="I163" s="249">
        <v>7.6335877862595394E-2</v>
      </c>
      <c r="J163" s="248">
        <v>80</v>
      </c>
      <c r="K163" s="249">
        <v>0.13445378151260501</v>
      </c>
      <c r="L163" s="248">
        <v>50</v>
      </c>
      <c r="M163" s="249">
        <v>0.13004032258064499</v>
      </c>
      <c r="N163" s="250"/>
      <c r="O163" s="246">
        <f t="shared" si="169"/>
        <v>87.5</v>
      </c>
      <c r="P163" s="246"/>
      <c r="Q163" s="246">
        <f t="shared" si="170"/>
        <v>83.75</v>
      </c>
      <c r="R163" s="246"/>
      <c r="S163" s="246">
        <f t="shared" si="171"/>
        <v>82.5</v>
      </c>
      <c r="T163" s="246"/>
      <c r="U163" s="246">
        <f t="shared" si="172"/>
        <v>75</v>
      </c>
      <c r="V163" s="246"/>
      <c r="W163" s="246">
        <f t="shared" si="173"/>
        <v>82.5</v>
      </c>
      <c r="X163" s="246"/>
      <c r="Y163" s="246">
        <f t="shared" si="174"/>
        <v>82.5</v>
      </c>
      <c r="AA163" s="241">
        <f t="shared" si="175"/>
        <v>350</v>
      </c>
      <c r="AC163" s="241">
        <f t="shared" si="176"/>
        <v>335</v>
      </c>
      <c r="AE163" s="241">
        <f t="shared" si="177"/>
        <v>330</v>
      </c>
      <c r="AG163" s="241">
        <f t="shared" si="178"/>
        <v>300</v>
      </c>
      <c r="AI163" s="241">
        <f t="shared" si="179"/>
        <v>330</v>
      </c>
      <c r="AK163" s="241">
        <f t="shared" si="180"/>
        <v>330</v>
      </c>
    </row>
    <row r="164" spans="1:39" ht="13.5" customHeight="1" x14ac:dyDescent="0.3">
      <c r="A164" s="238" t="str">
        <f t="shared" si="168"/>
        <v>PCE</v>
      </c>
      <c r="B164" s="248">
        <v>20</v>
      </c>
      <c r="C164" s="249">
        <v>3.2520325203252001E-2</v>
      </c>
      <c r="D164" s="248">
        <v>65</v>
      </c>
      <c r="E164" s="249">
        <v>9.2198581560283696E-2</v>
      </c>
      <c r="F164" s="248">
        <v>80</v>
      </c>
      <c r="G164" s="249">
        <v>0.115107913669065</v>
      </c>
      <c r="H164" s="248">
        <v>30</v>
      </c>
      <c r="I164" s="249">
        <v>0.114503816793893</v>
      </c>
      <c r="J164" s="248">
        <v>70</v>
      </c>
      <c r="K164" s="249">
        <v>0.11764705882352899</v>
      </c>
      <c r="L164" s="248">
        <v>80</v>
      </c>
      <c r="M164" s="249">
        <v>0.121975806451613</v>
      </c>
      <c r="N164" s="250"/>
      <c r="O164" s="246">
        <f t="shared" si="169"/>
        <v>83.75</v>
      </c>
      <c r="P164" s="246"/>
      <c r="Q164" s="246">
        <f t="shared" si="170"/>
        <v>83.75</v>
      </c>
      <c r="R164" s="246"/>
      <c r="S164" s="246">
        <f t="shared" si="171"/>
        <v>85</v>
      </c>
      <c r="T164" s="246"/>
      <c r="U164" s="246">
        <f t="shared" si="172"/>
        <v>68</v>
      </c>
      <c r="V164" s="246"/>
      <c r="W164" s="246">
        <f t="shared" si="173"/>
        <v>83.75</v>
      </c>
      <c r="X164" s="246"/>
      <c r="Y164" s="246">
        <f t="shared" si="174"/>
        <v>85</v>
      </c>
      <c r="AA164" s="241">
        <f t="shared" si="175"/>
        <v>335</v>
      </c>
      <c r="AC164" s="241">
        <f t="shared" si="176"/>
        <v>335</v>
      </c>
      <c r="AE164" s="241">
        <f t="shared" si="177"/>
        <v>340</v>
      </c>
      <c r="AG164" s="241">
        <f t="shared" si="178"/>
        <v>272</v>
      </c>
      <c r="AI164" s="241">
        <f t="shared" si="179"/>
        <v>335</v>
      </c>
      <c r="AK164" s="241">
        <f t="shared" si="180"/>
        <v>340</v>
      </c>
    </row>
    <row r="165" spans="1:39" ht="13.5" customHeight="1" x14ac:dyDescent="0.3">
      <c r="A165" s="238" t="str">
        <f t="shared" si="168"/>
        <v>LSTM</v>
      </c>
      <c r="B165" s="248">
        <v>80</v>
      </c>
      <c r="C165" s="249">
        <v>0.13008130081300801</v>
      </c>
      <c r="D165" s="248">
        <v>60</v>
      </c>
      <c r="E165" s="249">
        <v>8.5106382978723402E-2</v>
      </c>
      <c r="F165" s="248">
        <v>60</v>
      </c>
      <c r="G165" s="249">
        <v>8.6330935251798593E-2</v>
      </c>
      <c r="H165" s="248">
        <v>2</v>
      </c>
      <c r="I165" s="249">
        <v>7.63358778625954E-3</v>
      </c>
      <c r="J165" s="248">
        <v>40</v>
      </c>
      <c r="K165" s="249">
        <v>6.7226890756302504E-2</v>
      </c>
      <c r="L165" s="248">
        <v>75</v>
      </c>
      <c r="M165" s="249">
        <v>0.125</v>
      </c>
      <c r="N165" s="250"/>
      <c r="O165" s="246">
        <f t="shared" si="169"/>
        <v>82.5</v>
      </c>
      <c r="P165" s="246"/>
      <c r="Q165" s="246">
        <f t="shared" si="170"/>
        <v>91.25</v>
      </c>
      <c r="R165" s="246"/>
      <c r="S165" s="246">
        <f t="shared" si="171"/>
        <v>85</v>
      </c>
      <c r="T165" s="246"/>
      <c r="U165" s="246">
        <f t="shared" si="172"/>
        <v>68</v>
      </c>
      <c r="V165" s="246"/>
      <c r="W165" s="246">
        <f t="shared" si="173"/>
        <v>82.5</v>
      </c>
      <c r="X165" s="246"/>
      <c r="Y165" s="246">
        <f t="shared" si="174"/>
        <v>83.75</v>
      </c>
      <c r="AA165" s="241">
        <f t="shared" si="175"/>
        <v>330</v>
      </c>
      <c r="AC165" s="241">
        <f t="shared" si="176"/>
        <v>365</v>
      </c>
      <c r="AE165" s="241">
        <f t="shared" si="177"/>
        <v>340</v>
      </c>
      <c r="AG165" s="241">
        <f t="shared" si="178"/>
        <v>272</v>
      </c>
      <c r="AI165" s="241">
        <f t="shared" si="179"/>
        <v>330</v>
      </c>
      <c r="AK165" s="241">
        <f t="shared" si="180"/>
        <v>335</v>
      </c>
    </row>
    <row r="166" spans="1:39" ht="13.5" customHeight="1" x14ac:dyDescent="0.3">
      <c r="A166" s="238" t="str">
        <f t="shared" si="168"/>
        <v>GARCH</v>
      </c>
      <c r="B166" s="248">
        <v>95</v>
      </c>
      <c r="C166" s="249">
        <v>0.154471544715447</v>
      </c>
      <c r="D166" s="248">
        <v>90</v>
      </c>
      <c r="E166" s="249">
        <v>0.12765957446808501</v>
      </c>
      <c r="F166" s="248">
        <v>70</v>
      </c>
      <c r="G166" s="249">
        <v>0.100719424460432</v>
      </c>
      <c r="H166" s="248">
        <v>40</v>
      </c>
      <c r="I166" s="249">
        <v>0.15267175572519101</v>
      </c>
      <c r="J166" s="248">
        <v>60</v>
      </c>
      <c r="K166" s="249">
        <v>0.10084033613445401</v>
      </c>
      <c r="L166" s="248">
        <v>70</v>
      </c>
      <c r="M166" s="249">
        <v>0.119959677419355</v>
      </c>
      <c r="N166" s="250"/>
      <c r="O166" s="246">
        <f t="shared" si="169"/>
        <v>86.25</v>
      </c>
      <c r="P166" s="246"/>
      <c r="Q166" s="246">
        <f t="shared" si="170"/>
        <v>83.75</v>
      </c>
      <c r="R166" s="246"/>
      <c r="S166" s="246">
        <f t="shared" si="171"/>
        <v>82.5</v>
      </c>
      <c r="T166" s="246"/>
      <c r="U166" s="246">
        <f t="shared" si="172"/>
        <v>68.75</v>
      </c>
      <c r="V166" s="246"/>
      <c r="W166" s="246">
        <f t="shared" si="173"/>
        <v>80</v>
      </c>
      <c r="X166" s="246"/>
      <c r="Y166" s="246">
        <f t="shared" si="174"/>
        <v>82.5</v>
      </c>
      <c r="AA166" s="241">
        <f t="shared" si="175"/>
        <v>345</v>
      </c>
      <c r="AC166" s="241">
        <f t="shared" si="176"/>
        <v>335</v>
      </c>
      <c r="AE166" s="241">
        <f t="shared" si="177"/>
        <v>330</v>
      </c>
      <c r="AG166" s="241">
        <f t="shared" si="178"/>
        <v>275</v>
      </c>
      <c r="AI166" s="241">
        <f t="shared" si="179"/>
        <v>320</v>
      </c>
      <c r="AK166" s="241">
        <f t="shared" si="180"/>
        <v>330</v>
      </c>
    </row>
    <row r="167" spans="1:39" ht="13.5" customHeight="1" x14ac:dyDescent="0.3">
      <c r="A167" s="238" t="str">
        <f t="shared" si="168"/>
        <v>VAR</v>
      </c>
      <c r="B167" s="248">
        <v>0</v>
      </c>
      <c r="C167" s="249">
        <v>0</v>
      </c>
      <c r="D167" s="248">
        <v>80</v>
      </c>
      <c r="E167" s="249">
        <v>0.11347517730496499</v>
      </c>
      <c r="F167" s="248">
        <v>90</v>
      </c>
      <c r="G167" s="249">
        <v>0.12949640287769801</v>
      </c>
      <c r="H167" s="248">
        <v>30</v>
      </c>
      <c r="I167" s="249">
        <v>0.114503816793893</v>
      </c>
      <c r="J167" s="248">
        <v>70</v>
      </c>
      <c r="K167" s="249">
        <v>0.11764705882352899</v>
      </c>
      <c r="L167" s="248">
        <v>95</v>
      </c>
      <c r="M167" s="249">
        <v>0.13004032258064499</v>
      </c>
      <c r="N167" s="250"/>
      <c r="O167" s="246">
        <f t="shared" si="169"/>
        <v>0</v>
      </c>
      <c r="P167" s="246"/>
      <c r="Q167" s="246">
        <f t="shared" si="170"/>
        <v>83.75</v>
      </c>
      <c r="R167" s="246"/>
      <c r="S167" s="246">
        <f t="shared" si="171"/>
        <v>82.5</v>
      </c>
      <c r="T167" s="246"/>
      <c r="U167" s="246">
        <f t="shared" si="172"/>
        <v>68</v>
      </c>
      <c r="V167" s="246"/>
      <c r="W167" s="246">
        <f t="shared" si="173"/>
        <v>82.5</v>
      </c>
      <c r="X167" s="246"/>
      <c r="Y167" s="246">
        <f t="shared" si="174"/>
        <v>82.5</v>
      </c>
      <c r="AA167" s="241">
        <f t="shared" si="175"/>
        <v>0</v>
      </c>
      <c r="AC167" s="241">
        <f t="shared" si="176"/>
        <v>335</v>
      </c>
      <c r="AE167" s="241">
        <f t="shared" si="177"/>
        <v>330</v>
      </c>
      <c r="AG167" s="241">
        <f t="shared" si="178"/>
        <v>272</v>
      </c>
      <c r="AI167" s="241">
        <f t="shared" si="179"/>
        <v>330</v>
      </c>
      <c r="AK167" s="241">
        <f t="shared" si="180"/>
        <v>330</v>
      </c>
    </row>
    <row r="168" spans="1:39" ht="13.5" customHeight="1" x14ac:dyDescent="0.3">
      <c r="A168" s="238" t="str">
        <f t="shared" si="168"/>
        <v>RW</v>
      </c>
      <c r="B168" s="248">
        <v>90</v>
      </c>
      <c r="C168" s="249">
        <v>0.146341463414634</v>
      </c>
      <c r="D168" s="248">
        <v>95</v>
      </c>
      <c r="E168" s="249">
        <v>0.134751773049645</v>
      </c>
      <c r="F168" s="248">
        <v>80</v>
      </c>
      <c r="G168" s="249">
        <v>0.115107913669065</v>
      </c>
      <c r="H168" s="248">
        <v>30</v>
      </c>
      <c r="I168" s="249">
        <v>0.114503816793893</v>
      </c>
      <c r="J168" s="248">
        <v>65</v>
      </c>
      <c r="K168" s="249">
        <v>0.109243697478992</v>
      </c>
      <c r="L168" s="248">
        <v>70</v>
      </c>
      <c r="M168" s="249">
        <v>0.13004032258064499</v>
      </c>
      <c r="N168" s="250"/>
      <c r="O168" s="246">
        <f t="shared" si="169"/>
        <v>90</v>
      </c>
      <c r="P168" s="246"/>
      <c r="Q168" s="246">
        <f t="shared" si="170"/>
        <v>83.75</v>
      </c>
      <c r="R168" s="246"/>
      <c r="S168" s="246">
        <f t="shared" si="171"/>
        <v>82.5</v>
      </c>
      <c r="T168" s="246"/>
      <c r="U168" s="246">
        <f t="shared" si="172"/>
        <v>68.75</v>
      </c>
      <c r="V168" s="246"/>
      <c r="W168" s="246">
        <f t="shared" si="173"/>
        <v>82.5</v>
      </c>
      <c r="X168" s="246"/>
      <c r="Y168" s="246">
        <f t="shared" si="174"/>
        <v>83.75</v>
      </c>
      <c r="AA168" s="241">
        <f t="shared" si="175"/>
        <v>360</v>
      </c>
      <c r="AC168" s="241">
        <f t="shared" si="176"/>
        <v>335</v>
      </c>
      <c r="AE168" s="241">
        <f t="shared" si="177"/>
        <v>330</v>
      </c>
      <c r="AG168" s="241">
        <f t="shared" si="178"/>
        <v>275</v>
      </c>
      <c r="AI168" s="241">
        <f t="shared" si="179"/>
        <v>330</v>
      </c>
      <c r="AK168" s="241">
        <f t="shared" si="180"/>
        <v>335</v>
      </c>
    </row>
    <row r="169" spans="1:39" ht="13.5" customHeight="1" x14ac:dyDescent="0.3">
      <c r="A169" s="238" t="str">
        <f t="shared" si="168"/>
        <v>ETS</v>
      </c>
      <c r="B169" s="248">
        <v>90</v>
      </c>
      <c r="C169" s="249">
        <v>0.146341463414634</v>
      </c>
      <c r="D169" s="248">
        <v>95</v>
      </c>
      <c r="E169" s="249">
        <v>0.134751773049645</v>
      </c>
      <c r="F169" s="248">
        <v>80</v>
      </c>
      <c r="G169" s="249">
        <v>0.115107913669065</v>
      </c>
      <c r="H169" s="248">
        <v>60</v>
      </c>
      <c r="I169" s="249">
        <v>0.229007633587786</v>
      </c>
      <c r="J169" s="248">
        <v>65</v>
      </c>
      <c r="K169" s="249">
        <v>0.109243697478992</v>
      </c>
      <c r="L169" s="248">
        <v>70</v>
      </c>
      <c r="M169" s="249">
        <v>0.120967741935484</v>
      </c>
      <c r="N169" s="250"/>
      <c r="O169" s="246">
        <f t="shared" si="169"/>
        <v>90</v>
      </c>
      <c r="P169" s="246"/>
      <c r="Q169" s="246">
        <f t="shared" si="170"/>
        <v>83.75</v>
      </c>
      <c r="R169" s="246"/>
      <c r="S169" s="246">
        <f t="shared" si="171"/>
        <v>82.5</v>
      </c>
      <c r="T169" s="246"/>
      <c r="U169" s="246">
        <f t="shared" si="172"/>
        <v>68.75</v>
      </c>
      <c r="V169" s="246"/>
      <c r="W169" s="246">
        <f t="shared" si="173"/>
        <v>82.5</v>
      </c>
      <c r="X169" s="246"/>
      <c r="Y169" s="246">
        <f t="shared" si="174"/>
        <v>83.75</v>
      </c>
      <c r="AA169" s="241">
        <f t="shared" si="175"/>
        <v>360</v>
      </c>
      <c r="AC169" s="241">
        <f t="shared" si="176"/>
        <v>335</v>
      </c>
      <c r="AE169" s="241">
        <f t="shared" si="177"/>
        <v>330</v>
      </c>
      <c r="AG169" s="241">
        <f t="shared" si="178"/>
        <v>275</v>
      </c>
      <c r="AI169" s="241">
        <f t="shared" si="179"/>
        <v>330</v>
      </c>
      <c r="AK169" s="241">
        <f t="shared" si="180"/>
        <v>335</v>
      </c>
    </row>
    <row r="170" spans="1:39" ht="13.5" customHeight="1" x14ac:dyDescent="0.3">
      <c r="A170" s="238" t="str">
        <f t="shared" si="168"/>
        <v>DynaMix</v>
      </c>
      <c r="B170" s="248">
        <v>70</v>
      </c>
      <c r="C170" s="249">
        <v>0.113821138211382</v>
      </c>
      <c r="D170" s="248">
        <v>65</v>
      </c>
      <c r="E170" s="249">
        <v>9.2198581560283696E-2</v>
      </c>
      <c r="F170" s="248">
        <v>75</v>
      </c>
      <c r="G170" s="249">
        <v>0.107913669064748</v>
      </c>
      <c r="H170" s="248">
        <v>20</v>
      </c>
      <c r="I170" s="249">
        <v>7.6335877862595394E-2</v>
      </c>
      <c r="J170" s="248">
        <v>70</v>
      </c>
      <c r="K170" s="249">
        <v>0.11764705882352899</v>
      </c>
      <c r="L170" s="248">
        <v>60</v>
      </c>
      <c r="M170" s="249">
        <v>0.120967741935484</v>
      </c>
      <c r="N170" s="250"/>
      <c r="O170" s="246">
        <f t="shared" si="169"/>
        <v>85</v>
      </c>
      <c r="P170" s="246"/>
      <c r="Q170" s="246">
        <f t="shared" si="170"/>
        <v>85</v>
      </c>
      <c r="R170" s="246"/>
      <c r="S170" s="246">
        <f t="shared" si="171"/>
        <v>83.75</v>
      </c>
      <c r="T170" s="246"/>
      <c r="U170" s="246">
        <f t="shared" si="172"/>
        <v>68.75</v>
      </c>
      <c r="V170" s="246"/>
      <c r="W170" s="246">
        <f t="shared" si="173"/>
        <v>83.75</v>
      </c>
      <c r="X170" s="246"/>
      <c r="Y170" s="246">
        <f t="shared" si="174"/>
        <v>90</v>
      </c>
      <c r="AA170" s="241">
        <f t="shared" si="175"/>
        <v>340</v>
      </c>
      <c r="AC170" s="241">
        <f t="shared" si="176"/>
        <v>340</v>
      </c>
      <c r="AE170" s="241">
        <f t="shared" si="177"/>
        <v>335</v>
      </c>
      <c r="AG170" s="241">
        <f t="shared" si="178"/>
        <v>275</v>
      </c>
      <c r="AI170" s="241">
        <f t="shared" si="179"/>
        <v>335</v>
      </c>
      <c r="AK170" s="241">
        <f t="shared" si="180"/>
        <v>360</v>
      </c>
    </row>
    <row r="171" spans="1:39" ht="13.5" customHeight="1" x14ac:dyDescent="0.3">
      <c r="O171" s="255"/>
      <c r="P171" s="255"/>
      <c r="Q171" s="255"/>
      <c r="R171" s="255"/>
      <c r="S171" s="255"/>
      <c r="T171" s="255"/>
      <c r="U171" s="255"/>
      <c r="V171" s="255"/>
      <c r="W171" s="255"/>
      <c r="X171" s="255"/>
      <c r="Y171" s="255"/>
    </row>
    <row r="172" spans="1:39" ht="13.5" customHeight="1" x14ac:dyDescent="0.3">
      <c r="A172" s="247" t="s">
        <v>63</v>
      </c>
      <c r="B172" s="252" t="s">
        <v>12</v>
      </c>
      <c r="C172" s="249">
        <v>665.75</v>
      </c>
      <c r="D172" s="252" t="s">
        <v>13</v>
      </c>
      <c r="E172" s="249">
        <v>620.5</v>
      </c>
      <c r="F172" s="252" t="s">
        <v>14</v>
      </c>
      <c r="G172" s="249">
        <v>609.5</v>
      </c>
      <c r="H172" s="252" t="s">
        <v>15</v>
      </c>
      <c r="I172" s="249">
        <v>344.75</v>
      </c>
      <c r="J172" s="252" t="s">
        <v>16</v>
      </c>
      <c r="K172" s="249">
        <v>567</v>
      </c>
      <c r="L172" s="252" t="s">
        <v>17</v>
      </c>
      <c r="M172" s="249">
        <v>496</v>
      </c>
      <c r="N172" s="255"/>
      <c r="O172" s="246" t="s">
        <v>12</v>
      </c>
      <c r="P172" s="246"/>
      <c r="Q172" s="246" t="s">
        <v>13</v>
      </c>
      <c r="R172" s="246"/>
      <c r="S172" s="246" t="s">
        <v>14</v>
      </c>
      <c r="T172" s="246"/>
      <c r="U172" s="246" t="s">
        <v>15</v>
      </c>
      <c r="V172" s="246"/>
      <c r="W172" s="246" t="s">
        <v>16</v>
      </c>
      <c r="X172" s="246"/>
      <c r="Y172" s="246" t="s">
        <v>17</v>
      </c>
      <c r="AA172" s="251" t="s">
        <v>12</v>
      </c>
      <c r="AB172" s="251"/>
      <c r="AC172" s="251" t="s">
        <v>13</v>
      </c>
      <c r="AD172" s="251"/>
      <c r="AE172" s="251" t="s">
        <v>14</v>
      </c>
      <c r="AF172" s="251"/>
      <c r="AG172" s="251" t="s">
        <v>15</v>
      </c>
      <c r="AH172" s="251"/>
      <c r="AI172" s="251" t="s">
        <v>16</v>
      </c>
      <c r="AJ172" s="251"/>
      <c r="AK172" s="251" t="s">
        <v>17</v>
      </c>
      <c r="AM172" s="239">
        <f>AM183</f>
        <v>4</v>
      </c>
    </row>
    <row r="173" spans="1:39" ht="13.5" customHeight="1" x14ac:dyDescent="0.3">
      <c r="A173" s="238" t="str">
        <f t="shared" ref="A173:A181" si="181">A184</f>
        <v>PyCaret</v>
      </c>
      <c r="B173" s="252">
        <v>50</v>
      </c>
      <c r="C173" s="249">
        <v>8.6206896551724102E-2</v>
      </c>
      <c r="D173" s="252">
        <v>60</v>
      </c>
      <c r="E173" s="249">
        <v>9.7560975609756101E-2</v>
      </c>
      <c r="F173" s="252">
        <v>80</v>
      </c>
      <c r="G173" s="249">
        <v>0.13675213675213699</v>
      </c>
      <c r="H173" s="252">
        <v>0.1</v>
      </c>
      <c r="I173" s="249">
        <v>1.7825311942959001E-3</v>
      </c>
      <c r="J173" s="252">
        <v>65</v>
      </c>
      <c r="K173" s="249">
        <v>0.119266055045872</v>
      </c>
      <c r="L173" s="252">
        <v>95</v>
      </c>
      <c r="M173" s="249">
        <v>0.121975806451613</v>
      </c>
      <c r="N173" s="255"/>
      <c r="O173" s="246">
        <f t="shared" ref="O173:O181" si="182">AA173/$AM$172</f>
        <v>90</v>
      </c>
      <c r="P173" s="246"/>
      <c r="Q173" s="246">
        <f t="shared" ref="Q173:Q181" si="183">AC173/$AM$172</f>
        <v>90</v>
      </c>
      <c r="R173" s="246"/>
      <c r="S173" s="246">
        <f t="shared" ref="S173:S181" si="184">AE173/$AM$172</f>
        <v>90</v>
      </c>
      <c r="T173" s="246"/>
      <c r="U173" s="246">
        <f t="shared" ref="U173:U181" si="185">AG173/$AM$172</f>
        <v>90</v>
      </c>
      <c r="V173" s="246"/>
      <c r="W173" s="246">
        <f t="shared" ref="W173:W181" si="186">AI173/$AM$172</f>
        <v>90</v>
      </c>
      <c r="X173" s="246"/>
      <c r="Y173" s="246">
        <f t="shared" ref="Y173:Y181" si="187">AK173/$AM$172</f>
        <v>90</v>
      </c>
      <c r="AA173" s="251">
        <f t="shared" ref="AA173:AA181" si="188">(B217+B206+B195+B184)</f>
        <v>360</v>
      </c>
      <c r="AB173" s="251"/>
      <c r="AC173" s="251">
        <f t="shared" ref="AC173:AC181" si="189">(D217+D206+D195+D184)</f>
        <v>360</v>
      </c>
      <c r="AD173" s="251"/>
      <c r="AE173" s="251">
        <f t="shared" ref="AE173:AE181" si="190">(F217+F206+F195+F184)</f>
        <v>360</v>
      </c>
      <c r="AF173" s="251"/>
      <c r="AG173" s="251">
        <f t="shared" ref="AG173:AG181" si="191">(H217+H206+H195+H184)</f>
        <v>360</v>
      </c>
      <c r="AH173" s="251"/>
      <c r="AI173" s="251">
        <f t="shared" ref="AI173:AI181" si="192">(J217+J206+J195+J184)</f>
        <v>360</v>
      </c>
      <c r="AJ173" s="251"/>
      <c r="AK173" s="251">
        <f t="shared" ref="AK173:AK181" si="193">(L217+L206+L195+L184)</f>
        <v>360</v>
      </c>
    </row>
    <row r="174" spans="1:39" ht="13.5" customHeight="1" x14ac:dyDescent="0.3">
      <c r="A174" s="238" t="str">
        <f t="shared" si="181"/>
        <v>ARIMAX</v>
      </c>
      <c r="B174" s="252">
        <v>80</v>
      </c>
      <c r="C174" s="249">
        <v>0.13793103448275901</v>
      </c>
      <c r="D174" s="252">
        <v>65</v>
      </c>
      <c r="E174" s="249">
        <v>0.105691056910569</v>
      </c>
      <c r="F174" s="252">
        <v>60</v>
      </c>
      <c r="G174" s="249">
        <v>0.102564102564103</v>
      </c>
      <c r="H174" s="252">
        <v>30</v>
      </c>
      <c r="I174" s="249">
        <v>0.53475935828876997</v>
      </c>
      <c r="J174" s="252">
        <v>60</v>
      </c>
      <c r="K174" s="249">
        <v>0.11009174311926601</v>
      </c>
      <c r="L174" s="252">
        <v>60</v>
      </c>
      <c r="M174" s="249">
        <v>0.13004032258064499</v>
      </c>
      <c r="N174" s="255"/>
      <c r="O174" s="246">
        <f t="shared" si="182"/>
        <v>90</v>
      </c>
      <c r="P174" s="246"/>
      <c r="Q174" s="246">
        <f t="shared" si="183"/>
        <v>90</v>
      </c>
      <c r="R174" s="246"/>
      <c r="S174" s="246">
        <f t="shared" si="184"/>
        <v>90</v>
      </c>
      <c r="T174" s="246"/>
      <c r="U174" s="246">
        <f t="shared" si="185"/>
        <v>90</v>
      </c>
      <c r="V174" s="246"/>
      <c r="W174" s="246">
        <f t="shared" si="186"/>
        <v>90</v>
      </c>
      <c r="X174" s="246"/>
      <c r="Y174" s="246">
        <f t="shared" si="187"/>
        <v>90</v>
      </c>
      <c r="AA174" s="251">
        <f t="shared" si="188"/>
        <v>360</v>
      </c>
      <c r="AB174" s="251"/>
      <c r="AC174" s="251">
        <f t="shared" si="189"/>
        <v>360</v>
      </c>
      <c r="AD174" s="251"/>
      <c r="AE174" s="251">
        <f t="shared" si="190"/>
        <v>360</v>
      </c>
      <c r="AF174" s="251"/>
      <c r="AG174" s="251">
        <f t="shared" si="191"/>
        <v>360</v>
      </c>
      <c r="AH174" s="251"/>
      <c r="AI174" s="251">
        <f t="shared" si="192"/>
        <v>360</v>
      </c>
      <c r="AJ174" s="251"/>
      <c r="AK174" s="251">
        <f t="shared" si="193"/>
        <v>360</v>
      </c>
    </row>
    <row r="175" spans="1:39" ht="13.5" customHeight="1" x14ac:dyDescent="0.3">
      <c r="A175" s="238" t="str">
        <f t="shared" si="181"/>
        <v>PCE</v>
      </c>
      <c r="B175" s="252">
        <v>65</v>
      </c>
      <c r="C175" s="249">
        <v>0.11206896551724101</v>
      </c>
      <c r="D175" s="252">
        <v>65</v>
      </c>
      <c r="E175" s="249">
        <v>0.105691056910569</v>
      </c>
      <c r="F175" s="252">
        <v>70</v>
      </c>
      <c r="G175" s="249">
        <v>0.11965811965812</v>
      </c>
      <c r="H175" s="252">
        <v>2</v>
      </c>
      <c r="I175" s="249">
        <v>3.5650623885917998E-2</v>
      </c>
      <c r="J175" s="252">
        <v>65</v>
      </c>
      <c r="K175" s="249">
        <v>0.119266055045872</v>
      </c>
      <c r="L175" s="252">
        <v>70</v>
      </c>
      <c r="M175" s="249">
        <v>0.121975806451613</v>
      </c>
      <c r="N175" s="255"/>
      <c r="O175" s="246">
        <f t="shared" si="182"/>
        <v>90</v>
      </c>
      <c r="P175" s="246"/>
      <c r="Q175" s="246">
        <f t="shared" si="183"/>
        <v>90</v>
      </c>
      <c r="R175" s="246"/>
      <c r="S175" s="246">
        <f t="shared" si="184"/>
        <v>90</v>
      </c>
      <c r="T175" s="246"/>
      <c r="U175" s="246">
        <f t="shared" si="185"/>
        <v>90</v>
      </c>
      <c r="V175" s="246"/>
      <c r="W175" s="246">
        <f t="shared" si="186"/>
        <v>90</v>
      </c>
      <c r="X175" s="246"/>
      <c r="Y175" s="246">
        <f t="shared" si="187"/>
        <v>90</v>
      </c>
      <c r="AA175" s="251">
        <f t="shared" si="188"/>
        <v>360</v>
      </c>
      <c r="AB175" s="251"/>
      <c r="AC175" s="251">
        <f t="shared" si="189"/>
        <v>360</v>
      </c>
      <c r="AD175" s="251"/>
      <c r="AE175" s="251">
        <f t="shared" si="190"/>
        <v>360</v>
      </c>
      <c r="AF175" s="251"/>
      <c r="AG175" s="251">
        <f t="shared" si="191"/>
        <v>360</v>
      </c>
      <c r="AH175" s="251"/>
      <c r="AI175" s="251">
        <f t="shared" si="192"/>
        <v>360</v>
      </c>
      <c r="AJ175" s="251"/>
      <c r="AK175" s="251">
        <f t="shared" si="193"/>
        <v>360</v>
      </c>
    </row>
    <row r="176" spans="1:39" ht="13.5" customHeight="1" x14ac:dyDescent="0.3">
      <c r="A176" s="238" t="str">
        <f t="shared" si="181"/>
        <v>LSTM</v>
      </c>
      <c r="B176" s="252">
        <v>60</v>
      </c>
      <c r="C176" s="249">
        <v>0.10344827586206901</v>
      </c>
      <c r="D176" s="252">
        <v>95</v>
      </c>
      <c r="E176" s="249">
        <v>0.154471544715447</v>
      </c>
      <c r="F176" s="252">
        <v>70</v>
      </c>
      <c r="G176" s="249">
        <v>0.11965811965812</v>
      </c>
      <c r="H176" s="252">
        <v>2</v>
      </c>
      <c r="I176" s="249">
        <v>3.5650623885917998E-2</v>
      </c>
      <c r="J176" s="252">
        <v>60</v>
      </c>
      <c r="K176" s="249">
        <v>0.11009174311926601</v>
      </c>
      <c r="L176" s="252">
        <v>65</v>
      </c>
      <c r="M176" s="249">
        <v>0.125</v>
      </c>
      <c r="N176" s="255"/>
      <c r="O176" s="246">
        <f t="shared" si="182"/>
        <v>90</v>
      </c>
      <c r="P176" s="246"/>
      <c r="Q176" s="246">
        <f t="shared" si="183"/>
        <v>90</v>
      </c>
      <c r="R176" s="246"/>
      <c r="S176" s="246">
        <f t="shared" si="184"/>
        <v>90</v>
      </c>
      <c r="T176" s="246"/>
      <c r="U176" s="246">
        <f t="shared" si="185"/>
        <v>90</v>
      </c>
      <c r="V176" s="246"/>
      <c r="W176" s="246">
        <f t="shared" si="186"/>
        <v>90</v>
      </c>
      <c r="X176" s="246"/>
      <c r="Y176" s="246">
        <f t="shared" si="187"/>
        <v>90</v>
      </c>
      <c r="AA176" s="251">
        <f t="shared" si="188"/>
        <v>360</v>
      </c>
      <c r="AB176" s="251"/>
      <c r="AC176" s="251">
        <f t="shared" si="189"/>
        <v>360</v>
      </c>
      <c r="AD176" s="251"/>
      <c r="AE176" s="251">
        <f t="shared" si="190"/>
        <v>360</v>
      </c>
      <c r="AF176" s="251"/>
      <c r="AG176" s="251">
        <f t="shared" si="191"/>
        <v>360</v>
      </c>
      <c r="AH176" s="251"/>
      <c r="AI176" s="251">
        <f t="shared" si="192"/>
        <v>360</v>
      </c>
      <c r="AJ176" s="251"/>
      <c r="AK176" s="251">
        <f t="shared" si="193"/>
        <v>360</v>
      </c>
    </row>
    <row r="177" spans="1:39" ht="13.5" customHeight="1" x14ac:dyDescent="0.3">
      <c r="A177" s="238" t="str">
        <f t="shared" si="181"/>
        <v>GARCH</v>
      </c>
      <c r="B177" s="252">
        <v>75</v>
      </c>
      <c r="C177" s="249">
        <v>0.12931034482758599</v>
      </c>
      <c r="D177" s="252">
        <v>65</v>
      </c>
      <c r="E177" s="249">
        <v>0.105691056910569</v>
      </c>
      <c r="F177" s="252">
        <v>60</v>
      </c>
      <c r="G177" s="249">
        <v>0.102564102564103</v>
      </c>
      <c r="H177" s="252">
        <v>5</v>
      </c>
      <c r="I177" s="249">
        <v>8.9126559714794995E-2</v>
      </c>
      <c r="J177" s="252">
        <v>50</v>
      </c>
      <c r="K177" s="249">
        <v>9.1743119266055106E-2</v>
      </c>
      <c r="L177" s="252">
        <v>60</v>
      </c>
      <c r="M177" s="249">
        <v>0.119959677419355</v>
      </c>
      <c r="N177" s="255"/>
      <c r="O177" s="246">
        <f t="shared" si="182"/>
        <v>90</v>
      </c>
      <c r="P177" s="246"/>
      <c r="Q177" s="246">
        <f t="shared" si="183"/>
        <v>90</v>
      </c>
      <c r="R177" s="246"/>
      <c r="S177" s="246">
        <f t="shared" si="184"/>
        <v>90</v>
      </c>
      <c r="T177" s="246"/>
      <c r="U177" s="246">
        <f t="shared" si="185"/>
        <v>90</v>
      </c>
      <c r="V177" s="246"/>
      <c r="W177" s="246">
        <f t="shared" si="186"/>
        <v>90</v>
      </c>
      <c r="X177" s="246"/>
      <c r="Y177" s="246">
        <f t="shared" si="187"/>
        <v>90</v>
      </c>
      <c r="AA177" s="251">
        <f t="shared" si="188"/>
        <v>360</v>
      </c>
      <c r="AB177" s="251"/>
      <c r="AC177" s="251">
        <f t="shared" si="189"/>
        <v>360</v>
      </c>
      <c r="AD177" s="251"/>
      <c r="AE177" s="251">
        <f t="shared" si="190"/>
        <v>360</v>
      </c>
      <c r="AF177" s="251"/>
      <c r="AG177" s="251">
        <f t="shared" si="191"/>
        <v>360</v>
      </c>
      <c r="AH177" s="251"/>
      <c r="AI177" s="251">
        <f t="shared" si="192"/>
        <v>360</v>
      </c>
      <c r="AJ177" s="251"/>
      <c r="AK177" s="251">
        <f t="shared" si="193"/>
        <v>360</v>
      </c>
    </row>
    <row r="178" spans="1:39" ht="13.5" customHeight="1" x14ac:dyDescent="0.3">
      <c r="A178" s="238" t="str">
        <f t="shared" si="181"/>
        <v>VAR</v>
      </c>
      <c r="B178" s="252">
        <v>0</v>
      </c>
      <c r="C178" s="249">
        <v>0</v>
      </c>
      <c r="D178" s="252">
        <v>65</v>
      </c>
      <c r="E178" s="249">
        <v>0.105691056910569</v>
      </c>
      <c r="F178" s="252">
        <v>60</v>
      </c>
      <c r="G178" s="249">
        <v>0.102564102564103</v>
      </c>
      <c r="H178" s="252">
        <v>2</v>
      </c>
      <c r="I178" s="249">
        <v>3.5650623885917998E-2</v>
      </c>
      <c r="J178" s="252">
        <v>60</v>
      </c>
      <c r="K178" s="249">
        <v>0.11009174311926601</v>
      </c>
      <c r="L178" s="252">
        <v>60</v>
      </c>
      <c r="M178" s="249">
        <v>0.13004032258064499</v>
      </c>
      <c r="N178" s="255"/>
      <c r="O178" s="246">
        <f t="shared" si="182"/>
        <v>0</v>
      </c>
      <c r="P178" s="246"/>
      <c r="Q178" s="246">
        <f t="shared" si="183"/>
        <v>90</v>
      </c>
      <c r="R178" s="246"/>
      <c r="S178" s="246">
        <f t="shared" si="184"/>
        <v>90</v>
      </c>
      <c r="T178" s="246"/>
      <c r="U178" s="246">
        <f t="shared" si="185"/>
        <v>90</v>
      </c>
      <c r="V178" s="246"/>
      <c r="W178" s="246">
        <f t="shared" si="186"/>
        <v>90</v>
      </c>
      <c r="X178" s="246"/>
      <c r="Y178" s="246">
        <f t="shared" si="187"/>
        <v>90</v>
      </c>
      <c r="AA178" s="251">
        <f t="shared" si="188"/>
        <v>0</v>
      </c>
      <c r="AB178" s="251"/>
      <c r="AC178" s="251">
        <f t="shared" si="189"/>
        <v>360</v>
      </c>
      <c r="AD178" s="251"/>
      <c r="AE178" s="251">
        <f t="shared" si="190"/>
        <v>360</v>
      </c>
      <c r="AF178" s="251"/>
      <c r="AG178" s="251">
        <f t="shared" si="191"/>
        <v>360</v>
      </c>
      <c r="AH178" s="251"/>
      <c r="AI178" s="251">
        <f t="shared" si="192"/>
        <v>360</v>
      </c>
      <c r="AJ178" s="251"/>
      <c r="AK178" s="251">
        <f t="shared" si="193"/>
        <v>360</v>
      </c>
    </row>
    <row r="179" spans="1:39" ht="13.5" customHeight="1" x14ac:dyDescent="0.3">
      <c r="A179" s="238" t="str">
        <f t="shared" si="181"/>
        <v>RW</v>
      </c>
      <c r="B179" s="252">
        <v>90</v>
      </c>
      <c r="C179" s="249">
        <v>0.15517241379310301</v>
      </c>
      <c r="D179" s="252">
        <v>65</v>
      </c>
      <c r="E179" s="249">
        <v>0.105691056910569</v>
      </c>
      <c r="F179" s="252">
        <v>60</v>
      </c>
      <c r="G179" s="249">
        <v>0.102564102564103</v>
      </c>
      <c r="H179" s="252">
        <v>5</v>
      </c>
      <c r="I179" s="249">
        <v>8.9126559714794995E-2</v>
      </c>
      <c r="J179" s="252">
        <v>60</v>
      </c>
      <c r="K179" s="249">
        <v>0.11009174311926601</v>
      </c>
      <c r="L179" s="252">
        <v>65</v>
      </c>
      <c r="M179" s="249">
        <v>0.13004032258064499</v>
      </c>
      <c r="N179" s="255"/>
      <c r="O179" s="246">
        <f t="shared" si="182"/>
        <v>90</v>
      </c>
      <c r="P179" s="246"/>
      <c r="Q179" s="246">
        <f t="shared" si="183"/>
        <v>90</v>
      </c>
      <c r="R179" s="246"/>
      <c r="S179" s="246">
        <f t="shared" si="184"/>
        <v>90</v>
      </c>
      <c r="T179" s="246"/>
      <c r="U179" s="246">
        <f t="shared" si="185"/>
        <v>90</v>
      </c>
      <c r="V179" s="246"/>
      <c r="W179" s="246">
        <f t="shared" si="186"/>
        <v>90</v>
      </c>
      <c r="X179" s="246"/>
      <c r="Y179" s="246">
        <f t="shared" si="187"/>
        <v>90</v>
      </c>
      <c r="AA179" s="251">
        <f t="shared" si="188"/>
        <v>360</v>
      </c>
      <c r="AB179" s="251"/>
      <c r="AC179" s="251">
        <f t="shared" si="189"/>
        <v>360</v>
      </c>
      <c r="AD179" s="251"/>
      <c r="AE179" s="251">
        <f t="shared" si="190"/>
        <v>360</v>
      </c>
      <c r="AF179" s="251"/>
      <c r="AG179" s="251">
        <f t="shared" si="191"/>
        <v>360</v>
      </c>
      <c r="AH179" s="251"/>
      <c r="AI179" s="251">
        <f t="shared" si="192"/>
        <v>360</v>
      </c>
      <c r="AJ179" s="251"/>
      <c r="AK179" s="251">
        <f t="shared" si="193"/>
        <v>360</v>
      </c>
    </row>
    <row r="180" spans="1:39" ht="13.5" customHeight="1" x14ac:dyDescent="0.3">
      <c r="A180" s="238" t="str">
        <f t="shared" si="181"/>
        <v>ETS</v>
      </c>
      <c r="B180" s="252">
        <v>90</v>
      </c>
      <c r="C180" s="249">
        <v>0.15517241379310301</v>
      </c>
      <c r="D180" s="252">
        <v>65</v>
      </c>
      <c r="E180" s="249">
        <v>0.105691056910569</v>
      </c>
      <c r="F180" s="252">
        <v>60</v>
      </c>
      <c r="G180" s="249">
        <v>0.102564102564103</v>
      </c>
      <c r="H180" s="252">
        <v>5</v>
      </c>
      <c r="I180" s="249">
        <v>8.9126559714794995E-2</v>
      </c>
      <c r="J180" s="252">
        <v>60</v>
      </c>
      <c r="K180" s="249">
        <v>0.11009174311926601</v>
      </c>
      <c r="L180" s="252">
        <v>65</v>
      </c>
      <c r="M180" s="249">
        <v>0.120967741935484</v>
      </c>
      <c r="N180" s="255"/>
      <c r="O180" s="246">
        <f t="shared" si="182"/>
        <v>90</v>
      </c>
      <c r="P180" s="246"/>
      <c r="Q180" s="246">
        <f t="shared" si="183"/>
        <v>90</v>
      </c>
      <c r="R180" s="246"/>
      <c r="S180" s="246">
        <f t="shared" si="184"/>
        <v>90</v>
      </c>
      <c r="T180" s="246"/>
      <c r="U180" s="246">
        <f t="shared" si="185"/>
        <v>90</v>
      </c>
      <c r="V180" s="246"/>
      <c r="W180" s="246">
        <f t="shared" si="186"/>
        <v>90</v>
      </c>
      <c r="X180" s="246"/>
      <c r="Y180" s="246">
        <f t="shared" si="187"/>
        <v>90</v>
      </c>
      <c r="AA180" s="251">
        <f t="shared" si="188"/>
        <v>360</v>
      </c>
      <c r="AB180" s="251"/>
      <c r="AC180" s="251">
        <f t="shared" si="189"/>
        <v>360</v>
      </c>
      <c r="AD180" s="251"/>
      <c r="AE180" s="251">
        <f t="shared" si="190"/>
        <v>360</v>
      </c>
      <c r="AF180" s="251"/>
      <c r="AG180" s="251">
        <f t="shared" si="191"/>
        <v>360</v>
      </c>
      <c r="AH180" s="251"/>
      <c r="AI180" s="251">
        <f t="shared" si="192"/>
        <v>360</v>
      </c>
      <c r="AJ180" s="251"/>
      <c r="AK180" s="251">
        <f t="shared" si="193"/>
        <v>360</v>
      </c>
    </row>
    <row r="181" spans="1:39" ht="13.5" customHeight="1" x14ac:dyDescent="0.3">
      <c r="A181" s="238" t="str">
        <f t="shared" si="181"/>
        <v>DynaMix</v>
      </c>
      <c r="B181" s="252">
        <v>70</v>
      </c>
      <c r="C181" s="249">
        <v>0.12068965517241401</v>
      </c>
      <c r="D181" s="252">
        <v>70</v>
      </c>
      <c r="E181" s="249">
        <v>0.113821138211382</v>
      </c>
      <c r="F181" s="252">
        <v>65</v>
      </c>
      <c r="G181" s="249">
        <v>0.11111111111111099</v>
      </c>
      <c r="H181" s="252">
        <v>5</v>
      </c>
      <c r="I181" s="249">
        <v>8.9126559714794995E-2</v>
      </c>
      <c r="J181" s="252">
        <v>65</v>
      </c>
      <c r="K181" s="249">
        <v>0.119266055045872</v>
      </c>
      <c r="L181" s="252">
        <v>90</v>
      </c>
      <c r="M181" s="249">
        <v>0.120967741935484</v>
      </c>
      <c r="N181" s="255"/>
      <c r="O181" s="246">
        <f t="shared" si="182"/>
        <v>90</v>
      </c>
      <c r="P181" s="246"/>
      <c r="Q181" s="246">
        <f t="shared" si="183"/>
        <v>90</v>
      </c>
      <c r="R181" s="246"/>
      <c r="S181" s="246">
        <f t="shared" si="184"/>
        <v>90</v>
      </c>
      <c r="T181" s="246"/>
      <c r="U181" s="246">
        <f t="shared" si="185"/>
        <v>90</v>
      </c>
      <c r="V181" s="246"/>
      <c r="W181" s="246">
        <f t="shared" si="186"/>
        <v>90</v>
      </c>
      <c r="X181" s="246"/>
      <c r="Y181" s="246">
        <f t="shared" si="187"/>
        <v>90</v>
      </c>
      <c r="AA181" s="251">
        <f t="shared" si="188"/>
        <v>360</v>
      </c>
      <c r="AB181" s="251"/>
      <c r="AC181" s="251">
        <f t="shared" si="189"/>
        <v>360</v>
      </c>
      <c r="AD181" s="251"/>
      <c r="AE181" s="251">
        <f t="shared" si="190"/>
        <v>360</v>
      </c>
      <c r="AF181" s="251"/>
      <c r="AG181" s="251">
        <f t="shared" si="191"/>
        <v>360</v>
      </c>
      <c r="AH181" s="251"/>
      <c r="AI181" s="251">
        <f t="shared" si="192"/>
        <v>360</v>
      </c>
      <c r="AJ181" s="251"/>
      <c r="AK181" s="251">
        <f t="shared" si="193"/>
        <v>360</v>
      </c>
    </row>
    <row r="182" spans="1:39" ht="13.5" customHeight="1" x14ac:dyDescent="0.3">
      <c r="O182" s="255"/>
      <c r="P182" s="255"/>
      <c r="Q182" s="255"/>
      <c r="R182" s="255"/>
      <c r="S182" s="255"/>
      <c r="T182" s="255"/>
      <c r="U182" s="255"/>
      <c r="V182" s="255"/>
      <c r="W182" s="255"/>
      <c r="X182" s="255"/>
      <c r="Y182" s="255"/>
    </row>
    <row r="183" spans="1:39" ht="14.4" x14ac:dyDescent="0.3">
      <c r="A183" s="247" t="s">
        <v>64</v>
      </c>
      <c r="B183" s="252" t="s">
        <v>12</v>
      </c>
      <c r="C183" s="249">
        <v>745</v>
      </c>
      <c r="D183" s="252" t="s">
        <v>13</v>
      </c>
      <c r="E183" s="249">
        <v>650</v>
      </c>
      <c r="F183" s="252" t="s">
        <v>14</v>
      </c>
      <c r="G183" s="249">
        <v>560</v>
      </c>
      <c r="H183" s="252" t="s">
        <v>15</v>
      </c>
      <c r="I183" s="249">
        <v>390</v>
      </c>
      <c r="J183" s="252" t="s">
        <v>16</v>
      </c>
      <c r="K183" s="249">
        <v>485</v>
      </c>
      <c r="L183" s="252" t="s">
        <v>17</v>
      </c>
      <c r="M183" s="249">
        <v>496</v>
      </c>
      <c r="N183" s="253"/>
      <c r="O183" s="246" t="s">
        <v>12</v>
      </c>
      <c r="P183" s="246"/>
      <c r="Q183" s="246" t="s">
        <v>13</v>
      </c>
      <c r="R183" s="246"/>
      <c r="S183" s="246" t="s">
        <v>14</v>
      </c>
      <c r="T183" s="246"/>
      <c r="U183" s="246" t="s">
        <v>15</v>
      </c>
      <c r="V183" s="246"/>
      <c r="W183" s="246" t="s">
        <v>16</v>
      </c>
      <c r="X183" s="246"/>
      <c r="Y183" s="246" t="s">
        <v>17</v>
      </c>
      <c r="Z183" s="253"/>
      <c r="AA183" s="251" t="s">
        <v>12</v>
      </c>
      <c r="AB183" s="251"/>
      <c r="AC183" s="251" t="s">
        <v>13</v>
      </c>
      <c r="AD183" s="251"/>
      <c r="AE183" s="251" t="s">
        <v>14</v>
      </c>
      <c r="AF183" s="251"/>
      <c r="AG183" s="251" t="s">
        <v>15</v>
      </c>
      <c r="AH183" s="251"/>
      <c r="AI183" s="251" t="s">
        <v>16</v>
      </c>
      <c r="AJ183" s="251"/>
      <c r="AK183" s="251" t="s">
        <v>17</v>
      </c>
      <c r="AL183" s="253"/>
      <c r="AM183" s="253">
        <f>AM194</f>
        <v>4</v>
      </c>
    </row>
    <row r="184" spans="1:39" ht="14.4" x14ac:dyDescent="0.3">
      <c r="A184" s="238" t="str">
        <f t="shared" ref="A184:A192" si="194">A195</f>
        <v>PyCaret</v>
      </c>
      <c r="B184" s="252">
        <v>90</v>
      </c>
      <c r="C184" s="249">
        <v>0.12751677852349</v>
      </c>
      <c r="D184" s="252">
        <v>90</v>
      </c>
      <c r="E184" s="249">
        <v>0.115384615384615</v>
      </c>
      <c r="F184" s="252">
        <v>90</v>
      </c>
      <c r="G184" s="249">
        <v>0.125</v>
      </c>
      <c r="H184" s="252">
        <v>90</v>
      </c>
      <c r="I184" s="249">
        <v>0.15384615384615399</v>
      </c>
      <c r="J184" s="252">
        <v>90</v>
      </c>
      <c r="K184" s="249">
        <v>0.123711340206186</v>
      </c>
      <c r="L184" s="252">
        <v>90</v>
      </c>
      <c r="M184" s="249">
        <v>0.121975806451613</v>
      </c>
      <c r="N184" s="253"/>
      <c r="O184" s="246">
        <f t="shared" ref="O184:O192" si="195">AA184/$AM$183</f>
        <v>90</v>
      </c>
      <c r="P184" s="246"/>
      <c r="Q184" s="246">
        <f t="shared" ref="Q184:Q192" si="196">AC184/$AM$183</f>
        <v>90</v>
      </c>
      <c r="R184" s="246"/>
      <c r="S184" s="246">
        <f t="shared" ref="S184:S192" si="197">AE184/$AM$183</f>
        <v>90</v>
      </c>
      <c r="T184" s="246"/>
      <c r="U184" s="246">
        <f t="shared" ref="U184:U192" si="198">AG184/$AM$183</f>
        <v>90</v>
      </c>
      <c r="V184" s="246"/>
      <c r="W184" s="246">
        <f t="shared" ref="W184:W192" si="199">AI184/$AM$183</f>
        <v>90</v>
      </c>
      <c r="X184" s="246"/>
      <c r="Y184" s="246">
        <f t="shared" ref="Y184:Y192" si="200">AK184/$AM$183</f>
        <v>90</v>
      </c>
      <c r="Z184" s="253"/>
      <c r="AA184" s="251">
        <f t="shared" ref="AA184:AA192" si="201">(B228+B217+B206+B195)</f>
        <v>360</v>
      </c>
      <c r="AB184" s="251"/>
      <c r="AC184" s="251">
        <f t="shared" ref="AC184:AC192" si="202">(D228+D217+D206+D195)</f>
        <v>360</v>
      </c>
      <c r="AD184" s="251"/>
      <c r="AE184" s="251">
        <f t="shared" ref="AE184:AE192" si="203">(F228+F217+F206+F195)</f>
        <v>360</v>
      </c>
      <c r="AF184" s="251"/>
      <c r="AG184" s="251">
        <f t="shared" ref="AG184:AG192" si="204">(H228+H217+H206+H195)</f>
        <v>360</v>
      </c>
      <c r="AH184" s="251"/>
      <c r="AI184" s="251">
        <f t="shared" ref="AI184:AI192" si="205">(J228+J217+J206+J195)</f>
        <v>360</v>
      </c>
      <c r="AJ184" s="251"/>
      <c r="AK184" s="251">
        <f t="shared" ref="AK184:AK192" si="206">(L228+L217+L206+L195)</f>
        <v>360</v>
      </c>
      <c r="AL184" s="253"/>
      <c r="AM184" s="257"/>
    </row>
    <row r="185" spans="1:39" ht="14.4" x14ac:dyDescent="0.3">
      <c r="A185" s="238" t="str">
        <f t="shared" si="194"/>
        <v>ARIMAX</v>
      </c>
      <c r="B185" s="252">
        <v>90</v>
      </c>
      <c r="C185" s="249">
        <v>0.12080536912751701</v>
      </c>
      <c r="D185" s="252">
        <v>90</v>
      </c>
      <c r="E185" s="249">
        <v>0.123076923076923</v>
      </c>
      <c r="F185" s="252">
        <v>90</v>
      </c>
      <c r="G185" s="249">
        <v>0.125</v>
      </c>
      <c r="H185" s="252">
        <v>90</v>
      </c>
      <c r="I185" s="249">
        <v>7.69230769230769E-2</v>
      </c>
      <c r="J185" s="252">
        <v>90</v>
      </c>
      <c r="K185" s="249">
        <v>0.123711340206186</v>
      </c>
      <c r="L185" s="252">
        <v>90</v>
      </c>
      <c r="M185" s="249">
        <v>0.13004032258064499</v>
      </c>
      <c r="N185" s="253"/>
      <c r="O185" s="246">
        <f t="shared" si="195"/>
        <v>90</v>
      </c>
      <c r="P185" s="246"/>
      <c r="Q185" s="246">
        <f t="shared" si="196"/>
        <v>90</v>
      </c>
      <c r="R185" s="246"/>
      <c r="S185" s="246">
        <f t="shared" si="197"/>
        <v>90</v>
      </c>
      <c r="T185" s="246"/>
      <c r="U185" s="246">
        <f t="shared" si="198"/>
        <v>90</v>
      </c>
      <c r="V185" s="246"/>
      <c r="W185" s="246">
        <f t="shared" si="199"/>
        <v>90</v>
      </c>
      <c r="X185" s="246"/>
      <c r="Y185" s="246">
        <f t="shared" si="200"/>
        <v>90</v>
      </c>
      <c r="Z185" s="253"/>
      <c r="AA185" s="251">
        <f t="shared" si="201"/>
        <v>360</v>
      </c>
      <c r="AB185" s="251"/>
      <c r="AC185" s="251">
        <f t="shared" si="202"/>
        <v>360</v>
      </c>
      <c r="AD185" s="251"/>
      <c r="AE185" s="251">
        <f t="shared" si="203"/>
        <v>360</v>
      </c>
      <c r="AF185" s="251"/>
      <c r="AG185" s="251">
        <f t="shared" si="204"/>
        <v>360</v>
      </c>
      <c r="AH185" s="251"/>
      <c r="AI185" s="251">
        <f t="shared" si="205"/>
        <v>360</v>
      </c>
      <c r="AJ185" s="251"/>
      <c r="AK185" s="251">
        <f t="shared" si="206"/>
        <v>360</v>
      </c>
      <c r="AL185" s="253"/>
      <c r="AM185" s="257"/>
    </row>
    <row r="186" spans="1:39" ht="14.4" x14ac:dyDescent="0.3">
      <c r="A186" s="238" t="str">
        <f t="shared" si="194"/>
        <v>PCE</v>
      </c>
      <c r="B186" s="252">
        <v>90</v>
      </c>
      <c r="C186" s="249">
        <v>0.12080536912751701</v>
      </c>
      <c r="D186" s="252">
        <v>90</v>
      </c>
      <c r="E186" s="249">
        <v>0.123076923076923</v>
      </c>
      <c r="F186" s="252">
        <v>90</v>
      </c>
      <c r="G186" s="249">
        <v>0.125</v>
      </c>
      <c r="H186" s="252">
        <v>90</v>
      </c>
      <c r="I186" s="249">
        <v>0.128205128205128</v>
      </c>
      <c r="J186" s="252">
        <v>90</v>
      </c>
      <c r="K186" s="249">
        <v>0.123711340206186</v>
      </c>
      <c r="L186" s="252">
        <v>90</v>
      </c>
      <c r="M186" s="249">
        <v>0.121975806451613</v>
      </c>
      <c r="N186" s="253"/>
      <c r="O186" s="246">
        <f t="shared" si="195"/>
        <v>90</v>
      </c>
      <c r="P186" s="246"/>
      <c r="Q186" s="246">
        <f t="shared" si="196"/>
        <v>90</v>
      </c>
      <c r="R186" s="246"/>
      <c r="S186" s="246">
        <f t="shared" si="197"/>
        <v>90</v>
      </c>
      <c r="T186" s="246"/>
      <c r="U186" s="246">
        <f t="shared" si="198"/>
        <v>90</v>
      </c>
      <c r="V186" s="246"/>
      <c r="W186" s="246">
        <f t="shared" si="199"/>
        <v>90</v>
      </c>
      <c r="X186" s="246"/>
      <c r="Y186" s="246">
        <f t="shared" si="200"/>
        <v>90</v>
      </c>
      <c r="Z186" s="253"/>
      <c r="AA186" s="251">
        <f t="shared" si="201"/>
        <v>360</v>
      </c>
      <c r="AB186" s="251"/>
      <c r="AC186" s="251">
        <f t="shared" si="202"/>
        <v>360</v>
      </c>
      <c r="AD186" s="251"/>
      <c r="AE186" s="251">
        <f t="shared" si="203"/>
        <v>360</v>
      </c>
      <c r="AF186" s="251"/>
      <c r="AG186" s="251">
        <f t="shared" si="204"/>
        <v>360</v>
      </c>
      <c r="AH186" s="251"/>
      <c r="AI186" s="251">
        <f t="shared" si="205"/>
        <v>360</v>
      </c>
      <c r="AJ186" s="251"/>
      <c r="AK186" s="251">
        <f t="shared" si="206"/>
        <v>360</v>
      </c>
      <c r="AL186" s="253"/>
      <c r="AM186" s="257"/>
    </row>
    <row r="187" spans="1:39" ht="14.4" x14ac:dyDescent="0.3">
      <c r="A187" s="238" t="str">
        <f t="shared" si="194"/>
        <v>LSTM</v>
      </c>
      <c r="B187" s="252">
        <v>90</v>
      </c>
      <c r="C187" s="249">
        <v>0.12080536912751701</v>
      </c>
      <c r="D187" s="252">
        <v>90</v>
      </c>
      <c r="E187" s="249">
        <v>0.123076923076923</v>
      </c>
      <c r="F187" s="252">
        <v>90</v>
      </c>
      <c r="G187" s="249">
        <v>0.125</v>
      </c>
      <c r="H187" s="252">
        <v>90</v>
      </c>
      <c r="I187" s="249">
        <v>0.128205128205128</v>
      </c>
      <c r="J187" s="252">
        <v>90</v>
      </c>
      <c r="K187" s="249">
        <v>0.123711340206186</v>
      </c>
      <c r="L187" s="252">
        <v>90</v>
      </c>
      <c r="M187" s="249">
        <v>0.125</v>
      </c>
      <c r="N187" s="253"/>
      <c r="O187" s="246">
        <f t="shared" si="195"/>
        <v>90</v>
      </c>
      <c r="P187" s="246"/>
      <c r="Q187" s="246">
        <f t="shared" si="196"/>
        <v>90</v>
      </c>
      <c r="R187" s="246"/>
      <c r="S187" s="246">
        <f t="shared" si="197"/>
        <v>90</v>
      </c>
      <c r="T187" s="246"/>
      <c r="U187" s="246">
        <f t="shared" si="198"/>
        <v>90</v>
      </c>
      <c r="V187" s="246"/>
      <c r="W187" s="246">
        <f t="shared" si="199"/>
        <v>90</v>
      </c>
      <c r="X187" s="246"/>
      <c r="Y187" s="246">
        <f t="shared" si="200"/>
        <v>90</v>
      </c>
      <c r="Z187" s="253"/>
      <c r="AA187" s="251">
        <f t="shared" si="201"/>
        <v>360</v>
      </c>
      <c r="AB187" s="251"/>
      <c r="AC187" s="251">
        <f t="shared" si="202"/>
        <v>360</v>
      </c>
      <c r="AD187" s="251"/>
      <c r="AE187" s="251">
        <f t="shared" si="203"/>
        <v>360</v>
      </c>
      <c r="AF187" s="251"/>
      <c r="AG187" s="251">
        <f t="shared" si="204"/>
        <v>360</v>
      </c>
      <c r="AH187" s="251"/>
      <c r="AI187" s="251">
        <f t="shared" si="205"/>
        <v>360</v>
      </c>
      <c r="AJ187" s="251"/>
      <c r="AK187" s="251">
        <f t="shared" si="206"/>
        <v>360</v>
      </c>
      <c r="AL187" s="253"/>
      <c r="AM187" s="257"/>
    </row>
    <row r="188" spans="1:39" ht="14.4" x14ac:dyDescent="0.3">
      <c r="A188" s="238" t="str">
        <f t="shared" si="194"/>
        <v>GARCH</v>
      </c>
      <c r="B188" s="252">
        <v>90</v>
      </c>
      <c r="C188" s="249">
        <v>0.12751677852349</v>
      </c>
      <c r="D188" s="252">
        <v>90</v>
      </c>
      <c r="E188" s="249">
        <v>0.115384615384615</v>
      </c>
      <c r="F188" s="252">
        <v>90</v>
      </c>
      <c r="G188" s="249">
        <v>0.125</v>
      </c>
      <c r="H188" s="252">
        <v>90</v>
      </c>
      <c r="I188" s="249">
        <v>7.69230769230769E-2</v>
      </c>
      <c r="J188" s="252">
        <v>90</v>
      </c>
      <c r="K188" s="249">
        <v>0.123711340206186</v>
      </c>
      <c r="L188" s="252">
        <v>90</v>
      </c>
      <c r="M188" s="249">
        <v>0.119959677419355</v>
      </c>
      <c r="N188" s="253"/>
      <c r="O188" s="246">
        <f t="shared" si="195"/>
        <v>90</v>
      </c>
      <c r="P188" s="246"/>
      <c r="Q188" s="246">
        <f t="shared" si="196"/>
        <v>90</v>
      </c>
      <c r="R188" s="246"/>
      <c r="S188" s="246">
        <f t="shared" si="197"/>
        <v>90</v>
      </c>
      <c r="T188" s="246"/>
      <c r="U188" s="246">
        <f t="shared" si="198"/>
        <v>90</v>
      </c>
      <c r="V188" s="246"/>
      <c r="W188" s="246">
        <f t="shared" si="199"/>
        <v>90</v>
      </c>
      <c r="X188" s="246"/>
      <c r="Y188" s="246">
        <f t="shared" si="200"/>
        <v>90</v>
      </c>
      <c r="Z188" s="253"/>
      <c r="AA188" s="251">
        <f t="shared" si="201"/>
        <v>360</v>
      </c>
      <c r="AB188" s="251"/>
      <c r="AC188" s="251">
        <f t="shared" si="202"/>
        <v>360</v>
      </c>
      <c r="AD188" s="251"/>
      <c r="AE188" s="251">
        <f t="shared" si="203"/>
        <v>360</v>
      </c>
      <c r="AF188" s="251"/>
      <c r="AG188" s="251">
        <f t="shared" si="204"/>
        <v>360</v>
      </c>
      <c r="AH188" s="251"/>
      <c r="AI188" s="251">
        <f t="shared" si="205"/>
        <v>360</v>
      </c>
      <c r="AJ188" s="251"/>
      <c r="AK188" s="251">
        <f t="shared" si="206"/>
        <v>360</v>
      </c>
      <c r="AL188" s="253"/>
      <c r="AM188" s="257"/>
    </row>
    <row r="189" spans="1:39" ht="14.4" x14ac:dyDescent="0.3">
      <c r="A189" s="238" t="str">
        <f t="shared" si="194"/>
        <v>VAR</v>
      </c>
      <c r="B189" s="252">
        <v>0</v>
      </c>
      <c r="C189" s="249">
        <v>0.12751677852349</v>
      </c>
      <c r="D189" s="252">
        <v>90</v>
      </c>
      <c r="E189" s="249">
        <v>0.138461538461538</v>
      </c>
      <c r="F189" s="252">
        <v>90</v>
      </c>
      <c r="G189" s="249">
        <v>0.125</v>
      </c>
      <c r="H189" s="252">
        <v>90</v>
      </c>
      <c r="I189" s="249">
        <v>7.69230769230769E-2</v>
      </c>
      <c r="J189" s="252">
        <v>90</v>
      </c>
      <c r="K189" s="249">
        <v>0.123711340206186</v>
      </c>
      <c r="L189" s="252">
        <v>90</v>
      </c>
      <c r="M189" s="249">
        <v>0.13004032258064499</v>
      </c>
      <c r="N189" s="253"/>
      <c r="O189" s="246">
        <f t="shared" si="195"/>
        <v>0</v>
      </c>
      <c r="P189" s="246"/>
      <c r="Q189" s="246">
        <f t="shared" si="196"/>
        <v>90</v>
      </c>
      <c r="R189" s="246"/>
      <c r="S189" s="246">
        <f t="shared" si="197"/>
        <v>90</v>
      </c>
      <c r="T189" s="246"/>
      <c r="U189" s="246">
        <f t="shared" si="198"/>
        <v>90</v>
      </c>
      <c r="V189" s="246"/>
      <c r="W189" s="246">
        <f t="shared" si="199"/>
        <v>90</v>
      </c>
      <c r="X189" s="246"/>
      <c r="Y189" s="246">
        <f t="shared" si="200"/>
        <v>90</v>
      </c>
      <c r="Z189" s="253"/>
      <c r="AA189" s="251">
        <f t="shared" si="201"/>
        <v>0</v>
      </c>
      <c r="AB189" s="251"/>
      <c r="AC189" s="251">
        <f t="shared" si="202"/>
        <v>360</v>
      </c>
      <c r="AD189" s="251"/>
      <c r="AE189" s="251">
        <f t="shared" si="203"/>
        <v>360</v>
      </c>
      <c r="AF189" s="251"/>
      <c r="AG189" s="251">
        <f t="shared" si="204"/>
        <v>360</v>
      </c>
      <c r="AH189" s="251"/>
      <c r="AI189" s="251">
        <f t="shared" si="205"/>
        <v>360</v>
      </c>
      <c r="AJ189" s="251"/>
      <c r="AK189" s="251">
        <f t="shared" si="206"/>
        <v>360</v>
      </c>
      <c r="AL189" s="253"/>
      <c r="AM189" s="257"/>
    </row>
    <row r="190" spans="1:39" ht="14.4" x14ac:dyDescent="0.3">
      <c r="A190" s="238" t="str">
        <f t="shared" si="194"/>
        <v>RW</v>
      </c>
      <c r="B190" s="252">
        <v>90</v>
      </c>
      <c r="C190" s="249">
        <v>0.12751677852349</v>
      </c>
      <c r="D190" s="252">
        <v>90</v>
      </c>
      <c r="E190" s="249">
        <v>0.123076923076923</v>
      </c>
      <c r="F190" s="252">
        <v>90</v>
      </c>
      <c r="G190" s="249">
        <v>0.125</v>
      </c>
      <c r="H190" s="252">
        <v>90</v>
      </c>
      <c r="I190" s="249">
        <v>0.16666666666666699</v>
      </c>
      <c r="J190" s="252">
        <v>90</v>
      </c>
      <c r="K190" s="249">
        <v>0.123711340206186</v>
      </c>
      <c r="L190" s="252">
        <v>90</v>
      </c>
      <c r="M190" s="249">
        <v>0.13004032258064499</v>
      </c>
      <c r="N190" s="253"/>
      <c r="O190" s="246">
        <f t="shared" si="195"/>
        <v>90</v>
      </c>
      <c r="P190" s="246"/>
      <c r="Q190" s="246">
        <f t="shared" si="196"/>
        <v>90</v>
      </c>
      <c r="R190" s="246"/>
      <c r="S190" s="246">
        <f t="shared" si="197"/>
        <v>90</v>
      </c>
      <c r="T190" s="246"/>
      <c r="U190" s="246">
        <f t="shared" si="198"/>
        <v>90</v>
      </c>
      <c r="V190" s="246"/>
      <c r="W190" s="246">
        <f t="shared" si="199"/>
        <v>90</v>
      </c>
      <c r="X190" s="246"/>
      <c r="Y190" s="246">
        <f t="shared" si="200"/>
        <v>90</v>
      </c>
      <c r="Z190" s="253"/>
      <c r="AA190" s="251">
        <f t="shared" si="201"/>
        <v>360</v>
      </c>
      <c r="AB190" s="251"/>
      <c r="AC190" s="251">
        <f t="shared" si="202"/>
        <v>360</v>
      </c>
      <c r="AD190" s="251"/>
      <c r="AE190" s="251">
        <f t="shared" si="203"/>
        <v>360</v>
      </c>
      <c r="AF190" s="251"/>
      <c r="AG190" s="251">
        <f t="shared" si="204"/>
        <v>360</v>
      </c>
      <c r="AH190" s="251"/>
      <c r="AI190" s="251">
        <f t="shared" si="205"/>
        <v>360</v>
      </c>
      <c r="AJ190" s="251"/>
      <c r="AK190" s="251">
        <f t="shared" si="206"/>
        <v>360</v>
      </c>
      <c r="AL190" s="253"/>
      <c r="AM190" s="257"/>
    </row>
    <row r="191" spans="1:39" ht="13.5" customHeight="1" x14ac:dyDescent="0.3">
      <c r="A191" s="238" t="str">
        <f t="shared" si="194"/>
        <v>ETS</v>
      </c>
      <c r="B191" s="252">
        <v>90</v>
      </c>
      <c r="C191" s="249">
        <v>0.12751677852349</v>
      </c>
      <c r="D191" s="252">
        <v>90</v>
      </c>
      <c r="E191" s="249">
        <v>0.138461538461538</v>
      </c>
      <c r="F191" s="252">
        <v>90</v>
      </c>
      <c r="G191" s="249">
        <v>0.125</v>
      </c>
      <c r="H191" s="252">
        <v>90</v>
      </c>
      <c r="I191" s="249">
        <v>0.19230769230769201</v>
      </c>
      <c r="J191" s="252">
        <v>90</v>
      </c>
      <c r="K191" s="249">
        <v>0.134020618556701</v>
      </c>
      <c r="L191" s="252">
        <v>90</v>
      </c>
      <c r="M191" s="249">
        <v>0.120967741935484</v>
      </c>
      <c r="N191" s="253"/>
      <c r="O191" s="246">
        <f t="shared" si="195"/>
        <v>90</v>
      </c>
      <c r="P191" s="246"/>
      <c r="Q191" s="246">
        <f t="shared" si="196"/>
        <v>90</v>
      </c>
      <c r="R191" s="246"/>
      <c r="S191" s="246">
        <f t="shared" si="197"/>
        <v>90</v>
      </c>
      <c r="T191" s="246"/>
      <c r="U191" s="246">
        <f t="shared" si="198"/>
        <v>90</v>
      </c>
      <c r="V191" s="246"/>
      <c r="W191" s="246">
        <f t="shared" si="199"/>
        <v>90</v>
      </c>
      <c r="X191" s="246"/>
      <c r="Y191" s="246">
        <f t="shared" si="200"/>
        <v>90</v>
      </c>
      <c r="Z191" s="253"/>
      <c r="AA191" s="251">
        <f t="shared" si="201"/>
        <v>360</v>
      </c>
      <c r="AB191" s="251"/>
      <c r="AC191" s="251">
        <f t="shared" si="202"/>
        <v>360</v>
      </c>
      <c r="AD191" s="251"/>
      <c r="AE191" s="251">
        <f t="shared" si="203"/>
        <v>360</v>
      </c>
      <c r="AF191" s="251"/>
      <c r="AG191" s="251">
        <f t="shared" si="204"/>
        <v>360</v>
      </c>
      <c r="AH191" s="251"/>
      <c r="AI191" s="251">
        <f t="shared" si="205"/>
        <v>360</v>
      </c>
      <c r="AJ191" s="251"/>
      <c r="AK191" s="251">
        <f t="shared" si="206"/>
        <v>360</v>
      </c>
      <c r="AL191" s="253"/>
      <c r="AM191" s="257"/>
    </row>
    <row r="192" spans="1:39" ht="13.5" customHeight="1" x14ac:dyDescent="0.3">
      <c r="A192" s="238" t="str">
        <f t="shared" si="194"/>
        <v>DynaMix</v>
      </c>
      <c r="B192" s="252">
        <v>90</v>
      </c>
      <c r="C192" s="249">
        <v>0.12751677852349</v>
      </c>
      <c r="D192" s="252">
        <v>90</v>
      </c>
      <c r="E192" s="249">
        <v>0.138461538461538</v>
      </c>
      <c r="F192" s="252">
        <v>90</v>
      </c>
      <c r="G192" s="249">
        <v>0.125</v>
      </c>
      <c r="H192" s="252">
        <v>90</v>
      </c>
      <c r="I192" s="249">
        <v>0.19230769230769201</v>
      </c>
      <c r="J192" s="252">
        <v>90</v>
      </c>
      <c r="K192" s="249">
        <v>0.134020618556701</v>
      </c>
      <c r="L192" s="252">
        <v>90</v>
      </c>
      <c r="M192" s="249">
        <v>0.120967741935484</v>
      </c>
      <c r="N192" s="253"/>
      <c r="O192" s="246">
        <f t="shared" si="195"/>
        <v>90</v>
      </c>
      <c r="P192" s="246"/>
      <c r="Q192" s="246">
        <f t="shared" si="196"/>
        <v>90</v>
      </c>
      <c r="R192" s="246"/>
      <c r="S192" s="246">
        <f t="shared" si="197"/>
        <v>90</v>
      </c>
      <c r="T192" s="246"/>
      <c r="U192" s="246">
        <f t="shared" si="198"/>
        <v>90</v>
      </c>
      <c r="V192" s="246"/>
      <c r="W192" s="246">
        <f t="shared" si="199"/>
        <v>90</v>
      </c>
      <c r="X192" s="246"/>
      <c r="Y192" s="246">
        <f t="shared" si="200"/>
        <v>90</v>
      </c>
      <c r="Z192" s="253"/>
      <c r="AA192" s="251">
        <f t="shared" si="201"/>
        <v>360</v>
      </c>
      <c r="AB192" s="251"/>
      <c r="AC192" s="251">
        <f t="shared" si="202"/>
        <v>360</v>
      </c>
      <c r="AD192" s="251"/>
      <c r="AE192" s="251">
        <f t="shared" si="203"/>
        <v>360</v>
      </c>
      <c r="AF192" s="251"/>
      <c r="AG192" s="251">
        <f t="shared" si="204"/>
        <v>360</v>
      </c>
      <c r="AH192" s="251"/>
      <c r="AI192" s="251">
        <f t="shared" si="205"/>
        <v>360</v>
      </c>
      <c r="AJ192" s="251"/>
      <c r="AK192" s="251">
        <f t="shared" si="206"/>
        <v>360</v>
      </c>
      <c r="AL192" s="253"/>
      <c r="AM192" s="257"/>
    </row>
    <row r="194" spans="1:39" ht="14.4" x14ac:dyDescent="0.3">
      <c r="A194" s="247" t="s">
        <v>65</v>
      </c>
      <c r="B194" s="252" t="s">
        <v>12</v>
      </c>
      <c r="C194" s="249">
        <v>404</v>
      </c>
      <c r="D194" s="252" t="s">
        <v>13</v>
      </c>
      <c r="E194" s="249">
        <v>530</v>
      </c>
      <c r="F194" s="252" t="s">
        <v>14</v>
      </c>
      <c r="G194" s="249">
        <v>486</v>
      </c>
      <c r="H194" s="252" t="s">
        <v>15</v>
      </c>
      <c r="I194" s="249">
        <v>183</v>
      </c>
      <c r="J194" s="252" t="s">
        <v>16</v>
      </c>
      <c r="K194" s="249">
        <v>456</v>
      </c>
      <c r="L194" s="252" t="s">
        <v>17</v>
      </c>
      <c r="M194" s="249">
        <v>568</v>
      </c>
      <c r="N194" s="253"/>
      <c r="O194" s="246" t="s">
        <v>12</v>
      </c>
      <c r="P194" s="246"/>
      <c r="Q194" s="246" t="s">
        <v>13</v>
      </c>
      <c r="R194" s="246"/>
      <c r="S194" s="246" t="s">
        <v>14</v>
      </c>
      <c r="T194" s="246"/>
      <c r="U194" s="246" t="s">
        <v>15</v>
      </c>
      <c r="V194" s="246"/>
      <c r="W194" s="246" t="s">
        <v>16</v>
      </c>
      <c r="X194" s="246"/>
      <c r="Y194" s="246" t="s">
        <v>17</v>
      </c>
      <c r="Z194" s="253"/>
      <c r="AA194" s="251" t="s">
        <v>12</v>
      </c>
      <c r="AB194" s="251"/>
      <c r="AC194" s="251" t="s">
        <v>13</v>
      </c>
      <c r="AD194" s="251"/>
      <c r="AE194" s="251" t="s">
        <v>14</v>
      </c>
      <c r="AF194" s="251"/>
      <c r="AG194" s="251" t="s">
        <v>15</v>
      </c>
      <c r="AH194" s="251"/>
      <c r="AI194" s="251" t="s">
        <v>16</v>
      </c>
      <c r="AJ194" s="251"/>
      <c r="AK194" s="251" t="s">
        <v>17</v>
      </c>
      <c r="AL194" s="253"/>
      <c r="AM194" s="253">
        <v>4</v>
      </c>
    </row>
    <row r="195" spans="1:39" ht="14.4" x14ac:dyDescent="0.3">
      <c r="A195" s="238" t="str">
        <f t="shared" ref="A195:A203" si="207">A206</f>
        <v>PyCaret</v>
      </c>
      <c r="B195" s="252">
        <v>90</v>
      </c>
      <c r="C195" s="249">
        <v>0.12751677852349</v>
      </c>
      <c r="D195" s="252">
        <v>90</v>
      </c>
      <c r="E195" s="249">
        <v>0.115384615384615</v>
      </c>
      <c r="F195" s="252">
        <v>90</v>
      </c>
      <c r="G195" s="249">
        <v>0.125</v>
      </c>
      <c r="H195" s="252">
        <v>90</v>
      </c>
      <c r="I195" s="249">
        <v>0.15384615384615399</v>
      </c>
      <c r="J195" s="252">
        <v>90</v>
      </c>
      <c r="K195" s="249">
        <v>0.123711340206186</v>
      </c>
      <c r="L195" s="252">
        <v>90</v>
      </c>
      <c r="M195" s="249">
        <v>0.121975806451613</v>
      </c>
      <c r="N195" s="253"/>
      <c r="O195" s="246">
        <f t="shared" ref="O195:O203" si="208">AA195/$AM$194</f>
        <v>90</v>
      </c>
      <c r="P195" s="246"/>
      <c r="Q195" s="246">
        <f t="shared" ref="Q195:Q203" si="209">AC195/$AM$194</f>
        <v>90</v>
      </c>
      <c r="R195" s="246"/>
      <c r="S195" s="246">
        <f t="shared" ref="S195:S203" si="210">AE195/$AM$194</f>
        <v>90</v>
      </c>
      <c r="T195" s="246"/>
      <c r="U195" s="246">
        <f t="shared" ref="U195:U203" si="211">AG195/$AM$194</f>
        <v>90</v>
      </c>
      <c r="V195" s="246"/>
      <c r="W195" s="246">
        <f t="shared" ref="W195:W203" si="212">AI195/$AM$194</f>
        <v>90</v>
      </c>
      <c r="X195" s="246"/>
      <c r="Y195" s="246">
        <f t="shared" ref="Y195:Y203" si="213">AK195/$AM$194</f>
        <v>90</v>
      </c>
      <c r="Z195" s="253"/>
      <c r="AA195" s="251">
        <f t="shared" ref="AA195:AA203" si="214">(B239+B228+B217+B206)</f>
        <v>360</v>
      </c>
      <c r="AB195" s="251"/>
      <c r="AC195" s="251">
        <f t="shared" ref="AC195:AC203" si="215">(D239+D228+D217+D206)</f>
        <v>360</v>
      </c>
      <c r="AD195" s="251"/>
      <c r="AE195" s="251">
        <f t="shared" ref="AE195:AE203" si="216">(F239+F228+F217+F206)</f>
        <v>360</v>
      </c>
      <c r="AF195" s="251"/>
      <c r="AG195" s="251">
        <f t="shared" ref="AG195:AG203" si="217">(H239+H228+H217+H206)</f>
        <v>360</v>
      </c>
      <c r="AH195" s="251"/>
      <c r="AI195" s="251">
        <f t="shared" ref="AI195:AI203" si="218">(J239+J228+J217+J206)</f>
        <v>360</v>
      </c>
      <c r="AJ195" s="251"/>
      <c r="AK195" s="251">
        <f t="shared" ref="AK195:AK203" si="219">(L239+L228+L217+L206)</f>
        <v>360</v>
      </c>
      <c r="AL195" s="253"/>
      <c r="AM195" s="257"/>
    </row>
    <row r="196" spans="1:39" ht="14.4" x14ac:dyDescent="0.3">
      <c r="A196" s="238" t="str">
        <f t="shared" si="207"/>
        <v>ARIMAX</v>
      </c>
      <c r="B196" s="252">
        <v>90</v>
      </c>
      <c r="C196" s="249">
        <v>0.12080536912751701</v>
      </c>
      <c r="D196" s="252">
        <v>90</v>
      </c>
      <c r="E196" s="249">
        <v>0.123076923076923</v>
      </c>
      <c r="F196" s="252">
        <v>90</v>
      </c>
      <c r="G196" s="249">
        <v>0.125</v>
      </c>
      <c r="H196" s="252">
        <v>90</v>
      </c>
      <c r="I196" s="249">
        <v>7.69230769230769E-2</v>
      </c>
      <c r="J196" s="252">
        <v>90</v>
      </c>
      <c r="K196" s="249">
        <v>0.123711340206186</v>
      </c>
      <c r="L196" s="252">
        <v>90</v>
      </c>
      <c r="M196" s="249">
        <v>0.13004032258064499</v>
      </c>
      <c r="N196" s="253"/>
      <c r="O196" s="246">
        <f t="shared" si="208"/>
        <v>90</v>
      </c>
      <c r="P196" s="246"/>
      <c r="Q196" s="246">
        <f t="shared" si="209"/>
        <v>90</v>
      </c>
      <c r="R196" s="246"/>
      <c r="S196" s="246">
        <f t="shared" si="210"/>
        <v>90</v>
      </c>
      <c r="T196" s="246"/>
      <c r="U196" s="246">
        <f t="shared" si="211"/>
        <v>90</v>
      </c>
      <c r="V196" s="246"/>
      <c r="W196" s="246">
        <f t="shared" si="212"/>
        <v>90</v>
      </c>
      <c r="X196" s="246"/>
      <c r="Y196" s="246">
        <f t="shared" si="213"/>
        <v>90</v>
      </c>
      <c r="Z196" s="253"/>
      <c r="AA196" s="251">
        <f t="shared" si="214"/>
        <v>360</v>
      </c>
      <c r="AB196" s="251"/>
      <c r="AC196" s="251">
        <f t="shared" si="215"/>
        <v>360</v>
      </c>
      <c r="AD196" s="251"/>
      <c r="AE196" s="251">
        <f t="shared" si="216"/>
        <v>360</v>
      </c>
      <c r="AF196" s="251"/>
      <c r="AG196" s="251">
        <f t="shared" si="217"/>
        <v>360</v>
      </c>
      <c r="AH196" s="251"/>
      <c r="AI196" s="251">
        <f t="shared" si="218"/>
        <v>360</v>
      </c>
      <c r="AJ196" s="251"/>
      <c r="AK196" s="251">
        <f t="shared" si="219"/>
        <v>360</v>
      </c>
      <c r="AL196" s="253"/>
      <c r="AM196" s="257"/>
    </row>
    <row r="197" spans="1:39" ht="14.4" x14ac:dyDescent="0.3">
      <c r="A197" s="238" t="str">
        <f t="shared" si="207"/>
        <v>PCE</v>
      </c>
      <c r="B197" s="252">
        <v>90</v>
      </c>
      <c r="C197" s="249">
        <v>0.12080536912751701</v>
      </c>
      <c r="D197" s="252">
        <v>90</v>
      </c>
      <c r="E197" s="249">
        <v>0.123076923076923</v>
      </c>
      <c r="F197" s="252">
        <v>90</v>
      </c>
      <c r="G197" s="249">
        <v>0.125</v>
      </c>
      <c r="H197" s="252">
        <v>90</v>
      </c>
      <c r="I197" s="249">
        <v>0.128205128205128</v>
      </c>
      <c r="J197" s="252">
        <v>90</v>
      </c>
      <c r="K197" s="249">
        <v>0.123711340206186</v>
      </c>
      <c r="L197" s="252">
        <v>90</v>
      </c>
      <c r="M197" s="249">
        <v>0.121975806451613</v>
      </c>
      <c r="N197" s="253"/>
      <c r="O197" s="246">
        <f t="shared" si="208"/>
        <v>90</v>
      </c>
      <c r="P197" s="246"/>
      <c r="Q197" s="246">
        <f t="shared" si="209"/>
        <v>90</v>
      </c>
      <c r="R197" s="246"/>
      <c r="S197" s="246">
        <f t="shared" si="210"/>
        <v>90</v>
      </c>
      <c r="T197" s="246"/>
      <c r="U197" s="246">
        <f t="shared" si="211"/>
        <v>90</v>
      </c>
      <c r="V197" s="246"/>
      <c r="W197" s="246">
        <f t="shared" si="212"/>
        <v>90</v>
      </c>
      <c r="X197" s="246"/>
      <c r="Y197" s="246">
        <f t="shared" si="213"/>
        <v>90</v>
      </c>
      <c r="Z197" s="253"/>
      <c r="AA197" s="251">
        <f t="shared" si="214"/>
        <v>360</v>
      </c>
      <c r="AB197" s="251"/>
      <c r="AC197" s="251">
        <f t="shared" si="215"/>
        <v>360</v>
      </c>
      <c r="AD197" s="251"/>
      <c r="AE197" s="251">
        <f t="shared" si="216"/>
        <v>360</v>
      </c>
      <c r="AF197" s="251"/>
      <c r="AG197" s="251">
        <f t="shared" si="217"/>
        <v>360</v>
      </c>
      <c r="AH197" s="251"/>
      <c r="AI197" s="251">
        <f t="shared" si="218"/>
        <v>360</v>
      </c>
      <c r="AJ197" s="251"/>
      <c r="AK197" s="251">
        <f t="shared" si="219"/>
        <v>360</v>
      </c>
      <c r="AL197" s="253"/>
      <c r="AM197" s="257"/>
    </row>
    <row r="198" spans="1:39" ht="14.4" x14ac:dyDescent="0.3">
      <c r="A198" s="238" t="str">
        <f t="shared" si="207"/>
        <v>LSTM</v>
      </c>
      <c r="B198" s="252">
        <v>90</v>
      </c>
      <c r="C198" s="249">
        <v>0.12080536912751701</v>
      </c>
      <c r="D198" s="252">
        <v>90</v>
      </c>
      <c r="E198" s="249">
        <v>0.123076923076923</v>
      </c>
      <c r="F198" s="252">
        <v>90</v>
      </c>
      <c r="G198" s="249">
        <v>0.125</v>
      </c>
      <c r="H198" s="252">
        <v>90</v>
      </c>
      <c r="I198" s="249">
        <v>0.128205128205128</v>
      </c>
      <c r="J198" s="252">
        <v>90</v>
      </c>
      <c r="K198" s="249">
        <v>0.123711340206186</v>
      </c>
      <c r="L198" s="252">
        <v>90</v>
      </c>
      <c r="M198" s="249">
        <v>0.125</v>
      </c>
      <c r="N198" s="253"/>
      <c r="O198" s="246">
        <f t="shared" si="208"/>
        <v>90</v>
      </c>
      <c r="P198" s="246"/>
      <c r="Q198" s="246">
        <f t="shared" si="209"/>
        <v>90</v>
      </c>
      <c r="R198" s="246"/>
      <c r="S198" s="246">
        <f t="shared" si="210"/>
        <v>90</v>
      </c>
      <c r="T198" s="246"/>
      <c r="U198" s="246">
        <f t="shared" si="211"/>
        <v>90</v>
      </c>
      <c r="V198" s="246"/>
      <c r="W198" s="246">
        <f t="shared" si="212"/>
        <v>90</v>
      </c>
      <c r="X198" s="246"/>
      <c r="Y198" s="246">
        <f t="shared" si="213"/>
        <v>90</v>
      </c>
      <c r="Z198" s="253"/>
      <c r="AA198" s="251">
        <f t="shared" si="214"/>
        <v>360</v>
      </c>
      <c r="AB198" s="251"/>
      <c r="AC198" s="251">
        <f t="shared" si="215"/>
        <v>360</v>
      </c>
      <c r="AD198" s="251"/>
      <c r="AE198" s="251">
        <f t="shared" si="216"/>
        <v>360</v>
      </c>
      <c r="AF198" s="251"/>
      <c r="AG198" s="251">
        <f t="shared" si="217"/>
        <v>360</v>
      </c>
      <c r="AH198" s="251"/>
      <c r="AI198" s="251">
        <f t="shared" si="218"/>
        <v>360</v>
      </c>
      <c r="AJ198" s="251"/>
      <c r="AK198" s="251">
        <f t="shared" si="219"/>
        <v>360</v>
      </c>
      <c r="AL198" s="253"/>
      <c r="AM198" s="257"/>
    </row>
    <row r="199" spans="1:39" ht="14.4" x14ac:dyDescent="0.3">
      <c r="A199" s="238" t="str">
        <f t="shared" si="207"/>
        <v>GARCH</v>
      </c>
      <c r="B199" s="252">
        <v>90</v>
      </c>
      <c r="C199" s="249">
        <v>0.12751677852349</v>
      </c>
      <c r="D199" s="252">
        <v>90</v>
      </c>
      <c r="E199" s="249">
        <v>0.115384615384615</v>
      </c>
      <c r="F199" s="252">
        <v>90</v>
      </c>
      <c r="G199" s="249">
        <v>0.125</v>
      </c>
      <c r="H199" s="252">
        <v>90</v>
      </c>
      <c r="I199" s="249">
        <v>7.69230769230769E-2</v>
      </c>
      <c r="J199" s="252">
        <v>90</v>
      </c>
      <c r="K199" s="249">
        <v>0.123711340206186</v>
      </c>
      <c r="L199" s="252">
        <v>90</v>
      </c>
      <c r="M199" s="249">
        <v>0.119959677419355</v>
      </c>
      <c r="N199" s="253"/>
      <c r="O199" s="246">
        <f t="shared" si="208"/>
        <v>90</v>
      </c>
      <c r="P199" s="246"/>
      <c r="Q199" s="246">
        <f t="shared" si="209"/>
        <v>90</v>
      </c>
      <c r="R199" s="246"/>
      <c r="S199" s="246">
        <f t="shared" si="210"/>
        <v>90</v>
      </c>
      <c r="T199" s="246"/>
      <c r="U199" s="246">
        <f t="shared" si="211"/>
        <v>90</v>
      </c>
      <c r="V199" s="246"/>
      <c r="W199" s="246">
        <f t="shared" si="212"/>
        <v>90</v>
      </c>
      <c r="X199" s="246"/>
      <c r="Y199" s="246">
        <f t="shared" si="213"/>
        <v>90</v>
      </c>
      <c r="Z199" s="253"/>
      <c r="AA199" s="251">
        <f t="shared" si="214"/>
        <v>360</v>
      </c>
      <c r="AB199" s="251"/>
      <c r="AC199" s="251">
        <f t="shared" si="215"/>
        <v>360</v>
      </c>
      <c r="AD199" s="251"/>
      <c r="AE199" s="251">
        <f t="shared" si="216"/>
        <v>360</v>
      </c>
      <c r="AF199" s="251"/>
      <c r="AG199" s="251">
        <f t="shared" si="217"/>
        <v>360</v>
      </c>
      <c r="AH199" s="251"/>
      <c r="AI199" s="251">
        <f t="shared" si="218"/>
        <v>360</v>
      </c>
      <c r="AJ199" s="251"/>
      <c r="AK199" s="251">
        <f t="shared" si="219"/>
        <v>360</v>
      </c>
      <c r="AL199" s="253"/>
      <c r="AM199" s="257"/>
    </row>
    <row r="200" spans="1:39" ht="14.4" x14ac:dyDescent="0.3">
      <c r="A200" s="238" t="str">
        <f t="shared" si="207"/>
        <v>VAR</v>
      </c>
      <c r="B200" s="252">
        <v>0</v>
      </c>
      <c r="C200" s="249">
        <v>0.12751677852349</v>
      </c>
      <c r="D200" s="252">
        <v>90</v>
      </c>
      <c r="E200" s="249">
        <v>0.138461538461538</v>
      </c>
      <c r="F200" s="252">
        <v>90</v>
      </c>
      <c r="G200" s="249">
        <v>0.125</v>
      </c>
      <c r="H200" s="252">
        <v>90</v>
      </c>
      <c r="I200" s="249">
        <v>7.69230769230769E-2</v>
      </c>
      <c r="J200" s="252">
        <v>90</v>
      </c>
      <c r="K200" s="249">
        <v>0.123711340206186</v>
      </c>
      <c r="L200" s="252">
        <v>90</v>
      </c>
      <c r="M200" s="249">
        <v>0.13004032258064499</v>
      </c>
      <c r="N200" s="253"/>
      <c r="O200" s="246">
        <f t="shared" si="208"/>
        <v>0</v>
      </c>
      <c r="P200" s="246"/>
      <c r="Q200" s="246">
        <f t="shared" si="209"/>
        <v>90</v>
      </c>
      <c r="R200" s="246"/>
      <c r="S200" s="246">
        <f t="shared" si="210"/>
        <v>90</v>
      </c>
      <c r="T200" s="246"/>
      <c r="U200" s="246">
        <f t="shared" si="211"/>
        <v>90</v>
      </c>
      <c r="V200" s="246"/>
      <c r="W200" s="246">
        <f t="shared" si="212"/>
        <v>90</v>
      </c>
      <c r="X200" s="246"/>
      <c r="Y200" s="246">
        <f t="shared" si="213"/>
        <v>90</v>
      </c>
      <c r="Z200" s="253"/>
      <c r="AA200" s="251">
        <f t="shared" si="214"/>
        <v>0</v>
      </c>
      <c r="AB200" s="251"/>
      <c r="AC200" s="251">
        <f t="shared" si="215"/>
        <v>360</v>
      </c>
      <c r="AD200" s="251"/>
      <c r="AE200" s="251">
        <f t="shared" si="216"/>
        <v>360</v>
      </c>
      <c r="AF200" s="251"/>
      <c r="AG200" s="251">
        <f t="shared" si="217"/>
        <v>360</v>
      </c>
      <c r="AH200" s="251"/>
      <c r="AI200" s="251">
        <f t="shared" si="218"/>
        <v>360</v>
      </c>
      <c r="AJ200" s="251"/>
      <c r="AK200" s="251">
        <f t="shared" si="219"/>
        <v>360</v>
      </c>
      <c r="AL200" s="253"/>
      <c r="AM200" s="257"/>
    </row>
    <row r="201" spans="1:39" ht="14.4" x14ac:dyDescent="0.3">
      <c r="A201" s="238" t="str">
        <f t="shared" si="207"/>
        <v>RW</v>
      </c>
      <c r="B201" s="252">
        <v>90</v>
      </c>
      <c r="C201" s="249">
        <v>0.12751677852349</v>
      </c>
      <c r="D201" s="252">
        <v>90</v>
      </c>
      <c r="E201" s="249">
        <v>0.123076923076923</v>
      </c>
      <c r="F201" s="252">
        <v>90</v>
      </c>
      <c r="G201" s="249">
        <v>0.125</v>
      </c>
      <c r="H201" s="252">
        <v>90</v>
      </c>
      <c r="I201" s="249">
        <v>0.16666666666666699</v>
      </c>
      <c r="J201" s="252">
        <v>90</v>
      </c>
      <c r="K201" s="249">
        <v>0.123711340206186</v>
      </c>
      <c r="L201" s="252">
        <v>90</v>
      </c>
      <c r="M201" s="249">
        <v>0.13004032258064499</v>
      </c>
      <c r="N201" s="253"/>
      <c r="O201" s="246">
        <f t="shared" si="208"/>
        <v>90</v>
      </c>
      <c r="P201" s="246"/>
      <c r="Q201" s="246">
        <f t="shared" si="209"/>
        <v>90</v>
      </c>
      <c r="R201" s="246"/>
      <c r="S201" s="246">
        <f t="shared" si="210"/>
        <v>90</v>
      </c>
      <c r="T201" s="246"/>
      <c r="U201" s="246">
        <f t="shared" si="211"/>
        <v>90</v>
      </c>
      <c r="V201" s="246"/>
      <c r="W201" s="246">
        <f t="shared" si="212"/>
        <v>90</v>
      </c>
      <c r="X201" s="246"/>
      <c r="Y201" s="246">
        <f t="shared" si="213"/>
        <v>90</v>
      </c>
      <c r="Z201" s="253"/>
      <c r="AA201" s="251">
        <f t="shared" si="214"/>
        <v>360</v>
      </c>
      <c r="AB201" s="251"/>
      <c r="AC201" s="251">
        <f t="shared" si="215"/>
        <v>360</v>
      </c>
      <c r="AD201" s="251"/>
      <c r="AE201" s="251">
        <f t="shared" si="216"/>
        <v>360</v>
      </c>
      <c r="AF201" s="251"/>
      <c r="AG201" s="251">
        <f t="shared" si="217"/>
        <v>360</v>
      </c>
      <c r="AH201" s="251"/>
      <c r="AI201" s="251">
        <f t="shared" si="218"/>
        <v>360</v>
      </c>
      <c r="AJ201" s="251"/>
      <c r="AK201" s="251">
        <f t="shared" si="219"/>
        <v>360</v>
      </c>
      <c r="AL201" s="253"/>
      <c r="AM201" s="257"/>
    </row>
    <row r="202" spans="1:39" ht="13.5" customHeight="1" x14ac:dyDescent="0.3">
      <c r="A202" s="238" t="str">
        <f t="shared" si="207"/>
        <v>ETS</v>
      </c>
      <c r="B202" s="252">
        <v>90</v>
      </c>
      <c r="C202" s="249">
        <v>0.12751677852349</v>
      </c>
      <c r="D202" s="252">
        <v>90</v>
      </c>
      <c r="E202" s="249">
        <v>0.138461538461538</v>
      </c>
      <c r="F202" s="252">
        <v>90</v>
      </c>
      <c r="G202" s="249">
        <v>0.125</v>
      </c>
      <c r="H202" s="252">
        <v>90</v>
      </c>
      <c r="I202" s="249">
        <v>0.19230769230769201</v>
      </c>
      <c r="J202" s="252">
        <v>90</v>
      </c>
      <c r="K202" s="249">
        <v>0.134020618556701</v>
      </c>
      <c r="L202" s="252">
        <v>90</v>
      </c>
      <c r="M202" s="249">
        <v>0.120967741935484</v>
      </c>
      <c r="N202" s="253"/>
      <c r="O202" s="246">
        <f t="shared" si="208"/>
        <v>90</v>
      </c>
      <c r="P202" s="246"/>
      <c r="Q202" s="246">
        <f t="shared" si="209"/>
        <v>90</v>
      </c>
      <c r="R202" s="246"/>
      <c r="S202" s="246">
        <f t="shared" si="210"/>
        <v>90</v>
      </c>
      <c r="T202" s="246"/>
      <c r="U202" s="246">
        <f t="shared" si="211"/>
        <v>90</v>
      </c>
      <c r="V202" s="246"/>
      <c r="W202" s="246">
        <f t="shared" si="212"/>
        <v>90</v>
      </c>
      <c r="X202" s="246"/>
      <c r="Y202" s="246">
        <f t="shared" si="213"/>
        <v>90</v>
      </c>
      <c r="Z202" s="253"/>
      <c r="AA202" s="251">
        <f t="shared" si="214"/>
        <v>360</v>
      </c>
      <c r="AB202" s="251"/>
      <c r="AC202" s="251">
        <f t="shared" si="215"/>
        <v>360</v>
      </c>
      <c r="AD202" s="251"/>
      <c r="AE202" s="251">
        <f t="shared" si="216"/>
        <v>360</v>
      </c>
      <c r="AF202" s="251"/>
      <c r="AG202" s="251">
        <f t="shared" si="217"/>
        <v>360</v>
      </c>
      <c r="AH202" s="251"/>
      <c r="AI202" s="251">
        <f t="shared" si="218"/>
        <v>360</v>
      </c>
      <c r="AJ202" s="251"/>
      <c r="AK202" s="251">
        <f t="shared" si="219"/>
        <v>360</v>
      </c>
    </row>
    <row r="203" spans="1:39" ht="13.5" customHeight="1" x14ac:dyDescent="0.3">
      <c r="A203" s="238" t="str">
        <f t="shared" si="207"/>
        <v>DynaMix</v>
      </c>
      <c r="B203" s="252">
        <v>90</v>
      </c>
      <c r="C203" s="249">
        <v>0.12751677852349</v>
      </c>
      <c r="D203" s="252">
        <v>90</v>
      </c>
      <c r="E203" s="249">
        <v>0.138461538461538</v>
      </c>
      <c r="F203" s="252">
        <v>90</v>
      </c>
      <c r="G203" s="249">
        <v>0.125</v>
      </c>
      <c r="H203" s="252">
        <v>90</v>
      </c>
      <c r="I203" s="249">
        <v>0.19230769230769201</v>
      </c>
      <c r="J203" s="252">
        <v>90</v>
      </c>
      <c r="K203" s="249">
        <v>0.134020618556701</v>
      </c>
      <c r="L203" s="252">
        <v>90</v>
      </c>
      <c r="M203" s="249">
        <v>0.120967741935484</v>
      </c>
      <c r="N203" s="253"/>
      <c r="O203" s="246">
        <f t="shared" si="208"/>
        <v>90</v>
      </c>
      <c r="P203" s="246"/>
      <c r="Q203" s="246">
        <f t="shared" si="209"/>
        <v>90</v>
      </c>
      <c r="R203" s="246"/>
      <c r="S203" s="246">
        <f t="shared" si="210"/>
        <v>90</v>
      </c>
      <c r="T203" s="246"/>
      <c r="U203" s="246">
        <f t="shared" si="211"/>
        <v>90</v>
      </c>
      <c r="V203" s="246"/>
      <c r="W203" s="246">
        <f t="shared" si="212"/>
        <v>90</v>
      </c>
      <c r="X203" s="246"/>
      <c r="Y203" s="246">
        <f t="shared" si="213"/>
        <v>90</v>
      </c>
      <c r="Z203" s="253"/>
      <c r="AA203" s="251">
        <f t="shared" si="214"/>
        <v>360</v>
      </c>
      <c r="AB203" s="251"/>
      <c r="AC203" s="251">
        <f t="shared" si="215"/>
        <v>360</v>
      </c>
      <c r="AD203" s="251"/>
      <c r="AE203" s="251">
        <f t="shared" si="216"/>
        <v>360</v>
      </c>
      <c r="AF203" s="251"/>
      <c r="AG203" s="251">
        <f t="shared" si="217"/>
        <v>360</v>
      </c>
      <c r="AH203" s="251"/>
      <c r="AI203" s="251">
        <f t="shared" si="218"/>
        <v>360</v>
      </c>
      <c r="AJ203" s="251"/>
      <c r="AK203" s="251">
        <f t="shared" si="219"/>
        <v>360</v>
      </c>
    </row>
    <row r="205" spans="1:39" ht="14.4" x14ac:dyDescent="0.3">
      <c r="A205" s="247" t="s">
        <v>66</v>
      </c>
      <c r="B205" s="252" t="s">
        <v>12</v>
      </c>
      <c r="C205" s="249">
        <v>568</v>
      </c>
      <c r="D205" s="252" t="s">
        <v>13</v>
      </c>
      <c r="E205" s="249">
        <v>447</v>
      </c>
      <c r="F205" s="252" t="s">
        <v>14</v>
      </c>
      <c r="G205" s="249">
        <v>420</v>
      </c>
      <c r="H205" s="252" t="s">
        <v>15</v>
      </c>
      <c r="I205" s="249">
        <v>455</v>
      </c>
      <c r="J205" s="252" t="s">
        <v>16</v>
      </c>
      <c r="K205" s="249">
        <v>335</v>
      </c>
      <c r="L205" s="252" t="s">
        <v>17</v>
      </c>
      <c r="M205" s="249">
        <v>368</v>
      </c>
      <c r="N205" s="253"/>
      <c r="O205" s="246" t="s">
        <v>12</v>
      </c>
      <c r="P205" s="246"/>
      <c r="Q205" s="246" t="s">
        <v>13</v>
      </c>
      <c r="R205" s="246"/>
      <c r="S205" s="246" t="s">
        <v>14</v>
      </c>
      <c r="T205" s="246"/>
      <c r="U205" s="246" t="s">
        <v>15</v>
      </c>
      <c r="V205" s="246"/>
      <c r="W205" s="246" t="s">
        <v>16</v>
      </c>
      <c r="X205" s="246"/>
      <c r="Y205" s="246" t="s">
        <v>17</v>
      </c>
      <c r="Z205" s="253"/>
      <c r="AA205" s="251" t="s">
        <v>12</v>
      </c>
      <c r="AB205" s="251"/>
      <c r="AC205" s="251" t="s">
        <v>13</v>
      </c>
      <c r="AD205" s="251"/>
      <c r="AE205" s="251" t="s">
        <v>14</v>
      </c>
      <c r="AF205" s="251"/>
      <c r="AG205" s="251" t="s">
        <v>15</v>
      </c>
      <c r="AH205" s="251"/>
      <c r="AI205" s="251" t="s">
        <v>16</v>
      </c>
      <c r="AJ205" s="251"/>
      <c r="AK205" s="251" t="s">
        <v>17</v>
      </c>
      <c r="AL205" s="253"/>
      <c r="AM205" s="253">
        <f>AM216+1</f>
        <v>3</v>
      </c>
    </row>
    <row r="206" spans="1:39" ht="14.4" x14ac:dyDescent="0.3">
      <c r="A206" s="238" t="str">
        <f t="shared" ref="A206:A214" si="220">A217</f>
        <v>PyCaret</v>
      </c>
      <c r="B206" s="252">
        <v>90</v>
      </c>
      <c r="C206" s="249">
        <v>0.12751677852349</v>
      </c>
      <c r="D206" s="252">
        <v>90</v>
      </c>
      <c r="E206" s="249">
        <v>0.115384615384615</v>
      </c>
      <c r="F206" s="252">
        <v>90</v>
      </c>
      <c r="G206" s="249">
        <v>0.125</v>
      </c>
      <c r="H206" s="252">
        <v>90</v>
      </c>
      <c r="I206" s="249">
        <v>0.15384615384615399</v>
      </c>
      <c r="J206" s="252">
        <v>90</v>
      </c>
      <c r="K206" s="249">
        <v>0.123711340206186</v>
      </c>
      <c r="L206" s="252">
        <v>90</v>
      </c>
      <c r="M206" s="249">
        <v>0.121975806451613</v>
      </c>
      <c r="N206" s="253"/>
      <c r="O206" s="246">
        <f t="shared" ref="O206:O214" si="221">AA206/$AM$205</f>
        <v>90</v>
      </c>
      <c r="P206" s="246"/>
      <c r="Q206" s="246">
        <f t="shared" ref="Q206:Q214" si="222">AC206/$AM$205</f>
        <v>90</v>
      </c>
      <c r="R206" s="246"/>
      <c r="S206" s="246">
        <f t="shared" ref="S206:S214" si="223">AE206/$AM$205</f>
        <v>90</v>
      </c>
      <c r="T206" s="246"/>
      <c r="U206" s="246">
        <f t="shared" ref="U206:U214" si="224">AG206/$AM$205</f>
        <v>90</v>
      </c>
      <c r="V206" s="246"/>
      <c r="W206" s="246">
        <f t="shared" ref="W206:W214" si="225">AI206/$AM$205</f>
        <v>90</v>
      </c>
      <c r="X206" s="246"/>
      <c r="Y206" s="246">
        <f t="shared" ref="Y206:Y214" si="226">AK206/$AM$205</f>
        <v>90</v>
      </c>
      <c r="Z206" s="253"/>
      <c r="AA206" s="251">
        <f t="shared" ref="AA206:AA214" si="227">(B239+B228+B217)</f>
        <v>270</v>
      </c>
      <c r="AB206" s="251"/>
      <c r="AC206" s="251">
        <f t="shared" ref="AC206:AC214" si="228">(D239+D228+D217)</f>
        <v>270</v>
      </c>
      <c r="AD206" s="251"/>
      <c r="AE206" s="251">
        <f t="shared" ref="AE206:AE214" si="229">(F239+F228+F217)</f>
        <v>270</v>
      </c>
      <c r="AF206" s="251"/>
      <c r="AG206" s="251">
        <f t="shared" ref="AG206:AG214" si="230">(H239+H228+H217)</f>
        <v>270</v>
      </c>
      <c r="AH206" s="251"/>
      <c r="AI206" s="251">
        <f t="shared" ref="AI206:AI214" si="231">(J239+J228+J217)</f>
        <v>270</v>
      </c>
      <c r="AJ206" s="251"/>
      <c r="AK206" s="251">
        <f t="shared" ref="AK206:AK214" si="232">(L239+L228+L217)</f>
        <v>270</v>
      </c>
      <c r="AL206" s="253"/>
      <c r="AM206" s="257"/>
    </row>
    <row r="207" spans="1:39" ht="14.4" x14ac:dyDescent="0.3">
      <c r="A207" s="238" t="str">
        <f t="shared" si="220"/>
        <v>ARIMAX</v>
      </c>
      <c r="B207" s="252">
        <v>90</v>
      </c>
      <c r="C207" s="249">
        <v>0.12080536912751701</v>
      </c>
      <c r="D207" s="252">
        <v>90</v>
      </c>
      <c r="E207" s="249">
        <v>0.123076923076923</v>
      </c>
      <c r="F207" s="252">
        <v>90</v>
      </c>
      <c r="G207" s="249">
        <v>0.125</v>
      </c>
      <c r="H207" s="252">
        <v>90</v>
      </c>
      <c r="I207" s="249">
        <v>7.69230769230769E-2</v>
      </c>
      <c r="J207" s="252">
        <v>90</v>
      </c>
      <c r="K207" s="249">
        <v>0.123711340206186</v>
      </c>
      <c r="L207" s="252">
        <v>90</v>
      </c>
      <c r="M207" s="249">
        <v>0.13004032258064499</v>
      </c>
      <c r="N207" s="253"/>
      <c r="O207" s="246">
        <f t="shared" si="221"/>
        <v>90</v>
      </c>
      <c r="P207" s="246"/>
      <c r="Q207" s="246">
        <f t="shared" si="222"/>
        <v>90</v>
      </c>
      <c r="R207" s="246"/>
      <c r="S207" s="246">
        <f t="shared" si="223"/>
        <v>90</v>
      </c>
      <c r="T207" s="246"/>
      <c r="U207" s="246">
        <f t="shared" si="224"/>
        <v>90</v>
      </c>
      <c r="V207" s="246"/>
      <c r="W207" s="246">
        <f t="shared" si="225"/>
        <v>90</v>
      </c>
      <c r="X207" s="246"/>
      <c r="Y207" s="246">
        <f t="shared" si="226"/>
        <v>90</v>
      </c>
      <c r="Z207" s="253"/>
      <c r="AA207" s="251">
        <f t="shared" si="227"/>
        <v>270</v>
      </c>
      <c r="AB207" s="251"/>
      <c r="AC207" s="251">
        <f t="shared" si="228"/>
        <v>270</v>
      </c>
      <c r="AD207" s="251"/>
      <c r="AE207" s="251">
        <f t="shared" si="229"/>
        <v>270</v>
      </c>
      <c r="AF207" s="251"/>
      <c r="AG207" s="251">
        <f t="shared" si="230"/>
        <v>270</v>
      </c>
      <c r="AH207" s="251"/>
      <c r="AI207" s="251">
        <f t="shared" si="231"/>
        <v>270</v>
      </c>
      <c r="AJ207" s="251"/>
      <c r="AK207" s="251">
        <f t="shared" si="232"/>
        <v>270</v>
      </c>
      <c r="AL207" s="253"/>
      <c r="AM207" s="257"/>
    </row>
    <row r="208" spans="1:39" ht="14.4" x14ac:dyDescent="0.3">
      <c r="A208" s="238" t="str">
        <f t="shared" si="220"/>
        <v>PCE</v>
      </c>
      <c r="B208" s="252">
        <v>90</v>
      </c>
      <c r="C208" s="249">
        <v>0.12080536912751701</v>
      </c>
      <c r="D208" s="252">
        <v>90</v>
      </c>
      <c r="E208" s="249">
        <v>0.123076923076923</v>
      </c>
      <c r="F208" s="252">
        <v>90</v>
      </c>
      <c r="G208" s="249">
        <v>0.125</v>
      </c>
      <c r="H208" s="252">
        <v>90</v>
      </c>
      <c r="I208" s="249">
        <v>0.128205128205128</v>
      </c>
      <c r="J208" s="252">
        <v>90</v>
      </c>
      <c r="K208" s="249">
        <v>0.123711340206186</v>
      </c>
      <c r="L208" s="252">
        <v>90</v>
      </c>
      <c r="M208" s="249">
        <v>0.121975806451613</v>
      </c>
      <c r="N208" s="253"/>
      <c r="O208" s="246">
        <f t="shared" si="221"/>
        <v>90</v>
      </c>
      <c r="P208" s="246"/>
      <c r="Q208" s="246">
        <f t="shared" si="222"/>
        <v>90</v>
      </c>
      <c r="R208" s="246"/>
      <c r="S208" s="246">
        <f t="shared" si="223"/>
        <v>90</v>
      </c>
      <c r="T208" s="246"/>
      <c r="U208" s="246">
        <f t="shared" si="224"/>
        <v>90</v>
      </c>
      <c r="V208" s="246"/>
      <c r="W208" s="246">
        <f t="shared" si="225"/>
        <v>90</v>
      </c>
      <c r="X208" s="246"/>
      <c r="Y208" s="246">
        <f t="shared" si="226"/>
        <v>90</v>
      </c>
      <c r="Z208" s="253"/>
      <c r="AA208" s="251">
        <f t="shared" si="227"/>
        <v>270</v>
      </c>
      <c r="AB208" s="251"/>
      <c r="AC208" s="251">
        <f t="shared" si="228"/>
        <v>270</v>
      </c>
      <c r="AD208" s="251"/>
      <c r="AE208" s="251">
        <f t="shared" si="229"/>
        <v>270</v>
      </c>
      <c r="AF208" s="251"/>
      <c r="AG208" s="251">
        <f t="shared" si="230"/>
        <v>270</v>
      </c>
      <c r="AH208" s="251"/>
      <c r="AI208" s="251">
        <f t="shared" si="231"/>
        <v>270</v>
      </c>
      <c r="AJ208" s="251"/>
      <c r="AK208" s="251">
        <f t="shared" si="232"/>
        <v>270</v>
      </c>
      <c r="AL208" s="253"/>
      <c r="AM208" s="257"/>
    </row>
    <row r="209" spans="1:39" ht="14.4" x14ac:dyDescent="0.3">
      <c r="A209" s="238" t="str">
        <f t="shared" si="220"/>
        <v>LSTM</v>
      </c>
      <c r="B209" s="252">
        <v>90</v>
      </c>
      <c r="C209" s="249">
        <v>0.12080536912751701</v>
      </c>
      <c r="D209" s="252">
        <v>90</v>
      </c>
      <c r="E209" s="249">
        <v>0.123076923076923</v>
      </c>
      <c r="F209" s="252">
        <v>90</v>
      </c>
      <c r="G209" s="249">
        <v>0.125</v>
      </c>
      <c r="H209" s="252">
        <v>90</v>
      </c>
      <c r="I209" s="249">
        <v>0.128205128205128</v>
      </c>
      <c r="J209" s="252">
        <v>90</v>
      </c>
      <c r="K209" s="249">
        <v>0.123711340206186</v>
      </c>
      <c r="L209" s="252">
        <v>90</v>
      </c>
      <c r="M209" s="249">
        <v>0.125</v>
      </c>
      <c r="N209" s="253"/>
      <c r="O209" s="246">
        <f t="shared" si="221"/>
        <v>90</v>
      </c>
      <c r="P209" s="246"/>
      <c r="Q209" s="246">
        <f t="shared" si="222"/>
        <v>90</v>
      </c>
      <c r="R209" s="246"/>
      <c r="S209" s="246">
        <f t="shared" si="223"/>
        <v>90</v>
      </c>
      <c r="T209" s="246"/>
      <c r="U209" s="246">
        <f t="shared" si="224"/>
        <v>90</v>
      </c>
      <c r="V209" s="246"/>
      <c r="W209" s="246">
        <f t="shared" si="225"/>
        <v>90</v>
      </c>
      <c r="X209" s="246"/>
      <c r="Y209" s="246">
        <f t="shared" si="226"/>
        <v>90</v>
      </c>
      <c r="Z209" s="253"/>
      <c r="AA209" s="251">
        <f t="shared" si="227"/>
        <v>270</v>
      </c>
      <c r="AB209" s="251"/>
      <c r="AC209" s="251">
        <f t="shared" si="228"/>
        <v>270</v>
      </c>
      <c r="AD209" s="251"/>
      <c r="AE209" s="251">
        <f t="shared" si="229"/>
        <v>270</v>
      </c>
      <c r="AF209" s="251"/>
      <c r="AG209" s="251">
        <f t="shared" si="230"/>
        <v>270</v>
      </c>
      <c r="AH209" s="251"/>
      <c r="AI209" s="251">
        <f t="shared" si="231"/>
        <v>270</v>
      </c>
      <c r="AJ209" s="251"/>
      <c r="AK209" s="251">
        <f t="shared" si="232"/>
        <v>270</v>
      </c>
      <c r="AL209" s="253"/>
      <c r="AM209" s="257"/>
    </row>
    <row r="210" spans="1:39" ht="14.4" x14ac:dyDescent="0.3">
      <c r="A210" s="238" t="str">
        <f t="shared" si="220"/>
        <v>GARCH</v>
      </c>
      <c r="B210" s="252">
        <v>90</v>
      </c>
      <c r="C210" s="249">
        <v>0.12751677852349</v>
      </c>
      <c r="D210" s="252">
        <v>90</v>
      </c>
      <c r="E210" s="249">
        <v>0.115384615384615</v>
      </c>
      <c r="F210" s="252">
        <v>90</v>
      </c>
      <c r="G210" s="249">
        <v>0.125</v>
      </c>
      <c r="H210" s="252">
        <v>90</v>
      </c>
      <c r="I210" s="249">
        <v>7.69230769230769E-2</v>
      </c>
      <c r="J210" s="252">
        <v>90</v>
      </c>
      <c r="K210" s="249">
        <v>0.123711340206186</v>
      </c>
      <c r="L210" s="252">
        <v>90</v>
      </c>
      <c r="M210" s="249">
        <v>0.119959677419355</v>
      </c>
      <c r="N210" s="253"/>
      <c r="O210" s="246">
        <f t="shared" si="221"/>
        <v>90</v>
      </c>
      <c r="P210" s="246"/>
      <c r="Q210" s="246">
        <f t="shared" si="222"/>
        <v>90</v>
      </c>
      <c r="R210" s="246"/>
      <c r="S210" s="246">
        <f t="shared" si="223"/>
        <v>90</v>
      </c>
      <c r="T210" s="246"/>
      <c r="U210" s="246">
        <f t="shared" si="224"/>
        <v>90</v>
      </c>
      <c r="V210" s="246"/>
      <c r="W210" s="246">
        <f t="shared" si="225"/>
        <v>90</v>
      </c>
      <c r="X210" s="246"/>
      <c r="Y210" s="246">
        <f t="shared" si="226"/>
        <v>90</v>
      </c>
      <c r="Z210" s="253"/>
      <c r="AA210" s="251">
        <f t="shared" si="227"/>
        <v>270</v>
      </c>
      <c r="AB210" s="251"/>
      <c r="AC210" s="251">
        <f t="shared" si="228"/>
        <v>270</v>
      </c>
      <c r="AD210" s="251"/>
      <c r="AE210" s="251">
        <f t="shared" si="229"/>
        <v>270</v>
      </c>
      <c r="AF210" s="251"/>
      <c r="AG210" s="251">
        <f t="shared" si="230"/>
        <v>270</v>
      </c>
      <c r="AH210" s="251"/>
      <c r="AI210" s="251">
        <f t="shared" si="231"/>
        <v>270</v>
      </c>
      <c r="AJ210" s="251"/>
      <c r="AK210" s="251">
        <f t="shared" si="232"/>
        <v>270</v>
      </c>
      <c r="AL210" s="253"/>
      <c r="AM210" s="257"/>
    </row>
    <row r="211" spans="1:39" ht="14.4" x14ac:dyDescent="0.3">
      <c r="A211" s="238" t="str">
        <f t="shared" si="220"/>
        <v>VAR</v>
      </c>
      <c r="B211" s="252">
        <v>0</v>
      </c>
      <c r="C211" s="249">
        <v>0.12751677852349</v>
      </c>
      <c r="D211" s="252">
        <v>90</v>
      </c>
      <c r="E211" s="249">
        <v>0.138461538461538</v>
      </c>
      <c r="F211" s="252">
        <v>90</v>
      </c>
      <c r="G211" s="249">
        <v>0.125</v>
      </c>
      <c r="H211" s="252">
        <v>90</v>
      </c>
      <c r="I211" s="249">
        <v>7.69230769230769E-2</v>
      </c>
      <c r="J211" s="252">
        <v>90</v>
      </c>
      <c r="K211" s="249">
        <v>0.123711340206186</v>
      </c>
      <c r="L211" s="252">
        <v>90</v>
      </c>
      <c r="M211" s="249">
        <v>0.13004032258064499</v>
      </c>
      <c r="N211" s="253"/>
      <c r="O211" s="246">
        <f t="shared" si="221"/>
        <v>0</v>
      </c>
      <c r="P211" s="246"/>
      <c r="Q211" s="246">
        <f t="shared" si="222"/>
        <v>90</v>
      </c>
      <c r="R211" s="246"/>
      <c r="S211" s="246">
        <f t="shared" si="223"/>
        <v>90</v>
      </c>
      <c r="T211" s="246"/>
      <c r="U211" s="246">
        <f t="shared" si="224"/>
        <v>90</v>
      </c>
      <c r="V211" s="246"/>
      <c r="W211" s="246">
        <f t="shared" si="225"/>
        <v>90</v>
      </c>
      <c r="X211" s="246"/>
      <c r="Y211" s="246">
        <f t="shared" si="226"/>
        <v>90</v>
      </c>
      <c r="Z211" s="253"/>
      <c r="AA211" s="251">
        <f t="shared" si="227"/>
        <v>0</v>
      </c>
      <c r="AB211" s="251"/>
      <c r="AC211" s="251">
        <f t="shared" si="228"/>
        <v>270</v>
      </c>
      <c r="AD211" s="251"/>
      <c r="AE211" s="251">
        <f t="shared" si="229"/>
        <v>270</v>
      </c>
      <c r="AF211" s="251"/>
      <c r="AG211" s="251">
        <f t="shared" si="230"/>
        <v>270</v>
      </c>
      <c r="AH211" s="251"/>
      <c r="AI211" s="251">
        <f t="shared" si="231"/>
        <v>270</v>
      </c>
      <c r="AJ211" s="251"/>
      <c r="AK211" s="251">
        <f t="shared" si="232"/>
        <v>270</v>
      </c>
      <c r="AL211" s="253"/>
      <c r="AM211" s="257"/>
    </row>
    <row r="212" spans="1:39" ht="14.4" x14ac:dyDescent="0.3">
      <c r="A212" s="238" t="str">
        <f t="shared" si="220"/>
        <v>RW</v>
      </c>
      <c r="B212" s="252">
        <v>90</v>
      </c>
      <c r="C212" s="249">
        <v>0.12751677852349</v>
      </c>
      <c r="D212" s="252">
        <v>90</v>
      </c>
      <c r="E212" s="249">
        <v>0.123076923076923</v>
      </c>
      <c r="F212" s="252">
        <v>90</v>
      </c>
      <c r="G212" s="249">
        <v>0.125</v>
      </c>
      <c r="H212" s="252">
        <v>90</v>
      </c>
      <c r="I212" s="249">
        <v>0.16666666666666699</v>
      </c>
      <c r="J212" s="252">
        <v>90</v>
      </c>
      <c r="K212" s="249">
        <v>0.123711340206186</v>
      </c>
      <c r="L212" s="252">
        <v>90</v>
      </c>
      <c r="M212" s="249">
        <v>0.13004032258064499</v>
      </c>
      <c r="N212" s="253"/>
      <c r="O212" s="246">
        <f t="shared" si="221"/>
        <v>90</v>
      </c>
      <c r="P212" s="246"/>
      <c r="Q212" s="246">
        <f t="shared" si="222"/>
        <v>90</v>
      </c>
      <c r="R212" s="246"/>
      <c r="S212" s="246">
        <f t="shared" si="223"/>
        <v>90</v>
      </c>
      <c r="T212" s="246"/>
      <c r="U212" s="246">
        <f t="shared" si="224"/>
        <v>90</v>
      </c>
      <c r="V212" s="246"/>
      <c r="W212" s="246">
        <f t="shared" si="225"/>
        <v>90</v>
      </c>
      <c r="X212" s="246"/>
      <c r="Y212" s="246">
        <f t="shared" si="226"/>
        <v>90</v>
      </c>
      <c r="Z212" s="253"/>
      <c r="AA212" s="251">
        <f t="shared" si="227"/>
        <v>270</v>
      </c>
      <c r="AB212" s="251"/>
      <c r="AC212" s="251">
        <f t="shared" si="228"/>
        <v>270</v>
      </c>
      <c r="AD212" s="251"/>
      <c r="AE212" s="251">
        <f t="shared" si="229"/>
        <v>270</v>
      </c>
      <c r="AF212" s="251"/>
      <c r="AG212" s="251">
        <f t="shared" si="230"/>
        <v>270</v>
      </c>
      <c r="AH212" s="251"/>
      <c r="AI212" s="251">
        <f t="shared" si="231"/>
        <v>270</v>
      </c>
      <c r="AJ212" s="251"/>
      <c r="AK212" s="251">
        <f t="shared" si="232"/>
        <v>270</v>
      </c>
      <c r="AL212" s="253"/>
      <c r="AM212" s="257"/>
    </row>
    <row r="213" spans="1:39" ht="13.5" customHeight="1" x14ac:dyDescent="0.3">
      <c r="A213" s="238" t="str">
        <f t="shared" si="220"/>
        <v>ETS</v>
      </c>
      <c r="B213" s="252">
        <v>90</v>
      </c>
      <c r="C213" s="249">
        <v>0.12751677852349</v>
      </c>
      <c r="D213" s="252">
        <v>90</v>
      </c>
      <c r="E213" s="249">
        <v>0.138461538461538</v>
      </c>
      <c r="F213" s="252">
        <v>90</v>
      </c>
      <c r="G213" s="249">
        <v>0.125</v>
      </c>
      <c r="H213" s="252">
        <v>90</v>
      </c>
      <c r="I213" s="249">
        <v>0.19230769230769201</v>
      </c>
      <c r="J213" s="252">
        <v>90</v>
      </c>
      <c r="K213" s="249">
        <v>0.134020618556701</v>
      </c>
      <c r="L213" s="252">
        <v>90</v>
      </c>
      <c r="M213" s="249">
        <v>0.120967741935484</v>
      </c>
      <c r="N213" s="253"/>
      <c r="O213" s="246">
        <f t="shared" si="221"/>
        <v>90</v>
      </c>
      <c r="P213" s="246"/>
      <c r="Q213" s="246">
        <f t="shared" si="222"/>
        <v>90</v>
      </c>
      <c r="R213" s="246"/>
      <c r="S213" s="246">
        <f t="shared" si="223"/>
        <v>90</v>
      </c>
      <c r="T213" s="246"/>
      <c r="U213" s="246">
        <f t="shared" si="224"/>
        <v>90</v>
      </c>
      <c r="V213" s="246"/>
      <c r="W213" s="246">
        <f t="shared" si="225"/>
        <v>90</v>
      </c>
      <c r="X213" s="246"/>
      <c r="Y213" s="246">
        <f t="shared" si="226"/>
        <v>90</v>
      </c>
      <c r="Z213" s="253"/>
      <c r="AA213" s="251">
        <f t="shared" si="227"/>
        <v>270</v>
      </c>
      <c r="AB213" s="251"/>
      <c r="AC213" s="251">
        <f t="shared" si="228"/>
        <v>270</v>
      </c>
      <c r="AD213" s="251"/>
      <c r="AE213" s="251">
        <f t="shared" si="229"/>
        <v>270</v>
      </c>
      <c r="AF213" s="251"/>
      <c r="AG213" s="251">
        <f t="shared" si="230"/>
        <v>270</v>
      </c>
      <c r="AH213" s="251"/>
      <c r="AI213" s="251">
        <f t="shared" si="231"/>
        <v>270</v>
      </c>
      <c r="AJ213" s="251"/>
      <c r="AK213" s="251">
        <f t="shared" si="232"/>
        <v>270</v>
      </c>
      <c r="AL213" s="253"/>
      <c r="AM213" s="257"/>
    </row>
    <row r="214" spans="1:39" ht="13.5" customHeight="1" x14ac:dyDescent="0.3">
      <c r="A214" s="238" t="str">
        <f t="shared" si="220"/>
        <v>DynaMix</v>
      </c>
      <c r="B214" s="252">
        <v>90</v>
      </c>
      <c r="C214" s="249">
        <v>0.12751677852349</v>
      </c>
      <c r="D214" s="252">
        <v>90</v>
      </c>
      <c r="E214" s="249">
        <v>0.138461538461538</v>
      </c>
      <c r="F214" s="252">
        <v>90</v>
      </c>
      <c r="G214" s="249">
        <v>0.125</v>
      </c>
      <c r="H214" s="252">
        <v>90</v>
      </c>
      <c r="I214" s="249">
        <v>0.19230769230769201</v>
      </c>
      <c r="J214" s="252">
        <v>90</v>
      </c>
      <c r="K214" s="249">
        <v>0.134020618556701</v>
      </c>
      <c r="L214" s="252">
        <v>90</v>
      </c>
      <c r="M214" s="249">
        <v>0.120967741935484</v>
      </c>
      <c r="N214" s="253"/>
      <c r="O214" s="246">
        <f t="shared" si="221"/>
        <v>90</v>
      </c>
      <c r="P214" s="246"/>
      <c r="Q214" s="246">
        <f t="shared" si="222"/>
        <v>90</v>
      </c>
      <c r="R214" s="246"/>
      <c r="S214" s="246">
        <f t="shared" si="223"/>
        <v>90</v>
      </c>
      <c r="T214" s="246"/>
      <c r="U214" s="246">
        <f t="shared" si="224"/>
        <v>90</v>
      </c>
      <c r="V214" s="246"/>
      <c r="W214" s="246">
        <f t="shared" si="225"/>
        <v>90</v>
      </c>
      <c r="X214" s="246"/>
      <c r="Y214" s="246">
        <f t="shared" si="226"/>
        <v>90</v>
      </c>
      <c r="Z214" s="253"/>
      <c r="AA214" s="251">
        <f t="shared" si="227"/>
        <v>270</v>
      </c>
      <c r="AB214" s="251"/>
      <c r="AC214" s="251">
        <f t="shared" si="228"/>
        <v>270</v>
      </c>
      <c r="AD214" s="251"/>
      <c r="AE214" s="251">
        <f t="shared" si="229"/>
        <v>270</v>
      </c>
      <c r="AF214" s="251"/>
      <c r="AG214" s="251">
        <f t="shared" si="230"/>
        <v>270</v>
      </c>
      <c r="AH214" s="251"/>
      <c r="AI214" s="251">
        <f t="shared" si="231"/>
        <v>270</v>
      </c>
      <c r="AJ214" s="251"/>
      <c r="AK214" s="251">
        <f t="shared" si="232"/>
        <v>270</v>
      </c>
      <c r="AL214" s="253"/>
      <c r="AM214" s="257"/>
    </row>
    <row r="216" spans="1:39" ht="14.4" x14ac:dyDescent="0.3">
      <c r="A216" s="247" t="s">
        <v>67</v>
      </c>
      <c r="B216" s="252" t="s">
        <v>12</v>
      </c>
      <c r="C216" s="249">
        <v>582</v>
      </c>
      <c r="D216" s="252" t="s">
        <v>13</v>
      </c>
      <c r="E216" s="249">
        <v>540</v>
      </c>
      <c r="F216" s="252" t="s">
        <v>14</v>
      </c>
      <c r="G216" s="249">
        <v>568</v>
      </c>
      <c r="H216" s="252" t="s">
        <v>15</v>
      </c>
      <c r="I216" s="249">
        <v>364</v>
      </c>
      <c r="J216" s="252" t="s">
        <v>16</v>
      </c>
      <c r="K216" s="249">
        <v>555</v>
      </c>
      <c r="L216" s="252" t="s">
        <v>17</v>
      </c>
      <c r="M216" s="249">
        <v>400</v>
      </c>
      <c r="N216" s="253"/>
      <c r="O216" s="246" t="s">
        <v>12</v>
      </c>
      <c r="P216" s="246"/>
      <c r="Q216" s="246" t="s">
        <v>13</v>
      </c>
      <c r="R216" s="246"/>
      <c r="S216" s="246" t="s">
        <v>14</v>
      </c>
      <c r="T216" s="246"/>
      <c r="U216" s="246" t="s">
        <v>15</v>
      </c>
      <c r="V216" s="246"/>
      <c r="W216" s="246" t="s">
        <v>16</v>
      </c>
      <c r="X216" s="246"/>
      <c r="Y216" s="246" t="s">
        <v>17</v>
      </c>
      <c r="Z216" s="253"/>
      <c r="AA216" s="251" t="s">
        <v>12</v>
      </c>
      <c r="AB216" s="251"/>
      <c r="AC216" s="251" t="s">
        <v>13</v>
      </c>
      <c r="AD216" s="251"/>
      <c r="AE216" s="251" t="s">
        <v>14</v>
      </c>
      <c r="AF216" s="251"/>
      <c r="AG216" s="251" t="s">
        <v>15</v>
      </c>
      <c r="AH216" s="251"/>
      <c r="AI216" s="251" t="s">
        <v>16</v>
      </c>
      <c r="AJ216" s="251"/>
      <c r="AK216" s="251" t="s">
        <v>17</v>
      </c>
      <c r="AL216" s="253"/>
      <c r="AM216" s="253">
        <f>AM227+1</f>
        <v>2</v>
      </c>
    </row>
    <row r="217" spans="1:39" ht="14.4" x14ac:dyDescent="0.3">
      <c r="A217" s="238" t="str">
        <f t="shared" ref="A217:A225" si="233">A228</f>
        <v>PyCaret</v>
      </c>
      <c r="B217" s="252">
        <v>90</v>
      </c>
      <c r="C217" s="249">
        <v>0.12751677852349</v>
      </c>
      <c r="D217" s="252">
        <v>90</v>
      </c>
      <c r="E217" s="249">
        <v>0.115384615384615</v>
      </c>
      <c r="F217" s="252">
        <v>90</v>
      </c>
      <c r="G217" s="249">
        <v>0.125</v>
      </c>
      <c r="H217" s="252">
        <v>90</v>
      </c>
      <c r="I217" s="249">
        <v>0.15384615384615399</v>
      </c>
      <c r="J217" s="252">
        <v>90</v>
      </c>
      <c r="K217" s="249">
        <v>0.123711340206186</v>
      </c>
      <c r="L217" s="252">
        <v>90</v>
      </c>
      <c r="M217" s="249">
        <v>0.121975806451613</v>
      </c>
      <c r="N217" s="253"/>
      <c r="O217" s="246">
        <f t="shared" ref="O217:O225" si="234">AA217/$AM$216</f>
        <v>90</v>
      </c>
      <c r="P217" s="246"/>
      <c r="Q217" s="246">
        <f t="shared" ref="Q217:Q225" si="235">AC217/$AM$216</f>
        <v>90</v>
      </c>
      <c r="R217" s="246"/>
      <c r="S217" s="246">
        <f t="shared" ref="S217:S225" si="236">AE217/$AM$216</f>
        <v>90</v>
      </c>
      <c r="T217" s="246"/>
      <c r="U217" s="246">
        <f t="shared" ref="U217:U225" si="237">AG217/$AM$216</f>
        <v>90</v>
      </c>
      <c r="V217" s="246"/>
      <c r="W217" s="246">
        <f t="shared" ref="W217:W225" si="238">AI217/$AM$216</f>
        <v>90</v>
      </c>
      <c r="X217" s="246"/>
      <c r="Y217" s="246">
        <f t="shared" ref="Y217:Y225" si="239">AK217/$AM$216</f>
        <v>90</v>
      </c>
      <c r="Z217" s="253"/>
      <c r="AA217" s="251">
        <f t="shared" ref="AA217:AA225" si="240">(B239+B228)</f>
        <v>180</v>
      </c>
      <c r="AB217" s="251"/>
      <c r="AC217" s="251">
        <f t="shared" ref="AC217:AC225" si="241">(D239+D228)</f>
        <v>180</v>
      </c>
      <c r="AD217" s="251"/>
      <c r="AE217" s="251">
        <f t="shared" ref="AE217:AE225" si="242">(F239+F228)</f>
        <v>180</v>
      </c>
      <c r="AF217" s="251"/>
      <c r="AG217" s="251">
        <f t="shared" ref="AG217:AG225" si="243">(H239+H228)</f>
        <v>180</v>
      </c>
      <c r="AH217" s="251"/>
      <c r="AI217" s="251">
        <f t="shared" ref="AI217:AI225" si="244">(J239+J228)</f>
        <v>180</v>
      </c>
      <c r="AJ217" s="251"/>
      <c r="AK217" s="251">
        <f t="shared" ref="AK217:AK225" si="245">(L239+L228)</f>
        <v>180</v>
      </c>
      <c r="AL217" s="253"/>
      <c r="AM217" s="257"/>
    </row>
    <row r="218" spans="1:39" ht="14.4" x14ac:dyDescent="0.3">
      <c r="A218" s="238" t="str">
        <f t="shared" si="233"/>
        <v>ARIMAX</v>
      </c>
      <c r="B218" s="252">
        <v>90</v>
      </c>
      <c r="C218" s="249">
        <v>0.12080536912751701</v>
      </c>
      <c r="D218" s="252">
        <v>90</v>
      </c>
      <c r="E218" s="249">
        <v>0.123076923076923</v>
      </c>
      <c r="F218" s="252">
        <v>90</v>
      </c>
      <c r="G218" s="249">
        <v>0.125</v>
      </c>
      <c r="H218" s="252">
        <v>90</v>
      </c>
      <c r="I218" s="249">
        <v>7.69230769230769E-2</v>
      </c>
      <c r="J218" s="252">
        <v>90</v>
      </c>
      <c r="K218" s="249">
        <v>0.123711340206186</v>
      </c>
      <c r="L218" s="252">
        <v>90</v>
      </c>
      <c r="M218" s="249">
        <v>0.13004032258064499</v>
      </c>
      <c r="N218" s="253"/>
      <c r="O218" s="246">
        <f t="shared" si="234"/>
        <v>90</v>
      </c>
      <c r="P218" s="246"/>
      <c r="Q218" s="246">
        <f t="shared" si="235"/>
        <v>90</v>
      </c>
      <c r="R218" s="246"/>
      <c r="S218" s="246">
        <f t="shared" si="236"/>
        <v>90</v>
      </c>
      <c r="T218" s="246"/>
      <c r="U218" s="246">
        <f t="shared" si="237"/>
        <v>90</v>
      </c>
      <c r="V218" s="246"/>
      <c r="W218" s="246">
        <f t="shared" si="238"/>
        <v>90</v>
      </c>
      <c r="X218" s="246"/>
      <c r="Y218" s="246">
        <f t="shared" si="239"/>
        <v>90</v>
      </c>
      <c r="Z218" s="253"/>
      <c r="AA218" s="251">
        <f t="shared" si="240"/>
        <v>180</v>
      </c>
      <c r="AB218" s="251"/>
      <c r="AC218" s="251">
        <f t="shared" si="241"/>
        <v>180</v>
      </c>
      <c r="AD218" s="251"/>
      <c r="AE218" s="251">
        <f t="shared" si="242"/>
        <v>180</v>
      </c>
      <c r="AF218" s="251"/>
      <c r="AG218" s="251">
        <f t="shared" si="243"/>
        <v>180</v>
      </c>
      <c r="AH218" s="251"/>
      <c r="AI218" s="251">
        <f t="shared" si="244"/>
        <v>180</v>
      </c>
      <c r="AJ218" s="251"/>
      <c r="AK218" s="251">
        <f t="shared" si="245"/>
        <v>180</v>
      </c>
      <c r="AL218" s="253"/>
      <c r="AM218" s="257"/>
    </row>
    <row r="219" spans="1:39" ht="14.4" x14ac:dyDescent="0.3">
      <c r="A219" s="238" t="str">
        <f t="shared" si="233"/>
        <v>PCE</v>
      </c>
      <c r="B219" s="252">
        <v>90</v>
      </c>
      <c r="C219" s="249">
        <v>0.12080536912751701</v>
      </c>
      <c r="D219" s="252">
        <v>90</v>
      </c>
      <c r="E219" s="249">
        <v>0.123076923076923</v>
      </c>
      <c r="F219" s="252">
        <v>90</v>
      </c>
      <c r="G219" s="249">
        <v>0.125</v>
      </c>
      <c r="H219" s="252">
        <v>90</v>
      </c>
      <c r="I219" s="249">
        <v>0.128205128205128</v>
      </c>
      <c r="J219" s="252">
        <v>90</v>
      </c>
      <c r="K219" s="249">
        <v>0.123711340206186</v>
      </c>
      <c r="L219" s="252">
        <v>90</v>
      </c>
      <c r="M219" s="249">
        <v>0.121975806451613</v>
      </c>
      <c r="N219" s="253"/>
      <c r="O219" s="246">
        <f t="shared" si="234"/>
        <v>90</v>
      </c>
      <c r="P219" s="246"/>
      <c r="Q219" s="246">
        <f t="shared" si="235"/>
        <v>90</v>
      </c>
      <c r="R219" s="246"/>
      <c r="S219" s="246">
        <f t="shared" si="236"/>
        <v>90</v>
      </c>
      <c r="T219" s="246"/>
      <c r="U219" s="246">
        <f t="shared" si="237"/>
        <v>90</v>
      </c>
      <c r="V219" s="246"/>
      <c r="W219" s="246">
        <f t="shared" si="238"/>
        <v>90</v>
      </c>
      <c r="X219" s="246"/>
      <c r="Y219" s="246">
        <f t="shared" si="239"/>
        <v>90</v>
      </c>
      <c r="Z219" s="253"/>
      <c r="AA219" s="251">
        <f t="shared" si="240"/>
        <v>180</v>
      </c>
      <c r="AB219" s="251"/>
      <c r="AC219" s="251">
        <f t="shared" si="241"/>
        <v>180</v>
      </c>
      <c r="AD219" s="251"/>
      <c r="AE219" s="251">
        <f t="shared" si="242"/>
        <v>180</v>
      </c>
      <c r="AF219" s="251"/>
      <c r="AG219" s="251">
        <f t="shared" si="243"/>
        <v>180</v>
      </c>
      <c r="AH219" s="251"/>
      <c r="AI219" s="251">
        <f t="shared" si="244"/>
        <v>180</v>
      </c>
      <c r="AJ219" s="251"/>
      <c r="AK219" s="251">
        <f t="shared" si="245"/>
        <v>180</v>
      </c>
      <c r="AL219" s="253"/>
      <c r="AM219" s="257"/>
    </row>
    <row r="220" spans="1:39" ht="14.4" x14ac:dyDescent="0.3">
      <c r="A220" s="238" t="str">
        <f t="shared" si="233"/>
        <v>LSTM</v>
      </c>
      <c r="B220" s="252">
        <v>90</v>
      </c>
      <c r="C220" s="249">
        <v>0.12080536912751701</v>
      </c>
      <c r="D220" s="252">
        <v>90</v>
      </c>
      <c r="E220" s="249">
        <v>0.123076923076923</v>
      </c>
      <c r="F220" s="252">
        <v>90</v>
      </c>
      <c r="G220" s="249">
        <v>0.125</v>
      </c>
      <c r="H220" s="252">
        <v>90</v>
      </c>
      <c r="I220" s="249">
        <v>0.128205128205128</v>
      </c>
      <c r="J220" s="252">
        <v>90</v>
      </c>
      <c r="K220" s="249">
        <v>0.123711340206186</v>
      </c>
      <c r="L220" s="252">
        <v>90</v>
      </c>
      <c r="M220" s="249">
        <v>0.125</v>
      </c>
      <c r="N220" s="253"/>
      <c r="O220" s="246">
        <f t="shared" si="234"/>
        <v>90</v>
      </c>
      <c r="P220" s="246"/>
      <c r="Q220" s="246">
        <f t="shared" si="235"/>
        <v>90</v>
      </c>
      <c r="R220" s="246"/>
      <c r="S220" s="246">
        <f t="shared" si="236"/>
        <v>90</v>
      </c>
      <c r="T220" s="246"/>
      <c r="U220" s="246">
        <f t="shared" si="237"/>
        <v>90</v>
      </c>
      <c r="V220" s="246"/>
      <c r="W220" s="246">
        <f t="shared" si="238"/>
        <v>90</v>
      </c>
      <c r="X220" s="246"/>
      <c r="Y220" s="246">
        <f t="shared" si="239"/>
        <v>90</v>
      </c>
      <c r="Z220" s="253"/>
      <c r="AA220" s="251">
        <f t="shared" si="240"/>
        <v>180</v>
      </c>
      <c r="AB220" s="251"/>
      <c r="AC220" s="251">
        <f t="shared" si="241"/>
        <v>180</v>
      </c>
      <c r="AD220" s="251"/>
      <c r="AE220" s="251">
        <f t="shared" si="242"/>
        <v>180</v>
      </c>
      <c r="AF220" s="251"/>
      <c r="AG220" s="251">
        <f t="shared" si="243"/>
        <v>180</v>
      </c>
      <c r="AH220" s="251"/>
      <c r="AI220" s="251">
        <f t="shared" si="244"/>
        <v>180</v>
      </c>
      <c r="AJ220" s="251"/>
      <c r="AK220" s="251">
        <f t="shared" si="245"/>
        <v>180</v>
      </c>
      <c r="AL220" s="253"/>
      <c r="AM220" s="257"/>
    </row>
    <row r="221" spans="1:39" ht="14.4" x14ac:dyDescent="0.3">
      <c r="A221" s="238" t="str">
        <f t="shared" si="233"/>
        <v>GARCH</v>
      </c>
      <c r="B221" s="252">
        <v>90</v>
      </c>
      <c r="C221" s="249">
        <v>0.12751677852349</v>
      </c>
      <c r="D221" s="252">
        <v>90</v>
      </c>
      <c r="E221" s="249">
        <v>0.115384615384615</v>
      </c>
      <c r="F221" s="252">
        <v>90</v>
      </c>
      <c r="G221" s="249">
        <v>0.125</v>
      </c>
      <c r="H221" s="252">
        <v>90</v>
      </c>
      <c r="I221" s="249">
        <v>7.69230769230769E-2</v>
      </c>
      <c r="J221" s="252">
        <v>90</v>
      </c>
      <c r="K221" s="249">
        <v>0.123711340206186</v>
      </c>
      <c r="L221" s="252">
        <v>90</v>
      </c>
      <c r="M221" s="249">
        <v>0.119959677419355</v>
      </c>
      <c r="N221" s="253"/>
      <c r="O221" s="246">
        <f t="shared" si="234"/>
        <v>90</v>
      </c>
      <c r="P221" s="246"/>
      <c r="Q221" s="246">
        <f t="shared" si="235"/>
        <v>90</v>
      </c>
      <c r="R221" s="246"/>
      <c r="S221" s="246">
        <f t="shared" si="236"/>
        <v>90</v>
      </c>
      <c r="T221" s="246"/>
      <c r="U221" s="246">
        <f t="shared" si="237"/>
        <v>90</v>
      </c>
      <c r="V221" s="246"/>
      <c r="W221" s="246">
        <f t="shared" si="238"/>
        <v>90</v>
      </c>
      <c r="X221" s="246"/>
      <c r="Y221" s="246">
        <f t="shared" si="239"/>
        <v>90</v>
      </c>
      <c r="Z221" s="253"/>
      <c r="AA221" s="251">
        <f t="shared" si="240"/>
        <v>180</v>
      </c>
      <c r="AB221" s="251"/>
      <c r="AC221" s="251">
        <f t="shared" si="241"/>
        <v>180</v>
      </c>
      <c r="AD221" s="251"/>
      <c r="AE221" s="251">
        <f t="shared" si="242"/>
        <v>180</v>
      </c>
      <c r="AF221" s="251"/>
      <c r="AG221" s="251">
        <f t="shared" si="243"/>
        <v>180</v>
      </c>
      <c r="AH221" s="251"/>
      <c r="AI221" s="251">
        <f t="shared" si="244"/>
        <v>180</v>
      </c>
      <c r="AJ221" s="251"/>
      <c r="AK221" s="251">
        <f t="shared" si="245"/>
        <v>180</v>
      </c>
      <c r="AL221" s="253"/>
      <c r="AM221" s="257"/>
    </row>
    <row r="222" spans="1:39" ht="14.4" x14ac:dyDescent="0.3">
      <c r="A222" s="238" t="str">
        <f t="shared" si="233"/>
        <v>VAR</v>
      </c>
      <c r="B222" s="252">
        <v>0</v>
      </c>
      <c r="C222" s="249">
        <v>0.12751677852349</v>
      </c>
      <c r="D222" s="252">
        <v>90</v>
      </c>
      <c r="E222" s="249">
        <v>0.138461538461538</v>
      </c>
      <c r="F222" s="252">
        <v>90</v>
      </c>
      <c r="G222" s="249">
        <v>0.125</v>
      </c>
      <c r="H222" s="252">
        <v>90</v>
      </c>
      <c r="I222" s="249">
        <v>7.69230769230769E-2</v>
      </c>
      <c r="J222" s="252">
        <v>90</v>
      </c>
      <c r="K222" s="249">
        <v>0.123711340206186</v>
      </c>
      <c r="L222" s="252">
        <v>90</v>
      </c>
      <c r="M222" s="249">
        <v>0.13004032258064499</v>
      </c>
      <c r="N222" s="253"/>
      <c r="O222" s="246">
        <f t="shared" si="234"/>
        <v>0</v>
      </c>
      <c r="P222" s="246"/>
      <c r="Q222" s="246">
        <f t="shared" si="235"/>
        <v>90</v>
      </c>
      <c r="R222" s="246"/>
      <c r="S222" s="246">
        <f t="shared" si="236"/>
        <v>90</v>
      </c>
      <c r="T222" s="246"/>
      <c r="U222" s="246">
        <f t="shared" si="237"/>
        <v>90</v>
      </c>
      <c r="V222" s="246"/>
      <c r="W222" s="246">
        <f t="shared" si="238"/>
        <v>90</v>
      </c>
      <c r="X222" s="246"/>
      <c r="Y222" s="246">
        <f t="shared" si="239"/>
        <v>90</v>
      </c>
      <c r="Z222" s="253"/>
      <c r="AA222" s="251">
        <f t="shared" si="240"/>
        <v>0</v>
      </c>
      <c r="AB222" s="251"/>
      <c r="AC222" s="251">
        <f t="shared" si="241"/>
        <v>180</v>
      </c>
      <c r="AD222" s="251"/>
      <c r="AE222" s="251">
        <f t="shared" si="242"/>
        <v>180</v>
      </c>
      <c r="AF222" s="251"/>
      <c r="AG222" s="251">
        <f t="shared" si="243"/>
        <v>180</v>
      </c>
      <c r="AH222" s="251"/>
      <c r="AI222" s="251">
        <f t="shared" si="244"/>
        <v>180</v>
      </c>
      <c r="AJ222" s="251"/>
      <c r="AK222" s="251">
        <f t="shared" si="245"/>
        <v>180</v>
      </c>
      <c r="AL222" s="253"/>
      <c r="AM222" s="257"/>
    </row>
    <row r="223" spans="1:39" ht="14.4" x14ac:dyDescent="0.3">
      <c r="A223" s="238" t="str">
        <f t="shared" si="233"/>
        <v>RW</v>
      </c>
      <c r="B223" s="252">
        <v>90</v>
      </c>
      <c r="C223" s="249">
        <v>0.12751677852349</v>
      </c>
      <c r="D223" s="252">
        <v>90</v>
      </c>
      <c r="E223" s="249">
        <v>0.123076923076923</v>
      </c>
      <c r="F223" s="252">
        <v>90</v>
      </c>
      <c r="G223" s="249">
        <v>0.125</v>
      </c>
      <c r="H223" s="252">
        <v>90</v>
      </c>
      <c r="I223" s="249">
        <v>0.16666666666666699</v>
      </c>
      <c r="J223" s="252">
        <v>90</v>
      </c>
      <c r="K223" s="249">
        <v>0.123711340206186</v>
      </c>
      <c r="L223" s="252">
        <v>90</v>
      </c>
      <c r="M223" s="249">
        <v>0.13004032258064499</v>
      </c>
      <c r="N223" s="253"/>
      <c r="O223" s="246">
        <f t="shared" si="234"/>
        <v>90</v>
      </c>
      <c r="P223" s="246"/>
      <c r="Q223" s="246">
        <f t="shared" si="235"/>
        <v>90</v>
      </c>
      <c r="R223" s="246"/>
      <c r="S223" s="246">
        <f t="shared" si="236"/>
        <v>90</v>
      </c>
      <c r="T223" s="246"/>
      <c r="U223" s="246">
        <f t="shared" si="237"/>
        <v>90</v>
      </c>
      <c r="V223" s="246"/>
      <c r="W223" s="246">
        <f t="shared" si="238"/>
        <v>90</v>
      </c>
      <c r="X223" s="246"/>
      <c r="Y223" s="246">
        <f t="shared" si="239"/>
        <v>90</v>
      </c>
      <c r="Z223" s="253"/>
      <c r="AA223" s="251">
        <f t="shared" si="240"/>
        <v>180</v>
      </c>
      <c r="AB223" s="251"/>
      <c r="AC223" s="251">
        <f t="shared" si="241"/>
        <v>180</v>
      </c>
      <c r="AD223" s="251"/>
      <c r="AE223" s="251">
        <f t="shared" si="242"/>
        <v>180</v>
      </c>
      <c r="AF223" s="251"/>
      <c r="AG223" s="251">
        <f t="shared" si="243"/>
        <v>180</v>
      </c>
      <c r="AH223" s="251"/>
      <c r="AI223" s="251">
        <f t="shared" si="244"/>
        <v>180</v>
      </c>
      <c r="AJ223" s="251"/>
      <c r="AK223" s="251">
        <f t="shared" si="245"/>
        <v>180</v>
      </c>
      <c r="AL223" s="253"/>
      <c r="AM223" s="257"/>
    </row>
    <row r="224" spans="1:39" ht="13.5" customHeight="1" x14ac:dyDescent="0.3">
      <c r="A224" s="238" t="str">
        <f t="shared" si="233"/>
        <v>ETS</v>
      </c>
      <c r="B224" s="252">
        <v>90</v>
      </c>
      <c r="C224" s="249">
        <v>0.12751677852349</v>
      </c>
      <c r="D224" s="252">
        <v>90</v>
      </c>
      <c r="E224" s="249">
        <v>0.138461538461538</v>
      </c>
      <c r="F224" s="252">
        <v>90</v>
      </c>
      <c r="G224" s="249">
        <v>0.125</v>
      </c>
      <c r="H224" s="252">
        <v>90</v>
      </c>
      <c r="I224" s="249">
        <v>0.19230769230769201</v>
      </c>
      <c r="J224" s="252">
        <v>90</v>
      </c>
      <c r="K224" s="249">
        <v>0.134020618556701</v>
      </c>
      <c r="L224" s="252">
        <v>90</v>
      </c>
      <c r="M224" s="249">
        <v>0.120967741935484</v>
      </c>
      <c r="N224" s="253"/>
      <c r="O224" s="246">
        <f t="shared" si="234"/>
        <v>90</v>
      </c>
      <c r="P224" s="246"/>
      <c r="Q224" s="246">
        <f t="shared" si="235"/>
        <v>90</v>
      </c>
      <c r="R224" s="246"/>
      <c r="S224" s="246">
        <f t="shared" si="236"/>
        <v>90</v>
      </c>
      <c r="T224" s="246"/>
      <c r="U224" s="246">
        <f t="shared" si="237"/>
        <v>90</v>
      </c>
      <c r="V224" s="246"/>
      <c r="W224" s="246">
        <f t="shared" si="238"/>
        <v>90</v>
      </c>
      <c r="X224" s="246"/>
      <c r="Y224" s="246">
        <f t="shared" si="239"/>
        <v>90</v>
      </c>
      <c r="Z224" s="253"/>
      <c r="AA224" s="251">
        <f t="shared" si="240"/>
        <v>180</v>
      </c>
      <c r="AB224" s="251"/>
      <c r="AC224" s="251">
        <f t="shared" si="241"/>
        <v>180</v>
      </c>
      <c r="AD224" s="251"/>
      <c r="AE224" s="251">
        <f t="shared" si="242"/>
        <v>180</v>
      </c>
      <c r="AF224" s="251"/>
      <c r="AG224" s="251">
        <f t="shared" si="243"/>
        <v>180</v>
      </c>
      <c r="AH224" s="251"/>
      <c r="AI224" s="251">
        <f t="shared" si="244"/>
        <v>180</v>
      </c>
      <c r="AJ224" s="251"/>
      <c r="AK224" s="251">
        <f t="shared" si="245"/>
        <v>180</v>
      </c>
      <c r="AL224" s="253"/>
      <c r="AM224" s="257"/>
    </row>
    <row r="225" spans="1:39" ht="13.5" customHeight="1" x14ac:dyDescent="0.3">
      <c r="A225" s="238" t="str">
        <f t="shared" si="233"/>
        <v>DynaMix</v>
      </c>
      <c r="B225" s="252">
        <v>90</v>
      </c>
      <c r="C225" s="249">
        <v>0.12751677852349</v>
      </c>
      <c r="D225" s="252">
        <v>90</v>
      </c>
      <c r="E225" s="249">
        <v>0.138461538461538</v>
      </c>
      <c r="F225" s="252">
        <v>90</v>
      </c>
      <c r="G225" s="249">
        <v>0.125</v>
      </c>
      <c r="H225" s="252">
        <v>90</v>
      </c>
      <c r="I225" s="249">
        <v>0.19230769230769201</v>
      </c>
      <c r="J225" s="252">
        <v>90</v>
      </c>
      <c r="K225" s="249">
        <v>0.134020618556701</v>
      </c>
      <c r="L225" s="252">
        <v>90</v>
      </c>
      <c r="M225" s="249">
        <v>0.120967741935484</v>
      </c>
      <c r="N225" s="253"/>
      <c r="O225" s="246">
        <f t="shared" si="234"/>
        <v>90</v>
      </c>
      <c r="P225" s="246"/>
      <c r="Q225" s="246">
        <f t="shared" si="235"/>
        <v>90</v>
      </c>
      <c r="R225" s="246"/>
      <c r="S225" s="246">
        <f t="shared" si="236"/>
        <v>90</v>
      </c>
      <c r="T225" s="246"/>
      <c r="U225" s="246">
        <f t="shared" si="237"/>
        <v>90</v>
      </c>
      <c r="V225" s="246"/>
      <c r="W225" s="246">
        <f t="shared" si="238"/>
        <v>90</v>
      </c>
      <c r="X225" s="246"/>
      <c r="Y225" s="246">
        <f t="shared" si="239"/>
        <v>90</v>
      </c>
      <c r="Z225" s="253"/>
      <c r="AA225" s="251">
        <f t="shared" si="240"/>
        <v>180</v>
      </c>
      <c r="AB225" s="251"/>
      <c r="AC225" s="251">
        <f t="shared" si="241"/>
        <v>180</v>
      </c>
      <c r="AD225" s="251"/>
      <c r="AE225" s="251">
        <f t="shared" si="242"/>
        <v>180</v>
      </c>
      <c r="AF225" s="251"/>
      <c r="AG225" s="251">
        <f t="shared" si="243"/>
        <v>180</v>
      </c>
      <c r="AH225" s="251"/>
      <c r="AI225" s="251">
        <f t="shared" si="244"/>
        <v>180</v>
      </c>
      <c r="AJ225" s="251"/>
      <c r="AK225" s="251">
        <f t="shared" si="245"/>
        <v>180</v>
      </c>
      <c r="AL225" s="253"/>
      <c r="AM225" s="257"/>
    </row>
    <row r="227" spans="1:39" ht="14.4" x14ac:dyDescent="0.3">
      <c r="A227" s="247" t="s">
        <v>68</v>
      </c>
      <c r="B227" s="252" t="s">
        <v>12</v>
      </c>
      <c r="C227" s="249">
        <v>447</v>
      </c>
      <c r="D227" s="252" t="s">
        <v>13</v>
      </c>
      <c r="E227" s="249">
        <v>332</v>
      </c>
      <c r="F227" s="252" t="s">
        <v>14</v>
      </c>
      <c r="G227" s="249">
        <v>364</v>
      </c>
      <c r="H227" s="252" t="s">
        <v>15</v>
      </c>
      <c r="I227" s="249">
        <v>6</v>
      </c>
      <c r="J227" s="252" t="s">
        <v>16</v>
      </c>
      <c r="K227" s="249">
        <v>332</v>
      </c>
      <c r="L227" s="252" t="s">
        <v>17</v>
      </c>
      <c r="M227" s="249">
        <v>150</v>
      </c>
      <c r="N227" s="253"/>
      <c r="O227" s="246" t="s">
        <v>12</v>
      </c>
      <c r="P227" s="246"/>
      <c r="Q227" s="246" t="s">
        <v>13</v>
      </c>
      <c r="R227" s="246"/>
      <c r="S227" s="246" t="s">
        <v>14</v>
      </c>
      <c r="T227" s="246"/>
      <c r="U227" s="246" t="s">
        <v>15</v>
      </c>
      <c r="V227" s="246"/>
      <c r="W227" s="246" t="s">
        <v>16</v>
      </c>
      <c r="X227" s="246"/>
      <c r="Y227" s="246" t="s">
        <v>17</v>
      </c>
      <c r="Z227" s="253"/>
      <c r="AA227" s="251" t="s">
        <v>12</v>
      </c>
      <c r="AB227" s="251"/>
      <c r="AC227" s="251" t="s">
        <v>13</v>
      </c>
      <c r="AD227" s="251"/>
      <c r="AE227" s="251" t="s">
        <v>14</v>
      </c>
      <c r="AF227" s="251"/>
      <c r="AG227" s="251" t="s">
        <v>15</v>
      </c>
      <c r="AH227" s="251"/>
      <c r="AI227" s="251" t="s">
        <v>16</v>
      </c>
      <c r="AJ227" s="251"/>
      <c r="AK227" s="251" t="s">
        <v>17</v>
      </c>
      <c r="AL227" s="253"/>
      <c r="AM227" s="253">
        <v>1</v>
      </c>
    </row>
    <row r="228" spans="1:39" ht="14.4" x14ac:dyDescent="0.3">
      <c r="A228" s="238" t="str">
        <f t="shared" ref="A228:A236" si="246">A239</f>
        <v>PyCaret</v>
      </c>
      <c r="B228" s="252">
        <v>90</v>
      </c>
      <c r="C228" s="249">
        <v>0.12751677852349</v>
      </c>
      <c r="D228" s="252">
        <v>90</v>
      </c>
      <c r="E228" s="249">
        <v>0.115384615384615</v>
      </c>
      <c r="F228" s="252">
        <v>90</v>
      </c>
      <c r="G228" s="249">
        <v>0.125</v>
      </c>
      <c r="H228" s="252">
        <v>90</v>
      </c>
      <c r="I228" s="249">
        <v>0.15384615384615399</v>
      </c>
      <c r="J228" s="252">
        <v>90</v>
      </c>
      <c r="K228" s="249">
        <v>0.123711340206186</v>
      </c>
      <c r="L228" s="252">
        <v>90</v>
      </c>
      <c r="M228" s="249">
        <v>0.121975806451613</v>
      </c>
      <c r="N228" s="253"/>
      <c r="O228" s="246">
        <f t="shared" ref="O228:O236" si="247">AA228/$AM$227</f>
        <v>90</v>
      </c>
      <c r="P228" s="246"/>
      <c r="Q228" s="246">
        <f t="shared" ref="Q228:Q236" si="248">AC228/$AM$227</f>
        <v>90</v>
      </c>
      <c r="R228" s="246"/>
      <c r="S228" s="246">
        <f t="shared" ref="S228:S236" si="249">AE228/$AM$227</f>
        <v>90</v>
      </c>
      <c r="T228" s="246"/>
      <c r="U228" s="246">
        <f t="shared" ref="U228:U236" si="250">AG228/$AM$227</f>
        <v>90</v>
      </c>
      <c r="V228" s="246"/>
      <c r="W228" s="246">
        <f t="shared" ref="W228:W236" si="251">AI228/$AM$227</f>
        <v>90</v>
      </c>
      <c r="X228" s="246"/>
      <c r="Y228" s="246">
        <f t="shared" ref="Y228:Y236" si="252">AK228/$AM$227</f>
        <v>90</v>
      </c>
      <c r="Z228" s="253"/>
      <c r="AA228" s="251">
        <f t="shared" ref="AA228:AA236" si="253">(B239)</f>
        <v>90</v>
      </c>
      <c r="AB228" s="251"/>
      <c r="AC228" s="251">
        <f t="shared" ref="AC228:AC236" si="254">(D239)</f>
        <v>90</v>
      </c>
      <c r="AD228" s="251"/>
      <c r="AE228" s="251">
        <f t="shared" ref="AE228:AE236" si="255">(F239)</f>
        <v>90</v>
      </c>
      <c r="AF228" s="251"/>
      <c r="AG228" s="251">
        <f t="shared" ref="AG228:AG236" si="256">(H239)</f>
        <v>90</v>
      </c>
      <c r="AH228" s="251"/>
      <c r="AI228" s="251">
        <f t="shared" ref="AI228:AI236" si="257">(J239)</f>
        <v>90</v>
      </c>
      <c r="AJ228" s="251"/>
      <c r="AK228" s="251">
        <f t="shared" ref="AK228:AK236" si="258">(L239)</f>
        <v>90</v>
      </c>
      <c r="AL228" s="253"/>
      <c r="AM228" s="257"/>
    </row>
    <row r="229" spans="1:39" ht="14.4" x14ac:dyDescent="0.3">
      <c r="A229" s="238" t="str">
        <f t="shared" si="246"/>
        <v>ARIMAX</v>
      </c>
      <c r="B229" s="252">
        <v>90</v>
      </c>
      <c r="C229" s="249">
        <v>0.12080536912751701</v>
      </c>
      <c r="D229" s="252">
        <v>90</v>
      </c>
      <c r="E229" s="249">
        <v>0.123076923076923</v>
      </c>
      <c r="F229" s="252">
        <v>90</v>
      </c>
      <c r="G229" s="249">
        <v>0.125</v>
      </c>
      <c r="H229" s="252">
        <v>90</v>
      </c>
      <c r="I229" s="249">
        <v>7.69230769230769E-2</v>
      </c>
      <c r="J229" s="252">
        <v>90</v>
      </c>
      <c r="K229" s="249">
        <v>0.123711340206186</v>
      </c>
      <c r="L229" s="252">
        <v>90</v>
      </c>
      <c r="M229" s="249">
        <v>0.13004032258064499</v>
      </c>
      <c r="N229" s="253"/>
      <c r="O229" s="246">
        <f t="shared" si="247"/>
        <v>90</v>
      </c>
      <c r="P229" s="246"/>
      <c r="Q229" s="246">
        <f t="shared" si="248"/>
        <v>90</v>
      </c>
      <c r="R229" s="246"/>
      <c r="S229" s="246">
        <f t="shared" si="249"/>
        <v>90</v>
      </c>
      <c r="T229" s="246"/>
      <c r="U229" s="246">
        <f t="shared" si="250"/>
        <v>90</v>
      </c>
      <c r="V229" s="246"/>
      <c r="W229" s="246">
        <f t="shared" si="251"/>
        <v>90</v>
      </c>
      <c r="X229" s="246"/>
      <c r="Y229" s="246">
        <f t="shared" si="252"/>
        <v>90</v>
      </c>
      <c r="Z229" s="253"/>
      <c r="AA229" s="251">
        <f t="shared" si="253"/>
        <v>90</v>
      </c>
      <c r="AB229" s="251"/>
      <c r="AC229" s="251">
        <f t="shared" si="254"/>
        <v>90</v>
      </c>
      <c r="AD229" s="251"/>
      <c r="AE229" s="251">
        <f t="shared" si="255"/>
        <v>90</v>
      </c>
      <c r="AF229" s="251"/>
      <c r="AG229" s="251">
        <f t="shared" si="256"/>
        <v>90</v>
      </c>
      <c r="AH229" s="251"/>
      <c r="AI229" s="251">
        <f t="shared" si="257"/>
        <v>90</v>
      </c>
      <c r="AJ229" s="251"/>
      <c r="AK229" s="251">
        <f t="shared" si="258"/>
        <v>90</v>
      </c>
      <c r="AL229" s="253"/>
      <c r="AM229" s="257"/>
    </row>
    <row r="230" spans="1:39" ht="14.4" x14ac:dyDescent="0.3">
      <c r="A230" s="238" t="str">
        <f t="shared" si="246"/>
        <v>PCE</v>
      </c>
      <c r="B230" s="252">
        <v>90</v>
      </c>
      <c r="C230" s="249">
        <v>0.12080536912751701</v>
      </c>
      <c r="D230" s="252">
        <v>90</v>
      </c>
      <c r="E230" s="249">
        <v>0.123076923076923</v>
      </c>
      <c r="F230" s="252">
        <v>90</v>
      </c>
      <c r="G230" s="249">
        <v>0.125</v>
      </c>
      <c r="H230" s="252">
        <v>90</v>
      </c>
      <c r="I230" s="249">
        <v>0.128205128205128</v>
      </c>
      <c r="J230" s="252">
        <v>90</v>
      </c>
      <c r="K230" s="249">
        <v>0.123711340206186</v>
      </c>
      <c r="L230" s="252">
        <v>90</v>
      </c>
      <c r="M230" s="249">
        <v>0.121975806451613</v>
      </c>
      <c r="N230" s="253"/>
      <c r="O230" s="246">
        <f t="shared" si="247"/>
        <v>90</v>
      </c>
      <c r="P230" s="246"/>
      <c r="Q230" s="246">
        <f t="shared" si="248"/>
        <v>90</v>
      </c>
      <c r="R230" s="246"/>
      <c r="S230" s="246">
        <f t="shared" si="249"/>
        <v>90</v>
      </c>
      <c r="T230" s="246"/>
      <c r="U230" s="246">
        <f t="shared" si="250"/>
        <v>90</v>
      </c>
      <c r="V230" s="246"/>
      <c r="W230" s="246">
        <f t="shared" si="251"/>
        <v>90</v>
      </c>
      <c r="X230" s="246"/>
      <c r="Y230" s="246">
        <f t="shared" si="252"/>
        <v>90</v>
      </c>
      <c r="Z230" s="253"/>
      <c r="AA230" s="251">
        <f t="shared" si="253"/>
        <v>90</v>
      </c>
      <c r="AB230" s="251"/>
      <c r="AC230" s="251">
        <f t="shared" si="254"/>
        <v>90</v>
      </c>
      <c r="AD230" s="251"/>
      <c r="AE230" s="251">
        <f t="shared" si="255"/>
        <v>90</v>
      </c>
      <c r="AF230" s="251"/>
      <c r="AG230" s="251">
        <f t="shared" si="256"/>
        <v>90</v>
      </c>
      <c r="AH230" s="251"/>
      <c r="AI230" s="251">
        <f t="shared" si="257"/>
        <v>90</v>
      </c>
      <c r="AJ230" s="251"/>
      <c r="AK230" s="251">
        <f t="shared" si="258"/>
        <v>90</v>
      </c>
      <c r="AL230" s="253"/>
      <c r="AM230" s="257"/>
    </row>
    <row r="231" spans="1:39" ht="14.4" x14ac:dyDescent="0.3">
      <c r="A231" s="238" t="str">
        <f t="shared" si="246"/>
        <v>LSTM</v>
      </c>
      <c r="B231" s="252">
        <v>90</v>
      </c>
      <c r="C231" s="249">
        <v>0.12080536912751701</v>
      </c>
      <c r="D231" s="252">
        <v>90</v>
      </c>
      <c r="E231" s="249">
        <v>0.123076923076923</v>
      </c>
      <c r="F231" s="252">
        <v>90</v>
      </c>
      <c r="G231" s="249">
        <v>0.125</v>
      </c>
      <c r="H231" s="252">
        <v>90</v>
      </c>
      <c r="I231" s="249">
        <v>0.128205128205128</v>
      </c>
      <c r="J231" s="252">
        <v>90</v>
      </c>
      <c r="K231" s="249">
        <v>0.123711340206186</v>
      </c>
      <c r="L231" s="252">
        <v>90</v>
      </c>
      <c r="M231" s="249">
        <v>0.125</v>
      </c>
      <c r="N231" s="253"/>
      <c r="O231" s="246">
        <f t="shared" si="247"/>
        <v>90</v>
      </c>
      <c r="P231" s="246"/>
      <c r="Q231" s="246">
        <f t="shared" si="248"/>
        <v>90</v>
      </c>
      <c r="R231" s="246"/>
      <c r="S231" s="246">
        <f t="shared" si="249"/>
        <v>90</v>
      </c>
      <c r="T231" s="246"/>
      <c r="U231" s="246">
        <f t="shared" si="250"/>
        <v>90</v>
      </c>
      <c r="V231" s="246"/>
      <c r="W231" s="246">
        <f t="shared" si="251"/>
        <v>90</v>
      </c>
      <c r="X231" s="246"/>
      <c r="Y231" s="246">
        <f t="shared" si="252"/>
        <v>90</v>
      </c>
      <c r="Z231" s="253"/>
      <c r="AA231" s="251">
        <f t="shared" si="253"/>
        <v>90</v>
      </c>
      <c r="AB231" s="251"/>
      <c r="AC231" s="251">
        <f t="shared" si="254"/>
        <v>90</v>
      </c>
      <c r="AD231" s="251"/>
      <c r="AE231" s="251">
        <f t="shared" si="255"/>
        <v>90</v>
      </c>
      <c r="AF231" s="251"/>
      <c r="AG231" s="251">
        <f t="shared" si="256"/>
        <v>90</v>
      </c>
      <c r="AH231" s="251"/>
      <c r="AI231" s="251">
        <f t="shared" si="257"/>
        <v>90</v>
      </c>
      <c r="AJ231" s="251"/>
      <c r="AK231" s="251">
        <f t="shared" si="258"/>
        <v>90</v>
      </c>
      <c r="AL231" s="253"/>
      <c r="AM231" s="257"/>
    </row>
    <row r="232" spans="1:39" ht="14.4" x14ac:dyDescent="0.3">
      <c r="A232" s="238" t="str">
        <f t="shared" si="246"/>
        <v>GARCH</v>
      </c>
      <c r="B232" s="252">
        <v>90</v>
      </c>
      <c r="C232" s="249">
        <v>0.12751677852349</v>
      </c>
      <c r="D232" s="252">
        <v>90</v>
      </c>
      <c r="E232" s="249">
        <v>0.115384615384615</v>
      </c>
      <c r="F232" s="252">
        <v>90</v>
      </c>
      <c r="G232" s="249">
        <v>0.125</v>
      </c>
      <c r="H232" s="252">
        <v>90</v>
      </c>
      <c r="I232" s="249">
        <v>7.69230769230769E-2</v>
      </c>
      <c r="J232" s="252">
        <v>90</v>
      </c>
      <c r="K232" s="249">
        <v>0.123711340206186</v>
      </c>
      <c r="L232" s="252">
        <v>90</v>
      </c>
      <c r="M232" s="249">
        <v>0.119959677419355</v>
      </c>
      <c r="N232" s="253"/>
      <c r="O232" s="246">
        <f t="shared" si="247"/>
        <v>90</v>
      </c>
      <c r="P232" s="246"/>
      <c r="Q232" s="246">
        <f t="shared" si="248"/>
        <v>90</v>
      </c>
      <c r="R232" s="246"/>
      <c r="S232" s="246">
        <f t="shared" si="249"/>
        <v>90</v>
      </c>
      <c r="T232" s="246"/>
      <c r="U232" s="246">
        <f t="shared" si="250"/>
        <v>90</v>
      </c>
      <c r="V232" s="246"/>
      <c r="W232" s="246">
        <f t="shared" si="251"/>
        <v>90</v>
      </c>
      <c r="X232" s="246"/>
      <c r="Y232" s="246">
        <f t="shared" si="252"/>
        <v>90</v>
      </c>
      <c r="Z232" s="253"/>
      <c r="AA232" s="251">
        <f t="shared" si="253"/>
        <v>90</v>
      </c>
      <c r="AB232" s="251"/>
      <c r="AC232" s="251">
        <f t="shared" si="254"/>
        <v>90</v>
      </c>
      <c r="AD232" s="251"/>
      <c r="AE232" s="251">
        <f t="shared" si="255"/>
        <v>90</v>
      </c>
      <c r="AF232" s="251"/>
      <c r="AG232" s="251">
        <f t="shared" si="256"/>
        <v>90</v>
      </c>
      <c r="AH232" s="251"/>
      <c r="AI232" s="251">
        <f t="shared" si="257"/>
        <v>90</v>
      </c>
      <c r="AJ232" s="251"/>
      <c r="AK232" s="251">
        <f t="shared" si="258"/>
        <v>90</v>
      </c>
      <c r="AL232" s="253"/>
      <c r="AM232" s="257"/>
    </row>
    <row r="233" spans="1:39" ht="14.4" x14ac:dyDescent="0.3">
      <c r="A233" s="238" t="str">
        <f t="shared" si="246"/>
        <v>VAR</v>
      </c>
      <c r="B233" s="252">
        <v>0</v>
      </c>
      <c r="C233" s="249">
        <v>0.12751677852349</v>
      </c>
      <c r="D233" s="252">
        <v>90</v>
      </c>
      <c r="E233" s="249">
        <v>0.138461538461538</v>
      </c>
      <c r="F233" s="252">
        <v>90</v>
      </c>
      <c r="G233" s="249">
        <v>0.125</v>
      </c>
      <c r="H233" s="252">
        <v>90</v>
      </c>
      <c r="I233" s="249">
        <v>7.69230769230769E-2</v>
      </c>
      <c r="J233" s="252">
        <v>90</v>
      </c>
      <c r="K233" s="249">
        <v>0.123711340206186</v>
      </c>
      <c r="L233" s="252">
        <v>90</v>
      </c>
      <c r="M233" s="249">
        <v>0.13004032258064499</v>
      </c>
      <c r="N233" s="253"/>
      <c r="O233" s="246">
        <f t="shared" si="247"/>
        <v>0</v>
      </c>
      <c r="P233" s="246"/>
      <c r="Q233" s="246">
        <f t="shared" si="248"/>
        <v>90</v>
      </c>
      <c r="R233" s="246"/>
      <c r="S233" s="246">
        <f t="shared" si="249"/>
        <v>90</v>
      </c>
      <c r="T233" s="246"/>
      <c r="U233" s="246">
        <f t="shared" si="250"/>
        <v>90</v>
      </c>
      <c r="V233" s="246"/>
      <c r="W233" s="246">
        <f t="shared" si="251"/>
        <v>90</v>
      </c>
      <c r="X233" s="246"/>
      <c r="Y233" s="246">
        <f t="shared" si="252"/>
        <v>90</v>
      </c>
      <c r="Z233" s="253"/>
      <c r="AA233" s="251">
        <f t="shared" si="253"/>
        <v>0</v>
      </c>
      <c r="AB233" s="251"/>
      <c r="AC233" s="251">
        <f t="shared" si="254"/>
        <v>90</v>
      </c>
      <c r="AD233" s="251"/>
      <c r="AE233" s="251">
        <f t="shared" si="255"/>
        <v>90</v>
      </c>
      <c r="AF233" s="251"/>
      <c r="AG233" s="251">
        <f t="shared" si="256"/>
        <v>90</v>
      </c>
      <c r="AH233" s="251"/>
      <c r="AI233" s="251">
        <f t="shared" si="257"/>
        <v>90</v>
      </c>
      <c r="AJ233" s="251"/>
      <c r="AK233" s="251">
        <f t="shared" si="258"/>
        <v>90</v>
      </c>
      <c r="AL233" s="253"/>
      <c r="AM233" s="257"/>
    </row>
    <row r="234" spans="1:39" ht="14.4" x14ac:dyDescent="0.3">
      <c r="A234" s="238" t="str">
        <f t="shared" si="246"/>
        <v>RW</v>
      </c>
      <c r="B234" s="252">
        <v>90</v>
      </c>
      <c r="C234" s="249">
        <v>0.12751677852349</v>
      </c>
      <c r="D234" s="252">
        <v>90</v>
      </c>
      <c r="E234" s="249">
        <v>0.123076923076923</v>
      </c>
      <c r="F234" s="252">
        <v>90</v>
      </c>
      <c r="G234" s="249">
        <v>0.125</v>
      </c>
      <c r="H234" s="252">
        <v>90</v>
      </c>
      <c r="I234" s="249">
        <v>0.16666666666666699</v>
      </c>
      <c r="J234" s="252">
        <v>90</v>
      </c>
      <c r="K234" s="249">
        <v>0.123711340206186</v>
      </c>
      <c r="L234" s="252">
        <v>90</v>
      </c>
      <c r="M234" s="249">
        <v>0.13004032258064499</v>
      </c>
      <c r="N234" s="253"/>
      <c r="O234" s="246">
        <f t="shared" si="247"/>
        <v>90</v>
      </c>
      <c r="P234" s="246"/>
      <c r="Q234" s="246">
        <f t="shared" si="248"/>
        <v>90</v>
      </c>
      <c r="R234" s="246"/>
      <c r="S234" s="246">
        <f t="shared" si="249"/>
        <v>90</v>
      </c>
      <c r="T234" s="246"/>
      <c r="U234" s="246">
        <f t="shared" si="250"/>
        <v>90</v>
      </c>
      <c r="V234" s="246"/>
      <c r="W234" s="246">
        <f t="shared" si="251"/>
        <v>90</v>
      </c>
      <c r="X234" s="246"/>
      <c r="Y234" s="246">
        <f t="shared" si="252"/>
        <v>90</v>
      </c>
      <c r="Z234" s="253"/>
      <c r="AA234" s="251">
        <f t="shared" si="253"/>
        <v>90</v>
      </c>
      <c r="AB234" s="251"/>
      <c r="AC234" s="251">
        <f t="shared" si="254"/>
        <v>90</v>
      </c>
      <c r="AD234" s="251"/>
      <c r="AE234" s="251">
        <f t="shared" si="255"/>
        <v>90</v>
      </c>
      <c r="AF234" s="251"/>
      <c r="AG234" s="251">
        <f t="shared" si="256"/>
        <v>90</v>
      </c>
      <c r="AH234" s="251"/>
      <c r="AI234" s="251">
        <f t="shared" si="257"/>
        <v>90</v>
      </c>
      <c r="AJ234" s="251"/>
      <c r="AK234" s="251">
        <f t="shared" si="258"/>
        <v>90</v>
      </c>
      <c r="AL234" s="253"/>
      <c r="AM234" s="257"/>
    </row>
    <row r="235" spans="1:39" ht="13.5" customHeight="1" x14ac:dyDescent="0.3">
      <c r="A235" s="238" t="str">
        <f t="shared" si="246"/>
        <v>ETS</v>
      </c>
      <c r="B235" s="252">
        <v>90</v>
      </c>
      <c r="C235" s="249">
        <v>0.12751677852349</v>
      </c>
      <c r="D235" s="252">
        <v>90</v>
      </c>
      <c r="E235" s="249">
        <v>0.138461538461538</v>
      </c>
      <c r="F235" s="252">
        <v>90</v>
      </c>
      <c r="G235" s="249">
        <v>0.125</v>
      </c>
      <c r="H235" s="252">
        <v>90</v>
      </c>
      <c r="I235" s="249">
        <v>0.19230769230769201</v>
      </c>
      <c r="J235" s="252">
        <v>90</v>
      </c>
      <c r="K235" s="249">
        <v>0.134020618556701</v>
      </c>
      <c r="L235" s="252">
        <v>90</v>
      </c>
      <c r="M235" s="249">
        <v>0.120967741935484</v>
      </c>
      <c r="N235" s="253"/>
      <c r="O235" s="246">
        <f t="shared" si="247"/>
        <v>90</v>
      </c>
      <c r="P235" s="246"/>
      <c r="Q235" s="246">
        <f t="shared" si="248"/>
        <v>90</v>
      </c>
      <c r="R235" s="246"/>
      <c r="S235" s="246">
        <f t="shared" si="249"/>
        <v>90</v>
      </c>
      <c r="T235" s="246"/>
      <c r="U235" s="246">
        <f t="shared" si="250"/>
        <v>90</v>
      </c>
      <c r="V235" s="246"/>
      <c r="W235" s="246">
        <f t="shared" si="251"/>
        <v>90</v>
      </c>
      <c r="X235" s="246"/>
      <c r="Y235" s="246">
        <f t="shared" si="252"/>
        <v>90</v>
      </c>
      <c r="Z235" s="253"/>
      <c r="AA235" s="251">
        <f t="shared" si="253"/>
        <v>90</v>
      </c>
      <c r="AB235" s="251"/>
      <c r="AC235" s="251">
        <f t="shared" si="254"/>
        <v>90</v>
      </c>
      <c r="AD235" s="251"/>
      <c r="AE235" s="251">
        <f t="shared" si="255"/>
        <v>90</v>
      </c>
      <c r="AF235" s="251"/>
      <c r="AG235" s="251">
        <f t="shared" si="256"/>
        <v>90</v>
      </c>
      <c r="AH235" s="251"/>
      <c r="AI235" s="251">
        <f t="shared" si="257"/>
        <v>90</v>
      </c>
      <c r="AJ235" s="251"/>
      <c r="AK235" s="251">
        <f t="shared" si="258"/>
        <v>90</v>
      </c>
      <c r="AL235" s="253"/>
      <c r="AM235" s="257"/>
    </row>
    <row r="236" spans="1:39" ht="13.5" customHeight="1" x14ac:dyDescent="0.3">
      <c r="A236" s="238" t="str">
        <f t="shared" si="246"/>
        <v>DynaMix</v>
      </c>
      <c r="B236" s="252">
        <v>90</v>
      </c>
      <c r="C236" s="249">
        <v>0.12751677852349</v>
      </c>
      <c r="D236" s="252">
        <v>90</v>
      </c>
      <c r="E236" s="249">
        <v>0.138461538461538</v>
      </c>
      <c r="F236" s="252">
        <v>90</v>
      </c>
      <c r="G236" s="249">
        <v>0.125</v>
      </c>
      <c r="H236" s="252">
        <v>90</v>
      </c>
      <c r="I236" s="249">
        <v>0.19230769230769201</v>
      </c>
      <c r="J236" s="252">
        <v>90</v>
      </c>
      <c r="K236" s="249">
        <v>0.134020618556701</v>
      </c>
      <c r="L236" s="252">
        <v>90</v>
      </c>
      <c r="M236" s="249">
        <v>0.120967741935484</v>
      </c>
      <c r="N236" s="253"/>
      <c r="O236" s="246">
        <f t="shared" si="247"/>
        <v>90</v>
      </c>
      <c r="P236" s="246"/>
      <c r="Q236" s="246">
        <f t="shared" si="248"/>
        <v>90</v>
      </c>
      <c r="R236" s="246"/>
      <c r="S236" s="246">
        <f t="shared" si="249"/>
        <v>90</v>
      </c>
      <c r="T236" s="246"/>
      <c r="U236" s="246">
        <f t="shared" si="250"/>
        <v>90</v>
      </c>
      <c r="V236" s="246"/>
      <c r="W236" s="246">
        <f t="shared" si="251"/>
        <v>90</v>
      </c>
      <c r="X236" s="246"/>
      <c r="Y236" s="246">
        <f t="shared" si="252"/>
        <v>90</v>
      </c>
      <c r="Z236" s="253"/>
      <c r="AA236" s="251">
        <f t="shared" si="253"/>
        <v>90</v>
      </c>
      <c r="AB236" s="251"/>
      <c r="AC236" s="251">
        <f t="shared" si="254"/>
        <v>90</v>
      </c>
      <c r="AD236" s="251"/>
      <c r="AE236" s="251">
        <f t="shared" si="255"/>
        <v>90</v>
      </c>
      <c r="AF236" s="251"/>
      <c r="AG236" s="251">
        <f t="shared" si="256"/>
        <v>90</v>
      </c>
      <c r="AH236" s="251"/>
      <c r="AI236" s="251">
        <f t="shared" si="257"/>
        <v>90</v>
      </c>
      <c r="AJ236" s="251"/>
      <c r="AK236" s="251">
        <f t="shared" si="258"/>
        <v>90</v>
      </c>
      <c r="AL236" s="253"/>
      <c r="AM236" s="257"/>
    </row>
    <row r="237" spans="1:39" ht="13.5" customHeight="1" x14ac:dyDescent="0.3">
      <c r="B237" s="253"/>
      <c r="C237" s="256"/>
      <c r="D237" s="253"/>
      <c r="E237" s="256"/>
      <c r="F237" s="253"/>
      <c r="G237" s="256"/>
      <c r="H237" s="253"/>
      <c r="I237" s="256"/>
      <c r="J237" s="253"/>
      <c r="K237" s="256"/>
      <c r="L237" s="253"/>
      <c r="M237" s="256"/>
      <c r="N237" s="253"/>
      <c r="O237" s="253"/>
      <c r="P237" s="253"/>
      <c r="Q237" s="253"/>
      <c r="R237" s="253"/>
      <c r="S237" s="253"/>
      <c r="T237" s="253"/>
      <c r="U237" s="253"/>
      <c r="V237" s="253"/>
      <c r="W237" s="253"/>
      <c r="X237" s="253"/>
      <c r="Y237" s="253"/>
    </row>
    <row r="238" spans="1:39" ht="13.5" customHeight="1" x14ac:dyDescent="0.3">
      <c r="A238" s="247" t="s">
        <v>69</v>
      </c>
      <c r="B238" s="252" t="s">
        <v>12</v>
      </c>
      <c r="C238" s="249">
        <v>554</v>
      </c>
      <c r="D238" s="252" t="s">
        <v>13</v>
      </c>
      <c r="E238" s="249">
        <v>512</v>
      </c>
      <c r="F238" s="252" t="s">
        <v>14</v>
      </c>
      <c r="G238" s="249">
        <v>582</v>
      </c>
      <c r="H238" s="252" t="s">
        <v>15</v>
      </c>
      <c r="I238" s="249">
        <v>235</v>
      </c>
      <c r="J238" s="252" t="s">
        <v>16</v>
      </c>
      <c r="K238" s="249">
        <v>582</v>
      </c>
      <c r="L238" s="252" t="s">
        <v>17</v>
      </c>
      <c r="M238" s="249">
        <v>498</v>
      </c>
      <c r="N238" s="253"/>
      <c r="O238" s="246" t="s">
        <v>12</v>
      </c>
      <c r="P238" s="246"/>
      <c r="Q238" s="246" t="s">
        <v>13</v>
      </c>
      <c r="R238" s="246"/>
      <c r="S238" s="246" t="s">
        <v>14</v>
      </c>
      <c r="T238" s="246"/>
      <c r="U238" s="246" t="s">
        <v>15</v>
      </c>
      <c r="V238" s="246"/>
      <c r="W238" s="246" t="s">
        <v>16</v>
      </c>
      <c r="X238" s="246"/>
      <c r="Y238" s="246" t="s">
        <v>17</v>
      </c>
      <c r="Z238" s="253"/>
      <c r="AA238" s="251" t="s">
        <v>12</v>
      </c>
      <c r="AB238" s="251"/>
      <c r="AC238" s="251" t="s">
        <v>13</v>
      </c>
      <c r="AD238" s="251"/>
      <c r="AE238" s="251" t="s">
        <v>14</v>
      </c>
      <c r="AF238" s="251"/>
      <c r="AG238" s="251" t="s">
        <v>15</v>
      </c>
      <c r="AH238" s="251"/>
      <c r="AI238" s="251" t="s">
        <v>16</v>
      </c>
      <c r="AJ238" s="251"/>
      <c r="AK238" s="251" t="s">
        <v>17</v>
      </c>
      <c r="AL238" s="253"/>
      <c r="AM238" s="253">
        <v>1</v>
      </c>
    </row>
    <row r="239" spans="1:39" ht="13.5" customHeight="1" x14ac:dyDescent="0.3">
      <c r="A239" s="238" t="s">
        <v>1</v>
      </c>
      <c r="B239" s="252">
        <v>90</v>
      </c>
      <c r="C239" s="249">
        <v>0.12751677852349</v>
      </c>
      <c r="D239" s="252">
        <v>90</v>
      </c>
      <c r="E239" s="249">
        <v>0.115384615384615</v>
      </c>
      <c r="F239" s="252">
        <v>90</v>
      </c>
      <c r="G239" s="249">
        <v>0.125</v>
      </c>
      <c r="H239" s="252">
        <v>90</v>
      </c>
      <c r="I239" s="249">
        <v>0.15384615384615399</v>
      </c>
      <c r="J239" s="252">
        <v>90</v>
      </c>
      <c r="K239" s="249">
        <v>0.123711340206186</v>
      </c>
      <c r="L239" s="252">
        <v>90</v>
      </c>
      <c r="M239" s="249">
        <v>0.121975806451613</v>
      </c>
      <c r="N239" s="253"/>
      <c r="O239" s="246">
        <f t="shared" ref="O239:O247" si="259">AA239/$AM$238</f>
        <v>90</v>
      </c>
      <c r="P239" s="246"/>
      <c r="Q239" s="246">
        <f t="shared" ref="Q239:Q247" si="260">AC239/$AM$238</f>
        <v>90</v>
      </c>
      <c r="R239" s="246"/>
      <c r="S239" s="246">
        <f t="shared" ref="S239:S247" si="261">AE239/$AM$238</f>
        <v>90</v>
      </c>
      <c r="T239" s="246"/>
      <c r="U239" s="246">
        <f t="shared" ref="U239:U247" si="262">AG239/$AM$238</f>
        <v>90</v>
      </c>
      <c r="V239" s="246"/>
      <c r="W239" s="246">
        <f t="shared" ref="W239:W247" si="263">AI239/$AM$238</f>
        <v>90</v>
      </c>
      <c r="X239" s="246"/>
      <c r="Y239" s="246">
        <f t="shared" ref="Y239:Y247" si="264">AK239/$AM$238</f>
        <v>90</v>
      </c>
      <c r="Z239" s="253"/>
      <c r="AA239" s="251">
        <f t="shared" ref="AA239:AA247" si="265">(B239)</f>
        <v>90</v>
      </c>
      <c r="AB239" s="251"/>
      <c r="AC239" s="251">
        <f t="shared" ref="AC239:AC247" si="266">(D239)</f>
        <v>90</v>
      </c>
      <c r="AD239" s="251"/>
      <c r="AE239" s="251">
        <f t="shared" ref="AE239:AE247" si="267">(F239)</f>
        <v>90</v>
      </c>
      <c r="AF239" s="251"/>
      <c r="AG239" s="251">
        <f t="shared" ref="AG239:AG247" si="268">(H239)</f>
        <v>90</v>
      </c>
      <c r="AH239" s="251"/>
      <c r="AI239" s="251">
        <f t="shared" ref="AI239:AI247" si="269">(J239)</f>
        <v>90</v>
      </c>
      <c r="AJ239" s="251"/>
      <c r="AK239" s="251">
        <f t="shared" ref="AK239:AK247" si="270">(L239)</f>
        <v>90</v>
      </c>
      <c r="AL239" s="253"/>
      <c r="AM239" s="257"/>
    </row>
    <row r="240" spans="1:39" ht="13.5" customHeight="1" x14ac:dyDescent="0.3">
      <c r="A240" s="238" t="s">
        <v>2</v>
      </c>
      <c r="B240" s="252">
        <v>90</v>
      </c>
      <c r="C240" s="249">
        <v>0.12080536912751701</v>
      </c>
      <c r="D240" s="252">
        <v>90</v>
      </c>
      <c r="E240" s="249">
        <v>0.123076923076923</v>
      </c>
      <c r="F240" s="252">
        <v>90</v>
      </c>
      <c r="G240" s="249">
        <v>0.125</v>
      </c>
      <c r="H240" s="252">
        <v>90</v>
      </c>
      <c r="I240" s="249">
        <v>7.69230769230769E-2</v>
      </c>
      <c r="J240" s="252">
        <v>90</v>
      </c>
      <c r="K240" s="249">
        <v>0.123711340206186</v>
      </c>
      <c r="L240" s="252">
        <v>90</v>
      </c>
      <c r="M240" s="249">
        <v>0.13004032258064499</v>
      </c>
      <c r="N240" s="253"/>
      <c r="O240" s="246">
        <f t="shared" si="259"/>
        <v>90</v>
      </c>
      <c r="P240" s="246"/>
      <c r="Q240" s="246">
        <f t="shared" si="260"/>
        <v>90</v>
      </c>
      <c r="R240" s="246"/>
      <c r="S240" s="246">
        <f t="shared" si="261"/>
        <v>90</v>
      </c>
      <c r="T240" s="246"/>
      <c r="U240" s="246">
        <f t="shared" si="262"/>
        <v>90</v>
      </c>
      <c r="V240" s="246"/>
      <c r="W240" s="246">
        <f t="shared" si="263"/>
        <v>90</v>
      </c>
      <c r="X240" s="246"/>
      <c r="Y240" s="246">
        <f t="shared" si="264"/>
        <v>90</v>
      </c>
      <c r="Z240" s="253"/>
      <c r="AA240" s="251">
        <f t="shared" si="265"/>
        <v>90</v>
      </c>
      <c r="AB240" s="251"/>
      <c r="AC240" s="251">
        <f t="shared" si="266"/>
        <v>90</v>
      </c>
      <c r="AD240" s="251"/>
      <c r="AE240" s="251">
        <f t="shared" si="267"/>
        <v>90</v>
      </c>
      <c r="AF240" s="251"/>
      <c r="AG240" s="251">
        <f t="shared" si="268"/>
        <v>90</v>
      </c>
      <c r="AH240" s="251"/>
      <c r="AI240" s="251">
        <f t="shared" si="269"/>
        <v>90</v>
      </c>
      <c r="AJ240" s="251"/>
      <c r="AK240" s="251">
        <f t="shared" si="270"/>
        <v>90</v>
      </c>
      <c r="AL240" s="253"/>
      <c r="AM240" s="257"/>
    </row>
    <row r="241" spans="1:39" ht="13.5" customHeight="1" x14ac:dyDescent="0.3">
      <c r="A241" s="238" t="s">
        <v>3</v>
      </c>
      <c r="B241" s="252">
        <v>90</v>
      </c>
      <c r="C241" s="249">
        <v>0.12080536912751701</v>
      </c>
      <c r="D241" s="252">
        <v>90</v>
      </c>
      <c r="E241" s="249">
        <v>0.123076923076923</v>
      </c>
      <c r="F241" s="252">
        <v>90</v>
      </c>
      <c r="G241" s="249">
        <v>0.125</v>
      </c>
      <c r="H241" s="252">
        <v>90</v>
      </c>
      <c r="I241" s="249">
        <v>0.128205128205128</v>
      </c>
      <c r="J241" s="252">
        <v>90</v>
      </c>
      <c r="K241" s="249">
        <v>0.123711340206186</v>
      </c>
      <c r="L241" s="252">
        <v>90</v>
      </c>
      <c r="M241" s="249">
        <v>0.121975806451613</v>
      </c>
      <c r="N241" s="253"/>
      <c r="O241" s="246">
        <f t="shared" si="259"/>
        <v>90</v>
      </c>
      <c r="P241" s="246"/>
      <c r="Q241" s="246">
        <f t="shared" si="260"/>
        <v>90</v>
      </c>
      <c r="R241" s="246"/>
      <c r="S241" s="246">
        <f t="shared" si="261"/>
        <v>90</v>
      </c>
      <c r="T241" s="246"/>
      <c r="U241" s="246">
        <f t="shared" si="262"/>
        <v>90</v>
      </c>
      <c r="V241" s="246"/>
      <c r="W241" s="246">
        <f t="shared" si="263"/>
        <v>90</v>
      </c>
      <c r="X241" s="246"/>
      <c r="Y241" s="246">
        <f t="shared" si="264"/>
        <v>90</v>
      </c>
      <c r="Z241" s="253"/>
      <c r="AA241" s="251">
        <f t="shared" si="265"/>
        <v>90</v>
      </c>
      <c r="AB241" s="251"/>
      <c r="AC241" s="251">
        <f t="shared" si="266"/>
        <v>90</v>
      </c>
      <c r="AD241" s="251"/>
      <c r="AE241" s="251">
        <f t="shared" si="267"/>
        <v>90</v>
      </c>
      <c r="AF241" s="251"/>
      <c r="AG241" s="251">
        <f t="shared" si="268"/>
        <v>90</v>
      </c>
      <c r="AH241" s="251"/>
      <c r="AI241" s="251">
        <f t="shared" si="269"/>
        <v>90</v>
      </c>
      <c r="AJ241" s="251"/>
      <c r="AK241" s="251">
        <f t="shared" si="270"/>
        <v>90</v>
      </c>
      <c r="AL241" s="253"/>
      <c r="AM241" s="257"/>
    </row>
    <row r="242" spans="1:39" ht="13.5" customHeight="1" x14ac:dyDescent="0.3">
      <c r="A242" s="238" t="s">
        <v>4</v>
      </c>
      <c r="B242" s="252">
        <v>90</v>
      </c>
      <c r="C242" s="249">
        <v>0.12080536912751701</v>
      </c>
      <c r="D242" s="252">
        <v>90</v>
      </c>
      <c r="E242" s="249">
        <v>0.123076923076923</v>
      </c>
      <c r="F242" s="252">
        <v>90</v>
      </c>
      <c r="G242" s="249">
        <v>0.125</v>
      </c>
      <c r="H242" s="252">
        <v>90</v>
      </c>
      <c r="I242" s="249">
        <v>0.128205128205128</v>
      </c>
      <c r="J242" s="252">
        <v>90</v>
      </c>
      <c r="K242" s="249">
        <v>0.123711340206186</v>
      </c>
      <c r="L242" s="252">
        <v>90</v>
      </c>
      <c r="M242" s="249">
        <v>0.125</v>
      </c>
      <c r="N242" s="253"/>
      <c r="O242" s="246">
        <f t="shared" si="259"/>
        <v>90</v>
      </c>
      <c r="P242" s="246"/>
      <c r="Q242" s="246">
        <f t="shared" si="260"/>
        <v>90</v>
      </c>
      <c r="R242" s="246"/>
      <c r="S242" s="246">
        <f t="shared" si="261"/>
        <v>90</v>
      </c>
      <c r="T242" s="246"/>
      <c r="U242" s="246">
        <f t="shared" si="262"/>
        <v>90</v>
      </c>
      <c r="V242" s="246"/>
      <c r="W242" s="246">
        <f t="shared" si="263"/>
        <v>90</v>
      </c>
      <c r="X242" s="246"/>
      <c r="Y242" s="246">
        <f t="shared" si="264"/>
        <v>90</v>
      </c>
      <c r="Z242" s="253"/>
      <c r="AA242" s="251">
        <f t="shared" si="265"/>
        <v>90</v>
      </c>
      <c r="AB242" s="251"/>
      <c r="AC242" s="251">
        <f t="shared" si="266"/>
        <v>90</v>
      </c>
      <c r="AD242" s="251"/>
      <c r="AE242" s="251">
        <f t="shared" si="267"/>
        <v>90</v>
      </c>
      <c r="AF242" s="251"/>
      <c r="AG242" s="251">
        <f t="shared" si="268"/>
        <v>90</v>
      </c>
      <c r="AH242" s="251"/>
      <c r="AI242" s="251">
        <f t="shared" si="269"/>
        <v>90</v>
      </c>
      <c r="AJ242" s="251"/>
      <c r="AK242" s="251">
        <f t="shared" si="270"/>
        <v>90</v>
      </c>
      <c r="AL242" s="253"/>
      <c r="AM242" s="257"/>
    </row>
    <row r="243" spans="1:39" ht="13.5" customHeight="1" x14ac:dyDescent="0.3">
      <c r="A243" s="238" t="s">
        <v>5</v>
      </c>
      <c r="B243" s="252">
        <v>90</v>
      </c>
      <c r="C243" s="249">
        <v>0.12751677852349</v>
      </c>
      <c r="D243" s="252">
        <v>90</v>
      </c>
      <c r="E243" s="249">
        <v>0.115384615384615</v>
      </c>
      <c r="F243" s="252">
        <v>90</v>
      </c>
      <c r="G243" s="249">
        <v>0.125</v>
      </c>
      <c r="H243" s="252">
        <v>90</v>
      </c>
      <c r="I243" s="249">
        <v>7.69230769230769E-2</v>
      </c>
      <c r="J243" s="252">
        <v>90</v>
      </c>
      <c r="K243" s="249">
        <v>0.123711340206186</v>
      </c>
      <c r="L243" s="252">
        <v>90</v>
      </c>
      <c r="M243" s="249">
        <v>0.119959677419355</v>
      </c>
      <c r="N243" s="253"/>
      <c r="O243" s="246">
        <f t="shared" si="259"/>
        <v>90</v>
      </c>
      <c r="P243" s="246"/>
      <c r="Q243" s="246">
        <f t="shared" si="260"/>
        <v>90</v>
      </c>
      <c r="R243" s="246"/>
      <c r="S243" s="246">
        <f t="shared" si="261"/>
        <v>90</v>
      </c>
      <c r="T243" s="246"/>
      <c r="U243" s="246">
        <f t="shared" si="262"/>
        <v>90</v>
      </c>
      <c r="V243" s="246"/>
      <c r="W243" s="246">
        <f t="shared" si="263"/>
        <v>90</v>
      </c>
      <c r="X243" s="246"/>
      <c r="Y243" s="246">
        <f t="shared" si="264"/>
        <v>90</v>
      </c>
      <c r="Z243" s="253"/>
      <c r="AA243" s="251">
        <f t="shared" si="265"/>
        <v>90</v>
      </c>
      <c r="AB243" s="251"/>
      <c r="AC243" s="251">
        <f t="shared" si="266"/>
        <v>90</v>
      </c>
      <c r="AD243" s="251"/>
      <c r="AE243" s="251">
        <f t="shared" si="267"/>
        <v>90</v>
      </c>
      <c r="AF243" s="251"/>
      <c r="AG243" s="251">
        <f t="shared" si="268"/>
        <v>90</v>
      </c>
      <c r="AH243" s="251"/>
      <c r="AI243" s="251">
        <f t="shared" si="269"/>
        <v>90</v>
      </c>
      <c r="AJ243" s="251"/>
      <c r="AK243" s="251">
        <f t="shared" si="270"/>
        <v>90</v>
      </c>
      <c r="AL243" s="253"/>
      <c r="AM243" s="257"/>
    </row>
    <row r="244" spans="1:39" ht="13.5" customHeight="1" x14ac:dyDescent="0.3">
      <c r="A244" s="238" t="s">
        <v>6</v>
      </c>
      <c r="B244" s="252">
        <v>0</v>
      </c>
      <c r="C244" s="249">
        <v>0.12751677852349</v>
      </c>
      <c r="D244" s="252">
        <v>90</v>
      </c>
      <c r="E244" s="249">
        <v>0.138461538461538</v>
      </c>
      <c r="F244" s="252">
        <v>90</v>
      </c>
      <c r="G244" s="249">
        <v>0.125</v>
      </c>
      <c r="H244" s="252">
        <v>90</v>
      </c>
      <c r="I244" s="249">
        <v>7.69230769230769E-2</v>
      </c>
      <c r="J244" s="252">
        <v>90</v>
      </c>
      <c r="K244" s="249">
        <v>0.123711340206186</v>
      </c>
      <c r="L244" s="252">
        <v>90</v>
      </c>
      <c r="M244" s="249">
        <v>0.13004032258064499</v>
      </c>
      <c r="N244" s="253"/>
      <c r="O244" s="246">
        <f t="shared" si="259"/>
        <v>0</v>
      </c>
      <c r="P244" s="246"/>
      <c r="Q244" s="246">
        <f t="shared" si="260"/>
        <v>90</v>
      </c>
      <c r="R244" s="246"/>
      <c r="S244" s="246">
        <f t="shared" si="261"/>
        <v>90</v>
      </c>
      <c r="T244" s="246"/>
      <c r="U244" s="246">
        <f t="shared" si="262"/>
        <v>90</v>
      </c>
      <c r="V244" s="246"/>
      <c r="W244" s="246">
        <f t="shared" si="263"/>
        <v>90</v>
      </c>
      <c r="X244" s="246"/>
      <c r="Y244" s="246">
        <f t="shared" si="264"/>
        <v>90</v>
      </c>
      <c r="Z244" s="253"/>
      <c r="AA244" s="251">
        <f t="shared" si="265"/>
        <v>0</v>
      </c>
      <c r="AB244" s="251"/>
      <c r="AC244" s="251">
        <f t="shared" si="266"/>
        <v>90</v>
      </c>
      <c r="AD244" s="251"/>
      <c r="AE244" s="251">
        <f t="shared" si="267"/>
        <v>90</v>
      </c>
      <c r="AF244" s="251"/>
      <c r="AG244" s="251">
        <f t="shared" si="268"/>
        <v>90</v>
      </c>
      <c r="AH244" s="251"/>
      <c r="AI244" s="251">
        <f t="shared" si="269"/>
        <v>90</v>
      </c>
      <c r="AJ244" s="251"/>
      <c r="AK244" s="251">
        <f t="shared" si="270"/>
        <v>90</v>
      </c>
      <c r="AL244" s="253"/>
      <c r="AM244" s="257"/>
    </row>
    <row r="245" spans="1:39" ht="13.5" customHeight="1" x14ac:dyDescent="0.3">
      <c r="A245" s="238" t="s">
        <v>7</v>
      </c>
      <c r="B245" s="252">
        <v>90</v>
      </c>
      <c r="C245" s="249">
        <v>0.12751677852349</v>
      </c>
      <c r="D245" s="252">
        <v>90</v>
      </c>
      <c r="E245" s="249">
        <v>0.123076923076923</v>
      </c>
      <c r="F245" s="252">
        <v>90</v>
      </c>
      <c r="G245" s="249">
        <v>0.125</v>
      </c>
      <c r="H245" s="252">
        <v>90</v>
      </c>
      <c r="I245" s="249">
        <v>0.16666666666666699</v>
      </c>
      <c r="J245" s="252">
        <v>90</v>
      </c>
      <c r="K245" s="249">
        <v>0.123711340206186</v>
      </c>
      <c r="L245" s="252">
        <v>90</v>
      </c>
      <c r="M245" s="249">
        <v>0.13004032258064499</v>
      </c>
      <c r="N245" s="253"/>
      <c r="O245" s="246">
        <f t="shared" si="259"/>
        <v>90</v>
      </c>
      <c r="P245" s="246"/>
      <c r="Q245" s="246">
        <f t="shared" si="260"/>
        <v>90</v>
      </c>
      <c r="R245" s="246"/>
      <c r="S245" s="246">
        <f t="shared" si="261"/>
        <v>90</v>
      </c>
      <c r="T245" s="246"/>
      <c r="U245" s="246">
        <f t="shared" si="262"/>
        <v>90</v>
      </c>
      <c r="V245" s="246"/>
      <c r="W245" s="246">
        <f t="shared" si="263"/>
        <v>90</v>
      </c>
      <c r="X245" s="246"/>
      <c r="Y245" s="246">
        <f t="shared" si="264"/>
        <v>90</v>
      </c>
      <c r="Z245" s="253"/>
      <c r="AA245" s="251">
        <f t="shared" si="265"/>
        <v>90</v>
      </c>
      <c r="AB245" s="251"/>
      <c r="AC245" s="251">
        <f t="shared" si="266"/>
        <v>90</v>
      </c>
      <c r="AD245" s="251"/>
      <c r="AE245" s="251">
        <f t="shared" si="267"/>
        <v>90</v>
      </c>
      <c r="AF245" s="251"/>
      <c r="AG245" s="251">
        <f t="shared" si="268"/>
        <v>90</v>
      </c>
      <c r="AH245" s="251"/>
      <c r="AI245" s="251">
        <f t="shared" si="269"/>
        <v>90</v>
      </c>
      <c r="AJ245" s="251"/>
      <c r="AK245" s="251">
        <f t="shared" si="270"/>
        <v>90</v>
      </c>
      <c r="AL245" s="253"/>
      <c r="AM245" s="257"/>
    </row>
    <row r="246" spans="1:39" ht="13.5" customHeight="1" x14ac:dyDescent="0.3">
      <c r="A246" s="238" t="s">
        <v>8</v>
      </c>
      <c r="B246" s="252">
        <v>90</v>
      </c>
      <c r="C246" s="249">
        <v>0.12751677852349</v>
      </c>
      <c r="D246" s="252">
        <v>90</v>
      </c>
      <c r="E246" s="249">
        <v>0.138461538461538</v>
      </c>
      <c r="F246" s="252">
        <v>90</v>
      </c>
      <c r="G246" s="249">
        <v>0.125</v>
      </c>
      <c r="H246" s="252">
        <v>90</v>
      </c>
      <c r="I246" s="249">
        <v>0.19230769230769201</v>
      </c>
      <c r="J246" s="252">
        <v>90</v>
      </c>
      <c r="K246" s="249">
        <v>0.134020618556701</v>
      </c>
      <c r="L246" s="252">
        <v>90</v>
      </c>
      <c r="M246" s="249">
        <v>0.120967741935484</v>
      </c>
      <c r="N246" s="253"/>
      <c r="O246" s="246">
        <f t="shared" si="259"/>
        <v>90</v>
      </c>
      <c r="P246" s="246"/>
      <c r="Q246" s="246">
        <f t="shared" si="260"/>
        <v>90</v>
      </c>
      <c r="R246" s="246"/>
      <c r="S246" s="246">
        <f t="shared" si="261"/>
        <v>90</v>
      </c>
      <c r="T246" s="246"/>
      <c r="U246" s="246">
        <f t="shared" si="262"/>
        <v>90</v>
      </c>
      <c r="V246" s="246"/>
      <c r="W246" s="246">
        <f t="shared" si="263"/>
        <v>90</v>
      </c>
      <c r="X246" s="246"/>
      <c r="Y246" s="246">
        <f t="shared" si="264"/>
        <v>90</v>
      </c>
      <c r="Z246" s="253"/>
      <c r="AA246" s="251">
        <f t="shared" si="265"/>
        <v>90</v>
      </c>
      <c r="AB246" s="251"/>
      <c r="AC246" s="251">
        <f t="shared" si="266"/>
        <v>90</v>
      </c>
      <c r="AD246" s="251"/>
      <c r="AE246" s="251">
        <f t="shared" si="267"/>
        <v>90</v>
      </c>
      <c r="AF246" s="251"/>
      <c r="AG246" s="251">
        <f t="shared" si="268"/>
        <v>90</v>
      </c>
      <c r="AH246" s="251"/>
      <c r="AI246" s="251">
        <f t="shared" si="269"/>
        <v>90</v>
      </c>
      <c r="AJ246" s="251"/>
      <c r="AK246" s="251">
        <f t="shared" si="270"/>
        <v>90</v>
      </c>
      <c r="AL246" s="253"/>
      <c r="AM246" s="257"/>
    </row>
    <row r="247" spans="1:39" ht="13.5" customHeight="1" x14ac:dyDescent="0.3">
      <c r="A247" s="238" t="s">
        <v>9</v>
      </c>
      <c r="B247" s="252">
        <v>90</v>
      </c>
      <c r="C247" s="249">
        <v>0.12751677852349</v>
      </c>
      <c r="D247" s="252">
        <v>90</v>
      </c>
      <c r="E247" s="249">
        <v>0.138461538461538</v>
      </c>
      <c r="F247" s="252">
        <v>90</v>
      </c>
      <c r="G247" s="249">
        <v>0.125</v>
      </c>
      <c r="H247" s="252">
        <v>90</v>
      </c>
      <c r="I247" s="249">
        <v>0.19230769230769201</v>
      </c>
      <c r="J247" s="252">
        <v>90</v>
      </c>
      <c r="K247" s="249">
        <v>0.134020618556701</v>
      </c>
      <c r="L247" s="252">
        <v>90</v>
      </c>
      <c r="M247" s="249">
        <v>0.120967741935484</v>
      </c>
      <c r="O247" s="246">
        <f t="shared" si="259"/>
        <v>90</v>
      </c>
      <c r="P247" s="246"/>
      <c r="Q247" s="246">
        <f t="shared" si="260"/>
        <v>90</v>
      </c>
      <c r="R247" s="246"/>
      <c r="S247" s="246">
        <f t="shared" si="261"/>
        <v>90</v>
      </c>
      <c r="T247" s="246"/>
      <c r="U247" s="246">
        <f t="shared" si="262"/>
        <v>90</v>
      </c>
      <c r="V247" s="246"/>
      <c r="W247" s="246">
        <f t="shared" si="263"/>
        <v>90</v>
      </c>
      <c r="X247" s="246"/>
      <c r="Y247" s="246">
        <f t="shared" si="264"/>
        <v>90</v>
      </c>
      <c r="AA247" s="251">
        <f t="shared" si="265"/>
        <v>90</v>
      </c>
      <c r="AB247" s="251"/>
      <c r="AC247" s="251">
        <f t="shared" si="266"/>
        <v>90</v>
      </c>
      <c r="AD247" s="251"/>
      <c r="AE247" s="251">
        <f t="shared" si="267"/>
        <v>90</v>
      </c>
      <c r="AF247" s="251"/>
      <c r="AG247" s="251">
        <f t="shared" si="268"/>
        <v>90</v>
      </c>
      <c r="AH247" s="251"/>
      <c r="AI247" s="251">
        <f t="shared" si="269"/>
        <v>90</v>
      </c>
      <c r="AJ247" s="251"/>
      <c r="AK247" s="251">
        <f t="shared" si="270"/>
        <v>90</v>
      </c>
    </row>
  </sheetData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Y46"/>
  <sheetViews>
    <sheetView zoomScale="120" zoomScaleNormal="120" workbookViewId="0">
      <selection activeCell="L5" sqref="L5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70</v>
      </c>
      <c r="O1" s="13" t="s">
        <v>11</v>
      </c>
      <c r="P1" s="14" t="s">
        <v>12</v>
      </c>
      <c r="Q1" s="15">
        <f>SUM(P2:P10)</f>
        <v>693.46222766217863</v>
      </c>
      <c r="R1" s="16" t="s">
        <v>13</v>
      </c>
      <c r="S1" s="17">
        <f>SUM(R2:R10)</f>
        <v>798.48749714615155</v>
      </c>
      <c r="T1" s="18" t="s">
        <v>14</v>
      </c>
      <c r="U1" s="17">
        <f>SUM(T2:T10)</f>
        <v>791.13145659901124</v>
      </c>
      <c r="V1" s="18" t="s">
        <v>15</v>
      </c>
      <c r="W1" s="17">
        <f>SUM(V2:V10)</f>
        <v>726.93905185961239</v>
      </c>
      <c r="X1" s="19" t="s">
        <v>16</v>
      </c>
      <c r="Y1" s="20">
        <f>SUM(X2:X10)</f>
        <v>790.33537507596793</v>
      </c>
      <c r="Z1" s="21" t="s">
        <v>17</v>
      </c>
      <c r="AA1" s="22">
        <f>SUM(Z2:Z10)</f>
        <v>787.76865031370482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4.0674999999999999</v>
      </c>
      <c r="C2" s="28">
        <v>4.1177000000000001</v>
      </c>
      <c r="D2" s="28">
        <v>0</v>
      </c>
      <c r="E2" s="28">
        <v>4.0263</v>
      </c>
      <c r="F2" s="28">
        <v>4.0480999999999998</v>
      </c>
      <c r="G2" s="28">
        <v>0</v>
      </c>
      <c r="H2" s="28">
        <v>4.0460000000000003</v>
      </c>
      <c r="I2" s="28">
        <v>4.0461</v>
      </c>
      <c r="J2" s="29">
        <v>4.0416319999999999</v>
      </c>
      <c r="K2" s="30"/>
      <c r="O2" s="31" t="str">
        <f>B1</f>
        <v>PyCaret</v>
      </c>
      <c r="P2" s="32">
        <f>100-ABS((($H10-B2)/($H10)))*100</f>
        <v>99.571603427172576</v>
      </c>
      <c r="Q2" s="33">
        <f t="shared" ref="Q2:Q10" si="0">P2/$Q$1</f>
        <v>0.14358619612614151</v>
      </c>
      <c r="R2" s="34">
        <f>100-ABS((($H11-B3)/($H11)))*100</f>
        <v>99.479344383595929</v>
      </c>
      <c r="S2" s="35">
        <f t="shared" ref="S2:S10" si="1">R2/$S$1</f>
        <v>0.12458472391758399</v>
      </c>
      <c r="T2" s="35">
        <f>100-ABS((($H12-B4)/($H12)))*100</f>
        <v>96.020945014993799</v>
      </c>
      <c r="U2" s="35">
        <f t="shared" ref="U2:U10" si="2">T2/$U$1</f>
        <v>0.12137166865766845</v>
      </c>
      <c r="V2" s="35">
        <f>100-ABS((($H13-B5)/($H13)))*100</f>
        <v>68.504452592980613</v>
      </c>
      <c r="W2" s="35">
        <f t="shared" ref="W2:W10" si="3">V2/$W$1</f>
        <v>9.4236858534063592E-2</v>
      </c>
      <c r="X2" s="36">
        <f>100-ABS((($H14-B6)/($H14)))*100</f>
        <v>98.126443389563249</v>
      </c>
      <c r="Y2" s="37">
        <f t="shared" ref="Y2:Y10" si="4">X2/$Y$1</f>
        <v>0.12415797961736336</v>
      </c>
      <c r="Z2" s="38">
        <f>100-ABS((($H15-B7)/($H15)))*100</f>
        <v>97.300627409479176</v>
      </c>
      <c r="AA2" s="39">
        <f t="shared" ref="AA2:AA10" si="5">Z2/$AA$1</f>
        <v>0.12351421622418228</v>
      </c>
      <c r="AB2" s="23"/>
      <c r="AC2" s="40">
        <f t="shared" ref="AC2:AC10" si="6">(R2+T2+V2+X2)/4</f>
        <v>90.532796345283387</v>
      </c>
      <c r="AD2" s="41">
        <f t="shared" ref="AD2:AD10" si="7">(P2+R2+T2+V2+X2+Z2)/6</f>
        <v>93.167236036297552</v>
      </c>
      <c r="AE2" s="42" t="str">
        <f>IF($AC2=MAX(AC2:AC10),"TOP","")</f>
        <v/>
      </c>
    </row>
    <row r="3" spans="1:45" ht="14.4" x14ac:dyDescent="0.3">
      <c r="A3" s="43" t="s">
        <v>13</v>
      </c>
      <c r="B3" s="44">
        <v>49884.350400000003</v>
      </c>
      <c r="C3" s="45">
        <v>49718.107300000003</v>
      </c>
      <c r="D3" s="45">
        <v>0</v>
      </c>
      <c r="E3" s="45">
        <v>49649.940900000001</v>
      </c>
      <c r="F3" s="45">
        <v>49798.621299999999</v>
      </c>
      <c r="G3" s="45">
        <v>49579.972600000001</v>
      </c>
      <c r="H3" s="45">
        <v>49681.4499</v>
      </c>
      <c r="I3" s="45">
        <v>49686.770700000001</v>
      </c>
      <c r="J3" s="46">
        <v>49584.793687500001</v>
      </c>
      <c r="K3" s="30"/>
      <c r="L3" s="47" t="s">
        <v>71</v>
      </c>
      <c r="O3" s="48" t="str">
        <f>C1</f>
        <v>ARIMAX</v>
      </c>
      <c r="P3" s="49">
        <f>100-ABS((($H10-C2)/($H10)))*100</f>
        <v>99.199510403916761</v>
      </c>
      <c r="Q3" s="50">
        <f t="shared" si="0"/>
        <v>0.1430496232481778</v>
      </c>
      <c r="R3" s="51">
        <f>100-ABS((($H11-C3)/($H11)))*100</f>
        <v>99.814336525815008</v>
      </c>
      <c r="S3" s="52">
        <f t="shared" si="1"/>
        <v>0.12500425727711231</v>
      </c>
      <c r="T3" s="52">
        <f>100-ABS((($H12-C4)/($H12)))*100</f>
        <v>99.183378874364635</v>
      </c>
      <c r="U3" s="52">
        <f t="shared" si="2"/>
        <v>0.12536902438533196</v>
      </c>
      <c r="V3" s="52">
        <f>100-ABS((($H13-C5)/($H13)))*100</f>
        <v>93.267679413305402</v>
      </c>
      <c r="W3" s="52">
        <f t="shared" si="3"/>
        <v>0.1283019245901201</v>
      </c>
      <c r="X3" s="53">
        <f>100-ABS((($H14-C6)/($H14)))*100</f>
        <v>98.540743417486567</v>
      </c>
      <c r="Y3" s="54">
        <f t="shared" si="4"/>
        <v>0.12468218749289151</v>
      </c>
      <c r="Z3" s="55">
        <f>100-ABS((($H15-C7)/($H15)))*100</f>
        <v>98.723183914128057</v>
      </c>
      <c r="AA3" s="39">
        <f t="shared" si="5"/>
        <v>0.12532002114429733</v>
      </c>
      <c r="AB3" s="23"/>
      <c r="AC3" s="56">
        <f t="shared" si="6"/>
        <v>97.701534557742903</v>
      </c>
      <c r="AD3" s="57">
        <f t="shared" si="7"/>
        <v>98.121472091502724</v>
      </c>
      <c r="AE3" s="42" t="str">
        <f>IF($AC3=MAX(AC2:AC10),"TOP","")</f>
        <v/>
      </c>
    </row>
    <row r="4" spans="1:45" ht="14.4" x14ac:dyDescent="0.3">
      <c r="A4" s="43" t="s">
        <v>14</v>
      </c>
      <c r="B4" s="58">
        <v>6634.5864000000001</v>
      </c>
      <c r="C4" s="59">
        <v>6853.0954000000002</v>
      </c>
      <c r="D4" s="59">
        <v>0</v>
      </c>
      <c r="E4" s="59">
        <v>6980.9101000000001</v>
      </c>
      <c r="F4" s="59">
        <v>6895.9925999999996</v>
      </c>
      <c r="G4" s="59">
        <v>6855.2932000000001</v>
      </c>
      <c r="H4" s="59">
        <v>6864.7939999999999</v>
      </c>
      <c r="I4" s="59">
        <v>6864.9121999999998</v>
      </c>
      <c r="J4" s="60">
        <v>6856.5825199999999</v>
      </c>
      <c r="K4" s="30"/>
      <c r="O4" s="48" t="str">
        <f>D1</f>
        <v>PCE</v>
      </c>
      <c r="P4" s="49">
        <f>100-ABS((($H10-D2)/($H10)))*100</f>
        <v>0</v>
      </c>
      <c r="Q4" s="50">
        <f t="shared" si="0"/>
        <v>0</v>
      </c>
      <c r="R4" s="51">
        <f>100-ABS((($H11-D3)/($H11)))*100</f>
        <v>0</v>
      </c>
      <c r="S4" s="52">
        <f t="shared" si="1"/>
        <v>0</v>
      </c>
      <c r="T4" s="52">
        <f>100-ABS((($H12-D4)/($H12)))*100</f>
        <v>0</v>
      </c>
      <c r="U4" s="52">
        <f t="shared" si="2"/>
        <v>0</v>
      </c>
      <c r="V4" s="52">
        <f>100-ABS((($H13-D5)/($H13)))*100</f>
        <v>0</v>
      </c>
      <c r="W4" s="52">
        <f t="shared" si="3"/>
        <v>0</v>
      </c>
      <c r="X4" s="53">
        <f>100-ABS((($H14-D6)/($H14)))*100</f>
        <v>0</v>
      </c>
      <c r="Y4" s="54">
        <f t="shared" si="4"/>
        <v>0</v>
      </c>
      <c r="Z4" s="55">
        <f>100-ABS((($H15-D7)/($H15)))*100</f>
        <v>0</v>
      </c>
      <c r="AA4" s="39">
        <f t="shared" si="5"/>
        <v>0</v>
      </c>
      <c r="AB4" s="23"/>
      <c r="AC4" s="56">
        <f t="shared" si="6"/>
        <v>0</v>
      </c>
      <c r="AD4" s="57">
        <f t="shared" si="7"/>
        <v>0</v>
      </c>
      <c r="AE4" s="42" t="str">
        <f>IF($AC4=MAX(AC2:AC10),"TOP","")</f>
        <v/>
      </c>
    </row>
    <row r="5" spans="1:45" ht="14.4" x14ac:dyDescent="0.3">
      <c r="A5" s="43" t="s">
        <v>15</v>
      </c>
      <c r="B5" s="61">
        <v>25.102499999999999</v>
      </c>
      <c r="C5" s="62">
        <v>20.3752</v>
      </c>
      <c r="D5" s="62">
        <v>0</v>
      </c>
      <c r="E5" s="62">
        <v>17.746500000000001</v>
      </c>
      <c r="F5" s="62">
        <v>20.4557</v>
      </c>
      <c r="G5" s="62">
        <v>19.952300000000001</v>
      </c>
      <c r="H5" s="62">
        <v>20.1965</v>
      </c>
      <c r="I5" s="62">
        <v>20.228000000000002</v>
      </c>
      <c r="J5" s="63">
        <v>19.923635000000001</v>
      </c>
      <c r="K5" s="30"/>
      <c r="L5" s="1" t="s">
        <v>21</v>
      </c>
      <c r="O5" s="48" t="str">
        <f>E1</f>
        <v>LSTM</v>
      </c>
      <c r="P5" s="49">
        <f>100-ABS((($H10-E2)/($H10)))*100</f>
        <v>98.563035495716036</v>
      </c>
      <c r="Q5" s="50">
        <f t="shared" si="0"/>
        <v>0.14213180122008201</v>
      </c>
      <c r="R5" s="51">
        <f>100-ABS((($H11-E3)/($H11)))*100</f>
        <v>99.95169686355753</v>
      </c>
      <c r="S5" s="52">
        <f t="shared" si="1"/>
        <v>0.12517628293591529</v>
      </c>
      <c r="T5" s="52">
        <f>100-ABS((($H12-E4)/($H12)))*100</f>
        <v>98.966786404844342</v>
      </c>
      <c r="U5" s="52">
        <f t="shared" si="2"/>
        <v>0.12509524881021908</v>
      </c>
      <c r="V5" s="52">
        <f>100-ABS((($H13-E5)/($H13)))*100</f>
        <v>92.962283918281827</v>
      </c>
      <c r="W5" s="52">
        <f t="shared" si="3"/>
        <v>0.12788181303573007</v>
      </c>
      <c r="X5" s="53">
        <f>100-ABS((($H14-E6)/($H14)))*100</f>
        <v>98.612982703963468</v>
      </c>
      <c r="Y5" s="54">
        <f t="shared" si="4"/>
        <v>0.12477359082463527</v>
      </c>
      <c r="Z5" s="55">
        <f>100-ABS((($H15-E7)/($H15)))*100</f>
        <v>97.048076196235542</v>
      </c>
      <c r="AA5" s="39">
        <f t="shared" si="5"/>
        <v>0.12319362563817322</v>
      </c>
      <c r="AB5" s="23"/>
      <c r="AC5" s="56">
        <f t="shared" si="6"/>
        <v>97.623437472661777</v>
      </c>
      <c r="AD5" s="57">
        <f t="shared" si="7"/>
        <v>97.684143597099805</v>
      </c>
      <c r="AE5" s="42" t="str">
        <f>IF($AC5=MAX(AC2:AC10),"TOP","")</f>
        <v/>
      </c>
    </row>
    <row r="6" spans="1:45" ht="14.4" x14ac:dyDescent="0.3">
      <c r="A6" s="43" t="s">
        <v>16</v>
      </c>
      <c r="B6" s="64">
        <v>597.40359999999998</v>
      </c>
      <c r="C6" s="65">
        <v>599.92589999999996</v>
      </c>
      <c r="D6" s="65">
        <v>0</v>
      </c>
      <c r="E6" s="65">
        <v>617.25429999999994</v>
      </c>
      <c r="F6" s="65">
        <v>606.14970000000005</v>
      </c>
      <c r="G6" s="65">
        <v>604.14739999999995</v>
      </c>
      <c r="H6" s="65">
        <v>603.48820000000001</v>
      </c>
      <c r="I6" s="65">
        <v>601.46590000000003</v>
      </c>
      <c r="J6" s="66">
        <v>598.69439699999998</v>
      </c>
      <c r="K6" s="30"/>
      <c r="O6" s="48" t="str">
        <f>F1</f>
        <v>GARCH</v>
      </c>
      <c r="P6" s="49">
        <f>100-ABS((($H10-F2)/($H10)))*100</f>
        <v>99.096695226438186</v>
      </c>
      <c r="Q6" s="50">
        <f t="shared" si="0"/>
        <v>0.14290135968979312</v>
      </c>
      <c r="R6" s="51">
        <f>100-ABS((($H11-F3)/($H11)))*100</f>
        <v>99.652094860815822</v>
      </c>
      <c r="S6" s="52">
        <f t="shared" si="1"/>
        <v>0.12480107104617062</v>
      </c>
      <c r="T6" s="52">
        <f>100-ABS((($H12-F4)/($H12)))*100</f>
        <v>99.804220843126572</v>
      </c>
      <c r="U6" s="52">
        <f t="shared" si="2"/>
        <v>0.1261537763549109</v>
      </c>
      <c r="V6" s="52">
        <f>100-ABS((($H13-F5)/($H13)))*100</f>
        <v>92.845992666317443</v>
      </c>
      <c r="W6" s="52">
        <f t="shared" si="3"/>
        <v>0.12772183916767757</v>
      </c>
      <c r="X6" s="53">
        <f>100-ABS((($H14-F6)/($H14)))*100</f>
        <v>99.56303280169513</v>
      </c>
      <c r="Y6" s="54">
        <f t="shared" si="4"/>
        <v>0.12597567556953276</v>
      </c>
      <c r="Z6" s="55">
        <f>100-ABS((($H15-F7)/($H15)))*100</f>
        <v>98.625217325572606</v>
      </c>
      <c r="AA6" s="39">
        <f t="shared" si="5"/>
        <v>0.1251956615515204</v>
      </c>
      <c r="AB6" s="23"/>
      <c r="AC6" s="56">
        <f t="shared" si="6"/>
        <v>97.966335292988731</v>
      </c>
      <c r="AD6" s="57">
        <f t="shared" si="7"/>
        <v>98.264542287327629</v>
      </c>
      <c r="AE6" s="42" t="str">
        <f>IF($AC6=MAX(AC2:AC10),"TOP","")</f>
        <v/>
      </c>
    </row>
    <row r="7" spans="1:45" ht="14.4" x14ac:dyDescent="0.3">
      <c r="A7" s="67" t="s">
        <v>17</v>
      </c>
      <c r="B7" s="68">
        <v>257.43799999999999</v>
      </c>
      <c r="C7" s="69">
        <v>267.95819999999998</v>
      </c>
      <c r="D7" s="69">
        <v>0</v>
      </c>
      <c r="E7" s="69">
        <v>272.39019999999999</v>
      </c>
      <c r="F7" s="69">
        <v>268.2174</v>
      </c>
      <c r="G7" s="69">
        <v>269.47129999999999</v>
      </c>
      <c r="H7" s="69">
        <v>264.65260000000001</v>
      </c>
      <c r="I7" s="69">
        <v>264.65260000000001</v>
      </c>
      <c r="J7" s="70">
        <v>259.22259500000001</v>
      </c>
      <c r="K7" s="30"/>
      <c r="O7" s="48" t="str">
        <f>G1</f>
        <v>VAR</v>
      </c>
      <c r="P7" s="49">
        <f>100-ABS((($H10-G2)/($H10)))*100</f>
        <v>0</v>
      </c>
      <c r="Q7" s="50">
        <f t="shared" si="0"/>
        <v>0</v>
      </c>
      <c r="R7" s="51">
        <f>100-ABS((($H11-G3)/($H11)))*100</f>
        <v>99.90731183692732</v>
      </c>
      <c r="S7" s="52">
        <f t="shared" si="1"/>
        <v>0.12512069655943622</v>
      </c>
      <c r="T7" s="52">
        <f>100-ABS((($H12-G4)/($H12)))*100</f>
        <v>99.21518716206046</v>
      </c>
      <c r="U7" s="52">
        <f t="shared" si="2"/>
        <v>0.12540923045656135</v>
      </c>
      <c r="V7" s="52">
        <f>100-ABS((($H13-G5)/($H13)))*100</f>
        <v>95.482975379779987</v>
      </c>
      <c r="W7" s="52">
        <f t="shared" si="3"/>
        <v>0.13134935471621878</v>
      </c>
      <c r="X7" s="53">
        <f>100-ABS((($H14-G6)/($H14)))*100</f>
        <v>99.234145299847242</v>
      </c>
      <c r="Y7" s="54">
        <f t="shared" si="4"/>
        <v>0.12555953893663022</v>
      </c>
      <c r="Z7" s="55">
        <f>100-ABS((($H15-G7)/($H15)))*100</f>
        <v>98.151296394285282</v>
      </c>
      <c r="AA7" s="39">
        <f t="shared" si="5"/>
        <v>0.12459406242581439</v>
      </c>
      <c r="AB7" s="23"/>
      <c r="AC7" s="56">
        <f t="shared" si="6"/>
        <v>98.459904919653752</v>
      </c>
      <c r="AD7" s="57">
        <f t="shared" si="7"/>
        <v>81.998486012150053</v>
      </c>
      <c r="AE7" s="42" t="str">
        <f>IF($AC7=MAX(AC2:AC10),"TOP","")</f>
        <v>TOP</v>
      </c>
    </row>
    <row r="8" spans="1:45" ht="14.4" x14ac:dyDescent="0.3">
      <c r="O8" s="48" t="str">
        <f>H1</f>
        <v>RW</v>
      </c>
      <c r="P8" s="49">
        <f>100-ABS((($H10-H2)/($H10)))*100</f>
        <v>99.045287637698905</v>
      </c>
      <c r="Q8" s="50">
        <f t="shared" si="0"/>
        <v>0.14282722791060076</v>
      </c>
      <c r="R8" s="51">
        <f>100-ABS((($H11-H3)/($H11)))*100</f>
        <v>99.888203898079979</v>
      </c>
      <c r="S8" s="52">
        <f t="shared" si="1"/>
        <v>0.12509676639282041</v>
      </c>
      <c r="T8" s="52">
        <f>100-ABS((($H12-H4)/($H12)))*100</f>
        <v>99.352690201345382</v>
      </c>
      <c r="U8" s="52">
        <f t="shared" si="2"/>
        <v>0.12558303600826579</v>
      </c>
      <c r="V8" s="52">
        <f>100-ABS((($H13-H5)/($H13)))*100</f>
        <v>94.20377160817182</v>
      </c>
      <c r="W8" s="52">
        <f t="shared" si="3"/>
        <v>0.1295896421676416</v>
      </c>
      <c r="X8" s="53">
        <f>100-ABS((($H14-H6)/($H14)))*100</f>
        <v>99.12586849756083</v>
      </c>
      <c r="Y8" s="54">
        <f t="shared" si="4"/>
        <v>0.12542253785367097</v>
      </c>
      <c r="Z8" s="55">
        <f>100-ABS((($H15-H7)/($H15)))*100</f>
        <v>99.972560284224045</v>
      </c>
      <c r="AA8" s="39">
        <f t="shared" si="5"/>
        <v>0.12690598977810683</v>
      </c>
      <c r="AB8" s="23"/>
      <c r="AC8" s="56">
        <f t="shared" si="6"/>
        <v>98.142633551289506</v>
      </c>
      <c r="AD8" s="57">
        <f t="shared" si="7"/>
        <v>98.598063687846818</v>
      </c>
      <c r="AE8" s="42" t="str">
        <f>IF($AC8=MAX(AC2:AC10),"TOP","")</f>
        <v/>
      </c>
    </row>
    <row r="9" spans="1:45" ht="15" x14ac:dyDescent="0.3">
      <c r="B9" s="258" t="s">
        <v>22</v>
      </c>
      <c r="C9" s="259" t="s">
        <v>23</v>
      </c>
      <c r="D9" s="1384" t="s">
        <v>21</v>
      </c>
      <c r="E9" s="1384"/>
      <c r="F9" s="1384" t="s">
        <v>24</v>
      </c>
      <c r="G9" s="1384"/>
      <c r="H9" s="73" t="s">
        <v>25</v>
      </c>
      <c r="L9" s="74" t="str">
        <f>IF(L10&lt;25,C30,IF(L10&lt;45,C31,IF(L10&lt;55,C32,IF(L10&lt;75,C33,C34))))</f>
        <v>Fear</v>
      </c>
      <c r="O9" s="48" t="str">
        <f>I1</f>
        <v>ETS</v>
      </c>
      <c r="P9" s="49">
        <f>100-ABS((($H10-I2)/($H10)))*100</f>
        <v>99.047735618115055</v>
      </c>
      <c r="Q9" s="50">
        <f t="shared" si="0"/>
        <v>0.14283075799532421</v>
      </c>
      <c r="R9" s="51">
        <f>100-ABS((($H11-I3)/($H11)))*100</f>
        <v>99.87748209254147</v>
      </c>
      <c r="S9" s="52">
        <f t="shared" si="1"/>
        <v>0.12508333874921068</v>
      </c>
      <c r="T9" s="52">
        <f>100-ABS((($H12-I4)/($H12)))*100</f>
        <v>99.354400884576634</v>
      </c>
      <c r="U9" s="52">
        <f t="shared" si="2"/>
        <v>0.12558519833314488</v>
      </c>
      <c r="V9" s="52">
        <f>100-ABS((($H13-I5)/($H13)))*100</f>
        <v>94.03876375065478</v>
      </c>
      <c r="W9" s="52">
        <f t="shared" si="3"/>
        <v>0.12936265221972928</v>
      </c>
      <c r="X9" s="53">
        <f>100-ABS((($H14-I6)/($H14)))*100</f>
        <v>98.793695898556209</v>
      </c>
      <c r="Y9" s="54">
        <f t="shared" si="4"/>
        <v>0.12500224463451359</v>
      </c>
      <c r="Z9" s="75">
        <f>100-ABS((($H15-I7)/($H15)))*100</f>
        <v>99.972560284224045</v>
      </c>
      <c r="AA9" s="39">
        <f t="shared" si="5"/>
        <v>0.12690598977810683</v>
      </c>
      <c r="AB9" s="23"/>
      <c r="AC9" s="56">
        <f t="shared" si="6"/>
        <v>98.016085656582277</v>
      </c>
      <c r="AD9" s="57">
        <f t="shared" si="7"/>
        <v>98.514106421444694</v>
      </c>
      <c r="AE9" s="42" t="str">
        <f>IF($AC9=MAX(AC2:AC10),"TOP","")</f>
        <v/>
      </c>
    </row>
    <row r="10" spans="1:45" ht="14.4" x14ac:dyDescent="0.3">
      <c r="A10" s="76" t="s">
        <v>12</v>
      </c>
      <c r="B10" s="260">
        <v>4.0519999999999996</v>
      </c>
      <c r="C10" s="260">
        <v>4.0220000000000002</v>
      </c>
      <c r="D10" s="79">
        <f>(B2*Q26)+(C2*Q27)+(D2*Q28)+(E2*Q29)+(F2*Q30)+(G2*Q31)+(H2*Q32)+(I2*Q33)+(J2*Q34)</f>
        <v>4.0562700606060602</v>
      </c>
      <c r="E10" s="80">
        <f>D10/$H$10</f>
        <v>0.99296696710062671</v>
      </c>
      <c r="F10" s="81">
        <v>4.0651808278867101</v>
      </c>
      <c r="G10" s="80">
        <f>F10/$H$10</f>
        <v>0.99514830548022282</v>
      </c>
      <c r="H10" s="82">
        <v>4.085</v>
      </c>
      <c r="L10" s="83">
        <v>37</v>
      </c>
      <c r="O10" s="84" t="str">
        <f>J1</f>
        <v>DynaMix</v>
      </c>
      <c r="P10" s="85">
        <f>100-ABS((($H10-J2)/($H10)))*100</f>
        <v>98.93835985312117</v>
      </c>
      <c r="Q10" s="86">
        <f t="shared" si="0"/>
        <v>0.14267303380988067</v>
      </c>
      <c r="R10" s="87">
        <f>100-ABS((($H11-J3)/($H11)))*100</f>
        <v>99.917026684818453</v>
      </c>
      <c r="S10" s="88">
        <f t="shared" si="1"/>
        <v>0.1251328631217504</v>
      </c>
      <c r="T10" s="88">
        <f>100-ABS((($H12-J4)/($H12)))*100</f>
        <v>99.233847213699349</v>
      </c>
      <c r="U10" s="88">
        <f t="shared" si="2"/>
        <v>0.12543281699389752</v>
      </c>
      <c r="V10" s="88">
        <f>100-ABS((($H13-J5)/($H13)))*100</f>
        <v>95.633132530120477</v>
      </c>
      <c r="W10" s="88">
        <f t="shared" si="3"/>
        <v>0.13155591556881896</v>
      </c>
      <c r="X10" s="89">
        <f>100-ABS((($H14-J6)/($H14)))*100</f>
        <v>98.338463067295223</v>
      </c>
      <c r="Y10" s="90">
        <f t="shared" si="4"/>
        <v>0.12442624507076229</v>
      </c>
      <c r="Z10" s="91">
        <f>100-ABS((($H15-J7)/($H15)))*100</f>
        <v>97.975128505555986</v>
      </c>
      <c r="AA10" s="92">
        <f t="shared" si="5"/>
        <v>0.1243704334597986</v>
      </c>
      <c r="AC10" s="93">
        <f t="shared" si="6"/>
        <v>98.280617373983375</v>
      </c>
      <c r="AD10" s="94">
        <f t="shared" si="7"/>
        <v>98.339326309101764</v>
      </c>
      <c r="AE10" s="42" t="str">
        <f>IF($AC10=MAX(AC2:AC10),"TOP","")</f>
        <v/>
      </c>
    </row>
    <row r="11" spans="1:45" ht="15" customHeight="1" x14ac:dyDescent="0.3">
      <c r="A11" s="95" t="s">
        <v>13</v>
      </c>
      <c r="B11" s="261">
        <v>49533.19</v>
      </c>
      <c r="C11" s="261">
        <v>49499.41</v>
      </c>
      <c r="D11" s="98">
        <f>(B3*S26)+(C3*S27)+(D3*S28)+(E3*S29)+(F3*S30)+(G3*S31)+(H3*S32)+(I3*S33)+(J3*S34)</f>
        <v>49694.250397766824</v>
      </c>
      <c r="E11" s="99">
        <f>D11/$H$11</f>
        <v>1.001375900516742</v>
      </c>
      <c r="F11" s="100">
        <v>49671.392694064001</v>
      </c>
      <c r="G11" s="99">
        <f>F11/$H$11</f>
        <v>1.0009153008810507</v>
      </c>
      <c r="H11" s="101">
        <v>49625.97</v>
      </c>
      <c r="O11" s="102" t="s">
        <v>26</v>
      </c>
      <c r="P11" s="85">
        <f>SUM(P2:P10)/8</f>
        <v>86.682778457772329</v>
      </c>
      <c r="Q11" s="86"/>
      <c r="R11" s="87">
        <f>AVERAGE(R2:R10)</f>
        <v>88.720833016239055</v>
      </c>
      <c r="S11" s="88"/>
      <c r="T11" s="88">
        <f>AVERAGE(T2:T10)</f>
        <v>87.903495177667921</v>
      </c>
      <c r="U11" s="88"/>
      <c r="V11" s="88">
        <f>AVERAGE(V2:V10)</f>
        <v>80.771005762179158</v>
      </c>
      <c r="W11" s="88"/>
      <c r="X11" s="89">
        <f>AVERAGE(X2:X10)</f>
        <v>87.815041675107551</v>
      </c>
      <c r="Y11" s="90"/>
      <c r="Z11" s="91">
        <f>AVERAGE(Z2:Z10)</f>
        <v>87.529850034856096</v>
      </c>
      <c r="AQ11" s="103"/>
      <c r="AS11" s="104" t="s">
        <v>27</v>
      </c>
    </row>
    <row r="12" spans="1:45" ht="15" x14ac:dyDescent="0.3">
      <c r="A12" s="105" t="s">
        <v>14</v>
      </c>
      <c r="B12" s="262">
        <v>6843.22</v>
      </c>
      <c r="C12" s="262">
        <v>6836.18</v>
      </c>
      <c r="D12" s="108">
        <f>(B4*U26)+(C4*U27)+(D4*U28)+(E4*U29)+(F4*U30)+(G4*U31)+(H4*U32)+(I4*U33)+(J4*U34)</f>
        <v>6854.7162887682671</v>
      </c>
      <c r="E12" s="109">
        <f>D12/$H$12</f>
        <v>0.99206837649623514</v>
      </c>
      <c r="F12" s="110">
        <v>6854.8961864406901</v>
      </c>
      <c r="G12" s="109">
        <f>F12/$H$12</f>
        <v>0.99209441270025844</v>
      </c>
      <c r="H12" s="111">
        <v>6909.52</v>
      </c>
      <c r="AQ12" s="103"/>
      <c r="AS12" s="103"/>
    </row>
    <row r="13" spans="1:45" ht="15" x14ac:dyDescent="0.3">
      <c r="A13" s="105" t="s">
        <v>15</v>
      </c>
      <c r="B13" s="263">
        <v>20.29</v>
      </c>
      <c r="C13" s="263">
        <v>20.6</v>
      </c>
      <c r="D13" s="108">
        <f>(B5*W26)+(C5*W27)+(D5*W28)+(E5*W29)+(F5*W30)+(G5*W31)+(H5*W32)+(I5*W33)+(J5*W34)</f>
        <v>20.727365790383402</v>
      </c>
      <c r="E13" s="109">
        <f>D13/$H$13</f>
        <v>1.0857708638231223</v>
      </c>
      <c r="F13" s="110">
        <v>20.8459372461413</v>
      </c>
      <c r="G13" s="109">
        <f>F13/$H$13</f>
        <v>1.0919820453714668</v>
      </c>
      <c r="H13" s="111">
        <v>19.09</v>
      </c>
      <c r="O13" s="13" t="s">
        <v>28</v>
      </c>
      <c r="P13" s="113" t="s">
        <v>12</v>
      </c>
      <c r="Q13" s="114">
        <f>SUM(P14:P22)</f>
        <v>530</v>
      </c>
      <c r="R13" s="115" t="s">
        <v>13</v>
      </c>
      <c r="S13" s="116">
        <f>SUM(R14:R22)</f>
        <v>740</v>
      </c>
      <c r="T13" s="117" t="s">
        <v>14</v>
      </c>
      <c r="U13" s="116">
        <f>SUM(T14:T22)</f>
        <v>600</v>
      </c>
      <c r="V13" s="117" t="s">
        <v>15</v>
      </c>
      <c r="W13" s="116">
        <f>SUM(V14:V22)</f>
        <v>230.1</v>
      </c>
      <c r="X13" s="117" t="s">
        <v>16</v>
      </c>
      <c r="Y13" s="20">
        <f>SUM(X14:X22)</f>
        <v>580</v>
      </c>
      <c r="Z13" s="118" t="s">
        <v>17</v>
      </c>
      <c r="AA13" s="22">
        <f>SUM(Z14:Z22)</f>
        <v>575</v>
      </c>
      <c r="AB13" s="23"/>
      <c r="AC13" s="24" t="s">
        <v>29</v>
      </c>
      <c r="AD13" s="119" t="s">
        <v>30</v>
      </c>
      <c r="AQ13" s="103"/>
      <c r="AS13" s="103"/>
    </row>
    <row r="14" spans="1:45" ht="15" x14ac:dyDescent="0.3">
      <c r="A14" s="120" t="s">
        <v>16</v>
      </c>
      <c r="B14" s="264">
        <v>601.29999999999995</v>
      </c>
      <c r="C14" s="265">
        <v>601.21</v>
      </c>
      <c r="D14" s="123">
        <f>(B6*Y26)+(C6*Y27)+(D6*Y28)+(E6*Y29)+(F6*Y30)+(G6*Y31)+(H6*Y32)+(I6*Y33)+(J6*Y34)</f>
        <v>603.70818452859419</v>
      </c>
      <c r="E14" s="124">
        <f>D14/$H$14</f>
        <v>0.99162002025031493</v>
      </c>
      <c r="F14" s="125">
        <v>600.53094562647698</v>
      </c>
      <c r="G14" s="124">
        <f>F14/$H$14</f>
        <v>0.98640125100848708</v>
      </c>
      <c r="H14" s="126">
        <v>608.80999999999995</v>
      </c>
      <c r="O14" s="127" t="str">
        <f t="shared" ref="O14:O22" si="8">O2</f>
        <v>PyCaret</v>
      </c>
      <c r="P14" s="128">
        <f t="shared" ref="P14:P22" si="9">IF(P2=0,0, LOOKUP(P2-0.000000000001,$AC$14:$AC$30,$AD$14:$AD$30))</f>
        <v>90</v>
      </c>
      <c r="Q14" s="129">
        <f t="shared" ref="Q14:Q22" si="10">P14/$Q$13</f>
        <v>0.16981132075471697</v>
      </c>
      <c r="R14" s="130">
        <f t="shared" ref="R14:R22" si="11">IF(R2=0,0, LOOKUP(R2-0.000000000001,$AC$14:$AC$30,$AD$14:$AD$30))</f>
        <v>80</v>
      </c>
      <c r="S14" s="131">
        <f t="shared" ref="S14:S22" si="12">R14/$S$13</f>
        <v>0.10810810810810811</v>
      </c>
      <c r="T14" s="131">
        <f t="shared" ref="T14:T22" si="13">IF(T2=0,0, LOOKUP(T2-0.000000000001,$AC$14:$AC$30,$AD$14:$AD$30))</f>
        <v>50</v>
      </c>
      <c r="U14" s="131">
        <f t="shared" ref="U14:U22" si="14">T14/$U$13</f>
        <v>8.3333333333333329E-2</v>
      </c>
      <c r="V14" s="131">
        <f t="shared" ref="V14:V22" si="15">IF(V2=0,0, LOOKUP(V2-0.000000000001,$AC$14:$AC$30,$AD$14:$AD$30))</f>
        <v>0.1</v>
      </c>
      <c r="W14" s="131">
        <f t="shared" ref="W14:W22" si="16">V14/$W$13</f>
        <v>4.3459365493263801E-4</v>
      </c>
      <c r="X14" s="131">
        <f t="shared" ref="X14:X22" si="17">IF(X2=0,0, LOOKUP(X2-0.000000000001,$AC$14:$AC$30,$AD$14:$AD$30))</f>
        <v>65</v>
      </c>
      <c r="Y14" s="132">
        <f t="shared" ref="Y14:Y22" si="18">X14/$Y$13</f>
        <v>0.11206896551724138</v>
      </c>
      <c r="Z14" s="133">
        <f t="shared" ref="Z14:Z22" si="19">IF(Z2=0,0, LOOKUP(Z2-0.000000000001,$AC$14:$AC$30,$AD$14:$AD$30))</f>
        <v>60</v>
      </c>
      <c r="AA14" s="134">
        <f t="shared" ref="AA14:AA22" si="20">Z14/$AA$13</f>
        <v>0.10434782608695652</v>
      </c>
      <c r="AB14" s="23"/>
      <c r="AC14" s="40">
        <v>1</v>
      </c>
      <c r="AD14" s="135">
        <v>0.1</v>
      </c>
      <c r="AQ14" s="103"/>
      <c r="AS14" s="103"/>
    </row>
    <row r="15" spans="1:45" ht="15" x14ac:dyDescent="0.3">
      <c r="A15" s="136" t="s">
        <v>17</v>
      </c>
      <c r="B15" s="266">
        <v>263.88</v>
      </c>
      <c r="C15" s="267">
        <v>263.8</v>
      </c>
      <c r="D15" s="139">
        <f>(B7*AA25)+(C7*AA26)+(D7*AA27)+(E7*AA28)+(F7*AA29)+(G7*AA30)+(H7*AA31)+(I7*AA32)+(J7*AA33)</f>
        <v>265.35576033045976</v>
      </c>
      <c r="E15" s="140">
        <f>D15/$H$15</f>
        <v>1.0029320444873375</v>
      </c>
      <c r="F15" s="141">
        <v>264.22160000000002</v>
      </c>
      <c r="G15" s="140">
        <f>F15/$H$15</f>
        <v>0.99864540025701121</v>
      </c>
      <c r="H15" s="142">
        <v>264.58</v>
      </c>
      <c r="O15" s="143" t="str">
        <f t="shared" si="8"/>
        <v>ARIMAX</v>
      </c>
      <c r="P15" s="144">
        <f t="shared" si="9"/>
        <v>75</v>
      </c>
      <c r="Q15" s="145">
        <f t="shared" si="10"/>
        <v>0.14150943396226415</v>
      </c>
      <c r="R15" s="146">
        <f t="shared" si="11"/>
        <v>95</v>
      </c>
      <c r="S15" s="147">
        <f t="shared" si="12"/>
        <v>0.12837837837837837</v>
      </c>
      <c r="T15" s="147">
        <f t="shared" si="13"/>
        <v>75</v>
      </c>
      <c r="U15" s="147">
        <f t="shared" si="14"/>
        <v>0.125</v>
      </c>
      <c r="V15" s="147">
        <f t="shared" si="15"/>
        <v>30</v>
      </c>
      <c r="W15" s="147">
        <f t="shared" si="16"/>
        <v>0.1303780964797914</v>
      </c>
      <c r="X15" s="147">
        <f t="shared" si="17"/>
        <v>70</v>
      </c>
      <c r="Y15" s="148">
        <f t="shared" si="18"/>
        <v>0.1206896551724138</v>
      </c>
      <c r="Z15" s="149">
        <f t="shared" si="19"/>
        <v>70</v>
      </c>
      <c r="AA15" s="134">
        <f t="shared" si="20"/>
        <v>0.12173913043478261</v>
      </c>
      <c r="AB15" s="23"/>
      <c r="AC15" s="56">
        <v>80</v>
      </c>
      <c r="AD15" s="150">
        <v>1</v>
      </c>
      <c r="AQ15" s="103"/>
      <c r="AS15" s="103"/>
    </row>
    <row r="16" spans="1:45" ht="15" x14ac:dyDescent="0.3">
      <c r="G16" s="151"/>
      <c r="K16" s="8"/>
      <c r="O16" s="143" t="str">
        <f t="shared" si="8"/>
        <v>PCE</v>
      </c>
      <c r="P16" s="144">
        <f t="shared" si="9"/>
        <v>0</v>
      </c>
      <c r="Q16" s="145">
        <f t="shared" si="10"/>
        <v>0</v>
      </c>
      <c r="R16" s="146">
        <f t="shared" si="11"/>
        <v>0</v>
      </c>
      <c r="S16" s="147">
        <f t="shared" si="12"/>
        <v>0</v>
      </c>
      <c r="T16" s="147">
        <f t="shared" si="13"/>
        <v>0</v>
      </c>
      <c r="U16" s="147">
        <f t="shared" si="14"/>
        <v>0</v>
      </c>
      <c r="V16" s="147">
        <f t="shared" si="15"/>
        <v>0</v>
      </c>
      <c r="W16" s="147">
        <f t="shared" si="16"/>
        <v>0</v>
      </c>
      <c r="X16" s="147">
        <f t="shared" si="17"/>
        <v>0</v>
      </c>
      <c r="Y16" s="148">
        <f t="shared" si="18"/>
        <v>0</v>
      </c>
      <c r="Z16" s="149">
        <f t="shared" si="19"/>
        <v>0</v>
      </c>
      <c r="AA16" s="134">
        <f t="shared" si="20"/>
        <v>0</v>
      </c>
      <c r="AB16" s="23"/>
      <c r="AC16" s="56">
        <v>82.5</v>
      </c>
      <c r="AD16" s="150">
        <v>2</v>
      </c>
      <c r="AQ16" s="103"/>
      <c r="AS16" s="103"/>
    </row>
    <row r="17" spans="1:43" ht="15" x14ac:dyDescent="0.3">
      <c r="A17" s="12" t="str">
        <f>F9</f>
        <v>LLM</v>
      </c>
      <c r="B17" s="1385" t="s">
        <v>31</v>
      </c>
      <c r="C17" s="1385"/>
      <c r="D17" s="1385">
        <v>85220</v>
      </c>
      <c r="E17" s="1385"/>
      <c r="F17" s="1385" t="s">
        <v>32</v>
      </c>
      <c r="G17" s="1385"/>
      <c r="H17" s="1385" t="s">
        <v>33</v>
      </c>
      <c r="I17" s="1385"/>
      <c r="J17" s="1385"/>
      <c r="K17" s="152"/>
      <c r="L17" s="153"/>
      <c r="M17" s="154"/>
      <c r="O17" s="143" t="str">
        <f t="shared" si="8"/>
        <v>LSTM</v>
      </c>
      <c r="P17" s="144">
        <f t="shared" si="9"/>
        <v>70</v>
      </c>
      <c r="Q17" s="145">
        <f t="shared" si="10"/>
        <v>0.13207547169811321</v>
      </c>
      <c r="R17" s="146">
        <f t="shared" si="11"/>
        <v>95</v>
      </c>
      <c r="S17" s="147">
        <f t="shared" si="12"/>
        <v>0.12837837837837837</v>
      </c>
      <c r="T17" s="147">
        <f t="shared" si="13"/>
        <v>70</v>
      </c>
      <c r="U17" s="147">
        <f t="shared" si="14"/>
        <v>0.11666666666666667</v>
      </c>
      <c r="V17" s="147">
        <f t="shared" si="15"/>
        <v>30</v>
      </c>
      <c r="W17" s="147">
        <f t="shared" si="16"/>
        <v>0.1303780964797914</v>
      </c>
      <c r="X17" s="147">
        <f t="shared" si="17"/>
        <v>70</v>
      </c>
      <c r="Y17" s="148">
        <f t="shared" si="18"/>
        <v>0.1206896551724138</v>
      </c>
      <c r="Z17" s="149">
        <f t="shared" si="19"/>
        <v>60</v>
      </c>
      <c r="AA17" s="134">
        <f t="shared" si="20"/>
        <v>0.10434782608695652</v>
      </c>
      <c r="AB17" s="23"/>
      <c r="AC17" s="56">
        <v>85</v>
      </c>
      <c r="AD17" s="150">
        <v>5</v>
      </c>
      <c r="AQ17" s="103"/>
    </row>
    <row r="18" spans="1:43" ht="15" x14ac:dyDescent="0.3">
      <c r="A18" s="76" t="s">
        <v>12</v>
      </c>
      <c r="B18" s="155">
        <v>4</v>
      </c>
      <c r="C18" s="156">
        <f>1-ABS(1-B18/$H$10)</f>
        <v>0.97919216646266827</v>
      </c>
      <c r="D18" s="155">
        <v>4.01</v>
      </c>
      <c r="E18" s="156">
        <f>1-ABS(1-D18/$H$10)</f>
        <v>0.98164014687882495</v>
      </c>
      <c r="F18" s="155">
        <v>4.08</v>
      </c>
      <c r="G18" s="156">
        <f>1-ABS(1-F18/$H$10)</f>
        <v>0.99877600979192172</v>
      </c>
      <c r="H18" s="157" t="s">
        <v>12</v>
      </c>
      <c r="I18" s="158">
        <f>MAX(P2:P10)</f>
        <v>99.571603427172576</v>
      </c>
      <c r="J18" s="159" t="s">
        <v>34</v>
      </c>
      <c r="K18" s="160"/>
      <c r="L18" s="161"/>
      <c r="M18" s="162"/>
      <c r="O18" s="143" t="str">
        <f t="shared" si="8"/>
        <v>GARCH</v>
      </c>
      <c r="P18" s="144">
        <f t="shared" si="9"/>
        <v>75</v>
      </c>
      <c r="Q18" s="145">
        <f t="shared" si="10"/>
        <v>0.14150943396226415</v>
      </c>
      <c r="R18" s="146">
        <f t="shared" si="11"/>
        <v>90</v>
      </c>
      <c r="S18" s="147">
        <f t="shared" si="12"/>
        <v>0.12162162162162163</v>
      </c>
      <c r="T18" s="147">
        <f t="shared" si="13"/>
        <v>95</v>
      </c>
      <c r="U18" s="147">
        <f t="shared" si="14"/>
        <v>0.15833333333333333</v>
      </c>
      <c r="V18" s="147">
        <f t="shared" si="15"/>
        <v>30</v>
      </c>
      <c r="W18" s="147">
        <f t="shared" si="16"/>
        <v>0.1303780964797914</v>
      </c>
      <c r="X18" s="147">
        <f t="shared" si="17"/>
        <v>90</v>
      </c>
      <c r="Y18" s="148">
        <f t="shared" si="18"/>
        <v>0.15517241379310345</v>
      </c>
      <c r="Z18" s="149">
        <f t="shared" si="19"/>
        <v>70</v>
      </c>
      <c r="AA18" s="134">
        <f t="shared" si="20"/>
        <v>0.12173913043478261</v>
      </c>
      <c r="AB18" s="23"/>
      <c r="AC18" s="56">
        <v>87.5</v>
      </c>
      <c r="AD18" s="150">
        <v>10</v>
      </c>
      <c r="AQ18" s="103"/>
    </row>
    <row r="19" spans="1:43" ht="15" x14ac:dyDescent="0.3">
      <c r="A19" s="163" t="s">
        <v>13</v>
      </c>
      <c r="B19" s="164">
        <v>49450</v>
      </c>
      <c r="C19" s="165">
        <f>1-ABS(1-B19/$H$11)</f>
        <v>0.99645407434857192</v>
      </c>
      <c r="D19" s="164">
        <v>49485</v>
      </c>
      <c r="E19" s="165">
        <f>1-ABS(1-D19/$H$11)</f>
        <v>0.99715935023537072</v>
      </c>
      <c r="F19" s="164">
        <v>49622</v>
      </c>
      <c r="G19" s="165">
        <f>1-ABS(1-F19/$H$11)</f>
        <v>0.99992000156369742</v>
      </c>
      <c r="H19" s="166" t="s">
        <v>13</v>
      </c>
      <c r="I19" s="167">
        <f>MAX(R2:R10)</f>
        <v>99.95169686355753</v>
      </c>
      <c r="J19" s="168" t="s">
        <v>35</v>
      </c>
      <c r="K19" s="160"/>
      <c r="L19" s="161"/>
      <c r="M19" s="162"/>
      <c r="O19" s="143" t="str">
        <f t="shared" si="8"/>
        <v>VAR</v>
      </c>
      <c r="P19" s="144">
        <f t="shared" si="9"/>
        <v>0</v>
      </c>
      <c r="Q19" s="145">
        <f t="shared" si="10"/>
        <v>0</v>
      </c>
      <c r="R19" s="146">
        <f t="shared" si="11"/>
        <v>95</v>
      </c>
      <c r="S19" s="147">
        <f t="shared" si="12"/>
        <v>0.12837837837837837</v>
      </c>
      <c r="T19" s="147">
        <f t="shared" si="13"/>
        <v>75</v>
      </c>
      <c r="U19" s="147">
        <f t="shared" si="14"/>
        <v>0.125</v>
      </c>
      <c r="V19" s="147">
        <f t="shared" si="15"/>
        <v>40</v>
      </c>
      <c r="W19" s="147">
        <f t="shared" si="16"/>
        <v>0.17383746197305519</v>
      </c>
      <c r="X19" s="147">
        <f t="shared" si="17"/>
        <v>75</v>
      </c>
      <c r="Y19" s="148">
        <f t="shared" si="18"/>
        <v>0.12931034482758622</v>
      </c>
      <c r="Z19" s="149">
        <f t="shared" si="19"/>
        <v>65</v>
      </c>
      <c r="AA19" s="134">
        <f t="shared" si="20"/>
        <v>0.11304347826086956</v>
      </c>
      <c r="AB19" s="23"/>
      <c r="AC19" s="56">
        <v>90</v>
      </c>
      <c r="AD19" s="150">
        <v>20</v>
      </c>
      <c r="AK19" s="6"/>
      <c r="AQ19" s="103"/>
    </row>
    <row r="20" spans="1:43" ht="14.4" x14ac:dyDescent="0.3">
      <c r="A20" s="43" t="s">
        <v>14</v>
      </c>
      <c r="B20" s="169">
        <v>6803</v>
      </c>
      <c r="C20" s="170">
        <f>1-ABS(1-B20/$H$12)</f>
        <v>0.98458358901920817</v>
      </c>
      <c r="D20" s="169">
        <v>6790</v>
      </c>
      <c r="E20" s="170">
        <f>1-ABS(1-D20/$H$12)</f>
        <v>0.9827021269205386</v>
      </c>
      <c r="F20" s="169">
        <v>6850</v>
      </c>
      <c r="G20" s="170">
        <f>1-ABS(1-F20/$H$12)</f>
        <v>0.99138579814516781</v>
      </c>
      <c r="H20" s="171" t="s">
        <v>14</v>
      </c>
      <c r="I20" s="172">
        <f>MAX(T2:T10)</f>
        <v>99.804220843126572</v>
      </c>
      <c r="J20" s="173" t="s">
        <v>36</v>
      </c>
      <c r="K20" s="160"/>
      <c r="L20" s="161"/>
      <c r="M20" s="162"/>
      <c r="O20" s="143" t="str">
        <f t="shared" si="8"/>
        <v>RW</v>
      </c>
      <c r="P20" s="144">
        <f t="shared" si="9"/>
        <v>75</v>
      </c>
      <c r="Q20" s="145">
        <f t="shared" si="10"/>
        <v>0.14150943396226415</v>
      </c>
      <c r="R20" s="146">
        <f t="shared" si="11"/>
        <v>95</v>
      </c>
      <c r="S20" s="147">
        <f t="shared" si="12"/>
        <v>0.12837837837837837</v>
      </c>
      <c r="T20" s="147">
        <f t="shared" si="13"/>
        <v>80</v>
      </c>
      <c r="U20" s="147">
        <f t="shared" si="14"/>
        <v>0.13333333333333333</v>
      </c>
      <c r="V20" s="147">
        <f t="shared" si="15"/>
        <v>30</v>
      </c>
      <c r="W20" s="147">
        <f t="shared" si="16"/>
        <v>0.1303780964797914</v>
      </c>
      <c r="X20" s="147">
        <f t="shared" si="17"/>
        <v>75</v>
      </c>
      <c r="Y20" s="148">
        <f t="shared" si="18"/>
        <v>0.12931034482758622</v>
      </c>
      <c r="Z20" s="149">
        <f t="shared" si="19"/>
        <v>95</v>
      </c>
      <c r="AA20" s="134">
        <f t="shared" si="20"/>
        <v>0.16521739130434782</v>
      </c>
      <c r="AB20" s="23"/>
      <c r="AC20" s="56">
        <v>92.5</v>
      </c>
      <c r="AD20" s="150">
        <v>30</v>
      </c>
    </row>
    <row r="21" spans="1:43" ht="14.4" x14ac:dyDescent="0.3">
      <c r="A21" s="43" t="s">
        <v>15</v>
      </c>
      <c r="B21" s="169">
        <v>21.18</v>
      </c>
      <c r="C21" s="170">
        <f>1-ABS(1-B21/$H$13)</f>
        <v>0.89051859612362505</v>
      </c>
      <c r="D21" s="169">
        <v>21.52</v>
      </c>
      <c r="E21" s="170">
        <f>1-ABS(1-D21/$H$13)</f>
        <v>0.87270822420115235</v>
      </c>
      <c r="F21" s="169">
        <v>19.190000000000001</v>
      </c>
      <c r="G21" s="170">
        <f>1-ABS(1-F21/$H$13)</f>
        <v>0.99476165531691985</v>
      </c>
      <c r="H21" s="171" t="s">
        <v>15</v>
      </c>
      <c r="I21" s="172">
        <f>MAX(V2:V10)</f>
        <v>95.633132530120477</v>
      </c>
      <c r="J21" s="173" t="s">
        <v>37</v>
      </c>
      <c r="K21" s="160"/>
      <c r="L21" s="161"/>
      <c r="M21" s="162"/>
      <c r="O21" s="143" t="str">
        <f t="shared" si="8"/>
        <v>ETS</v>
      </c>
      <c r="P21" s="144">
        <f t="shared" si="9"/>
        <v>75</v>
      </c>
      <c r="Q21" s="145">
        <f t="shared" si="10"/>
        <v>0.14150943396226415</v>
      </c>
      <c r="R21" s="146">
        <f t="shared" si="11"/>
        <v>95</v>
      </c>
      <c r="S21" s="147">
        <f t="shared" si="12"/>
        <v>0.12837837837837837</v>
      </c>
      <c r="T21" s="147">
        <f t="shared" si="13"/>
        <v>80</v>
      </c>
      <c r="U21" s="147">
        <f t="shared" si="14"/>
        <v>0.13333333333333333</v>
      </c>
      <c r="V21" s="147">
        <f t="shared" si="15"/>
        <v>30</v>
      </c>
      <c r="W21" s="147">
        <f t="shared" si="16"/>
        <v>0.1303780964797914</v>
      </c>
      <c r="X21" s="147">
        <f t="shared" si="17"/>
        <v>70</v>
      </c>
      <c r="Y21" s="148">
        <f t="shared" si="18"/>
        <v>0.1206896551724138</v>
      </c>
      <c r="Z21" s="149">
        <f t="shared" si="19"/>
        <v>95</v>
      </c>
      <c r="AA21" s="134">
        <f t="shared" si="20"/>
        <v>0.16521739130434782</v>
      </c>
      <c r="AC21" s="56">
        <v>95</v>
      </c>
      <c r="AD21" s="150">
        <v>40</v>
      </c>
    </row>
    <row r="22" spans="1:43" ht="14.4" x14ac:dyDescent="0.3">
      <c r="A22" s="174" t="s">
        <v>16</v>
      </c>
      <c r="B22" s="175">
        <v>597.29999999999995</v>
      </c>
      <c r="C22" s="176">
        <f>1-ABS(1-B22/$H$14)</f>
        <v>0.98109426586291293</v>
      </c>
      <c r="D22" s="175">
        <v>595.79999999999995</v>
      </c>
      <c r="E22" s="176">
        <f>1-ABS(1-D22/$H$14)</f>
        <v>0.97863044299535162</v>
      </c>
      <c r="F22" s="175">
        <v>603.5</v>
      </c>
      <c r="G22" s="176">
        <f>1-ABS(1-F22/$H$14)</f>
        <v>0.99127806704883303</v>
      </c>
      <c r="H22" s="177" t="s">
        <v>16</v>
      </c>
      <c r="I22" s="178">
        <f>MAX(X2:X10)</f>
        <v>99.56303280169513</v>
      </c>
      <c r="J22" s="179" t="s">
        <v>36</v>
      </c>
      <c r="K22" s="160"/>
      <c r="L22" s="161"/>
      <c r="M22" s="162"/>
      <c r="O22" s="180" t="str">
        <f t="shared" si="8"/>
        <v>DynaMix</v>
      </c>
      <c r="P22" s="181">
        <f t="shared" si="9"/>
        <v>70</v>
      </c>
      <c r="Q22" s="182">
        <f t="shared" si="10"/>
        <v>0.13207547169811321</v>
      </c>
      <c r="R22" s="183">
        <f t="shared" si="11"/>
        <v>95</v>
      </c>
      <c r="S22" s="184">
        <f t="shared" si="12"/>
        <v>0.12837837837837837</v>
      </c>
      <c r="T22" s="184">
        <f t="shared" si="13"/>
        <v>75</v>
      </c>
      <c r="U22" s="184">
        <f t="shared" si="14"/>
        <v>0.125</v>
      </c>
      <c r="V22" s="184">
        <f t="shared" si="15"/>
        <v>40</v>
      </c>
      <c r="W22" s="184">
        <f t="shared" si="16"/>
        <v>0.17383746197305519</v>
      </c>
      <c r="X22" s="184">
        <f t="shared" si="17"/>
        <v>65</v>
      </c>
      <c r="Y22" s="185">
        <f t="shared" si="18"/>
        <v>0.11206896551724138</v>
      </c>
      <c r="Z22" s="186">
        <f t="shared" si="19"/>
        <v>60</v>
      </c>
      <c r="AA22" s="187">
        <f t="shared" si="20"/>
        <v>0.10434782608695652</v>
      </c>
      <c r="AB22" s="23"/>
      <c r="AC22" s="56">
        <v>96</v>
      </c>
      <c r="AD22" s="150">
        <v>50</v>
      </c>
    </row>
    <row r="23" spans="1:43" ht="14.4" x14ac:dyDescent="0.3">
      <c r="A23" s="136" t="s">
        <v>17</v>
      </c>
      <c r="B23" s="188">
        <v>266.39999999999998</v>
      </c>
      <c r="C23" s="189">
        <f>1-ABS(1-B23/$H$15)</f>
        <v>0.9931211731801346</v>
      </c>
      <c r="D23" s="188">
        <v>267.2</v>
      </c>
      <c r="E23" s="189">
        <f>1-ABS(1-D23/$H$15)</f>
        <v>0.99009751303953442</v>
      </c>
      <c r="F23" s="188">
        <v>264.3</v>
      </c>
      <c r="G23" s="189">
        <f>1-ABS(1-F23/$H$15)</f>
        <v>0.99894171895078998</v>
      </c>
      <c r="H23" s="190" t="s">
        <v>17</v>
      </c>
      <c r="I23" s="191">
        <f>MAX(Z2:Z10)</f>
        <v>99.972560284224045</v>
      </c>
      <c r="J23" s="192" t="s">
        <v>38</v>
      </c>
      <c r="K23" s="160"/>
      <c r="L23" s="161"/>
      <c r="M23" s="162"/>
      <c r="O23" s="102" t="s">
        <v>26</v>
      </c>
      <c r="P23" s="193">
        <f>AVERAGE(P14:P22)</f>
        <v>58.888888888888886</v>
      </c>
      <c r="Q23" s="194"/>
      <c r="R23" s="195">
        <f>AVERAGE(R14:R22)</f>
        <v>82.222222222222229</v>
      </c>
      <c r="S23" s="196"/>
      <c r="T23" s="196">
        <f>AVERAGE(T14:T22)</f>
        <v>66.666666666666671</v>
      </c>
      <c r="U23" s="196"/>
      <c r="V23" s="196">
        <f>AVERAGE(V14:V22)</f>
        <v>25.566666666666666</v>
      </c>
      <c r="W23" s="196"/>
      <c r="X23" s="196">
        <f>AVERAGE(X14:X22)</f>
        <v>64.444444444444443</v>
      </c>
      <c r="Y23" s="197"/>
      <c r="Z23" s="198">
        <f>AVERAGE(Z14:Z22)</f>
        <v>63.888888888888886</v>
      </c>
      <c r="AC23" s="56">
        <v>97</v>
      </c>
      <c r="AD23" s="150">
        <v>60</v>
      </c>
    </row>
    <row r="24" spans="1:43" ht="14.4" x14ac:dyDescent="0.3">
      <c r="J24" s="199"/>
      <c r="K24" s="200"/>
      <c r="L24" s="201"/>
      <c r="AA24" s="22">
        <f>SUM(Z26:Z34)</f>
        <v>435</v>
      </c>
      <c r="AB24" s="23"/>
      <c r="AC24" s="56">
        <v>98</v>
      </c>
      <c r="AD24" s="150">
        <v>65</v>
      </c>
    </row>
    <row r="25" spans="1:43" ht="14.4" x14ac:dyDescent="0.3">
      <c r="A25" s="202" t="str">
        <f>AC1</f>
        <v>AVR-4</v>
      </c>
      <c r="B25" s="1380">
        <f t="array" ref="B25">SUM(C19:C22/4)</f>
        <v>0.96316263133857949</v>
      </c>
      <c r="C25" s="1380"/>
      <c r="D25" s="1380">
        <f t="array" ref="D25">SUM(E19:E22/4)</f>
        <v>0.95780003608810338</v>
      </c>
      <c r="E25" s="1380"/>
      <c r="F25" s="1380">
        <f t="array" ref="F25">SUM(G19:G22/4)</f>
        <v>0.99433638051865458</v>
      </c>
      <c r="G25" s="1380"/>
      <c r="H25" s="1387" t="s">
        <v>39</v>
      </c>
      <c r="I25" s="1387"/>
      <c r="J25" s="268">
        <f>AVERAGE(I19:I22)</f>
        <v>98.738020759624931</v>
      </c>
      <c r="O25" s="13" t="s">
        <v>40</v>
      </c>
      <c r="P25" s="204" t="s">
        <v>12</v>
      </c>
      <c r="Q25" s="205">
        <f>SUM(P26:P34)</f>
        <v>453.75</v>
      </c>
      <c r="R25" s="206" t="s">
        <v>13</v>
      </c>
      <c r="S25" s="207">
        <f>SUM(R26:R34)</f>
        <v>538.75</v>
      </c>
      <c r="T25" s="208" t="s">
        <v>14</v>
      </c>
      <c r="U25" s="207">
        <f>SUM(T26:T34)</f>
        <v>598.75</v>
      </c>
      <c r="V25" s="208" t="s">
        <v>15</v>
      </c>
      <c r="W25" s="207">
        <f>SUM(V26:V34)</f>
        <v>238.65000000000003</v>
      </c>
      <c r="X25" s="208" t="s">
        <v>16</v>
      </c>
      <c r="Y25" s="209">
        <f>SUM(X26:X34)</f>
        <v>516.27499999999998</v>
      </c>
      <c r="Z25" s="210" t="s">
        <v>17</v>
      </c>
      <c r="AA25" s="39">
        <f t="shared" ref="AA25:AA33" si="21">Z26/$AA$24</f>
        <v>0.13218390804597702</v>
      </c>
      <c r="AB25" s="23"/>
      <c r="AC25" s="56">
        <v>98.5</v>
      </c>
      <c r="AD25" s="150">
        <v>70</v>
      </c>
    </row>
    <row r="26" spans="1:43" ht="14.4" x14ac:dyDescent="0.3">
      <c r="A26" s="211" t="str">
        <f>AD1</f>
        <v>AVR-6</v>
      </c>
      <c r="B26" s="1382">
        <f t="array" ref="B26">SUM(C18:C23/6)</f>
        <v>0.97082731083285345</v>
      </c>
      <c r="C26" s="1382"/>
      <c r="D26" s="1382">
        <f t="array" ref="D26">SUM(E18:E23/6)</f>
        <v>0.96715630071179548</v>
      </c>
      <c r="E26" s="1382"/>
      <c r="F26" s="1382">
        <f t="array" ref="F26">SUM(G18:G23/6)</f>
        <v>0.99584387513622152</v>
      </c>
      <c r="G26" s="1382"/>
      <c r="H26" s="1386" t="s">
        <v>41</v>
      </c>
      <c r="I26" s="1386"/>
      <c r="J26" s="269">
        <f>AVERAGE(I18:I23)</f>
        <v>99.082707791649398</v>
      </c>
      <c r="O26" s="127" t="str">
        <f t="shared" ref="O26:O33" si="22">O2</f>
        <v>PyCaret</v>
      </c>
      <c r="P26" s="213">
        <v>60</v>
      </c>
      <c r="Q26" s="214">
        <f t="shared" ref="Q26:Q34" si="23">P26/$Q$25</f>
        <v>0.13223140495867769</v>
      </c>
      <c r="R26" s="215">
        <v>58.75</v>
      </c>
      <c r="S26" s="216">
        <f t="shared" ref="S26:S34" si="24">R26/$S$25</f>
        <v>0.10904872389791183</v>
      </c>
      <c r="T26" s="216">
        <v>67.5</v>
      </c>
      <c r="U26" s="216">
        <f t="shared" ref="U26:U34" si="25">T26/$U$25</f>
        <v>0.11273486430062631</v>
      </c>
      <c r="V26" s="216">
        <v>40.024999999999999</v>
      </c>
      <c r="W26" s="216">
        <f t="shared" ref="W26:W34" si="26">V26/$W$25</f>
        <v>0.1677142258537607</v>
      </c>
      <c r="X26" s="216">
        <v>72.5</v>
      </c>
      <c r="Y26" s="217">
        <f t="shared" ref="Y26:Y34" si="27">X26/$Y$25</f>
        <v>0.14042903491356351</v>
      </c>
      <c r="Z26" s="218">
        <v>57.5</v>
      </c>
      <c r="AA26" s="39">
        <f t="shared" si="21"/>
        <v>0.13793103448275862</v>
      </c>
      <c r="AB26" s="23"/>
      <c r="AC26" s="56">
        <v>99</v>
      </c>
      <c r="AD26" s="150">
        <v>75</v>
      </c>
    </row>
    <row r="27" spans="1:43" ht="14.4" x14ac:dyDescent="0.3">
      <c r="O27" s="143" t="str">
        <f t="shared" si="22"/>
        <v>ARIMAX</v>
      </c>
      <c r="P27" s="219">
        <v>66.25</v>
      </c>
      <c r="Q27" s="220">
        <f t="shared" si="23"/>
        <v>0.14600550964187328</v>
      </c>
      <c r="R27" s="221">
        <v>62.5</v>
      </c>
      <c r="S27" s="222">
        <f t="shared" si="24"/>
        <v>0.11600928074245939</v>
      </c>
      <c r="T27" s="222">
        <v>71.25</v>
      </c>
      <c r="U27" s="222">
        <f t="shared" si="25"/>
        <v>0.11899791231732777</v>
      </c>
      <c r="V27" s="222">
        <v>28.774999999999999</v>
      </c>
      <c r="W27" s="222">
        <f t="shared" si="26"/>
        <v>0.12057406243452752</v>
      </c>
      <c r="X27" s="222">
        <v>67.5</v>
      </c>
      <c r="Y27" s="223">
        <f t="shared" si="27"/>
        <v>0.1307442738850419</v>
      </c>
      <c r="Z27" s="224">
        <v>60</v>
      </c>
      <c r="AA27" s="39">
        <f t="shared" si="21"/>
        <v>0</v>
      </c>
      <c r="AB27" s="23"/>
      <c r="AC27" s="56">
        <v>99.25</v>
      </c>
      <c r="AD27" s="150">
        <v>80</v>
      </c>
      <c r="AF27" s="2"/>
    </row>
    <row r="28" spans="1:43" ht="14.25" customHeight="1" x14ac:dyDescent="0.3">
      <c r="A28" s="225" t="s">
        <v>42</v>
      </c>
      <c r="B28" s="8"/>
      <c r="C28" s="8"/>
      <c r="D28" s="8"/>
      <c r="O28" s="143" t="str">
        <f t="shared" si="22"/>
        <v>PCE</v>
      </c>
      <c r="P28" s="219">
        <v>0</v>
      </c>
      <c r="Q28" s="220">
        <f t="shared" si="23"/>
        <v>0</v>
      </c>
      <c r="R28" s="221">
        <v>0</v>
      </c>
      <c r="S28" s="222">
        <f t="shared" si="24"/>
        <v>0</v>
      </c>
      <c r="T28" s="222">
        <v>0</v>
      </c>
      <c r="U28" s="222">
        <f t="shared" si="25"/>
        <v>0</v>
      </c>
      <c r="V28" s="222">
        <v>0</v>
      </c>
      <c r="W28" s="222">
        <f t="shared" si="26"/>
        <v>0</v>
      </c>
      <c r="X28" s="222">
        <v>0</v>
      </c>
      <c r="Y28" s="223">
        <f t="shared" si="27"/>
        <v>0</v>
      </c>
      <c r="Z28" s="224">
        <v>0</v>
      </c>
      <c r="AA28" s="39">
        <f t="shared" si="21"/>
        <v>9.7701149425287362E-2</v>
      </c>
      <c r="AB28" s="23"/>
      <c r="AC28" s="56">
        <v>99.5</v>
      </c>
      <c r="AD28" s="150">
        <v>90</v>
      </c>
      <c r="AK28" s="6"/>
    </row>
    <row r="29" spans="1:43" ht="14.25" customHeight="1" x14ac:dyDescent="0.3">
      <c r="A29" s="8"/>
      <c r="B29" s="8"/>
      <c r="C29" s="8"/>
      <c r="D29" s="8"/>
      <c r="O29" s="143" t="str">
        <f t="shared" si="22"/>
        <v>LSTM</v>
      </c>
      <c r="P29" s="219">
        <v>63.75</v>
      </c>
      <c r="Q29" s="220">
        <f t="shared" si="23"/>
        <v>0.14049586776859505</v>
      </c>
      <c r="R29" s="221">
        <v>75</v>
      </c>
      <c r="S29" s="222">
        <f t="shared" si="24"/>
        <v>0.13921113689095127</v>
      </c>
      <c r="T29" s="222">
        <v>80</v>
      </c>
      <c r="U29" s="222">
        <f t="shared" si="25"/>
        <v>0.1336116910229645</v>
      </c>
      <c r="V29" s="222">
        <v>29.25</v>
      </c>
      <c r="W29" s="222">
        <f t="shared" si="26"/>
        <v>0.12256442489000627</v>
      </c>
      <c r="X29" s="222">
        <v>68.75</v>
      </c>
      <c r="Y29" s="223">
        <f t="shared" si="27"/>
        <v>0.13316546414217229</v>
      </c>
      <c r="Z29" s="224">
        <v>42.5</v>
      </c>
      <c r="AA29" s="39">
        <f t="shared" si="21"/>
        <v>0.11781609195402298</v>
      </c>
      <c r="AB29" s="23"/>
      <c r="AC29" s="56">
        <v>99.75</v>
      </c>
      <c r="AD29" s="150">
        <v>95</v>
      </c>
    </row>
    <row r="30" spans="1:43" ht="14.25" customHeight="1" x14ac:dyDescent="0.3">
      <c r="A30" s="226" t="s">
        <v>43</v>
      </c>
      <c r="B30" s="227">
        <v>0</v>
      </c>
      <c r="C30" s="228" t="s">
        <v>44</v>
      </c>
      <c r="M30" s="8"/>
      <c r="O30" s="143" t="str">
        <f t="shared" si="22"/>
        <v>GARCH</v>
      </c>
      <c r="P30" s="219">
        <v>70</v>
      </c>
      <c r="Q30" s="220">
        <f t="shared" si="23"/>
        <v>0.15426997245179064</v>
      </c>
      <c r="R30" s="221">
        <v>68.75</v>
      </c>
      <c r="S30" s="222">
        <f t="shared" si="24"/>
        <v>0.12761020881670534</v>
      </c>
      <c r="T30" s="222">
        <v>76.25</v>
      </c>
      <c r="U30" s="222">
        <f t="shared" si="25"/>
        <v>0.12734864300626306</v>
      </c>
      <c r="V30" s="222">
        <v>35</v>
      </c>
      <c r="W30" s="222">
        <f t="shared" si="26"/>
        <v>0.1466582861931699</v>
      </c>
      <c r="X30" s="222">
        <v>71.25</v>
      </c>
      <c r="Y30" s="223">
        <f t="shared" si="27"/>
        <v>0.13800784465643312</v>
      </c>
      <c r="Z30" s="224">
        <v>51.25</v>
      </c>
      <c r="AA30" s="39">
        <f t="shared" si="21"/>
        <v>0.13793103448275862</v>
      </c>
      <c r="AB30" s="23"/>
      <c r="AC30" s="93">
        <v>99.99</v>
      </c>
      <c r="AD30" s="229">
        <v>100</v>
      </c>
    </row>
    <row r="31" spans="1:43" ht="14.25" customHeight="1" x14ac:dyDescent="0.3">
      <c r="B31" s="227">
        <v>25</v>
      </c>
      <c r="C31" s="228" t="s">
        <v>45</v>
      </c>
      <c r="O31" s="143" t="str">
        <f t="shared" si="22"/>
        <v>VAR</v>
      </c>
      <c r="P31" s="219">
        <v>0</v>
      </c>
      <c r="Q31" s="220">
        <f t="shared" si="23"/>
        <v>0</v>
      </c>
      <c r="R31" s="221">
        <v>68.75</v>
      </c>
      <c r="S31" s="222">
        <f t="shared" si="24"/>
        <v>0.12761020881670534</v>
      </c>
      <c r="T31" s="222">
        <v>75</v>
      </c>
      <c r="U31" s="222">
        <f t="shared" si="25"/>
        <v>0.12526096033402923</v>
      </c>
      <c r="V31" s="222">
        <v>30.024999999999999</v>
      </c>
      <c r="W31" s="222">
        <f t="shared" si="26"/>
        <v>0.12581185836999789</v>
      </c>
      <c r="X31" s="222">
        <v>65</v>
      </c>
      <c r="Y31" s="223">
        <f t="shared" si="27"/>
        <v>0.12590189337078109</v>
      </c>
      <c r="Z31" s="224">
        <v>60</v>
      </c>
      <c r="AA31" s="39">
        <f t="shared" si="21"/>
        <v>0.12931034482758622</v>
      </c>
      <c r="AL31" s="230"/>
    </row>
    <row r="32" spans="1:43" ht="14.25" customHeight="1" x14ac:dyDescent="0.3">
      <c r="B32" s="227">
        <v>45</v>
      </c>
      <c r="C32" s="228" t="s">
        <v>46</v>
      </c>
      <c r="O32" s="143" t="str">
        <f t="shared" si="22"/>
        <v>RW</v>
      </c>
      <c r="P32" s="219">
        <v>57.5</v>
      </c>
      <c r="Q32" s="220">
        <f t="shared" si="23"/>
        <v>0.12672176308539945</v>
      </c>
      <c r="R32" s="221">
        <v>68.75</v>
      </c>
      <c r="S32" s="222">
        <f t="shared" si="24"/>
        <v>0.12761020881670534</v>
      </c>
      <c r="T32" s="222">
        <v>76.25</v>
      </c>
      <c r="U32" s="222">
        <f t="shared" si="25"/>
        <v>0.12734864300626306</v>
      </c>
      <c r="V32" s="222">
        <v>32.524999999999999</v>
      </c>
      <c r="W32" s="222">
        <f t="shared" si="26"/>
        <v>0.13628745024093858</v>
      </c>
      <c r="X32" s="222">
        <v>63.75</v>
      </c>
      <c r="Y32" s="223">
        <f t="shared" si="27"/>
        <v>0.12348070311365067</v>
      </c>
      <c r="Z32" s="224">
        <v>56.25</v>
      </c>
      <c r="AA32" s="39">
        <f t="shared" si="21"/>
        <v>0.12931034482758622</v>
      </c>
      <c r="AK32" s="2"/>
      <c r="AL32" s="230"/>
    </row>
    <row r="33" spans="2:42" ht="14.25" customHeight="1" x14ac:dyDescent="0.3">
      <c r="B33" s="227">
        <v>55</v>
      </c>
      <c r="C33" s="228" t="s">
        <v>47</v>
      </c>
      <c r="O33" s="143" t="str">
        <f t="shared" si="22"/>
        <v>ETS</v>
      </c>
      <c r="P33" s="219">
        <v>72.5</v>
      </c>
      <c r="Q33" s="220">
        <f t="shared" si="23"/>
        <v>0.15977961432506887</v>
      </c>
      <c r="R33" s="221">
        <v>70</v>
      </c>
      <c r="S33" s="222">
        <f t="shared" si="24"/>
        <v>0.12993039443155452</v>
      </c>
      <c r="T33" s="222">
        <v>76.25</v>
      </c>
      <c r="U33" s="222">
        <f t="shared" si="25"/>
        <v>0.12734864300626306</v>
      </c>
      <c r="V33" s="222">
        <v>22.524999999999999</v>
      </c>
      <c r="W33" s="222">
        <f t="shared" si="26"/>
        <v>9.4385082757175762E-2</v>
      </c>
      <c r="X33" s="222">
        <v>47.524999999999999</v>
      </c>
      <c r="Y33" s="223">
        <f t="shared" si="27"/>
        <v>9.2053653576098016E-2</v>
      </c>
      <c r="Z33" s="224">
        <v>56.25</v>
      </c>
      <c r="AA33" s="92">
        <f t="shared" si="21"/>
        <v>0.11781609195402298</v>
      </c>
    </row>
    <row r="34" spans="2:42" ht="14.25" customHeight="1" x14ac:dyDescent="0.3">
      <c r="B34" s="227">
        <v>75</v>
      </c>
      <c r="C34" s="228" t="s">
        <v>48</v>
      </c>
      <c r="O34" s="180" t="str">
        <f>O22</f>
        <v>DynaMix</v>
      </c>
      <c r="P34" s="231">
        <v>63.75</v>
      </c>
      <c r="Q34" s="232">
        <f t="shared" si="23"/>
        <v>0.14049586776859505</v>
      </c>
      <c r="R34" s="233">
        <v>66.25</v>
      </c>
      <c r="S34" s="234">
        <f t="shared" si="24"/>
        <v>0.12296983758700696</v>
      </c>
      <c r="T34" s="234">
        <v>76.25</v>
      </c>
      <c r="U34" s="234">
        <f t="shared" si="25"/>
        <v>0.12734864300626306</v>
      </c>
      <c r="V34" s="234">
        <v>20.524999999999999</v>
      </c>
      <c r="W34" s="234">
        <f t="shared" si="26"/>
        <v>8.6004609260423193E-2</v>
      </c>
      <c r="X34" s="234">
        <v>60</v>
      </c>
      <c r="Y34" s="235">
        <f t="shared" si="27"/>
        <v>0.11621713234225946</v>
      </c>
      <c r="Z34" s="236">
        <v>51.25</v>
      </c>
    </row>
    <row r="35" spans="2:42" ht="14.25" customHeight="1" x14ac:dyDescent="0.3">
      <c r="O35" s="102" t="s">
        <v>26</v>
      </c>
      <c r="P35" s="231">
        <f>AVERAGE(P26:P34)</f>
        <v>50.416666666666664</v>
      </c>
      <c r="Q35" s="232"/>
      <c r="R35" s="233">
        <f>AVERAGE(R26:R34)</f>
        <v>59.861111111111114</v>
      </c>
      <c r="S35" s="234"/>
      <c r="T35" s="234">
        <f>AVERAGE(T26:T34)</f>
        <v>66.527777777777771</v>
      </c>
      <c r="U35" s="234"/>
      <c r="V35" s="234">
        <f>AVERAGE(V26:V34)</f>
        <v>26.516666666666669</v>
      </c>
      <c r="W35" s="234"/>
      <c r="X35" s="234">
        <f>AVERAGE(X26:X34)</f>
        <v>57.363888888888887</v>
      </c>
      <c r="Y35" s="235"/>
      <c r="Z35" s="236">
        <f>AVERAGE(Z26:Z34)</f>
        <v>48.333333333333336</v>
      </c>
      <c r="AP35" s="2"/>
    </row>
    <row r="36" spans="2:42" ht="14.25" customHeight="1" x14ac:dyDescent="0.3">
      <c r="AP36" s="2"/>
    </row>
    <row r="37" spans="2:42" ht="14.25" customHeight="1" x14ac:dyDescent="0.3">
      <c r="Z37" s="6"/>
    </row>
    <row r="38" spans="2:42" ht="14.25" customHeight="1" x14ac:dyDescent="0.3">
      <c r="Z38" s="6"/>
    </row>
    <row r="39" spans="2:42" ht="14.25" customHeight="1" x14ac:dyDescent="0.3">
      <c r="Z39" s="6"/>
    </row>
    <row r="40" spans="2:42" ht="14.25" customHeight="1" x14ac:dyDescent="0.3">
      <c r="Z40" s="6"/>
    </row>
    <row r="41" spans="2:42" ht="14.25" customHeight="1" x14ac:dyDescent="0.3">
      <c r="Z41" s="6"/>
    </row>
    <row r="43" spans="2:42" ht="14.25" customHeight="1" x14ac:dyDescent="0.3">
      <c r="AD43" s="237"/>
    </row>
    <row r="44" spans="2:42" ht="14.25" customHeight="1" x14ac:dyDescent="0.3">
      <c r="AD44" s="237"/>
    </row>
    <row r="45" spans="2:42" ht="14.25" customHeight="1" x14ac:dyDescent="0.3">
      <c r="AD45" s="237"/>
    </row>
    <row r="46" spans="2:42" ht="14.25" customHeight="1" x14ac:dyDescent="0.3">
      <c r="AD46" s="237"/>
    </row>
  </sheetData>
  <mergeCells count="14">
    <mergeCell ref="D9:E9"/>
    <mergeCell ref="F9:G9"/>
    <mergeCell ref="B17:C17"/>
    <mergeCell ref="D17:E17"/>
    <mergeCell ref="F17:G17"/>
    <mergeCell ref="B26:C26"/>
    <mergeCell ref="D26:E26"/>
    <mergeCell ref="F26:G26"/>
    <mergeCell ref="H26:I26"/>
    <mergeCell ref="H17:J17"/>
    <mergeCell ref="B25:C25"/>
    <mergeCell ref="D25:E25"/>
    <mergeCell ref="F25:G25"/>
    <mergeCell ref="H25:I25"/>
  </mergeCells>
  <hyperlinks>
    <hyperlink ref="A28" r:id="rId1" xr:uid="{00000000-0004-0000-02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Y46"/>
  <sheetViews>
    <sheetView zoomScale="120" zoomScaleNormal="120" workbookViewId="0">
      <selection activeCell="P13" sqref="P13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72</v>
      </c>
      <c r="O1" s="13" t="s">
        <v>11</v>
      </c>
      <c r="P1" s="14" t="s">
        <v>12</v>
      </c>
      <c r="Q1" s="15">
        <f>SUM(P2:P10)</f>
        <v>679.74814814814806</v>
      </c>
      <c r="R1" s="16" t="s">
        <v>13</v>
      </c>
      <c r="S1" s="17">
        <f>SUM(R2:R10)</f>
        <v>770.19697024366337</v>
      </c>
      <c r="T1" s="18" t="s">
        <v>14</v>
      </c>
      <c r="U1" s="17">
        <f>SUM(T2:T10)</f>
        <v>781.75621355786416</v>
      </c>
      <c r="V1" s="18" t="s">
        <v>15</v>
      </c>
      <c r="W1" s="17">
        <f>SUM(V2:V10)</f>
        <v>683.05679611650487</v>
      </c>
      <c r="X1" s="19" t="s">
        <v>16</v>
      </c>
      <c r="Y1" s="20">
        <f>SUM(X2:X10)</f>
        <v>781.46395984643254</v>
      </c>
      <c r="Z1" s="21" t="s">
        <v>17</v>
      </c>
      <c r="AA1" s="22">
        <f>SUM(Z2:Z10)</f>
        <v>740.97204628978034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4.173</v>
      </c>
      <c r="C2" s="28">
        <v>4.1944999999999997</v>
      </c>
      <c r="D2" s="28">
        <v>0</v>
      </c>
      <c r="E2" s="28">
        <v>4.2308000000000003</v>
      </c>
      <c r="F2" s="28">
        <v>4.1473000000000004</v>
      </c>
      <c r="G2" s="28">
        <v>4.1421999999999999</v>
      </c>
      <c r="H2" s="28">
        <v>0</v>
      </c>
      <c r="I2" s="28">
        <v>4.1433999999999997</v>
      </c>
      <c r="J2" s="29">
        <v>4.1390000000000002</v>
      </c>
      <c r="K2" s="30"/>
      <c r="O2" s="31" t="str">
        <f>B1</f>
        <v>PyCaret</v>
      </c>
      <c r="P2" s="32">
        <f>100-ABS((($H10-B2)/($H10)))*100</f>
        <v>96.962962962962962</v>
      </c>
      <c r="Q2" s="33">
        <f t="shared" ref="Q2:Q10" si="0">P2/$Q$1</f>
        <v>0.14264542423119675</v>
      </c>
      <c r="R2" s="34">
        <f>100-ABS((($H11-B3)/($H11)))*100</f>
        <v>96.496180176338896</v>
      </c>
      <c r="S2" s="35">
        <f t="shared" ref="S2:S10" si="1">R2/$S$1</f>
        <v>0.1252876652394658</v>
      </c>
      <c r="T2" s="35">
        <f>100-ABS((($H12-B4)/($H12)))*100</f>
        <v>96.632056206828963</v>
      </c>
      <c r="U2" s="35">
        <f t="shared" ref="U2:U10" si="2">T2/$U$1</f>
        <v>0.12360893911804698</v>
      </c>
      <c r="V2" s="35">
        <f>100-ABS((($H13-B5)/($H13)))*100</f>
        <v>86.338834951456292</v>
      </c>
      <c r="W2" s="35">
        <f t="shared" ref="W2:W10" si="3">V2/$W$1</f>
        <v>0.12640066747352879</v>
      </c>
      <c r="X2" s="36">
        <f>100-ABS((($H14-B6)/($H14)))*100</f>
        <v>98.44579434592562</v>
      </c>
      <c r="Y2" s="37">
        <f t="shared" ref="Y2:Y10" si="4">X2/$Y$1</f>
        <v>0.12597611585986826</v>
      </c>
      <c r="Z2" s="38">
        <f>100-ABS((($H15-B7)/($H15)))*100</f>
        <v>93.521776526702624</v>
      </c>
      <c r="AA2" s="39">
        <f t="shared" ref="AA2:AA10" si="5">Z2/$AA$1</f>
        <v>0.12621498610506016</v>
      </c>
      <c r="AB2" s="23"/>
      <c r="AC2" s="40">
        <f t="shared" ref="AC2:AC10" si="6">(R2+T2+V2+X2)/4</f>
        <v>94.478216420137443</v>
      </c>
      <c r="AD2" s="41">
        <f t="shared" ref="AD2:AD10" si="7">(P2+R2+T2+V2+X2+Z2)/6</f>
        <v>94.732934195035895</v>
      </c>
      <c r="AE2" s="42" t="str">
        <f>IF($AC2=MAX(AC2:AC10),"TOP","")</f>
        <v/>
      </c>
      <c r="AG2" s="1" t="s">
        <v>33</v>
      </c>
      <c r="AH2" s="2"/>
      <c r="AI2" s="2"/>
      <c r="AK2" s="225" t="s">
        <v>42</v>
      </c>
    </row>
    <row r="3" spans="1:45" ht="14.4" x14ac:dyDescent="0.3">
      <c r="A3" s="43" t="s">
        <v>13</v>
      </c>
      <c r="B3" s="44">
        <v>50200.315199999997</v>
      </c>
      <c r="C3" s="45">
        <v>50611.198600000003</v>
      </c>
      <c r="D3" s="45">
        <v>0</v>
      </c>
      <c r="E3" s="45">
        <v>50047.758999999998</v>
      </c>
      <c r="F3" s="45">
        <v>50412.836900000002</v>
      </c>
      <c r="G3" s="45">
        <v>50185.051700000004</v>
      </c>
      <c r="H3" s="45">
        <v>50348.589699999997</v>
      </c>
      <c r="I3" s="45">
        <v>50343.235500000003</v>
      </c>
      <c r="J3" s="46">
        <v>50313.2</v>
      </c>
      <c r="K3" s="30"/>
      <c r="L3" s="47" t="s">
        <v>73</v>
      </c>
      <c r="O3" s="48" t="str">
        <f>C1</f>
        <v>ARIMAX</v>
      </c>
      <c r="P3" s="49">
        <f>100-ABS((($H10-C2)/($H10)))*100</f>
        <v>96.432098765432102</v>
      </c>
      <c r="Q3" s="50">
        <f t="shared" si="0"/>
        <v>0.14186445233892003</v>
      </c>
      <c r="R3" s="51">
        <f>100-ABS((($H11-C3)/($H11)))*100</f>
        <v>95.64901415292448</v>
      </c>
      <c r="S3" s="52">
        <f t="shared" si="1"/>
        <v>0.12418773099388392</v>
      </c>
      <c r="T3" s="52">
        <f>100-ABS((($H12-C4)/($H12)))*100</f>
        <v>97.099146014294533</v>
      </c>
      <c r="U3" s="52">
        <f t="shared" si="2"/>
        <v>0.12420642692737284</v>
      </c>
      <c r="V3" s="52">
        <f>100-ABS((($H13-C5)/($H13)))*100</f>
        <v>87.442718446601944</v>
      </c>
      <c r="W3" s="52">
        <f t="shared" si="3"/>
        <v>0.12801676074925894</v>
      </c>
      <c r="X3" s="53">
        <f>100-ABS((($H14-C6)/($H14)))*100</f>
        <v>97.299855407269533</v>
      </c>
      <c r="Y3" s="54">
        <f t="shared" si="4"/>
        <v>0.12450971561937441</v>
      </c>
      <c r="Z3" s="55">
        <f>100-ABS((($H15-C7)/($H15)))*100</f>
        <v>92.372664008131991</v>
      </c>
      <c r="AA3" s="39">
        <f t="shared" si="5"/>
        <v>0.12466416846716882</v>
      </c>
      <c r="AB3" s="23"/>
      <c r="AC3" s="56">
        <f t="shared" si="6"/>
        <v>94.372683505272619</v>
      </c>
      <c r="AD3" s="57">
        <f t="shared" si="7"/>
        <v>94.382582799109102</v>
      </c>
      <c r="AE3" s="42" t="str">
        <f>IF($AC3=MAX(AC2:AC10),"TOP","")</f>
        <v/>
      </c>
      <c r="AG3" s="76" t="s">
        <v>12</v>
      </c>
      <c r="AH3" s="270" t="s">
        <v>34</v>
      </c>
      <c r="AI3" s="271">
        <f>MAX(P2:P10)</f>
        <v>97.802469135802454</v>
      </c>
    </row>
    <row r="4" spans="1:45" ht="14.4" x14ac:dyDescent="0.3">
      <c r="A4" s="43" t="s">
        <v>14</v>
      </c>
      <c r="B4" s="58">
        <v>7066.4187000000002</v>
      </c>
      <c r="C4" s="59">
        <v>7034.4876000000004</v>
      </c>
      <c r="D4" s="59">
        <v>0</v>
      </c>
      <c r="E4" s="59">
        <v>6948.1976999999997</v>
      </c>
      <c r="F4" s="59">
        <v>6980.2005799999997</v>
      </c>
      <c r="G4" s="59">
        <v>6955.6471000000001</v>
      </c>
      <c r="H4" s="59">
        <v>6965.2879999999996</v>
      </c>
      <c r="I4" s="59">
        <v>6967.0784000000003</v>
      </c>
      <c r="J4" s="60">
        <v>7019.3</v>
      </c>
      <c r="K4" s="30"/>
      <c r="O4" s="48" t="str">
        <f>D1</f>
        <v>PCE</v>
      </c>
      <c r="P4" s="49">
        <f>100-ABS((($H10-D2)/($H10)))*100</f>
        <v>0</v>
      </c>
      <c r="Q4" s="50">
        <f t="shared" si="0"/>
        <v>0</v>
      </c>
      <c r="R4" s="51">
        <f>100-ABS((($H11-D3)/($H11)))*100</f>
        <v>0</v>
      </c>
      <c r="S4" s="52">
        <f t="shared" si="1"/>
        <v>0</v>
      </c>
      <c r="T4" s="52">
        <f>100-ABS((($H12-D4)/($H12)))*100</f>
        <v>0</v>
      </c>
      <c r="U4" s="52">
        <f t="shared" si="2"/>
        <v>0</v>
      </c>
      <c r="V4" s="52">
        <f>100-ABS((($H13-D5)/($H13)))*100</f>
        <v>0</v>
      </c>
      <c r="W4" s="52">
        <f t="shared" si="3"/>
        <v>0</v>
      </c>
      <c r="X4" s="53">
        <f>100-ABS((($H14-D6)/($H14)))*100</f>
        <v>0</v>
      </c>
      <c r="Y4" s="54">
        <f t="shared" si="4"/>
        <v>0</v>
      </c>
      <c r="Z4" s="55">
        <f>100-ABS((($H15-D7)/($H15)))*100</f>
        <v>0</v>
      </c>
      <c r="AA4" s="39">
        <f t="shared" si="5"/>
        <v>0</v>
      </c>
      <c r="AB4" s="23"/>
      <c r="AC4" s="56">
        <f t="shared" si="6"/>
        <v>0</v>
      </c>
      <c r="AD4" s="57">
        <f t="shared" si="7"/>
        <v>0</v>
      </c>
      <c r="AE4" s="42" t="str">
        <f>IF($AC4=MAX(AC2:AC10),"TOP","")</f>
        <v/>
      </c>
      <c r="AG4" s="163" t="s">
        <v>13</v>
      </c>
      <c r="AH4" s="272" t="s">
        <v>35</v>
      </c>
      <c r="AI4" s="273">
        <f>MAX(R2:R10)</f>
        <v>96.810723010878348</v>
      </c>
    </row>
    <row r="5" spans="1:45" ht="14.4" x14ac:dyDescent="0.3">
      <c r="A5" s="43" t="s">
        <v>15</v>
      </c>
      <c r="B5" s="61">
        <v>17.785799999999998</v>
      </c>
      <c r="C5" s="62">
        <v>18.013200000000001</v>
      </c>
      <c r="D5" s="62">
        <v>0</v>
      </c>
      <c r="E5" s="62">
        <v>17.080500000000001</v>
      </c>
      <c r="F5" s="62">
        <v>17.674499999999998</v>
      </c>
      <c r="G5" s="62">
        <v>17.533899999999999</v>
      </c>
      <c r="H5" s="62">
        <v>17.617999999999999</v>
      </c>
      <c r="I5" s="62">
        <v>17.623799999999999</v>
      </c>
      <c r="J5" s="63">
        <v>17.38</v>
      </c>
      <c r="K5" s="30"/>
      <c r="L5" s="1" t="s">
        <v>21</v>
      </c>
      <c r="O5" s="48" t="str">
        <f>E1</f>
        <v>LSTM</v>
      </c>
      <c r="P5" s="49">
        <f>100-ABS((($H10-E2)/($H10)))*100</f>
        <v>95.535802469135788</v>
      </c>
      <c r="Q5" s="50">
        <f t="shared" si="0"/>
        <v>0.14054588119056441</v>
      </c>
      <c r="R5" s="51">
        <f>100-ABS((($H11-E3)/($H11)))*100</f>
        <v>96.810723010878348</v>
      </c>
      <c r="S5" s="52">
        <f t="shared" si="1"/>
        <v>0.12569605795807121</v>
      </c>
      <c r="T5" s="52">
        <f>100-ABS((($H12-E4)/($H12)))*100</f>
        <v>98.36139920247858</v>
      </c>
      <c r="U5" s="52">
        <f t="shared" si="2"/>
        <v>0.12582106479822441</v>
      </c>
      <c r="V5" s="52">
        <f>100-ABS((($H13-E5)/($H13)))*100</f>
        <v>82.915048543689323</v>
      </c>
      <c r="W5" s="52">
        <f t="shared" si="3"/>
        <v>0.1213882198597538</v>
      </c>
      <c r="X5" s="53">
        <f>100-ABS((($H14-E6)/($H14)))*100</f>
        <v>97.006232445279139</v>
      </c>
      <c r="Y5" s="54">
        <f t="shared" si="4"/>
        <v>0.12413398112990659</v>
      </c>
      <c r="Z5" s="55">
        <f>100-ABS((($H15-E7)/($H15)))*100</f>
        <v>91.524005004300562</v>
      </c>
      <c r="AA5" s="39">
        <f t="shared" si="5"/>
        <v>0.12351883645622339</v>
      </c>
      <c r="AB5" s="23"/>
      <c r="AC5" s="56">
        <f t="shared" si="6"/>
        <v>93.773350800581341</v>
      </c>
      <c r="AD5" s="57">
        <f t="shared" si="7"/>
        <v>93.692201779293612</v>
      </c>
      <c r="AE5" s="42" t="str">
        <f>IF($AC5=MAX(AC2:AC10),"TOP","")</f>
        <v/>
      </c>
      <c r="AG5" s="43" t="s">
        <v>14</v>
      </c>
      <c r="AH5" s="274" t="s">
        <v>36</v>
      </c>
      <c r="AI5" s="275">
        <f>MAX(T2:T10)</f>
        <v>98.36139920247858</v>
      </c>
    </row>
    <row r="6" spans="1:45" ht="14.4" x14ac:dyDescent="0.3">
      <c r="A6" s="43" t="s">
        <v>16</v>
      </c>
      <c r="B6" s="64">
        <v>592.33849999999995</v>
      </c>
      <c r="C6" s="65">
        <v>617.93650000000002</v>
      </c>
      <c r="D6" s="65">
        <v>0</v>
      </c>
      <c r="E6" s="65">
        <v>619.70320000000004</v>
      </c>
      <c r="F6" s="65">
        <v>616.31079999999997</v>
      </c>
      <c r="G6" s="65">
        <v>612.04930000000002</v>
      </c>
      <c r="H6" s="65">
        <v>613.85559999999998</v>
      </c>
      <c r="I6" s="65">
        <v>613.97159999999997</v>
      </c>
      <c r="J6" s="66">
        <v>620.18100000000004</v>
      </c>
      <c r="K6" s="30"/>
      <c r="O6" s="48" t="str">
        <f>F1</f>
        <v>GARCH</v>
      </c>
      <c r="P6" s="49">
        <f>100-ABS((($H10-F2)/($H10)))*100</f>
        <v>97.597530864197509</v>
      </c>
      <c r="Q6" s="50">
        <f t="shared" si="0"/>
        <v>0.14357895807452287</v>
      </c>
      <c r="R6" s="51">
        <f>100-ABS((($H11-F3)/($H11)))*100</f>
        <v>96.057999506401217</v>
      </c>
      <c r="S6" s="52">
        <f t="shared" si="1"/>
        <v>0.12471874496729302</v>
      </c>
      <c r="T6" s="52">
        <f>100-ABS((($H12-F4)/($H12)))*100</f>
        <v>97.893259393403923</v>
      </c>
      <c r="U6" s="52">
        <f t="shared" si="2"/>
        <v>0.12522223385712564</v>
      </c>
      <c r="V6" s="52">
        <f>100-ABS((($H13-F5)/($H13)))*100</f>
        <v>85.798543689320383</v>
      </c>
      <c r="W6" s="52">
        <f t="shared" si="3"/>
        <v>0.12560967722907518</v>
      </c>
      <c r="X6" s="53">
        <f>100-ABS((($H14-F6)/($H14)))*100</f>
        <v>97.570044375010397</v>
      </c>
      <c r="Y6" s="54">
        <f t="shared" si="4"/>
        <v>0.12485546280878281</v>
      </c>
      <c r="Z6" s="55">
        <f>100-ABS((($H15-F7)/($H15)))*100</f>
        <v>92.210884353741505</v>
      </c>
      <c r="AA6" s="39">
        <f t="shared" si="5"/>
        <v>0.12444583411137153</v>
      </c>
      <c r="AB6" s="23"/>
      <c r="AC6" s="56">
        <f t="shared" si="6"/>
        <v>94.329961741033983</v>
      </c>
      <c r="AD6" s="57">
        <f t="shared" si="7"/>
        <v>94.521377030345818</v>
      </c>
      <c r="AE6" s="42" t="str">
        <f>IF($AC6=MAX(AC2:AC10),"TOP","")</f>
        <v/>
      </c>
      <c r="AG6" s="43" t="s">
        <v>15</v>
      </c>
      <c r="AH6" s="274" t="s">
        <v>37</v>
      </c>
      <c r="AI6" s="275">
        <f>MAX(V2:V10)</f>
        <v>87.442718446601944</v>
      </c>
    </row>
    <row r="7" spans="1:45" ht="14.4" x14ac:dyDescent="0.3">
      <c r="A7" s="67" t="s">
        <v>17</v>
      </c>
      <c r="B7" s="68">
        <v>272.35000000000002</v>
      </c>
      <c r="C7" s="69">
        <v>275.28919999999999</v>
      </c>
      <c r="D7" s="69">
        <v>0</v>
      </c>
      <c r="E7" s="69">
        <v>277.4599</v>
      </c>
      <c r="F7" s="69">
        <v>275.70299999999997</v>
      </c>
      <c r="G7" s="69">
        <v>273.40320000000003</v>
      </c>
      <c r="H7" s="69">
        <v>274.61329999999998</v>
      </c>
      <c r="I7" s="69">
        <v>274.61329999999998</v>
      </c>
      <c r="J7" s="70">
        <v>273.78980000000001</v>
      </c>
      <c r="K7" s="30"/>
      <c r="O7" s="48" t="str">
        <f>G1</f>
        <v>VAR</v>
      </c>
      <c r="P7" s="49">
        <f>100-ABS((($H10-G2)/($H10)))*100</f>
        <v>97.72345679012345</v>
      </c>
      <c r="Q7" s="50">
        <f t="shared" si="0"/>
        <v>0.14376421187222574</v>
      </c>
      <c r="R7" s="51">
        <f>100-ABS((($H11-G3)/($H11)))*100</f>
        <v>96.52765070690397</v>
      </c>
      <c r="S7" s="52">
        <f t="shared" si="1"/>
        <v>0.12532852560607452</v>
      </c>
      <c r="T7" s="52">
        <f>100-ABS((($H12-G4)/($H12)))*100</f>
        <v>98.252428988119092</v>
      </c>
      <c r="U7" s="52">
        <f t="shared" si="2"/>
        <v>0.12568167324306995</v>
      </c>
      <c r="V7" s="52">
        <f>100-ABS((($H13-G5)/($H13)))*100</f>
        <v>85.116019417475712</v>
      </c>
      <c r="W7" s="52">
        <f t="shared" si="3"/>
        <v>0.12461045684839067</v>
      </c>
      <c r="X7" s="53">
        <f>100-ABS((($H14-G6)/($H14)))*100</f>
        <v>98.278299456530775</v>
      </c>
      <c r="Y7" s="54">
        <f t="shared" si="4"/>
        <v>0.12576178110100392</v>
      </c>
      <c r="Z7" s="55">
        <f>100-ABS((($H15-G7)/($H15)))*100</f>
        <v>93.110016420361234</v>
      </c>
      <c r="AA7" s="39">
        <f t="shared" si="5"/>
        <v>0.12565928348658331</v>
      </c>
      <c r="AB7" s="23"/>
      <c r="AC7" s="56">
        <f t="shared" si="6"/>
        <v>94.543599642257377</v>
      </c>
      <c r="AD7" s="57">
        <f t="shared" si="7"/>
        <v>94.834645296585691</v>
      </c>
      <c r="AE7" s="42" t="str">
        <f>IF($AC7=MAX(AC2:AC10),"TOP","")</f>
        <v>TOP</v>
      </c>
      <c r="AG7" s="174" t="s">
        <v>16</v>
      </c>
      <c r="AH7" s="276" t="s">
        <v>36</v>
      </c>
      <c r="AI7" s="277">
        <f>MAX(X2:X10)</f>
        <v>98.44579434592562</v>
      </c>
    </row>
    <row r="8" spans="1:45" ht="14.4" x14ac:dyDescent="0.3">
      <c r="O8" s="48" t="str">
        <f>H1</f>
        <v>RW</v>
      </c>
      <c r="P8" s="49">
        <f>100-ABS((($H10-H2)/($H10)))*100</f>
        <v>0</v>
      </c>
      <c r="Q8" s="50">
        <f t="shared" si="0"/>
        <v>0</v>
      </c>
      <c r="R8" s="51">
        <f>100-ABS((($H11-H3)/($H11)))*100</f>
        <v>96.190465419941432</v>
      </c>
      <c r="S8" s="52">
        <f t="shared" si="1"/>
        <v>0.12489073462533894</v>
      </c>
      <c r="T8" s="52">
        <f>100-ABS((($H12-H4)/($H12)))*100</f>
        <v>98.11140139668646</v>
      </c>
      <c r="U8" s="52">
        <f t="shared" si="2"/>
        <v>0.1255012748158022</v>
      </c>
      <c r="V8" s="52">
        <f>100-ABS((($H13-H5)/($H13)))*100</f>
        <v>85.524271844660177</v>
      </c>
      <c r="W8" s="52">
        <f t="shared" si="3"/>
        <v>0.12520814130084845</v>
      </c>
      <c r="X8" s="53">
        <f>100-ABS((($H14-H6)/($H14)))*100</f>
        <v>97.978095032325626</v>
      </c>
      <c r="Y8" s="54">
        <f t="shared" si="4"/>
        <v>0.12537762464641306</v>
      </c>
      <c r="Z8" s="55">
        <f>100-ABS((($H15-H7)/($H15)))*100</f>
        <v>92.636914535929321</v>
      </c>
      <c r="AA8" s="39">
        <f t="shared" si="5"/>
        <v>0.12502079531850618</v>
      </c>
      <c r="AB8" s="23"/>
      <c r="AC8" s="56">
        <f t="shared" si="6"/>
        <v>94.451058423403424</v>
      </c>
      <c r="AD8" s="57">
        <f t="shared" si="7"/>
        <v>78.40685803825717</v>
      </c>
      <c r="AE8" s="42" t="str">
        <f>IF($AC8=MAX(AC2:AC10),"TOP","")</f>
        <v/>
      </c>
      <c r="AG8" s="136" t="s">
        <v>17</v>
      </c>
      <c r="AH8" s="278" t="s">
        <v>38</v>
      </c>
      <c r="AI8" s="279">
        <f>MAX(Z2:Z10)</f>
        <v>93.521776526702624</v>
      </c>
    </row>
    <row r="9" spans="1:45" ht="15" x14ac:dyDescent="0.3">
      <c r="B9" s="258" t="s">
        <v>22</v>
      </c>
      <c r="C9" s="259" t="s">
        <v>23</v>
      </c>
      <c r="D9" s="1384" t="s">
        <v>21</v>
      </c>
      <c r="E9" s="1384"/>
      <c r="F9" s="1384" t="s">
        <v>24</v>
      </c>
      <c r="G9" s="1384"/>
      <c r="H9" s="73" t="s">
        <v>25</v>
      </c>
      <c r="K9" s="280"/>
      <c r="L9" s="281" t="str">
        <f>IF(M9&lt;25,L11,IF(M9&lt;45,L12,IF(M9&lt;55,L13,IF(M9&lt;75,L14,L15))))</f>
        <v>Neutral</v>
      </c>
      <c r="M9" s="282">
        <v>46</v>
      </c>
      <c r="O9" s="48" t="str">
        <f>I1</f>
        <v>ETS</v>
      </c>
      <c r="P9" s="49">
        <f>100-ABS((($H10-I2)/($H10)))*100</f>
        <v>97.693827160493825</v>
      </c>
      <c r="Q9" s="50">
        <f t="shared" si="0"/>
        <v>0.14372062274335448</v>
      </c>
      <c r="R9" s="51">
        <f>100-ABS((($H11-I3)/($H11)))*100</f>
        <v>96.201504795887416</v>
      </c>
      <c r="S9" s="52">
        <f t="shared" si="1"/>
        <v>0.12490506781070902</v>
      </c>
      <c r="T9" s="52">
        <f>100-ABS((($H12-I4)/($H12)))*100</f>
        <v>98.085211331474596</v>
      </c>
      <c r="U9" s="52">
        <f t="shared" si="2"/>
        <v>0.12546777323978955</v>
      </c>
      <c r="V9" s="52">
        <f>100-ABS((($H13-I5)/($H13)))*100</f>
        <v>85.552427184466012</v>
      </c>
      <c r="W9" s="52">
        <f t="shared" si="3"/>
        <v>0.12524936091825936</v>
      </c>
      <c r="X9" s="53">
        <f>100-ABS((($H14-I6)/($H14)))*100</f>
        <v>97.958816001595522</v>
      </c>
      <c r="Y9" s="54">
        <f t="shared" si="4"/>
        <v>0.1253529542435273</v>
      </c>
      <c r="Z9" s="75">
        <f>100-ABS((($H15-I7)/($H15)))*100</f>
        <v>92.636914535929321</v>
      </c>
      <c r="AA9" s="39">
        <f t="shared" si="5"/>
        <v>0.12502079531850618</v>
      </c>
      <c r="AB9" s="23"/>
      <c r="AC9" s="56">
        <f t="shared" si="6"/>
        <v>94.449489828355894</v>
      </c>
      <c r="AD9" s="57">
        <f t="shared" si="7"/>
        <v>94.688116834974451</v>
      </c>
      <c r="AE9" s="42" t="str">
        <f>IF($AC9=MAX(AC2:AC10),"TOP","")</f>
        <v/>
      </c>
      <c r="AG9" s="2"/>
      <c r="AH9" s="2"/>
      <c r="AI9" s="199"/>
    </row>
    <row r="10" spans="1:45" ht="14.4" x14ac:dyDescent="0.3">
      <c r="A10" s="76" t="s">
        <v>12</v>
      </c>
      <c r="B10" s="260">
        <v>4.1470000000000002</v>
      </c>
      <c r="C10" s="260">
        <v>4.1429999999999998</v>
      </c>
      <c r="D10" s="283">
        <f>(B2*Q26)+(C2*Q27)+(D2*Q28)+(E2*Q29)+(F2*Q30)+(G2*Q31)+(H2*Q32)+(I2*Q33)+(J2*Q34)</f>
        <v>4.1669608808290155</v>
      </c>
      <c r="E10" s="284">
        <f>D10/$H$10</f>
        <v>1.0288792298343248</v>
      </c>
      <c r="F10" s="285">
        <v>4.1583986928104597</v>
      </c>
      <c r="G10" s="284">
        <f>F10/$H$10</f>
        <v>1.026765109335916</v>
      </c>
      <c r="H10" s="82">
        <v>4.05</v>
      </c>
      <c r="O10" s="84" t="str">
        <f>J1</f>
        <v>DynaMix</v>
      </c>
      <c r="P10" s="85">
        <f>100-ABS((($H10-J2)/($H10)))*100</f>
        <v>97.802469135802454</v>
      </c>
      <c r="Q10" s="86">
        <f t="shared" si="0"/>
        <v>0.14388044954921575</v>
      </c>
      <c r="R10" s="87">
        <f>100-ABS((($H11-J3)/($H11)))*100</f>
        <v>96.263432474387614</v>
      </c>
      <c r="S10" s="88">
        <f t="shared" si="1"/>
        <v>0.12498547279916361</v>
      </c>
      <c r="T10" s="88">
        <f>100-ABS((($H12-J4)/($H12)))*100</f>
        <v>97.321311024578051</v>
      </c>
      <c r="U10" s="88">
        <f t="shared" si="2"/>
        <v>0.12449061400056849</v>
      </c>
      <c r="V10" s="88">
        <f>100-ABS((($H13-J5)/($H13)))*100</f>
        <v>84.368932038834942</v>
      </c>
      <c r="W10" s="88">
        <f t="shared" si="3"/>
        <v>0.12351671562088469</v>
      </c>
      <c r="X10" s="89">
        <f>100-ABS((($H14-J6)/($H14)))*100</f>
        <v>96.926822782495975</v>
      </c>
      <c r="Y10" s="90">
        <f t="shared" si="4"/>
        <v>0.1240323645911237</v>
      </c>
      <c r="Z10" s="91">
        <f>100-ABS((($H15-J7)/($H15)))*100</f>
        <v>92.958870904683707</v>
      </c>
      <c r="AA10" s="92">
        <f t="shared" si="5"/>
        <v>0.12545530073658032</v>
      </c>
      <c r="AC10" s="93">
        <f t="shared" si="6"/>
        <v>93.720124580074156</v>
      </c>
      <c r="AD10" s="94">
        <f t="shared" si="7"/>
        <v>94.273639726797128</v>
      </c>
      <c r="AE10" s="42" t="str">
        <f>IF($AC10=MAX(AC2:AC10),"TOP","")</f>
        <v/>
      </c>
      <c r="AG10" s="1381" t="s">
        <v>39</v>
      </c>
      <c r="AH10" s="1381"/>
      <c r="AI10" s="203">
        <f>AVERAGE(AI4:AI7)</f>
        <v>95.26515875147112</v>
      </c>
    </row>
    <row r="11" spans="1:45" ht="15" customHeight="1" x14ac:dyDescent="0.3">
      <c r="A11" s="95" t="s">
        <v>13</v>
      </c>
      <c r="B11" s="261">
        <v>50188.14</v>
      </c>
      <c r="C11" s="261">
        <v>50174.74</v>
      </c>
      <c r="D11" s="286">
        <f>(B3*S26)+(C3*S27)+(D3*S28)+(E3*S29)+(F3*S30)+(G3*S31)+(H3*S32)+(I3*S33)+(J3*S34)</f>
        <v>50309.321754285716</v>
      </c>
      <c r="E11" s="287">
        <f>D11/$H$11</f>
        <v>1.0372857129602611</v>
      </c>
      <c r="F11" s="288">
        <v>50351.513652968002</v>
      </c>
      <c r="G11" s="287">
        <f>F11/$H$11</f>
        <v>1.0381556323346377</v>
      </c>
      <c r="H11" s="101">
        <v>48500.93</v>
      </c>
      <c r="J11" s="226" t="s">
        <v>43</v>
      </c>
      <c r="K11" s="227">
        <v>0</v>
      </c>
      <c r="L11" s="228" t="s">
        <v>44</v>
      </c>
      <c r="O11" s="102" t="s">
        <v>26</v>
      </c>
      <c r="P11" s="85">
        <f>SUM(P2:P10)/8</f>
        <v>84.968518518518508</v>
      </c>
      <c r="Q11" s="86"/>
      <c r="R11" s="87">
        <f>AVERAGE(R2:R10)</f>
        <v>85.577441138184824</v>
      </c>
      <c r="S11" s="88"/>
      <c r="T11" s="88">
        <f>AVERAGE(T2:T10)</f>
        <v>86.861801506429344</v>
      </c>
      <c r="U11" s="88"/>
      <c r="V11" s="88">
        <f>AVERAGE(V2:V10)</f>
        <v>75.895199568500544</v>
      </c>
      <c r="W11" s="88"/>
      <c r="X11" s="89">
        <f>AVERAGE(X2:X10)</f>
        <v>86.829328871825837</v>
      </c>
      <c r="Y11" s="90"/>
      <c r="Z11" s="91">
        <f>AVERAGE(Z2:Z10)</f>
        <v>82.330227365531144</v>
      </c>
      <c r="AG11" s="1383" t="s">
        <v>41</v>
      </c>
      <c r="AH11" s="1383"/>
      <c r="AI11" s="212">
        <f>AVERAGE(AI3:AI8)</f>
        <v>95.397480111398252</v>
      </c>
      <c r="AQ11" s="103"/>
      <c r="AS11" s="104" t="s">
        <v>27</v>
      </c>
    </row>
    <row r="12" spans="1:45" ht="15" x14ac:dyDescent="0.3">
      <c r="A12" s="105" t="s">
        <v>14</v>
      </c>
      <c r="B12" s="262">
        <v>6941.81</v>
      </c>
      <c r="C12" s="262">
        <v>6941.82</v>
      </c>
      <c r="D12" s="289">
        <f>(B4*U26)+(C4*U27)+(D4*U28)+(E4*U29)+(F4*U30)+(G4*U31)+(H4*U32)+(I4*U33)+(J4*U34)</f>
        <v>6990.9968750190119</v>
      </c>
      <c r="E12" s="290">
        <f>D12/$H$12</f>
        <v>1.0226466937703529</v>
      </c>
      <c r="F12" s="291">
        <v>6980.84197033898</v>
      </c>
      <c r="G12" s="290">
        <f>F12/$H$12</f>
        <v>1.0211612289815335</v>
      </c>
      <c r="H12" s="111">
        <v>6836.18</v>
      </c>
      <c r="K12" s="227">
        <v>25</v>
      </c>
      <c r="L12" s="228" t="s">
        <v>45</v>
      </c>
      <c r="AQ12" s="103"/>
      <c r="AS12" s="103"/>
    </row>
    <row r="13" spans="1:45" ht="15" x14ac:dyDescent="0.3">
      <c r="A13" s="105" t="s">
        <v>15</v>
      </c>
      <c r="B13" s="262">
        <v>17.79</v>
      </c>
      <c r="C13" s="292">
        <v>17.79</v>
      </c>
      <c r="D13" s="289">
        <f>(B5*W26)+(C5*W27)+(D5*W28)+(E5*W29)+(F5*W30)+(G5*W31)+(H5*W32)+(I5*W33)+(J5*W34)</f>
        <v>17.589707118619064</v>
      </c>
      <c r="E13" s="290">
        <f>D13/$H$13</f>
        <v>0.85386927760286713</v>
      </c>
      <c r="F13" s="291">
        <v>17.728652518277801</v>
      </c>
      <c r="G13" s="290">
        <f>F13/$H$13</f>
        <v>0.86061419991639809</v>
      </c>
      <c r="H13" s="111">
        <v>20.6</v>
      </c>
      <c r="K13" s="227">
        <v>45</v>
      </c>
      <c r="L13" s="228" t="s">
        <v>46</v>
      </c>
      <c r="O13" s="13" t="s">
        <v>28</v>
      </c>
      <c r="P13" s="113" t="s">
        <v>12</v>
      </c>
      <c r="Q13" s="114">
        <f>SUM(P14:P22)</f>
        <v>380</v>
      </c>
      <c r="R13" s="115" t="s">
        <v>13</v>
      </c>
      <c r="S13" s="116">
        <f>SUM(R14:R22)</f>
        <v>390</v>
      </c>
      <c r="T13" s="117" t="s">
        <v>14</v>
      </c>
      <c r="U13" s="116">
        <f>SUM(T14:T22)</f>
        <v>490</v>
      </c>
      <c r="V13" s="117" t="s">
        <v>15</v>
      </c>
      <c r="W13" s="116">
        <f>SUM(V14:V22)</f>
        <v>34</v>
      </c>
      <c r="X13" s="117" t="s">
        <v>16</v>
      </c>
      <c r="Y13" s="20">
        <f>SUM(X14:X22)</f>
        <v>480</v>
      </c>
      <c r="Z13" s="118" t="s">
        <v>17</v>
      </c>
      <c r="AA13" s="22">
        <f>SUM(Z14:Z22)</f>
        <v>210</v>
      </c>
      <c r="AB13" s="23"/>
      <c r="AC13" s="24" t="s">
        <v>29</v>
      </c>
      <c r="AD13" s="119" t="s">
        <v>30</v>
      </c>
      <c r="AQ13" s="103"/>
      <c r="AS13" s="103"/>
    </row>
    <row r="14" spans="1:45" ht="15" x14ac:dyDescent="0.3">
      <c r="A14" s="120" t="s">
        <v>16</v>
      </c>
      <c r="B14" s="293">
        <v>611.47</v>
      </c>
      <c r="C14" s="294">
        <v>611.51</v>
      </c>
      <c r="D14" s="295">
        <f>(B6*Y26)+(C6*Y27)+(D6*Y28)+(E6*Y29)+(F6*Y30)+(G6*Y31)+(H6*Y32)+(I6*Y33)+(J6*Y34)</f>
        <v>612.98981052387364</v>
      </c>
      <c r="E14" s="296">
        <f>D14/$H$14</f>
        <v>1.0187801202012225</v>
      </c>
      <c r="F14" s="297">
        <v>613.71725768321505</v>
      </c>
      <c r="G14" s="296">
        <f>F14/$H$14</f>
        <v>1.0199891267649703</v>
      </c>
      <c r="H14" s="126">
        <v>601.69000000000005</v>
      </c>
      <c r="K14" s="227">
        <v>55</v>
      </c>
      <c r="L14" s="228" t="s">
        <v>47</v>
      </c>
      <c r="O14" s="127" t="str">
        <f t="shared" ref="O14:O22" si="8">O2</f>
        <v>PyCaret</v>
      </c>
      <c r="P14" s="128">
        <f t="shared" ref="P14:P22" si="9">IF(P2=0,0, LOOKUP(P2-0.000000000001,$AC$14:$AC$30,$AD$14:$AD$30))</f>
        <v>50</v>
      </c>
      <c r="Q14" s="129">
        <f t="shared" ref="Q14:Q22" si="10">P14/$Q$13</f>
        <v>0.13157894736842105</v>
      </c>
      <c r="R14" s="130">
        <f t="shared" ref="R14:R22" si="11">IF(R2=0,0, LOOKUP(R2-0.000000000001,$AC$14:$AC$30,$AD$14:$AD$30))</f>
        <v>50</v>
      </c>
      <c r="S14" s="131">
        <f t="shared" ref="S14:S22" si="12">R14/$S$13</f>
        <v>0.12820512820512819</v>
      </c>
      <c r="T14" s="131">
        <f t="shared" ref="T14:T22" si="13">IF(T2=0,0, LOOKUP(T2-0.000000000001,$AC$14:$AC$30,$AD$14:$AD$30))</f>
        <v>50</v>
      </c>
      <c r="U14" s="131">
        <f t="shared" ref="U14:U22" si="14">T14/$U$13</f>
        <v>0.10204081632653061</v>
      </c>
      <c r="V14" s="131">
        <f t="shared" ref="V14:V22" si="15">IF(V2=0,0, LOOKUP(V2-0.000000000001,$AC$14:$AC$30,$AD$14:$AD$30))</f>
        <v>5</v>
      </c>
      <c r="W14" s="131">
        <f t="shared" ref="W14:W22" si="16">V14/$W$13</f>
        <v>0.14705882352941177</v>
      </c>
      <c r="X14" s="131">
        <f t="shared" ref="X14:X22" si="17">IF(X2=0,0, LOOKUP(X2-0.000000000001,$AC$14:$AC$30,$AD$14:$AD$30))</f>
        <v>65</v>
      </c>
      <c r="Y14" s="132">
        <f t="shared" ref="Y14:Y22" si="18">X14/$Y$13</f>
        <v>0.13541666666666666</v>
      </c>
      <c r="Z14" s="133">
        <f t="shared" ref="Z14:Z22" si="19">IF(Z2=0,0, LOOKUP(Z2-0.000000000001,$AC$14:$AC$30,$AD$14:$AD$30))</f>
        <v>30</v>
      </c>
      <c r="AA14" s="134">
        <f t="shared" ref="AA14:AA22" si="20">Z14/$AA$13</f>
        <v>0.14285714285714285</v>
      </c>
      <c r="AB14" s="23"/>
      <c r="AC14" s="40">
        <v>1</v>
      </c>
      <c r="AD14" s="135">
        <v>0.1</v>
      </c>
      <c r="AQ14" s="103"/>
      <c r="AS14" s="103"/>
    </row>
    <row r="15" spans="1:45" ht="15" x14ac:dyDescent="0.3">
      <c r="A15" s="136" t="s">
        <v>17</v>
      </c>
      <c r="B15" s="298">
        <v>273.68</v>
      </c>
      <c r="C15" s="299">
        <v>273.81</v>
      </c>
      <c r="D15" s="300">
        <f>(B7*AA25)+(C7*AA26)+(D7*AA27)+(E7*AA28)+(F7*AA29)+(G7*AA30)+(H7*AA31)+(I7*AA32)+(J7*AA33)</f>
        <v>274.53223102625299</v>
      </c>
      <c r="E15" s="301">
        <f>D15/$H$15</f>
        <v>1.0733139065847721</v>
      </c>
      <c r="F15" s="302">
        <v>275.05213333333302</v>
      </c>
      <c r="G15" s="301">
        <f>F15/$H$15</f>
        <v>1.0753465217504614</v>
      </c>
      <c r="H15" s="142">
        <v>255.78</v>
      </c>
      <c r="K15" s="227">
        <v>75</v>
      </c>
      <c r="L15" s="228" t="s">
        <v>48</v>
      </c>
      <c r="O15" s="143" t="str">
        <f t="shared" si="8"/>
        <v>ARIMAX</v>
      </c>
      <c r="P15" s="144">
        <f t="shared" si="9"/>
        <v>50</v>
      </c>
      <c r="Q15" s="145">
        <f t="shared" si="10"/>
        <v>0.13157894736842105</v>
      </c>
      <c r="R15" s="146">
        <f t="shared" si="11"/>
        <v>40</v>
      </c>
      <c r="S15" s="147">
        <f t="shared" si="12"/>
        <v>0.10256410256410256</v>
      </c>
      <c r="T15" s="147">
        <f t="shared" si="13"/>
        <v>60</v>
      </c>
      <c r="U15" s="147">
        <f t="shared" si="14"/>
        <v>0.12244897959183673</v>
      </c>
      <c r="V15" s="147">
        <f t="shared" si="15"/>
        <v>5</v>
      </c>
      <c r="W15" s="147">
        <f t="shared" si="16"/>
        <v>0.14705882352941177</v>
      </c>
      <c r="X15" s="147">
        <f t="shared" si="17"/>
        <v>60</v>
      </c>
      <c r="Y15" s="148">
        <f t="shared" si="18"/>
        <v>0.125</v>
      </c>
      <c r="Z15" s="149">
        <f t="shared" si="19"/>
        <v>20</v>
      </c>
      <c r="AA15" s="134">
        <f t="shared" si="20"/>
        <v>9.5238095238095233E-2</v>
      </c>
      <c r="AB15" s="23"/>
      <c r="AC15" s="56">
        <v>80</v>
      </c>
      <c r="AD15" s="150">
        <v>1</v>
      </c>
      <c r="AQ15" s="103"/>
      <c r="AS15" s="103"/>
    </row>
    <row r="16" spans="1:45" ht="15" x14ac:dyDescent="0.3">
      <c r="G16" s="151"/>
      <c r="K16" s="8"/>
      <c r="O16" s="143" t="str">
        <f t="shared" si="8"/>
        <v>PCE</v>
      </c>
      <c r="P16" s="144">
        <f t="shared" si="9"/>
        <v>0</v>
      </c>
      <c r="Q16" s="145">
        <f t="shared" si="10"/>
        <v>0</v>
      </c>
      <c r="R16" s="146">
        <f t="shared" si="11"/>
        <v>0</v>
      </c>
      <c r="S16" s="147">
        <f t="shared" si="12"/>
        <v>0</v>
      </c>
      <c r="T16" s="147">
        <f t="shared" si="13"/>
        <v>0</v>
      </c>
      <c r="U16" s="147">
        <f t="shared" si="14"/>
        <v>0</v>
      </c>
      <c r="V16" s="147">
        <f t="shared" si="15"/>
        <v>0</v>
      </c>
      <c r="W16" s="147">
        <f t="shared" si="16"/>
        <v>0</v>
      </c>
      <c r="X16" s="147">
        <f t="shared" si="17"/>
        <v>0</v>
      </c>
      <c r="Y16" s="148">
        <f t="shared" si="18"/>
        <v>0</v>
      </c>
      <c r="Z16" s="149">
        <f t="shared" si="19"/>
        <v>0</v>
      </c>
      <c r="AA16" s="134">
        <f t="shared" si="20"/>
        <v>0</v>
      </c>
      <c r="AB16" s="23"/>
      <c r="AC16" s="56">
        <v>82.5</v>
      </c>
      <c r="AD16" s="150">
        <v>2</v>
      </c>
      <c r="AQ16" s="103"/>
      <c r="AS16" s="103"/>
    </row>
    <row r="17" spans="1:43" ht="15" x14ac:dyDescent="0.3">
      <c r="A17" s="12" t="str">
        <f>F9</f>
        <v>LLM</v>
      </c>
      <c r="B17" s="1385" t="s">
        <v>31</v>
      </c>
      <c r="C17" s="1385"/>
      <c r="D17" s="1385">
        <v>85220</v>
      </c>
      <c r="E17" s="1385"/>
      <c r="F17" s="1385" t="s">
        <v>32</v>
      </c>
      <c r="G17" s="1385"/>
      <c r="H17" s="303"/>
      <c r="I17" s="304"/>
      <c r="J17" s="153"/>
      <c r="K17" s="152"/>
      <c r="L17" s="153"/>
      <c r="M17" s="154"/>
      <c r="O17" s="143" t="str">
        <f t="shared" si="8"/>
        <v>LSTM</v>
      </c>
      <c r="P17" s="144">
        <f t="shared" si="9"/>
        <v>40</v>
      </c>
      <c r="Q17" s="145">
        <f t="shared" si="10"/>
        <v>0.10526315789473684</v>
      </c>
      <c r="R17" s="146">
        <f t="shared" si="11"/>
        <v>50</v>
      </c>
      <c r="S17" s="147">
        <f t="shared" si="12"/>
        <v>0.12820512820512819</v>
      </c>
      <c r="T17" s="147">
        <f t="shared" si="13"/>
        <v>65</v>
      </c>
      <c r="U17" s="147">
        <f t="shared" si="14"/>
        <v>0.1326530612244898</v>
      </c>
      <c r="V17" s="147">
        <f t="shared" si="15"/>
        <v>2</v>
      </c>
      <c r="W17" s="147">
        <f t="shared" si="16"/>
        <v>5.8823529411764705E-2</v>
      </c>
      <c r="X17" s="147">
        <f t="shared" si="17"/>
        <v>60</v>
      </c>
      <c r="Y17" s="148">
        <f t="shared" si="18"/>
        <v>0.125</v>
      </c>
      <c r="Z17" s="149">
        <f t="shared" si="19"/>
        <v>20</v>
      </c>
      <c r="AA17" s="134">
        <f t="shared" si="20"/>
        <v>9.5238095238095233E-2</v>
      </c>
      <c r="AB17" s="23"/>
      <c r="AC17" s="56">
        <v>85</v>
      </c>
      <c r="AD17" s="150">
        <v>5</v>
      </c>
      <c r="AQ17" s="103"/>
    </row>
    <row r="18" spans="1:43" ht="15" x14ac:dyDescent="0.3">
      <c r="A18" s="76" t="s">
        <v>12</v>
      </c>
      <c r="B18" s="155">
        <v>4.12</v>
      </c>
      <c r="C18" s="156">
        <f>1-ABS(1-B18/$H$10)</f>
        <v>0.98271604938271606</v>
      </c>
      <c r="D18" s="155">
        <v>4.13</v>
      </c>
      <c r="E18" s="156">
        <f>1-ABS(1-D18/$H$10)</f>
        <v>0.98024691358024696</v>
      </c>
      <c r="F18" s="155">
        <v>4.1500000000000004</v>
      </c>
      <c r="G18" s="156">
        <f>1-ABS(1-F18/$H$10)</f>
        <v>0.97530864197530853</v>
      </c>
      <c r="H18" s="305"/>
      <c r="I18" s="306"/>
      <c r="J18" s="307"/>
      <c r="K18" s="160"/>
      <c r="L18" s="161"/>
      <c r="M18" s="162"/>
      <c r="O18" s="143" t="str">
        <f t="shared" si="8"/>
        <v>GARCH</v>
      </c>
      <c r="P18" s="144">
        <f t="shared" si="9"/>
        <v>60</v>
      </c>
      <c r="Q18" s="145">
        <f t="shared" si="10"/>
        <v>0.15789473684210525</v>
      </c>
      <c r="R18" s="146">
        <f t="shared" si="11"/>
        <v>50</v>
      </c>
      <c r="S18" s="147">
        <f t="shared" si="12"/>
        <v>0.12820512820512819</v>
      </c>
      <c r="T18" s="147">
        <f t="shared" si="13"/>
        <v>60</v>
      </c>
      <c r="U18" s="147">
        <f t="shared" si="14"/>
        <v>0.12244897959183673</v>
      </c>
      <c r="V18" s="147">
        <f t="shared" si="15"/>
        <v>5</v>
      </c>
      <c r="W18" s="147">
        <f t="shared" si="16"/>
        <v>0.14705882352941177</v>
      </c>
      <c r="X18" s="147">
        <f t="shared" si="17"/>
        <v>60</v>
      </c>
      <c r="Y18" s="148">
        <f t="shared" si="18"/>
        <v>0.125</v>
      </c>
      <c r="Z18" s="149">
        <f t="shared" si="19"/>
        <v>20</v>
      </c>
      <c r="AA18" s="134">
        <f t="shared" si="20"/>
        <v>9.5238095238095233E-2</v>
      </c>
      <c r="AB18" s="23"/>
      <c r="AC18" s="56">
        <v>87.5</v>
      </c>
      <c r="AD18" s="150">
        <v>10</v>
      </c>
      <c r="AQ18" s="103"/>
    </row>
    <row r="19" spans="1:43" ht="15" x14ac:dyDescent="0.3">
      <c r="A19" s="163" t="s">
        <v>13</v>
      </c>
      <c r="B19" s="164">
        <v>50650</v>
      </c>
      <c r="C19" s="165">
        <f>1-ABS(1-B19/$H$11)</f>
        <v>0.9556901280037311</v>
      </c>
      <c r="D19" s="164">
        <v>50715</v>
      </c>
      <c r="E19" s="165">
        <f>1-ABS(1-D19/$H$11)</f>
        <v>0.95434994751647029</v>
      </c>
      <c r="F19" s="164">
        <v>50321</v>
      </c>
      <c r="G19" s="165">
        <f>1-ABS(1-F19/$H$11)</f>
        <v>0.9624735030854048</v>
      </c>
      <c r="H19" s="305"/>
      <c r="I19" s="308"/>
      <c r="J19" s="307"/>
      <c r="K19" s="160"/>
      <c r="L19" s="161"/>
      <c r="M19" s="162"/>
      <c r="O19" s="143" t="str">
        <f t="shared" si="8"/>
        <v>VAR</v>
      </c>
      <c r="P19" s="144">
        <f t="shared" si="9"/>
        <v>60</v>
      </c>
      <c r="Q19" s="145">
        <f t="shared" si="10"/>
        <v>0.15789473684210525</v>
      </c>
      <c r="R19" s="146">
        <f t="shared" si="11"/>
        <v>50</v>
      </c>
      <c r="S19" s="147">
        <f t="shared" si="12"/>
        <v>0.12820512820512819</v>
      </c>
      <c r="T19" s="147">
        <f t="shared" si="13"/>
        <v>65</v>
      </c>
      <c r="U19" s="147">
        <f t="shared" si="14"/>
        <v>0.1326530612244898</v>
      </c>
      <c r="V19" s="147">
        <f t="shared" si="15"/>
        <v>5</v>
      </c>
      <c r="W19" s="147">
        <f t="shared" si="16"/>
        <v>0.14705882352941177</v>
      </c>
      <c r="X19" s="147">
        <f t="shared" si="17"/>
        <v>65</v>
      </c>
      <c r="Y19" s="148">
        <f t="shared" si="18"/>
        <v>0.13541666666666666</v>
      </c>
      <c r="Z19" s="149">
        <f t="shared" si="19"/>
        <v>30</v>
      </c>
      <c r="AA19" s="134">
        <f t="shared" si="20"/>
        <v>0.14285714285714285</v>
      </c>
      <c r="AB19" s="23"/>
      <c r="AC19" s="56">
        <v>90</v>
      </c>
      <c r="AD19" s="150">
        <v>20</v>
      </c>
      <c r="AK19" s="6"/>
      <c r="AQ19" s="103"/>
    </row>
    <row r="20" spans="1:43" ht="14.4" x14ac:dyDescent="0.3">
      <c r="A20" s="43" t="s">
        <v>14</v>
      </c>
      <c r="B20" s="169">
        <v>6930</v>
      </c>
      <c r="C20" s="170">
        <f>1-ABS(1-B20/$H$12)</f>
        <v>0.9862759611361902</v>
      </c>
      <c r="D20" s="169">
        <v>6939</v>
      </c>
      <c r="E20" s="170">
        <f>1-ABS(1-D20/$H$12)</f>
        <v>0.98495943641039307</v>
      </c>
      <c r="F20" s="169">
        <v>6957</v>
      </c>
      <c r="G20" s="170">
        <f>1-ABS(1-F20/$H$12)</f>
        <v>0.98232638695879859</v>
      </c>
      <c r="H20" s="305"/>
      <c r="I20" s="308"/>
      <c r="J20" s="307"/>
      <c r="K20" s="160"/>
      <c r="L20" s="161"/>
      <c r="M20" s="162"/>
      <c r="O20" s="143" t="str">
        <f t="shared" si="8"/>
        <v>RW</v>
      </c>
      <c r="P20" s="144">
        <f t="shared" si="9"/>
        <v>0</v>
      </c>
      <c r="Q20" s="145">
        <f t="shared" si="10"/>
        <v>0</v>
      </c>
      <c r="R20" s="146">
        <f t="shared" si="11"/>
        <v>50</v>
      </c>
      <c r="S20" s="147">
        <f t="shared" si="12"/>
        <v>0.12820512820512819</v>
      </c>
      <c r="T20" s="147">
        <f t="shared" si="13"/>
        <v>65</v>
      </c>
      <c r="U20" s="147">
        <f t="shared" si="14"/>
        <v>0.1326530612244898</v>
      </c>
      <c r="V20" s="147">
        <f t="shared" si="15"/>
        <v>5</v>
      </c>
      <c r="W20" s="147">
        <f t="shared" si="16"/>
        <v>0.14705882352941177</v>
      </c>
      <c r="X20" s="147">
        <f t="shared" si="17"/>
        <v>60</v>
      </c>
      <c r="Y20" s="148">
        <f t="shared" si="18"/>
        <v>0.125</v>
      </c>
      <c r="Z20" s="149">
        <f t="shared" si="19"/>
        <v>30</v>
      </c>
      <c r="AA20" s="134">
        <f t="shared" si="20"/>
        <v>0.14285714285714285</v>
      </c>
      <c r="AB20" s="23"/>
      <c r="AC20" s="56">
        <v>92.5</v>
      </c>
      <c r="AD20" s="150">
        <v>30</v>
      </c>
    </row>
    <row r="21" spans="1:43" ht="14.4" x14ac:dyDescent="0.3">
      <c r="A21" s="43" t="s">
        <v>15</v>
      </c>
      <c r="B21" s="169">
        <v>18.12</v>
      </c>
      <c r="C21" s="170">
        <f>1-ABS(1-B21/$H$13)</f>
        <v>0.87961165048543688</v>
      </c>
      <c r="D21" s="169">
        <v>18.37</v>
      </c>
      <c r="E21" s="170">
        <f>1-ABS(1-D21/$H$13)</f>
        <v>0.89174757281553396</v>
      </c>
      <c r="F21" s="169">
        <v>18.02</v>
      </c>
      <c r="G21" s="170">
        <f>1-ABS(1-F21/$H$13)</f>
        <v>0.87475728155339794</v>
      </c>
      <c r="H21" s="305"/>
      <c r="I21" s="306"/>
      <c r="J21" s="307"/>
      <c r="K21" s="160"/>
      <c r="L21" s="161"/>
      <c r="M21" s="162"/>
      <c r="O21" s="143" t="str">
        <f t="shared" si="8"/>
        <v>ETS</v>
      </c>
      <c r="P21" s="144">
        <f t="shared" si="9"/>
        <v>60</v>
      </c>
      <c r="Q21" s="145">
        <f t="shared" si="10"/>
        <v>0.15789473684210525</v>
      </c>
      <c r="R21" s="146">
        <f t="shared" si="11"/>
        <v>50</v>
      </c>
      <c r="S21" s="147">
        <f t="shared" si="12"/>
        <v>0.12820512820512819</v>
      </c>
      <c r="T21" s="147">
        <f t="shared" si="13"/>
        <v>65</v>
      </c>
      <c r="U21" s="147">
        <f t="shared" si="14"/>
        <v>0.1326530612244898</v>
      </c>
      <c r="V21" s="147">
        <f t="shared" si="15"/>
        <v>5</v>
      </c>
      <c r="W21" s="147">
        <f t="shared" si="16"/>
        <v>0.14705882352941177</v>
      </c>
      <c r="X21" s="147">
        <f t="shared" si="17"/>
        <v>60</v>
      </c>
      <c r="Y21" s="148">
        <f t="shared" si="18"/>
        <v>0.125</v>
      </c>
      <c r="Z21" s="149">
        <f t="shared" si="19"/>
        <v>30</v>
      </c>
      <c r="AA21" s="134">
        <f t="shared" si="20"/>
        <v>0.14285714285714285</v>
      </c>
      <c r="AC21" s="56">
        <v>95</v>
      </c>
      <c r="AD21" s="150">
        <v>40</v>
      </c>
    </row>
    <row r="22" spans="1:43" ht="14.4" x14ac:dyDescent="0.3">
      <c r="A22" s="174" t="s">
        <v>16</v>
      </c>
      <c r="B22" s="175">
        <v>608.5</v>
      </c>
      <c r="C22" s="176">
        <f>1-ABS(1-B22/$H$14)</f>
        <v>0.98868187937309915</v>
      </c>
      <c r="D22" s="175">
        <v>606.4</v>
      </c>
      <c r="E22" s="176">
        <f>1-ABS(1-D22/$H$14)</f>
        <v>0.99217204872941234</v>
      </c>
      <c r="F22" s="175">
        <v>613.20000000000005</v>
      </c>
      <c r="G22" s="176">
        <f>1-ABS(1-F22/$H$14)</f>
        <v>0.9808705479565889</v>
      </c>
      <c r="H22" s="305"/>
      <c r="I22" s="309"/>
      <c r="J22" s="307"/>
      <c r="K22" s="160"/>
      <c r="L22" s="161"/>
      <c r="M22" s="162"/>
      <c r="O22" s="180" t="str">
        <f t="shared" si="8"/>
        <v>DynaMix</v>
      </c>
      <c r="P22" s="181">
        <f t="shared" si="9"/>
        <v>60</v>
      </c>
      <c r="Q22" s="182">
        <f t="shared" si="10"/>
        <v>0.15789473684210525</v>
      </c>
      <c r="R22" s="183">
        <f t="shared" si="11"/>
        <v>50</v>
      </c>
      <c r="S22" s="184">
        <f t="shared" si="12"/>
        <v>0.12820512820512819</v>
      </c>
      <c r="T22" s="184">
        <f t="shared" si="13"/>
        <v>60</v>
      </c>
      <c r="U22" s="184">
        <f t="shared" si="14"/>
        <v>0.12244897959183673</v>
      </c>
      <c r="V22" s="184">
        <f t="shared" si="15"/>
        <v>2</v>
      </c>
      <c r="W22" s="184">
        <f t="shared" si="16"/>
        <v>5.8823529411764705E-2</v>
      </c>
      <c r="X22" s="184">
        <f t="shared" si="17"/>
        <v>50</v>
      </c>
      <c r="Y22" s="185">
        <f t="shared" si="18"/>
        <v>0.10416666666666667</v>
      </c>
      <c r="Z22" s="186">
        <f t="shared" si="19"/>
        <v>30</v>
      </c>
      <c r="AA22" s="187">
        <f t="shared" si="20"/>
        <v>0.14285714285714285</v>
      </c>
      <c r="AB22" s="23"/>
      <c r="AC22" s="56">
        <v>96</v>
      </c>
      <c r="AD22" s="150">
        <v>50</v>
      </c>
    </row>
    <row r="23" spans="1:43" ht="14.4" x14ac:dyDescent="0.3">
      <c r="A23" s="136" t="s">
        <v>17</v>
      </c>
      <c r="B23" s="188">
        <v>274.7</v>
      </c>
      <c r="C23" s="189">
        <f>1-ABS(1-B23/$H$15)</f>
        <v>0.92603018218781763</v>
      </c>
      <c r="D23" s="188">
        <v>274.3</v>
      </c>
      <c r="E23" s="189">
        <f>1-ABS(1-D23/$H$15)</f>
        <v>0.92759402611619346</v>
      </c>
      <c r="F23" s="188">
        <v>274.39999999999998</v>
      </c>
      <c r="G23" s="189">
        <f>1-ABS(1-F23/$H$15)</f>
        <v>0.92720306513409967</v>
      </c>
      <c r="H23" s="305"/>
      <c r="I23" s="309"/>
      <c r="J23" s="307"/>
      <c r="K23" s="160"/>
      <c r="L23" s="161"/>
      <c r="M23" s="162"/>
      <c r="O23" s="102" t="s">
        <v>26</v>
      </c>
      <c r="P23" s="193">
        <f>AVERAGE(P14:P22)</f>
        <v>42.222222222222221</v>
      </c>
      <c r="Q23" s="194"/>
      <c r="R23" s="195">
        <f>AVERAGE(R14:R22)</f>
        <v>43.333333333333336</v>
      </c>
      <c r="S23" s="196"/>
      <c r="T23" s="196">
        <f>AVERAGE(T14:T22)</f>
        <v>54.444444444444443</v>
      </c>
      <c r="U23" s="196"/>
      <c r="V23" s="196">
        <f>AVERAGE(V14:V22)</f>
        <v>3.7777777777777777</v>
      </c>
      <c r="W23" s="196"/>
      <c r="X23" s="196">
        <f>AVERAGE(X14:X22)</f>
        <v>53.333333333333336</v>
      </c>
      <c r="Y23" s="197"/>
      <c r="Z23" s="198">
        <f>AVERAGE(Z14:Z22)</f>
        <v>23.333333333333332</v>
      </c>
      <c r="AC23" s="56">
        <v>97</v>
      </c>
      <c r="AD23" s="150">
        <v>60</v>
      </c>
    </row>
    <row r="24" spans="1:43" ht="14.4" x14ac:dyDescent="0.3">
      <c r="H24" s="310"/>
      <c r="I24" s="303"/>
      <c r="K24" s="200"/>
      <c r="L24" s="201"/>
      <c r="AA24" s="22">
        <f>SUM(Z26:Z34)</f>
        <v>523.75</v>
      </c>
      <c r="AB24" s="23"/>
      <c r="AC24" s="56">
        <v>98</v>
      </c>
      <c r="AD24" s="150">
        <v>65</v>
      </c>
    </row>
    <row r="25" spans="1:43" ht="14.4" x14ac:dyDescent="0.3">
      <c r="A25" s="202" t="str">
        <f>AC1</f>
        <v>AVR-4</v>
      </c>
      <c r="B25" s="1380">
        <f t="array" ref="B25">SUM(C19:C22/4)</f>
        <v>0.95256490474961431</v>
      </c>
      <c r="C25" s="1380"/>
      <c r="D25" s="1380">
        <f t="array" ref="D25">SUM(E19:E22/4)</f>
        <v>0.95580725136795253</v>
      </c>
      <c r="E25" s="1380"/>
      <c r="F25" s="1380">
        <f t="array" ref="F25">SUM(G19:G22/4)</f>
        <v>0.95010692988854761</v>
      </c>
      <c r="G25" s="1380"/>
      <c r="O25" s="13" t="s">
        <v>40</v>
      </c>
      <c r="P25" s="204" t="s">
        <v>12</v>
      </c>
      <c r="Q25" s="205">
        <f>SUM(P26:P34)</f>
        <v>482.5</v>
      </c>
      <c r="R25" s="206" t="s">
        <v>13</v>
      </c>
      <c r="S25" s="207">
        <f>SUM(R26:R34)</f>
        <v>612.5</v>
      </c>
      <c r="T25" s="208" t="s">
        <v>14</v>
      </c>
      <c r="U25" s="207">
        <f>SUM(T26:T34)</f>
        <v>657.5</v>
      </c>
      <c r="V25" s="208" t="s">
        <v>15</v>
      </c>
      <c r="W25" s="207">
        <f>SUM(V26:V34)</f>
        <v>338.9</v>
      </c>
      <c r="X25" s="208" t="s">
        <v>16</v>
      </c>
      <c r="Y25" s="209">
        <f>SUM(X26:X34)</f>
        <v>538.77499999999998</v>
      </c>
      <c r="Z25" s="210" t="s">
        <v>17</v>
      </c>
      <c r="AA25" s="39">
        <f t="shared" ref="AA25:AA33" si="21">Z26/$AA$24</f>
        <v>0.12887828162291171</v>
      </c>
      <c r="AB25" s="23"/>
      <c r="AC25" s="56">
        <v>98.5</v>
      </c>
      <c r="AD25" s="150">
        <v>70</v>
      </c>
    </row>
    <row r="26" spans="1:43" ht="14.4" x14ac:dyDescent="0.3">
      <c r="A26" s="211" t="str">
        <f>AD1</f>
        <v>AVR-6</v>
      </c>
      <c r="B26" s="1382">
        <f t="array" ref="B26">SUM(C18:C23/6)</f>
        <v>0.95316764176149849</v>
      </c>
      <c r="C26" s="1382"/>
      <c r="D26" s="1382">
        <f t="array" ref="D26">SUM(E18:E23/6)</f>
        <v>0.95517832419470838</v>
      </c>
      <c r="E26" s="1382"/>
      <c r="F26" s="1382">
        <f t="array" ref="F26">SUM(G18:G23/6)</f>
        <v>0.95048990444393311</v>
      </c>
      <c r="G26" s="1382"/>
      <c r="O26" s="127" t="str">
        <f t="shared" ref="O26:O33" si="22">O2</f>
        <v>PyCaret</v>
      </c>
      <c r="P26" s="213">
        <v>57.5</v>
      </c>
      <c r="Q26" s="214">
        <f t="shared" ref="Q26:Q34" si="23">P26/$Q$25</f>
        <v>0.11917098445595854</v>
      </c>
      <c r="R26" s="215">
        <v>56.25</v>
      </c>
      <c r="S26" s="216">
        <f t="shared" ref="S26:S34" si="24">R26/$S$25</f>
        <v>9.1836734693877556E-2</v>
      </c>
      <c r="T26" s="216">
        <v>77.5</v>
      </c>
      <c r="U26" s="216">
        <f t="shared" ref="U26:U34" si="25">T26/$U$25</f>
        <v>0.11787072243346007</v>
      </c>
      <c r="V26" s="216">
        <v>51.274999999999999</v>
      </c>
      <c r="W26" s="216">
        <f t="shared" ref="W26:W34" si="26">V26/$W$25</f>
        <v>0.15129831808793154</v>
      </c>
      <c r="X26" s="216">
        <v>76.25</v>
      </c>
      <c r="Y26" s="217">
        <f t="shared" ref="Y26:Y34" si="27">X26/$Y$25</f>
        <v>0.1415247552317758</v>
      </c>
      <c r="Z26" s="218">
        <v>67.5</v>
      </c>
      <c r="AA26" s="39">
        <f t="shared" si="21"/>
        <v>0.12887828162291171</v>
      </c>
      <c r="AB26" s="23"/>
      <c r="AC26" s="56">
        <v>99</v>
      </c>
      <c r="AD26" s="150">
        <v>75</v>
      </c>
    </row>
    <row r="27" spans="1:43" ht="14.4" x14ac:dyDescent="0.3">
      <c r="O27" s="143" t="str">
        <f t="shared" si="22"/>
        <v>ARIMAX</v>
      </c>
      <c r="P27" s="219">
        <v>71.25</v>
      </c>
      <c r="Q27" s="220">
        <f t="shared" si="23"/>
        <v>0.14766839378238342</v>
      </c>
      <c r="R27" s="221">
        <v>76.25</v>
      </c>
      <c r="S27" s="222">
        <f t="shared" si="24"/>
        <v>0.12448979591836734</v>
      </c>
      <c r="T27" s="222">
        <v>80</v>
      </c>
      <c r="U27" s="222">
        <f t="shared" si="25"/>
        <v>0.12167300380228137</v>
      </c>
      <c r="V27" s="222">
        <v>40.024999999999999</v>
      </c>
      <c r="W27" s="222">
        <f t="shared" si="26"/>
        <v>0.11810268515786368</v>
      </c>
      <c r="X27" s="222">
        <v>71.25</v>
      </c>
      <c r="Y27" s="223">
        <f t="shared" si="27"/>
        <v>0.13224444341329869</v>
      </c>
      <c r="Z27" s="224">
        <v>67.5</v>
      </c>
      <c r="AA27" s="39">
        <f t="shared" si="21"/>
        <v>0</v>
      </c>
      <c r="AB27" s="23"/>
      <c r="AC27" s="56">
        <v>99.25</v>
      </c>
      <c r="AD27" s="150">
        <v>80</v>
      </c>
      <c r="AF27" s="2"/>
    </row>
    <row r="28" spans="1:43" ht="14.25" customHeight="1" x14ac:dyDescent="0.3">
      <c r="O28" s="143" t="str">
        <f t="shared" si="22"/>
        <v>PCE</v>
      </c>
      <c r="P28" s="219">
        <v>0</v>
      </c>
      <c r="Q28" s="220">
        <f t="shared" si="23"/>
        <v>0</v>
      </c>
      <c r="R28" s="221">
        <v>0</v>
      </c>
      <c r="S28" s="222">
        <f t="shared" si="24"/>
        <v>0</v>
      </c>
      <c r="T28" s="222">
        <v>0</v>
      </c>
      <c r="U28" s="222">
        <f t="shared" si="25"/>
        <v>0</v>
      </c>
      <c r="V28" s="222">
        <v>0</v>
      </c>
      <c r="W28" s="222">
        <f t="shared" si="26"/>
        <v>0</v>
      </c>
      <c r="X28" s="222">
        <v>0</v>
      </c>
      <c r="Y28" s="223">
        <f t="shared" si="27"/>
        <v>0</v>
      </c>
      <c r="Z28" s="224">
        <v>0</v>
      </c>
      <c r="AA28" s="39">
        <f t="shared" si="21"/>
        <v>9.0692124105011929E-2</v>
      </c>
      <c r="AB28" s="23"/>
      <c r="AC28" s="56">
        <v>99.5</v>
      </c>
      <c r="AD28" s="150">
        <v>90</v>
      </c>
      <c r="AK28" s="6"/>
    </row>
    <row r="29" spans="1:43" ht="14.25" customHeight="1" x14ac:dyDescent="0.3">
      <c r="O29" s="143" t="str">
        <f t="shared" si="22"/>
        <v>LSTM</v>
      </c>
      <c r="P29" s="219">
        <v>70</v>
      </c>
      <c r="Q29" s="220">
        <f t="shared" si="23"/>
        <v>0.14507772020725387</v>
      </c>
      <c r="R29" s="221">
        <v>82.5</v>
      </c>
      <c r="S29" s="222">
        <f t="shared" si="24"/>
        <v>0.13469387755102041</v>
      </c>
      <c r="T29" s="222">
        <v>86.25</v>
      </c>
      <c r="U29" s="222">
        <f t="shared" si="25"/>
        <v>0.13117870722433461</v>
      </c>
      <c r="V29" s="222">
        <v>46.25</v>
      </c>
      <c r="W29" s="222">
        <f t="shared" si="26"/>
        <v>0.13647093537916791</v>
      </c>
      <c r="X29" s="222">
        <v>68.75</v>
      </c>
      <c r="Y29" s="223">
        <f t="shared" si="27"/>
        <v>0.12760428750406014</v>
      </c>
      <c r="Z29" s="224">
        <v>47.5</v>
      </c>
      <c r="AA29" s="39">
        <f t="shared" si="21"/>
        <v>0.11694510739856802</v>
      </c>
      <c r="AB29" s="23"/>
      <c r="AC29" s="56">
        <v>99.75</v>
      </c>
      <c r="AD29" s="150">
        <v>95</v>
      </c>
    </row>
    <row r="30" spans="1:43" ht="14.25" customHeight="1" x14ac:dyDescent="0.3">
      <c r="M30" s="8"/>
      <c r="O30" s="143" t="str">
        <f t="shared" si="22"/>
        <v>GARCH</v>
      </c>
      <c r="P30" s="219">
        <v>72.5</v>
      </c>
      <c r="Q30" s="220">
        <f t="shared" si="23"/>
        <v>0.15025906735751296</v>
      </c>
      <c r="R30" s="221">
        <v>80</v>
      </c>
      <c r="S30" s="222">
        <f t="shared" si="24"/>
        <v>0.1306122448979592</v>
      </c>
      <c r="T30" s="222">
        <v>83.75</v>
      </c>
      <c r="U30" s="222">
        <f t="shared" si="25"/>
        <v>0.12737642585551331</v>
      </c>
      <c r="V30" s="222">
        <v>46.25</v>
      </c>
      <c r="W30" s="222">
        <f t="shared" si="26"/>
        <v>0.13647093537916791</v>
      </c>
      <c r="X30" s="222">
        <v>75</v>
      </c>
      <c r="Y30" s="223">
        <f t="shared" si="27"/>
        <v>0.13920467727715652</v>
      </c>
      <c r="Z30" s="224">
        <v>61.25</v>
      </c>
      <c r="AA30" s="39">
        <f t="shared" si="21"/>
        <v>0.12887828162291171</v>
      </c>
      <c r="AB30" s="23"/>
      <c r="AC30" s="93">
        <v>99.99</v>
      </c>
      <c r="AD30" s="229">
        <v>100</v>
      </c>
    </row>
    <row r="31" spans="1:43" ht="14.25" customHeight="1" x14ac:dyDescent="0.3">
      <c r="O31" s="143" t="str">
        <f t="shared" si="22"/>
        <v>VAR</v>
      </c>
      <c r="P31" s="219">
        <v>70</v>
      </c>
      <c r="Q31" s="220">
        <f t="shared" si="23"/>
        <v>0.14507772020725387</v>
      </c>
      <c r="R31" s="221">
        <v>78.75</v>
      </c>
      <c r="S31" s="222">
        <f t="shared" si="24"/>
        <v>0.12857142857142856</v>
      </c>
      <c r="T31" s="222">
        <v>81.25</v>
      </c>
      <c r="U31" s="222">
        <f t="shared" si="25"/>
        <v>0.12357414448669202</v>
      </c>
      <c r="V31" s="222">
        <v>36.274999999999999</v>
      </c>
      <c r="W31" s="222">
        <f t="shared" si="26"/>
        <v>0.10703747418117439</v>
      </c>
      <c r="X31" s="222">
        <v>66.25</v>
      </c>
      <c r="Y31" s="223">
        <f t="shared" si="27"/>
        <v>0.12296413159482159</v>
      </c>
      <c r="Z31" s="224">
        <v>67.5</v>
      </c>
      <c r="AA31" s="39">
        <f t="shared" si="21"/>
        <v>0.13842482100238662</v>
      </c>
      <c r="AL31" s="230"/>
    </row>
    <row r="32" spans="1:43" ht="14.25" customHeight="1" x14ac:dyDescent="0.3">
      <c r="O32" s="143" t="str">
        <f t="shared" si="22"/>
        <v>RW</v>
      </c>
      <c r="P32" s="219">
        <v>0</v>
      </c>
      <c r="Q32" s="220">
        <f t="shared" si="23"/>
        <v>0</v>
      </c>
      <c r="R32" s="221">
        <v>80</v>
      </c>
      <c r="S32" s="222">
        <f t="shared" si="24"/>
        <v>0.1306122448979592</v>
      </c>
      <c r="T32" s="222">
        <v>83.75</v>
      </c>
      <c r="U32" s="222">
        <f t="shared" si="25"/>
        <v>0.12737642585551331</v>
      </c>
      <c r="V32" s="222">
        <v>43.774999999999999</v>
      </c>
      <c r="W32" s="222">
        <f t="shared" si="26"/>
        <v>0.12916789613455296</v>
      </c>
      <c r="X32" s="222">
        <v>66.25</v>
      </c>
      <c r="Y32" s="223">
        <f t="shared" si="27"/>
        <v>0.12296413159482159</v>
      </c>
      <c r="Z32" s="224">
        <v>72.5</v>
      </c>
      <c r="AA32" s="39">
        <f t="shared" si="21"/>
        <v>0.13842482100238662</v>
      </c>
      <c r="AK32" s="2"/>
      <c r="AL32" s="230"/>
    </row>
    <row r="33" spans="15:42" ht="14.25" customHeight="1" x14ac:dyDescent="0.3">
      <c r="O33" s="143" t="str">
        <f t="shared" si="22"/>
        <v>ETS</v>
      </c>
      <c r="P33" s="219">
        <v>75</v>
      </c>
      <c r="Q33" s="220">
        <f t="shared" si="23"/>
        <v>0.15544041450777202</v>
      </c>
      <c r="R33" s="221">
        <v>81.25</v>
      </c>
      <c r="S33" s="222">
        <f t="shared" si="24"/>
        <v>0.1326530612244898</v>
      </c>
      <c r="T33" s="222">
        <v>83.75</v>
      </c>
      <c r="U33" s="222">
        <f t="shared" si="25"/>
        <v>0.12737642585551331</v>
      </c>
      <c r="V33" s="222">
        <v>37.524999999999999</v>
      </c>
      <c r="W33" s="222">
        <f t="shared" si="26"/>
        <v>0.11072587784007082</v>
      </c>
      <c r="X33" s="222">
        <v>50.024999999999999</v>
      </c>
      <c r="Y33" s="223">
        <f t="shared" si="27"/>
        <v>9.2849519743863393E-2</v>
      </c>
      <c r="Z33" s="224">
        <v>72.5</v>
      </c>
      <c r="AA33" s="92">
        <f t="shared" si="21"/>
        <v>0.12887828162291171</v>
      </c>
    </row>
    <row r="34" spans="15:42" ht="14.25" customHeight="1" x14ac:dyDescent="0.3">
      <c r="O34" s="180" t="str">
        <f>O22</f>
        <v>DynaMix</v>
      </c>
      <c r="P34" s="231">
        <v>66.25</v>
      </c>
      <c r="Q34" s="232">
        <f t="shared" si="23"/>
        <v>0.13730569948186527</v>
      </c>
      <c r="R34" s="233">
        <v>77.5</v>
      </c>
      <c r="S34" s="234">
        <f t="shared" si="24"/>
        <v>0.12653061224489795</v>
      </c>
      <c r="T34" s="234">
        <v>81.25</v>
      </c>
      <c r="U34" s="234">
        <f t="shared" si="25"/>
        <v>0.12357414448669202</v>
      </c>
      <c r="V34" s="234">
        <v>37.524999999999999</v>
      </c>
      <c r="W34" s="234">
        <f t="shared" si="26"/>
        <v>0.11072587784007082</v>
      </c>
      <c r="X34" s="234">
        <v>65</v>
      </c>
      <c r="Y34" s="235">
        <f t="shared" si="27"/>
        <v>0.12064405364020232</v>
      </c>
      <c r="Z34" s="236">
        <v>67.5</v>
      </c>
    </row>
    <row r="35" spans="15:42" ht="14.25" customHeight="1" x14ac:dyDescent="0.3">
      <c r="O35" s="102" t="s">
        <v>26</v>
      </c>
      <c r="P35" s="231">
        <f>AVERAGE(P26:P34)</f>
        <v>53.611111111111114</v>
      </c>
      <c r="Q35" s="232"/>
      <c r="R35" s="233">
        <f>AVERAGE(R26:R34)</f>
        <v>68.055555555555557</v>
      </c>
      <c r="S35" s="234"/>
      <c r="T35" s="234">
        <f>AVERAGE(T26:T34)</f>
        <v>73.055555555555557</v>
      </c>
      <c r="U35" s="234"/>
      <c r="V35" s="234">
        <f>AVERAGE(V26:V34)</f>
        <v>37.655555555555551</v>
      </c>
      <c r="W35" s="234"/>
      <c r="X35" s="234">
        <f>AVERAGE(X26:X34)</f>
        <v>59.863888888888887</v>
      </c>
      <c r="Y35" s="235"/>
      <c r="Z35" s="236">
        <f>AVERAGE(Z26:Z34)</f>
        <v>58.194444444444443</v>
      </c>
      <c r="AP35" s="2"/>
    </row>
    <row r="36" spans="15:42" ht="14.25" customHeight="1" x14ac:dyDescent="0.3">
      <c r="AP36" s="2"/>
    </row>
    <row r="37" spans="15:42" ht="14.25" customHeight="1" x14ac:dyDescent="0.3">
      <c r="Z37" s="6"/>
    </row>
    <row r="38" spans="15:42" ht="14.25" customHeight="1" x14ac:dyDescent="0.3">
      <c r="Z38" s="6"/>
    </row>
    <row r="39" spans="15:42" ht="14.25" customHeight="1" x14ac:dyDescent="0.3">
      <c r="Z39" s="6"/>
    </row>
    <row r="40" spans="15:42" ht="14.25" customHeight="1" x14ac:dyDescent="0.3">
      <c r="Z40" s="6"/>
    </row>
    <row r="41" spans="15:42" ht="14.25" customHeight="1" x14ac:dyDescent="0.3">
      <c r="Z41" s="6"/>
    </row>
    <row r="43" spans="15:42" ht="14.25" customHeight="1" x14ac:dyDescent="0.3">
      <c r="AD43" s="237"/>
    </row>
    <row r="44" spans="15:42" ht="14.25" customHeight="1" x14ac:dyDescent="0.3">
      <c r="AD44" s="237"/>
    </row>
    <row r="45" spans="15:42" ht="14.25" customHeight="1" x14ac:dyDescent="0.3">
      <c r="AD45" s="237"/>
    </row>
    <row r="46" spans="15:42" ht="14.25" customHeight="1" x14ac:dyDescent="0.3">
      <c r="AD46" s="237"/>
    </row>
  </sheetData>
  <mergeCells count="13">
    <mergeCell ref="D9:E9"/>
    <mergeCell ref="F9:G9"/>
    <mergeCell ref="AG10:AH10"/>
    <mergeCell ref="AG11:AH11"/>
    <mergeCell ref="B17:C17"/>
    <mergeCell ref="D17:E17"/>
    <mergeCell ref="F17:G17"/>
    <mergeCell ref="B25:C25"/>
    <mergeCell ref="D25:E25"/>
    <mergeCell ref="F25:G25"/>
    <mergeCell ref="B26:C26"/>
    <mergeCell ref="D26:E26"/>
    <mergeCell ref="F26:G26"/>
  </mergeCells>
  <hyperlinks>
    <hyperlink ref="AK2" r:id="rId1" xr:uid="{00000000-0004-0000-03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EY46"/>
  <sheetViews>
    <sheetView zoomScale="120" zoomScaleNormal="120" workbookViewId="0">
      <selection activeCell="P13" sqref="P13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74</v>
      </c>
      <c r="O1" s="13" t="s">
        <v>11</v>
      </c>
      <c r="P1" s="14" t="s">
        <v>12</v>
      </c>
      <c r="Q1" s="15">
        <f>SUM(P2:P10)</f>
        <v>783.37749524714832</v>
      </c>
      <c r="R1" s="16" t="s">
        <v>13</v>
      </c>
      <c r="S1" s="17">
        <f>SUM(R2:R10)</f>
        <v>885.3302905845992</v>
      </c>
      <c r="T1" s="18" t="s">
        <v>14</v>
      </c>
      <c r="U1" s="17">
        <f>SUM(T2:T10)</f>
        <v>895.93691336654024</v>
      </c>
      <c r="V1" s="18" t="s">
        <v>15</v>
      </c>
      <c r="W1" s="17">
        <f>SUM(V2:V10)</f>
        <v>889.21584364454441</v>
      </c>
      <c r="X1" s="19" t="s">
        <v>16</v>
      </c>
      <c r="Y1" s="20">
        <f>SUM(X2:X10)</f>
        <v>885.86793471664066</v>
      </c>
      <c r="Z1" s="21" t="s">
        <v>17</v>
      </c>
      <c r="AA1" s="22">
        <f>SUM(Z2:Z10)</f>
        <v>873.14945059686465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3.9418000000000002</v>
      </c>
      <c r="C2" s="28">
        <v>4.2667999999999999</v>
      </c>
      <c r="D2" s="28">
        <v>4.2586000000000004</v>
      </c>
      <c r="E2" s="28">
        <v>4.2721</v>
      </c>
      <c r="F2" s="28">
        <v>4.2773000000000003</v>
      </c>
      <c r="G2" s="28">
        <v>0</v>
      </c>
      <c r="H2" s="28">
        <v>4.2709000000000001</v>
      </c>
      <c r="I2" s="28">
        <v>4.2709000000000001</v>
      </c>
      <c r="J2" s="29">
        <v>4.2726749999999996</v>
      </c>
      <c r="K2" s="30"/>
      <c r="O2" s="31" t="str">
        <f>B1</f>
        <v>PyCaret</v>
      </c>
      <c r="P2" s="32">
        <f>100-ABS((($H10-B2)/($H10)))*100</f>
        <v>93.673954372623569</v>
      </c>
      <c r="Q2" s="33">
        <f t="shared" ref="Q2:Q10" si="0">P2/$Q$1</f>
        <v>0.11957703015590243</v>
      </c>
      <c r="R2" s="34">
        <f>100-ABS((($H11-B3)/($H11)))*100</f>
        <v>97.332259022940235</v>
      </c>
      <c r="S2" s="35">
        <f t="shared" ref="S2:S10" si="1">R2/$S$1</f>
        <v>0.10993892342559525</v>
      </c>
      <c r="T2" s="35">
        <f>100-ABS((($H12-B4)/($H12)))*100</f>
        <v>98.361958712175309</v>
      </c>
      <c r="U2" s="35">
        <f t="shared" ref="U2:U10" si="2">T2/$U$1</f>
        <v>0.10978670176963014</v>
      </c>
      <c r="V2" s="35">
        <f>100-ABS((($H13-B5)/($H13)))*100</f>
        <v>99.406074240719917</v>
      </c>
      <c r="W2" s="35">
        <f t="shared" ref="W2:W10" si="3">V2/$W$1</f>
        <v>0.11179071420195764</v>
      </c>
      <c r="X2" s="36">
        <f>100-ABS((($H14-B6)/($H14)))*100</f>
        <v>97.524415648322815</v>
      </c>
      <c r="Y2" s="37">
        <f t="shared" ref="Y2:Y10" si="4">X2/$Y$1</f>
        <v>0.11008911354209654</v>
      </c>
      <c r="Z2" s="38">
        <f>100-ABS((($H15-B7)/($H15)))*100</f>
        <v>93.696785560189838</v>
      </c>
      <c r="AA2" s="39">
        <f t="shared" ref="AA2:AA10" si="5">Z2/$AA$1</f>
        <v>0.10730898988270667</v>
      </c>
      <c r="AB2" s="23"/>
      <c r="AC2" s="40">
        <f t="shared" ref="AC2:AC10" si="6">(R2+T2+V2+X2)/4</f>
        <v>98.156176906039576</v>
      </c>
      <c r="AD2" s="41">
        <f t="shared" ref="AD2:AD10" si="7">(P2+R2+T2+V2+X2+Z2)/6</f>
        <v>96.66590792616195</v>
      </c>
      <c r="AE2" s="42" t="str">
        <f>IF($AC2=MAX(AC2:AC10),"TOP","")</f>
        <v/>
      </c>
      <c r="AG2" s="1" t="s">
        <v>33</v>
      </c>
      <c r="AH2" s="2"/>
      <c r="AI2" s="2"/>
      <c r="AK2" s="225" t="s">
        <v>42</v>
      </c>
    </row>
    <row r="3" spans="1:45" ht="14.4" x14ac:dyDescent="0.3">
      <c r="A3" s="43" t="s">
        <v>13</v>
      </c>
      <c r="B3" s="44">
        <v>48778.9084</v>
      </c>
      <c r="C3" s="45">
        <v>49094.967600000004</v>
      </c>
      <c r="D3" s="45">
        <v>48940.671199999997</v>
      </c>
      <c r="E3" s="45">
        <v>49938.347000000002</v>
      </c>
      <c r="F3" s="45">
        <v>49441.6371</v>
      </c>
      <c r="G3" s="45">
        <v>49589.874199999998</v>
      </c>
      <c r="H3" s="45">
        <v>49392.042500000003</v>
      </c>
      <c r="I3" s="45">
        <v>49417.799500000001</v>
      </c>
      <c r="J3" s="46">
        <v>49096.73</v>
      </c>
      <c r="K3" s="30"/>
      <c r="L3" s="47" t="s">
        <v>75</v>
      </c>
      <c r="O3" s="48" t="str">
        <f>C1</f>
        <v>ARIMAX</v>
      </c>
      <c r="P3" s="49">
        <f>100-ABS((($H10-C2)/($H10)))*100</f>
        <v>98.602661596958185</v>
      </c>
      <c r="Q3" s="50">
        <f t="shared" si="0"/>
        <v>0.12586864212361623</v>
      </c>
      <c r="R3" s="51">
        <f>100-ABS((($H11-C3)/($H11)))*100</f>
        <v>97.962915938603885</v>
      </c>
      <c r="S3" s="52">
        <f t="shared" si="1"/>
        <v>0.11065126425745271</v>
      </c>
      <c r="T3" s="52">
        <f>100-ABS((($H12-C4)/($H12)))*100</f>
        <v>99.625954407693825</v>
      </c>
      <c r="U3" s="52">
        <f t="shared" si="2"/>
        <v>0.11119751058514034</v>
      </c>
      <c r="V3" s="52">
        <f>100-ABS((($H13-C5)/($H13)))*100</f>
        <v>99.445444319460066</v>
      </c>
      <c r="W3" s="52">
        <f t="shared" si="3"/>
        <v>0.11183498925510872</v>
      </c>
      <c r="X3" s="53">
        <f>100-ABS((($H14-C6)/($H14)))*100</f>
        <v>99.448946116624285</v>
      </c>
      <c r="Y3" s="54">
        <f t="shared" si="4"/>
        <v>0.11226159365214483</v>
      </c>
      <c r="Z3" s="55">
        <f>100-ABS((($H15-C7)/($H15)))*100</f>
        <v>97.284912987199775</v>
      </c>
      <c r="AA3" s="39">
        <f t="shared" si="5"/>
        <v>0.11141839798524533</v>
      </c>
      <c r="AB3" s="23"/>
      <c r="AC3" s="56">
        <f t="shared" si="6"/>
        <v>99.120815195595526</v>
      </c>
      <c r="AD3" s="57">
        <f t="shared" si="7"/>
        <v>98.728472561089987</v>
      </c>
      <c r="AE3" s="42" t="str">
        <f>IF($AC3=MAX(AC2:AC10),"TOP","")</f>
        <v/>
      </c>
      <c r="AG3" s="76" t="s">
        <v>12</v>
      </c>
      <c r="AH3" s="270" t="s">
        <v>34</v>
      </c>
      <c r="AI3" s="271">
        <f>MAX(P2:P10)</f>
        <v>98.797528517110266</v>
      </c>
    </row>
    <row r="4" spans="1:45" ht="14.4" x14ac:dyDescent="0.3">
      <c r="A4" s="43" t="s">
        <v>14</v>
      </c>
      <c r="B4" s="58">
        <v>6818.7559000000001</v>
      </c>
      <c r="C4" s="59">
        <v>6906.38</v>
      </c>
      <c r="D4" s="59">
        <v>6902.0844999999999</v>
      </c>
      <c r="E4" s="59">
        <v>6905.4278000000004</v>
      </c>
      <c r="F4" s="59">
        <v>6957.6785</v>
      </c>
      <c r="G4" s="59">
        <v>6910.5639000000001</v>
      </c>
      <c r="H4" s="59">
        <v>6941.5072</v>
      </c>
      <c r="I4" s="59">
        <v>6945.1772000000001</v>
      </c>
      <c r="J4" s="60">
        <v>6916.4150390000004</v>
      </c>
      <c r="K4" s="30"/>
      <c r="O4" s="48" t="str">
        <f>D1</f>
        <v>PCE</v>
      </c>
      <c r="P4" s="49">
        <f>100-ABS((($H10-D2)/($H10)))*100</f>
        <v>98.797528517110266</v>
      </c>
      <c r="Q4" s="50">
        <f t="shared" si="0"/>
        <v>0.12611739438077751</v>
      </c>
      <c r="R4" s="51">
        <f>100-ABS((($H11-D3)/($H11)))*100</f>
        <v>97.655036618141111</v>
      </c>
      <c r="S4" s="52">
        <f t="shared" si="1"/>
        <v>0.11030350780572273</v>
      </c>
      <c r="T4" s="52">
        <f>100-ABS((($H12-D4)/($H12)))*100</f>
        <v>99.563990935200522</v>
      </c>
      <c r="U4" s="52">
        <f t="shared" si="2"/>
        <v>0.1111283500543386</v>
      </c>
      <c r="V4" s="52">
        <f>100-ABS((($H13-D5)/($H13)))*100</f>
        <v>97.286839145106867</v>
      </c>
      <c r="W4" s="52">
        <f t="shared" si="3"/>
        <v>0.10940745134091016</v>
      </c>
      <c r="X4" s="53">
        <f>100-ABS((($H14-D6)/($H14)))*100</f>
        <v>99.274239317641261</v>
      </c>
      <c r="Y4" s="54">
        <f t="shared" si="4"/>
        <v>0.11206437825226821</v>
      </c>
      <c r="Z4" s="55">
        <f>100-ABS((($H15-D7)/($H15)))*100</f>
        <v>97.877139364303162</v>
      </c>
      <c r="AA4" s="39">
        <f t="shared" si="5"/>
        <v>0.11209666260157024</v>
      </c>
      <c r="AB4" s="23"/>
      <c r="AC4" s="56">
        <f t="shared" si="6"/>
        <v>98.445026504022437</v>
      </c>
      <c r="AD4" s="57">
        <f t="shared" si="7"/>
        <v>98.409128982917196</v>
      </c>
      <c r="AE4" s="42" t="str">
        <f>IF($AC4=MAX(AC2:AC10),"TOP","")</f>
        <v/>
      </c>
      <c r="AG4" s="163" t="s">
        <v>13</v>
      </c>
      <c r="AH4" s="272" t="s">
        <v>35</v>
      </c>
      <c r="AI4" s="273">
        <f>MAX(R2:R10)</f>
        <v>99.645774881290095</v>
      </c>
    </row>
    <row r="5" spans="1:45" ht="14.4" x14ac:dyDescent="0.3">
      <c r="A5" s="43" t="s">
        <v>15</v>
      </c>
      <c r="B5" s="61">
        <v>17.8856</v>
      </c>
      <c r="C5" s="62">
        <v>17.6814</v>
      </c>
      <c r="D5" s="62">
        <v>18.2624</v>
      </c>
      <c r="E5" s="62">
        <v>17.621300000000002</v>
      </c>
      <c r="F5" s="62">
        <v>17.7819</v>
      </c>
      <c r="G5" s="62">
        <v>17.604399999999998</v>
      </c>
      <c r="H5" s="62">
        <v>17.765999999999998</v>
      </c>
      <c r="I5" s="62">
        <v>17.477699999999999</v>
      </c>
      <c r="J5" s="63">
        <v>17.201677</v>
      </c>
      <c r="K5" s="30"/>
      <c r="L5" s="1" t="s">
        <v>21</v>
      </c>
      <c r="O5" s="48" t="str">
        <f>E1</f>
        <v>LSTM</v>
      </c>
      <c r="P5" s="49">
        <f>100-ABS((($H10-E2)/($H10)))*100</f>
        <v>98.476711026615973</v>
      </c>
      <c r="Q5" s="50">
        <f t="shared" si="0"/>
        <v>0.12570786322569488</v>
      </c>
      <c r="R5" s="51">
        <f>100-ABS((($H11-E3)/($H11)))*100</f>
        <v>99.645774881290095</v>
      </c>
      <c r="S5" s="52">
        <f t="shared" si="1"/>
        <v>0.11255209037916486</v>
      </c>
      <c r="T5" s="52">
        <f>100-ABS((($H12-E4)/($H12)))*100</f>
        <v>99.612218726513959</v>
      </c>
      <c r="U5" s="52">
        <f t="shared" si="2"/>
        <v>0.11118217950437456</v>
      </c>
      <c r="V5" s="52">
        <f>100-ABS((($H13-E5)/($H13)))*100</f>
        <v>99.107424071991005</v>
      </c>
      <c r="W5" s="52">
        <f t="shared" si="3"/>
        <v>0.11145485629876863</v>
      </c>
      <c r="X5" s="53">
        <f>100-ABS((($H14-E6)/($H14)))*100</f>
        <v>97.544492741737059</v>
      </c>
      <c r="Y5" s="54">
        <f t="shared" si="4"/>
        <v>0.11011177729662183</v>
      </c>
      <c r="Z5" s="55">
        <f>100-ABS((($H15-E7)/($H15)))*100</f>
        <v>97.892168847979292</v>
      </c>
      <c r="AA5" s="39">
        <f t="shared" si="5"/>
        <v>0.11211387555825922</v>
      </c>
      <c r="AB5" s="23"/>
      <c r="AC5" s="56">
        <f t="shared" si="6"/>
        <v>98.977477605383029</v>
      </c>
      <c r="AD5" s="57">
        <f t="shared" si="7"/>
        <v>98.713131716021223</v>
      </c>
      <c r="AE5" s="42" t="str">
        <f>IF($AC5=MAX(AC2:AC10),"TOP","")</f>
        <v/>
      </c>
      <c r="AG5" s="43" t="s">
        <v>14</v>
      </c>
      <c r="AH5" s="274" t="s">
        <v>36</v>
      </c>
      <c r="AI5" s="275">
        <f>MAX(T2:T10)</f>
        <v>99.867328495119239</v>
      </c>
    </row>
    <row r="6" spans="1:45" ht="14.4" x14ac:dyDescent="0.3">
      <c r="A6" s="43" t="s">
        <v>16</v>
      </c>
      <c r="B6" s="64">
        <v>624.74239999999998</v>
      </c>
      <c r="C6" s="65">
        <v>613.0095</v>
      </c>
      <c r="D6" s="65">
        <v>614.07460000000003</v>
      </c>
      <c r="E6" s="65">
        <v>624.62</v>
      </c>
      <c r="F6" s="65">
        <v>621.3125</v>
      </c>
      <c r="G6" s="65">
        <v>621.3125</v>
      </c>
      <c r="H6" s="65">
        <v>619.03769999999997</v>
      </c>
      <c r="I6" s="65">
        <v>619.6354</v>
      </c>
      <c r="J6" s="66">
        <v>615.26153599999998</v>
      </c>
      <c r="K6" s="30"/>
      <c r="O6" s="48" t="str">
        <f>F1</f>
        <v>GARCH</v>
      </c>
      <c r="P6" s="49">
        <f>100-ABS((($H10-F2)/($H10)))*100</f>
        <v>98.353136882129277</v>
      </c>
      <c r="Q6" s="50">
        <f t="shared" si="0"/>
        <v>0.12555011789188528</v>
      </c>
      <c r="R6" s="51">
        <f>100-ABS((($H11-F3)/($H11)))*100</f>
        <v>98.654651909664537</v>
      </c>
      <c r="S6" s="52">
        <f t="shared" si="1"/>
        <v>0.11143259522332748</v>
      </c>
      <c r="T6" s="52">
        <f>100-ABS((($H12-F4)/($H12)))*100</f>
        <v>99.634054160878563</v>
      </c>
      <c r="U6" s="52">
        <f t="shared" si="2"/>
        <v>0.11120655112478538</v>
      </c>
      <c r="V6" s="52">
        <f>100-ABS((($H13-F5)/($H13)))*100</f>
        <v>99.989313835770531</v>
      </c>
      <c r="W6" s="52">
        <f t="shared" si="3"/>
        <v>0.11244661748935314</v>
      </c>
      <c r="X6" s="53">
        <f>100-ABS((($H14-F6)/($H14)))*100</f>
        <v>98.087017140982525</v>
      </c>
      <c r="Y6" s="54">
        <f t="shared" si="4"/>
        <v>0.11072419860456656</v>
      </c>
      <c r="Z6" s="55">
        <f>100-ABS((($H15-F7)/($H15)))*100</f>
        <v>97.681216740975117</v>
      </c>
      <c r="AA6" s="39">
        <f t="shared" si="5"/>
        <v>0.11187227647478047</v>
      </c>
      <c r="AB6" s="23"/>
      <c r="AC6" s="56">
        <f t="shared" si="6"/>
        <v>99.091259261824035</v>
      </c>
      <c r="AD6" s="57">
        <f t="shared" si="7"/>
        <v>98.733231778400111</v>
      </c>
      <c r="AE6" s="42" t="str">
        <f>IF($AC6=MAX(AC2:AC10),"TOP","")</f>
        <v/>
      </c>
      <c r="AG6" s="43" t="s">
        <v>15</v>
      </c>
      <c r="AH6" s="274" t="s">
        <v>37</v>
      </c>
      <c r="AI6" s="275">
        <f>MAX(V2:V10)</f>
        <v>99.989313835770531</v>
      </c>
    </row>
    <row r="7" spans="1:45" ht="14.4" x14ac:dyDescent="0.3">
      <c r="A7" s="67" t="s">
        <v>17</v>
      </c>
      <c r="B7" s="68">
        <v>260.58949999999999</v>
      </c>
      <c r="C7" s="69">
        <v>270.56880000000001</v>
      </c>
      <c r="D7" s="69">
        <v>272.21589999999998</v>
      </c>
      <c r="E7" s="69">
        <v>272.2577</v>
      </c>
      <c r="F7" s="69">
        <v>271.67099999999999</v>
      </c>
      <c r="G7" s="69">
        <v>271.67099999999999</v>
      </c>
      <c r="H7" s="69">
        <v>270.3741</v>
      </c>
      <c r="I7" s="69">
        <v>270.3741</v>
      </c>
      <c r="J7" s="70">
        <v>268.681152</v>
      </c>
      <c r="K7" s="30"/>
      <c r="O7" s="48" t="str">
        <f>G1</f>
        <v>VAR</v>
      </c>
      <c r="P7" s="49">
        <f>100-ABS((($H10-G2)/($H10)))*100</f>
        <v>0</v>
      </c>
      <c r="Q7" s="50">
        <f t="shared" si="0"/>
        <v>0</v>
      </c>
      <c r="R7" s="51">
        <f>100-ABS((($H11-G3)/($H11)))*100</f>
        <v>98.95044064884037</v>
      </c>
      <c r="S7" s="52">
        <f t="shared" si="1"/>
        <v>0.11176669509805391</v>
      </c>
      <c r="T7" s="52">
        <f>100-ABS((($H12-G4)/($H12)))*100</f>
        <v>99.6863080271944</v>
      </c>
      <c r="U7" s="52">
        <f t="shared" si="2"/>
        <v>0.11126487427849883</v>
      </c>
      <c r="V7" s="52">
        <f>100-ABS((($H13-G5)/($H13)))*100</f>
        <v>99.012373453318318</v>
      </c>
      <c r="W7" s="52">
        <f t="shared" si="3"/>
        <v>0.11134796367044666</v>
      </c>
      <c r="X7" s="53">
        <f>100-ABS((($H14-G6)/($H14)))*100</f>
        <v>98.087017140982525</v>
      </c>
      <c r="Y7" s="54">
        <f t="shared" si="4"/>
        <v>0.11072419860456656</v>
      </c>
      <c r="Z7" s="55">
        <f>100-ABS((($H15-G7)/($H15)))*100</f>
        <v>97.681216740975117</v>
      </c>
      <c r="AA7" s="39">
        <f t="shared" si="5"/>
        <v>0.11187227647478047</v>
      </c>
      <c r="AB7" s="23"/>
      <c r="AC7" s="56">
        <f t="shared" si="6"/>
        <v>98.934034817583907</v>
      </c>
      <c r="AD7" s="57">
        <f t="shared" si="7"/>
        <v>82.236226001885129</v>
      </c>
      <c r="AE7" s="42" t="str">
        <f>IF($AC7=MAX(AC2:AC10),"TOP","")</f>
        <v/>
      </c>
      <c r="AG7" s="174" t="s">
        <v>16</v>
      </c>
      <c r="AH7" s="276" t="s">
        <v>36</v>
      </c>
      <c r="AI7" s="277">
        <f>MAX(X2:X10)</f>
        <v>99.448946116624285</v>
      </c>
    </row>
    <row r="8" spans="1:45" ht="14.4" x14ac:dyDescent="0.3">
      <c r="O8" s="48" t="str">
        <f>H1</f>
        <v>RW</v>
      </c>
      <c r="P8" s="49">
        <f>100-ABS((($H10-H2)/($H10)))*100</f>
        <v>98.505228136882124</v>
      </c>
      <c r="Q8" s="50">
        <f t="shared" si="0"/>
        <v>0.12574426599503555</v>
      </c>
      <c r="R8" s="51">
        <f>100-ABS((($H11-H3)/($H11)))*100</f>
        <v>98.555692039268195</v>
      </c>
      <c r="S8" s="52">
        <f t="shared" si="1"/>
        <v>0.1113208178771226</v>
      </c>
      <c r="T8" s="52">
        <f>100-ABS((($H12-H4)/($H12)))*100</f>
        <v>99.867328495119239</v>
      </c>
      <c r="U8" s="52">
        <f t="shared" si="2"/>
        <v>0.11146692027663127</v>
      </c>
      <c r="V8" s="52">
        <f>100-ABS((($H13-H5)/($H13)))*100</f>
        <v>99.921259842519675</v>
      </c>
      <c r="W8" s="52">
        <f t="shared" si="3"/>
        <v>0.11237008489747766</v>
      </c>
      <c r="X8" s="53">
        <f>100-ABS((($H14-H6)/($H14)))*100</f>
        <v>98.460149265972277</v>
      </c>
      <c r="Y8" s="54">
        <f t="shared" si="4"/>
        <v>0.11114540374177373</v>
      </c>
      <c r="Z8" s="55">
        <f>100-ABS((($H15-H7)/($H15)))*100</f>
        <v>97.214907234287352</v>
      </c>
      <c r="AA8" s="39">
        <f t="shared" si="5"/>
        <v>0.11133822184487834</v>
      </c>
      <c r="AB8" s="23"/>
      <c r="AC8" s="56">
        <f t="shared" si="6"/>
        <v>99.201107410719857</v>
      </c>
      <c r="AD8" s="57">
        <f t="shared" si="7"/>
        <v>98.754094169008155</v>
      </c>
      <c r="AE8" s="42" t="str">
        <f>IF($AC8=MAX(AC2:AC10),"TOP","")</f>
        <v>TOP</v>
      </c>
      <c r="AG8" s="136" t="s">
        <v>17</v>
      </c>
      <c r="AH8" s="278" t="s">
        <v>38</v>
      </c>
      <c r="AI8" s="279">
        <f>MAX(Z2:Z10)</f>
        <v>97.892168847979292</v>
      </c>
    </row>
    <row r="9" spans="1:45" ht="15" x14ac:dyDescent="0.3">
      <c r="B9" s="258" t="s">
        <v>22</v>
      </c>
      <c r="C9" s="259" t="s">
        <v>23</v>
      </c>
      <c r="D9" s="1384" t="s">
        <v>21</v>
      </c>
      <c r="E9" s="1384"/>
      <c r="F9" s="1384" t="s">
        <v>24</v>
      </c>
      <c r="G9" s="1384"/>
      <c r="H9" s="73" t="s">
        <v>25</v>
      </c>
      <c r="K9" s="280"/>
      <c r="L9" s="281" t="str">
        <f>IF(M9&lt;25,L11,IF(M9&lt;45,L12,IF(M9&lt;55,L13,IF(M9&lt;75,L14,L15))))</f>
        <v>Fear</v>
      </c>
      <c r="M9" s="282">
        <v>41</v>
      </c>
      <c r="O9" s="48" t="str">
        <f>I1</f>
        <v>ETS</v>
      </c>
      <c r="P9" s="49">
        <f>100-ABS((($H10-I2)/($H10)))*100</f>
        <v>98.505228136882124</v>
      </c>
      <c r="Q9" s="50">
        <f t="shared" si="0"/>
        <v>0.12574426599503555</v>
      </c>
      <c r="R9" s="51">
        <f>100-ABS((($H11-I3)/($H11)))*100</f>
        <v>98.607086936732813</v>
      </c>
      <c r="S9" s="52">
        <f t="shared" si="1"/>
        <v>0.1113788695421466</v>
      </c>
      <c r="T9" s="52">
        <f>100-ABS((($H12-I4)/($H12)))*100</f>
        <v>99.814387988996458</v>
      </c>
      <c r="U9" s="52">
        <f t="shared" si="2"/>
        <v>0.11140783072988646</v>
      </c>
      <c r="V9" s="52">
        <f>100-ABS((($H13-I5)/($H13)))*100</f>
        <v>98.299775028121473</v>
      </c>
      <c r="W9" s="52">
        <f t="shared" si="3"/>
        <v>0.11054658520841187</v>
      </c>
      <c r="X9" s="53">
        <f>100-ABS((($H14-I6)/($H14)))*100</f>
        <v>98.362109407036826</v>
      </c>
      <c r="Y9" s="54">
        <f t="shared" si="4"/>
        <v>0.1110347327770697</v>
      </c>
      <c r="Z9" s="75">
        <f>100-ABS((($H15-I7)/($H15)))*100</f>
        <v>97.214907234287352</v>
      </c>
      <c r="AA9" s="39">
        <f t="shared" si="5"/>
        <v>0.11133822184487834</v>
      </c>
      <c r="AB9" s="23"/>
      <c r="AC9" s="56">
        <f t="shared" si="6"/>
        <v>98.770839840221896</v>
      </c>
      <c r="AD9" s="57">
        <f t="shared" si="7"/>
        <v>98.467249122009505</v>
      </c>
      <c r="AE9" s="42" t="str">
        <f>IF($AC9=MAX(AC2:AC10),"TOP","")</f>
        <v/>
      </c>
      <c r="AG9" s="2"/>
      <c r="AH9" s="2"/>
      <c r="AI9" s="199"/>
    </row>
    <row r="10" spans="1:45" ht="14.4" x14ac:dyDescent="0.3">
      <c r="A10" s="76" t="s">
        <v>12</v>
      </c>
      <c r="B10" s="260">
        <v>4.274</v>
      </c>
      <c r="C10" s="260">
        <v>4.2809999999999997</v>
      </c>
      <c r="D10" s="283">
        <f>(B2*Q26)+(C2*Q27)+(D2*Q28)+(E2*Q29)+(F2*Q30)+(G2*Q31)+(H2*Q32)+(I2*Q33)+(J2*Q34)</f>
        <v>4.2324417515274941</v>
      </c>
      <c r="E10" s="284">
        <f>D10/$H$10</f>
        <v>1.0058084010283967</v>
      </c>
      <c r="F10" s="285">
        <v>4.26508875739645</v>
      </c>
      <c r="G10" s="284">
        <f>F10/$H$10</f>
        <v>1.0135667199136049</v>
      </c>
      <c r="H10" s="82">
        <v>4.2080000000000002</v>
      </c>
      <c r="O10" s="84" t="str">
        <f>J1</f>
        <v>DynaMix</v>
      </c>
      <c r="P10" s="85">
        <f>100-ABS((($H10-J2)/($H10)))*100</f>
        <v>98.463046577946784</v>
      </c>
      <c r="Q10" s="86">
        <f t="shared" si="0"/>
        <v>0.12569042023205251</v>
      </c>
      <c r="R10" s="87">
        <f>100-ABS((($H11-J3)/($H11)))*100</f>
        <v>97.966432589117986</v>
      </c>
      <c r="S10" s="88">
        <f t="shared" si="1"/>
        <v>0.11065523639141391</v>
      </c>
      <c r="T10" s="88">
        <f>100-ABS((($H12-J4)/($H12)))*100</f>
        <v>99.770711912767894</v>
      </c>
      <c r="U10" s="88">
        <f t="shared" si="2"/>
        <v>0.11135908167671434</v>
      </c>
      <c r="V10" s="88">
        <f>100-ABS((($H13-J5)/($H13)))*100</f>
        <v>96.747339707536554</v>
      </c>
      <c r="W10" s="88">
        <f t="shared" si="3"/>
        <v>0.10880073763756551</v>
      </c>
      <c r="X10" s="89">
        <f>100-ABS((($H14-J6)/($H14)))*100</f>
        <v>99.079547937341104</v>
      </c>
      <c r="Y10" s="90">
        <f t="shared" si="4"/>
        <v>0.11184460352889206</v>
      </c>
      <c r="Z10" s="91">
        <f>100-ABS((($H15-J7)/($H15)))*100</f>
        <v>96.606195886667621</v>
      </c>
      <c r="AA10" s="92">
        <f t="shared" si="5"/>
        <v>0.11064107733290088</v>
      </c>
      <c r="AC10" s="93">
        <f t="shared" si="6"/>
        <v>98.391008036690891</v>
      </c>
      <c r="AD10" s="94">
        <f t="shared" si="7"/>
        <v>98.105545768562976</v>
      </c>
      <c r="AE10" s="42" t="str">
        <f>IF($AC10=MAX(AC2:AC10),"TOP","")</f>
        <v/>
      </c>
      <c r="AG10" s="1381" t="s">
        <v>39</v>
      </c>
      <c r="AH10" s="1381"/>
      <c r="AI10" s="203">
        <f>AVERAGE(AI4:AI7)</f>
        <v>99.737840832201044</v>
      </c>
    </row>
    <row r="11" spans="1:45" ht="15" customHeight="1" x14ac:dyDescent="0.3">
      <c r="A11" s="95" t="s">
        <v>13</v>
      </c>
      <c r="B11" s="261">
        <v>49240.99</v>
      </c>
      <c r="C11" s="261">
        <v>49406.65</v>
      </c>
      <c r="D11" s="286">
        <f>(B3*S26)+(C3*S27)+(D3*S28)+(E3*S29)+(F3*S30)+(G3*S31)+(H3*S32)+(I3*S33)+(J3*S34)</f>
        <v>49308.621527257521</v>
      </c>
      <c r="E11" s="287">
        <f>D11/$H$11</f>
        <v>0.98389235839380851</v>
      </c>
      <c r="F11" s="288">
        <v>49268.7429588015</v>
      </c>
      <c r="G11" s="287">
        <f>F11/$H$11</f>
        <v>0.98309663104325029</v>
      </c>
      <c r="H11" s="101">
        <v>50115.87</v>
      </c>
      <c r="J11" s="226" t="s">
        <v>43</v>
      </c>
      <c r="K11" s="227">
        <v>0</v>
      </c>
      <c r="L11" s="228" t="s">
        <v>44</v>
      </c>
      <c r="O11" s="102" t="s">
        <v>26</v>
      </c>
      <c r="P11" s="85">
        <f>SUM(P2:P10)/8</f>
        <v>97.92218690589354</v>
      </c>
      <c r="Q11" s="86"/>
      <c r="R11" s="87">
        <f>AVERAGE(R2:R10)</f>
        <v>98.370032287177693</v>
      </c>
      <c r="S11" s="88"/>
      <c r="T11" s="88">
        <f>AVERAGE(T2:T10)</f>
        <v>99.548545929615585</v>
      </c>
      <c r="U11" s="88"/>
      <c r="V11" s="88">
        <f>AVERAGE(V2:V10)</f>
        <v>98.801760404949377</v>
      </c>
      <c r="W11" s="88"/>
      <c r="X11" s="89">
        <f>AVERAGE(X2:X10)</f>
        <v>98.429770524071188</v>
      </c>
      <c r="Y11" s="90"/>
      <c r="Z11" s="91">
        <f>AVERAGE(Z2:Z10)</f>
        <v>97.01660562187385</v>
      </c>
      <c r="AG11" s="1383" t="s">
        <v>41</v>
      </c>
      <c r="AH11" s="1383"/>
      <c r="AI11" s="212">
        <f>AVERAGE(AI3:AI8)</f>
        <v>99.273510115648946</v>
      </c>
      <c r="AQ11" s="103"/>
      <c r="AS11" s="104" t="s">
        <v>27</v>
      </c>
    </row>
    <row r="12" spans="1:45" ht="15" x14ac:dyDescent="0.3">
      <c r="A12" s="105" t="s">
        <v>14</v>
      </c>
      <c r="B12" s="262">
        <v>6917.81</v>
      </c>
      <c r="C12" s="262">
        <v>6917.79</v>
      </c>
      <c r="D12" s="289">
        <f>(B4*U26)+(C4*U27)+(D4*U28)+(E4*U29)+(F4*U30)+(G4*U31)+(H4*U32)+(I4*U33)+(J4*U34)</f>
        <v>6912.2370646991603</v>
      </c>
      <c r="E12" s="290">
        <f>D12/$H$12</f>
        <v>0.99710443772698565</v>
      </c>
      <c r="F12" s="291">
        <v>6915.2440147329698</v>
      </c>
      <c r="G12" s="290">
        <f>F12/$H$12</f>
        <v>0.9975381964645218</v>
      </c>
      <c r="H12" s="111">
        <v>6932.31</v>
      </c>
      <c r="K12" s="227">
        <v>25</v>
      </c>
      <c r="L12" s="228" t="s">
        <v>45</v>
      </c>
      <c r="AQ12" s="103"/>
      <c r="AS12" s="103"/>
    </row>
    <row r="13" spans="1:45" ht="15" x14ac:dyDescent="0.3">
      <c r="A13" s="105" t="s">
        <v>15</v>
      </c>
      <c r="B13" s="262">
        <v>17.940000000000001</v>
      </c>
      <c r="C13" s="292">
        <v>16.34</v>
      </c>
      <c r="D13" s="289">
        <f>(B5*W26)+(C5*W27)+(D5*W28)+(E5*W29)+(F5*W30)+(G5*W31)+(H5*W32)+(I5*W33)+(J5*W34)</f>
        <v>17.713300275496554</v>
      </c>
      <c r="E13" s="290">
        <f>D13/$H$13</f>
        <v>0.99624860942050353</v>
      </c>
      <c r="F13" s="291">
        <v>17.864074536376599</v>
      </c>
      <c r="G13" s="290">
        <f>F13/$H$13</f>
        <v>1.0047286015959842</v>
      </c>
      <c r="H13" s="111">
        <v>17.78</v>
      </c>
      <c r="K13" s="227">
        <v>45</v>
      </c>
      <c r="L13" s="228" t="s">
        <v>46</v>
      </c>
      <c r="O13" s="13" t="s">
        <v>28</v>
      </c>
      <c r="P13" s="113" t="s">
        <v>12</v>
      </c>
      <c r="Q13" s="114">
        <f>SUM(P14:P22)</f>
        <v>505</v>
      </c>
      <c r="R13" s="115" t="s">
        <v>13</v>
      </c>
      <c r="S13" s="116">
        <f>SUM(R14:R22)</f>
        <v>610</v>
      </c>
      <c r="T13" s="117" t="s">
        <v>14</v>
      </c>
      <c r="U13" s="116">
        <f>SUM(T14:T22)</f>
        <v>800</v>
      </c>
      <c r="V13" s="117" t="s">
        <v>15</v>
      </c>
      <c r="W13" s="116">
        <f>SUM(V14:V22)</f>
        <v>675</v>
      </c>
      <c r="X13" s="117" t="s">
        <v>16</v>
      </c>
      <c r="Y13" s="20">
        <f>SUM(X14:X22)</f>
        <v>615</v>
      </c>
      <c r="Z13" s="118" t="s">
        <v>17</v>
      </c>
      <c r="AA13" s="22">
        <f>SUM(Z14:Z22)</f>
        <v>500</v>
      </c>
      <c r="AB13" s="23"/>
      <c r="AC13" s="24" t="s">
        <v>29</v>
      </c>
      <c r="AD13" s="119" t="s">
        <v>30</v>
      </c>
      <c r="AQ13" s="103"/>
      <c r="AS13" s="103"/>
    </row>
    <row r="14" spans="1:45" ht="15" x14ac:dyDescent="0.3">
      <c r="A14" s="120" t="s">
        <v>16</v>
      </c>
      <c r="B14" s="293">
        <v>616.52</v>
      </c>
      <c r="C14" s="294">
        <v>616.46</v>
      </c>
      <c r="D14" s="295">
        <f>(B6*Y26)+(C6*Y27)+(D6*Y28)+(E6*Y29)+(F6*Y30)+(G6*Y31)+(H6*Y32)+(I6*Y33)+(J6*Y34)</f>
        <v>619.29484494582744</v>
      </c>
      <c r="E14" s="296">
        <f>D14/$H$14</f>
        <v>1.0158202984430862</v>
      </c>
      <c r="F14" s="297">
        <v>617.58865800865794</v>
      </c>
      <c r="G14" s="296">
        <f>F14/$H$14</f>
        <v>1.0130216649038923</v>
      </c>
      <c r="H14" s="126">
        <v>609.65</v>
      </c>
      <c r="K14" s="227">
        <v>55</v>
      </c>
      <c r="L14" s="228" t="s">
        <v>47</v>
      </c>
      <c r="O14" s="127" t="str">
        <f t="shared" ref="O14:O22" si="8">O2</f>
        <v>PyCaret</v>
      </c>
      <c r="P14" s="128">
        <f t="shared" ref="P14:P22" si="9">IF(P2=0,0, LOOKUP(P2-0.000000000001,$AC$14:$AC$30,$AD$14:$AD$30))</f>
        <v>30</v>
      </c>
      <c r="Q14" s="129">
        <f t="shared" ref="Q14:Q22" si="10">P14/$Q$13</f>
        <v>5.9405940594059403E-2</v>
      </c>
      <c r="R14" s="130">
        <f t="shared" ref="R14:R22" si="11">IF(R2=0,0, LOOKUP(R2-0.000000000001,$AC$14:$AC$30,$AD$14:$AD$30))</f>
        <v>60</v>
      </c>
      <c r="S14" s="131">
        <f t="shared" ref="S14:S22" si="12">R14/$S$13</f>
        <v>9.8360655737704916E-2</v>
      </c>
      <c r="T14" s="131">
        <f t="shared" ref="T14:T22" si="13">IF(T2=0,0, LOOKUP(T2-0.000000000001,$AC$14:$AC$30,$AD$14:$AD$30))</f>
        <v>65</v>
      </c>
      <c r="U14" s="131">
        <f t="shared" ref="U14:U22" si="14">T14/$U$13</f>
        <v>8.1250000000000003E-2</v>
      </c>
      <c r="V14" s="131">
        <f t="shared" ref="V14:V22" si="15">IF(V2=0,0, LOOKUP(V2-0.000000000001,$AC$14:$AC$30,$AD$14:$AD$30))</f>
        <v>80</v>
      </c>
      <c r="W14" s="131">
        <f t="shared" ref="W14:W22" si="16">V14/$W$13</f>
        <v>0.11851851851851852</v>
      </c>
      <c r="X14" s="131">
        <f t="shared" ref="X14:X22" si="17">IF(X2=0,0, LOOKUP(X2-0.000000000001,$AC$14:$AC$30,$AD$14:$AD$30))</f>
        <v>60</v>
      </c>
      <c r="Y14" s="132">
        <f t="shared" ref="Y14:Y22" si="18">X14/$Y$13</f>
        <v>9.7560975609756101E-2</v>
      </c>
      <c r="Z14" s="133">
        <f t="shared" ref="Z14:Z22" si="19">IF(Z2=0,0, LOOKUP(Z2-0.000000000001,$AC$14:$AC$30,$AD$14:$AD$30))</f>
        <v>30</v>
      </c>
      <c r="AA14" s="134">
        <f t="shared" ref="AA14:AA22" si="20">Z14/$AA$13</f>
        <v>0.06</v>
      </c>
      <c r="AB14" s="23"/>
      <c r="AC14" s="40">
        <v>1</v>
      </c>
      <c r="AD14" s="135">
        <v>0.1</v>
      </c>
      <c r="AQ14" s="103"/>
      <c r="AS14" s="103"/>
    </row>
    <row r="15" spans="1:45" ht="15" x14ac:dyDescent="0.3">
      <c r="A15" s="136" t="s">
        <v>17</v>
      </c>
      <c r="B15" s="298">
        <v>269.48</v>
      </c>
      <c r="C15" s="299">
        <v>269.45999999999998</v>
      </c>
      <c r="D15" s="300">
        <f>(B7*AA25)+(C7*AA26)+(D7*AA27)+(E7*AA28)+(F7*AA29)+(G7*AA30)+(H7*AA31)+(I7*AA32)+(J7*AA33)</f>
        <v>269.80533539112054</v>
      </c>
      <c r="E15" s="301">
        <f>D15/$H$15</f>
        <v>0.97010403923170041</v>
      </c>
      <c r="F15" s="302">
        <v>270.804754098361</v>
      </c>
      <c r="G15" s="301">
        <f>F15/$H$15</f>
        <v>0.97369751941018623</v>
      </c>
      <c r="H15" s="142">
        <v>278.12</v>
      </c>
      <c r="K15" s="227">
        <v>75</v>
      </c>
      <c r="L15" s="228" t="s">
        <v>48</v>
      </c>
      <c r="O15" s="143" t="str">
        <f t="shared" si="8"/>
        <v>ARIMAX</v>
      </c>
      <c r="P15" s="144">
        <f t="shared" si="9"/>
        <v>70</v>
      </c>
      <c r="Q15" s="145">
        <f t="shared" si="10"/>
        <v>0.13861386138613863</v>
      </c>
      <c r="R15" s="146">
        <f t="shared" si="11"/>
        <v>60</v>
      </c>
      <c r="S15" s="147">
        <f t="shared" si="12"/>
        <v>9.8360655737704916E-2</v>
      </c>
      <c r="T15" s="147">
        <f t="shared" si="13"/>
        <v>90</v>
      </c>
      <c r="U15" s="147">
        <f t="shared" si="14"/>
        <v>0.1125</v>
      </c>
      <c r="V15" s="147">
        <f t="shared" si="15"/>
        <v>80</v>
      </c>
      <c r="W15" s="147">
        <f t="shared" si="16"/>
        <v>0.11851851851851852</v>
      </c>
      <c r="X15" s="147">
        <f t="shared" si="17"/>
        <v>80</v>
      </c>
      <c r="Y15" s="148">
        <f t="shared" si="18"/>
        <v>0.13008130081300814</v>
      </c>
      <c r="Z15" s="149">
        <f t="shared" si="19"/>
        <v>60</v>
      </c>
      <c r="AA15" s="134">
        <f t="shared" si="20"/>
        <v>0.12</v>
      </c>
      <c r="AB15" s="23"/>
      <c r="AC15" s="56">
        <v>80</v>
      </c>
      <c r="AD15" s="150">
        <v>1</v>
      </c>
      <c r="AQ15" s="103"/>
      <c r="AS15" s="103"/>
    </row>
    <row r="16" spans="1:45" ht="15" x14ac:dyDescent="0.3">
      <c r="G16" s="151"/>
      <c r="K16" s="8"/>
      <c r="O16" s="143" t="str">
        <f t="shared" si="8"/>
        <v>PCE</v>
      </c>
      <c r="P16" s="144">
        <f t="shared" si="9"/>
        <v>70</v>
      </c>
      <c r="Q16" s="145">
        <f t="shared" si="10"/>
        <v>0.13861386138613863</v>
      </c>
      <c r="R16" s="146">
        <f t="shared" si="11"/>
        <v>60</v>
      </c>
      <c r="S16" s="147">
        <f t="shared" si="12"/>
        <v>9.8360655737704916E-2</v>
      </c>
      <c r="T16" s="147">
        <f t="shared" si="13"/>
        <v>90</v>
      </c>
      <c r="U16" s="147">
        <f t="shared" si="14"/>
        <v>0.1125</v>
      </c>
      <c r="V16" s="147">
        <f t="shared" si="15"/>
        <v>60</v>
      </c>
      <c r="W16" s="147">
        <f t="shared" si="16"/>
        <v>8.8888888888888892E-2</v>
      </c>
      <c r="X16" s="147">
        <f t="shared" si="17"/>
        <v>80</v>
      </c>
      <c r="Y16" s="148">
        <f t="shared" si="18"/>
        <v>0.13008130081300814</v>
      </c>
      <c r="Z16" s="149">
        <f t="shared" si="19"/>
        <v>60</v>
      </c>
      <c r="AA16" s="134">
        <f t="shared" si="20"/>
        <v>0.12</v>
      </c>
      <c r="AB16" s="23"/>
      <c r="AC16" s="56">
        <v>82.5</v>
      </c>
      <c r="AD16" s="150">
        <v>2</v>
      </c>
      <c r="AQ16" s="103"/>
      <c r="AS16" s="103"/>
    </row>
    <row r="17" spans="1:43" ht="15" x14ac:dyDescent="0.3">
      <c r="A17" s="12" t="str">
        <f>F9</f>
        <v>LLM</v>
      </c>
      <c r="B17" s="1385" t="s">
        <v>31</v>
      </c>
      <c r="C17" s="1385"/>
      <c r="D17" s="1385">
        <v>85220</v>
      </c>
      <c r="E17" s="1385"/>
      <c r="F17" s="1385" t="s">
        <v>32</v>
      </c>
      <c r="G17" s="1385"/>
      <c r="H17" s="303"/>
      <c r="I17" s="304"/>
      <c r="J17" s="153"/>
      <c r="K17" s="152"/>
      <c r="L17" s="153"/>
      <c r="M17" s="154"/>
      <c r="O17" s="143" t="str">
        <f t="shared" si="8"/>
        <v>LSTM</v>
      </c>
      <c r="P17" s="144">
        <f t="shared" si="9"/>
        <v>65</v>
      </c>
      <c r="Q17" s="145">
        <f t="shared" si="10"/>
        <v>0.12871287128712872</v>
      </c>
      <c r="R17" s="146">
        <f t="shared" si="11"/>
        <v>90</v>
      </c>
      <c r="S17" s="147">
        <f t="shared" si="12"/>
        <v>0.14754098360655737</v>
      </c>
      <c r="T17" s="147">
        <f t="shared" si="13"/>
        <v>90</v>
      </c>
      <c r="U17" s="147">
        <f t="shared" si="14"/>
        <v>0.1125</v>
      </c>
      <c r="V17" s="147">
        <f t="shared" si="15"/>
        <v>75</v>
      </c>
      <c r="W17" s="147">
        <f t="shared" si="16"/>
        <v>0.1111111111111111</v>
      </c>
      <c r="X17" s="147">
        <f t="shared" si="17"/>
        <v>60</v>
      </c>
      <c r="Y17" s="148">
        <f t="shared" si="18"/>
        <v>9.7560975609756101E-2</v>
      </c>
      <c r="Z17" s="149">
        <f t="shared" si="19"/>
        <v>60</v>
      </c>
      <c r="AA17" s="134">
        <f t="shared" si="20"/>
        <v>0.12</v>
      </c>
      <c r="AB17" s="23"/>
      <c r="AC17" s="56">
        <v>85</v>
      </c>
      <c r="AD17" s="150">
        <v>5</v>
      </c>
      <c r="AQ17" s="103"/>
    </row>
    <row r="18" spans="1:43" ht="15" x14ac:dyDescent="0.3">
      <c r="A18" s="76" t="s">
        <v>12</v>
      </c>
      <c r="B18" s="155">
        <v>4.2300000000000004</v>
      </c>
      <c r="C18" s="156">
        <f>B18/$H$10</f>
        <v>1.0052281368821294</v>
      </c>
      <c r="D18" s="155">
        <v>4.2300000000000004</v>
      </c>
      <c r="E18" s="311">
        <f>D18/$H$10</f>
        <v>1.0052281368821294</v>
      </c>
      <c r="F18" s="155">
        <v>4.24</v>
      </c>
      <c r="G18" s="284">
        <f>F18/$H$10</f>
        <v>1.0076045627376427</v>
      </c>
      <c r="H18" s="305"/>
      <c r="I18" s="306"/>
      <c r="J18" s="307"/>
      <c r="K18" s="160"/>
      <c r="L18" s="161"/>
      <c r="M18" s="162"/>
      <c r="O18" s="143" t="str">
        <f t="shared" si="8"/>
        <v>GARCH</v>
      </c>
      <c r="P18" s="144">
        <f t="shared" si="9"/>
        <v>65</v>
      </c>
      <c r="Q18" s="145">
        <f t="shared" si="10"/>
        <v>0.12871287128712872</v>
      </c>
      <c r="R18" s="146">
        <f t="shared" si="11"/>
        <v>70</v>
      </c>
      <c r="S18" s="147">
        <f t="shared" si="12"/>
        <v>0.11475409836065574</v>
      </c>
      <c r="T18" s="147">
        <f t="shared" si="13"/>
        <v>90</v>
      </c>
      <c r="U18" s="147">
        <f t="shared" si="14"/>
        <v>0.1125</v>
      </c>
      <c r="V18" s="147">
        <f t="shared" si="15"/>
        <v>95</v>
      </c>
      <c r="W18" s="147">
        <f t="shared" si="16"/>
        <v>0.14074074074074075</v>
      </c>
      <c r="X18" s="147">
        <f t="shared" si="17"/>
        <v>65</v>
      </c>
      <c r="Y18" s="148">
        <f t="shared" si="18"/>
        <v>0.10569105691056911</v>
      </c>
      <c r="Z18" s="149">
        <f t="shared" si="19"/>
        <v>60</v>
      </c>
      <c r="AA18" s="134">
        <f t="shared" si="20"/>
        <v>0.12</v>
      </c>
      <c r="AB18" s="23"/>
      <c r="AC18" s="56">
        <v>87.5</v>
      </c>
      <c r="AD18" s="150">
        <v>10</v>
      </c>
      <c r="AQ18" s="103"/>
    </row>
    <row r="19" spans="1:43" ht="15" x14ac:dyDescent="0.3">
      <c r="A19" s="163" t="s">
        <v>13</v>
      </c>
      <c r="B19" s="164">
        <v>49305</v>
      </c>
      <c r="C19" s="165">
        <f>B19/$H$11</f>
        <v>0.98382009531112591</v>
      </c>
      <c r="D19" s="164">
        <v>49341</v>
      </c>
      <c r="E19" s="312">
        <f>D19/$H$11</f>
        <v>0.98453843064083291</v>
      </c>
      <c r="F19" s="164">
        <v>49272</v>
      </c>
      <c r="G19" s="287">
        <f>F19/$H$11</f>
        <v>0.98316162125889461</v>
      </c>
      <c r="H19" s="305"/>
      <c r="I19" s="308"/>
      <c r="J19" s="307"/>
      <c r="K19" s="160"/>
      <c r="L19" s="161"/>
      <c r="M19" s="162"/>
      <c r="O19" s="143" t="str">
        <f t="shared" si="8"/>
        <v>VAR</v>
      </c>
      <c r="P19" s="144">
        <f t="shared" si="9"/>
        <v>0</v>
      </c>
      <c r="Q19" s="145">
        <f t="shared" si="10"/>
        <v>0</v>
      </c>
      <c r="R19" s="146">
        <f t="shared" si="11"/>
        <v>70</v>
      </c>
      <c r="S19" s="147">
        <f t="shared" si="12"/>
        <v>0.11475409836065574</v>
      </c>
      <c r="T19" s="147">
        <f t="shared" si="13"/>
        <v>90</v>
      </c>
      <c r="U19" s="147">
        <f t="shared" si="14"/>
        <v>0.1125</v>
      </c>
      <c r="V19" s="147">
        <f t="shared" si="15"/>
        <v>75</v>
      </c>
      <c r="W19" s="147">
        <f t="shared" si="16"/>
        <v>0.1111111111111111</v>
      </c>
      <c r="X19" s="147">
        <f t="shared" si="17"/>
        <v>65</v>
      </c>
      <c r="Y19" s="148">
        <f t="shared" si="18"/>
        <v>0.10569105691056911</v>
      </c>
      <c r="Z19" s="149">
        <f t="shared" si="19"/>
        <v>60</v>
      </c>
      <c r="AA19" s="134">
        <f t="shared" si="20"/>
        <v>0.12</v>
      </c>
      <c r="AB19" s="23"/>
      <c r="AC19" s="56">
        <v>90</v>
      </c>
      <c r="AD19" s="150">
        <v>20</v>
      </c>
      <c r="AK19" s="6"/>
      <c r="AQ19" s="103"/>
    </row>
    <row r="20" spans="1:43" ht="14.4" x14ac:dyDescent="0.3">
      <c r="A20" s="43" t="s">
        <v>14</v>
      </c>
      <c r="B20" s="169">
        <v>7000</v>
      </c>
      <c r="C20" s="170">
        <f>B20/$H$12</f>
        <v>1.0097644219603565</v>
      </c>
      <c r="D20" s="169">
        <v>7005</v>
      </c>
      <c r="E20" s="313">
        <f>D20/$H$12</f>
        <v>1.0104856822617569</v>
      </c>
      <c r="F20" s="169">
        <v>6995</v>
      </c>
      <c r="G20" s="290">
        <f>F20/$H$12</f>
        <v>1.0090431616589564</v>
      </c>
      <c r="H20" s="305"/>
      <c r="I20" s="308"/>
      <c r="J20" s="307"/>
      <c r="K20" s="160"/>
      <c r="L20" s="161"/>
      <c r="M20" s="162"/>
      <c r="O20" s="143" t="str">
        <f t="shared" si="8"/>
        <v>RW</v>
      </c>
      <c r="P20" s="144">
        <f t="shared" si="9"/>
        <v>70</v>
      </c>
      <c r="Q20" s="145">
        <f t="shared" si="10"/>
        <v>0.13861386138613863</v>
      </c>
      <c r="R20" s="146">
        <f t="shared" si="11"/>
        <v>70</v>
      </c>
      <c r="S20" s="147">
        <f t="shared" si="12"/>
        <v>0.11475409836065574</v>
      </c>
      <c r="T20" s="147">
        <f t="shared" si="13"/>
        <v>95</v>
      </c>
      <c r="U20" s="147">
        <f t="shared" si="14"/>
        <v>0.11874999999999999</v>
      </c>
      <c r="V20" s="147">
        <f t="shared" si="15"/>
        <v>95</v>
      </c>
      <c r="W20" s="147">
        <f t="shared" si="16"/>
        <v>0.14074074074074075</v>
      </c>
      <c r="X20" s="147">
        <f t="shared" si="17"/>
        <v>65</v>
      </c>
      <c r="Y20" s="148">
        <f t="shared" si="18"/>
        <v>0.10569105691056911</v>
      </c>
      <c r="Z20" s="149">
        <f t="shared" si="19"/>
        <v>60</v>
      </c>
      <c r="AA20" s="134">
        <f t="shared" si="20"/>
        <v>0.12</v>
      </c>
      <c r="AB20" s="23"/>
      <c r="AC20" s="56">
        <v>92.5</v>
      </c>
      <c r="AD20" s="150">
        <v>30</v>
      </c>
    </row>
    <row r="21" spans="1:43" ht="14.4" x14ac:dyDescent="0.3">
      <c r="A21" s="43" t="s">
        <v>15</v>
      </c>
      <c r="B21" s="169">
        <v>15.5</v>
      </c>
      <c r="C21" s="170">
        <f>B21/$H$13</f>
        <v>0.87176602924634417</v>
      </c>
      <c r="D21" s="169">
        <v>15.9</v>
      </c>
      <c r="E21" s="313">
        <f>D21/$H$13</f>
        <v>0.89426321709786272</v>
      </c>
      <c r="F21" s="169">
        <v>16.52</v>
      </c>
      <c r="G21" s="290">
        <f>F21/$H$13</f>
        <v>0.92913385826771644</v>
      </c>
      <c r="H21" s="305"/>
      <c r="I21" s="306"/>
      <c r="J21" s="307"/>
      <c r="K21" s="160"/>
      <c r="L21" s="161"/>
      <c r="M21" s="162"/>
      <c r="O21" s="143" t="str">
        <f t="shared" si="8"/>
        <v>ETS</v>
      </c>
      <c r="P21" s="144">
        <f t="shared" si="9"/>
        <v>70</v>
      </c>
      <c r="Q21" s="145">
        <f t="shared" si="10"/>
        <v>0.13861386138613863</v>
      </c>
      <c r="R21" s="146">
        <f t="shared" si="11"/>
        <v>70</v>
      </c>
      <c r="S21" s="147">
        <f t="shared" si="12"/>
        <v>0.11475409836065574</v>
      </c>
      <c r="T21" s="147">
        <f t="shared" si="13"/>
        <v>95</v>
      </c>
      <c r="U21" s="147">
        <f t="shared" si="14"/>
        <v>0.11874999999999999</v>
      </c>
      <c r="V21" s="147">
        <f t="shared" si="15"/>
        <v>65</v>
      </c>
      <c r="W21" s="147">
        <f t="shared" si="16"/>
        <v>9.6296296296296297E-2</v>
      </c>
      <c r="X21" s="147">
        <f t="shared" si="17"/>
        <v>65</v>
      </c>
      <c r="Y21" s="148">
        <f t="shared" si="18"/>
        <v>0.10569105691056911</v>
      </c>
      <c r="Z21" s="149">
        <f t="shared" si="19"/>
        <v>60</v>
      </c>
      <c r="AA21" s="134">
        <f t="shared" si="20"/>
        <v>0.12</v>
      </c>
      <c r="AC21" s="56">
        <v>95</v>
      </c>
      <c r="AD21" s="150">
        <v>40</v>
      </c>
    </row>
    <row r="22" spans="1:43" ht="14.4" x14ac:dyDescent="0.3">
      <c r="A22" s="174" t="s">
        <v>16</v>
      </c>
      <c r="B22" s="175">
        <v>635.29999999999995</v>
      </c>
      <c r="C22" s="176">
        <f>B22/$H$14</f>
        <v>1.0420733207578119</v>
      </c>
      <c r="D22" s="175">
        <v>637.5</v>
      </c>
      <c r="E22" s="314">
        <f>D22/$H$14</f>
        <v>1.0456819486590667</v>
      </c>
      <c r="F22" s="175">
        <v>635.20000000000005</v>
      </c>
      <c r="G22" s="296">
        <f>F22/$H$14</f>
        <v>1.0419092922168458</v>
      </c>
      <c r="H22" s="305"/>
      <c r="I22" s="309"/>
      <c r="J22" s="307"/>
      <c r="K22" s="160"/>
      <c r="L22" s="161"/>
      <c r="M22" s="162"/>
      <c r="O22" s="180" t="str">
        <f t="shared" si="8"/>
        <v>DynaMix</v>
      </c>
      <c r="P22" s="181">
        <f t="shared" si="9"/>
        <v>65</v>
      </c>
      <c r="Q22" s="182">
        <f t="shared" si="10"/>
        <v>0.12871287128712872</v>
      </c>
      <c r="R22" s="183">
        <f t="shared" si="11"/>
        <v>60</v>
      </c>
      <c r="S22" s="184">
        <f t="shared" si="12"/>
        <v>9.8360655737704916E-2</v>
      </c>
      <c r="T22" s="184">
        <f t="shared" si="13"/>
        <v>95</v>
      </c>
      <c r="U22" s="184">
        <f t="shared" si="14"/>
        <v>0.11874999999999999</v>
      </c>
      <c r="V22" s="184">
        <f t="shared" si="15"/>
        <v>50</v>
      </c>
      <c r="W22" s="184">
        <f t="shared" si="16"/>
        <v>7.407407407407407E-2</v>
      </c>
      <c r="X22" s="184">
        <f t="shared" si="17"/>
        <v>75</v>
      </c>
      <c r="Y22" s="185">
        <f t="shared" si="18"/>
        <v>0.12195121951219512</v>
      </c>
      <c r="Z22" s="186">
        <f t="shared" si="19"/>
        <v>50</v>
      </c>
      <c r="AA22" s="187">
        <f t="shared" si="20"/>
        <v>0.1</v>
      </c>
      <c r="AB22" s="23"/>
      <c r="AC22" s="56">
        <v>96</v>
      </c>
      <c r="AD22" s="150">
        <v>50</v>
      </c>
    </row>
    <row r="23" spans="1:43" ht="14.4" x14ac:dyDescent="0.3">
      <c r="A23" s="136" t="s">
        <v>17</v>
      </c>
      <c r="B23" s="188">
        <v>261</v>
      </c>
      <c r="C23" s="189">
        <f>B23/$H$15</f>
        <v>0.93844383719257873</v>
      </c>
      <c r="D23" s="188">
        <v>261.3</v>
      </c>
      <c r="E23" s="315">
        <f>D23/$H$15</f>
        <v>0.93952250826981165</v>
      </c>
      <c r="F23" s="188">
        <v>259.39999999999998</v>
      </c>
      <c r="G23" s="301">
        <f>F23/$H$15</f>
        <v>0.93269092478067017</v>
      </c>
      <c r="H23" s="305"/>
      <c r="I23" s="309"/>
      <c r="J23" s="307"/>
      <c r="K23" s="160"/>
      <c r="L23" s="161"/>
      <c r="M23" s="162"/>
      <c r="O23" s="102" t="s">
        <v>26</v>
      </c>
      <c r="P23" s="193">
        <f>AVERAGE(P14:P22)</f>
        <v>56.111111111111114</v>
      </c>
      <c r="Q23" s="194"/>
      <c r="R23" s="195">
        <f>AVERAGE(R14:R22)</f>
        <v>67.777777777777771</v>
      </c>
      <c r="S23" s="196"/>
      <c r="T23" s="196">
        <f>AVERAGE(T14:T22)</f>
        <v>88.888888888888886</v>
      </c>
      <c r="U23" s="196"/>
      <c r="V23" s="196">
        <f>AVERAGE(V14:V22)</f>
        <v>75</v>
      </c>
      <c r="W23" s="196"/>
      <c r="X23" s="196">
        <f>AVERAGE(X14:X22)</f>
        <v>68.333333333333329</v>
      </c>
      <c r="Y23" s="197"/>
      <c r="Z23" s="198">
        <f>AVERAGE(Z14:Z22)</f>
        <v>55.555555555555557</v>
      </c>
      <c r="AC23" s="56">
        <v>97</v>
      </c>
      <c r="AD23" s="150">
        <v>60</v>
      </c>
    </row>
    <row r="24" spans="1:43" ht="14.4" x14ac:dyDescent="0.3">
      <c r="H24" s="310"/>
      <c r="I24" s="303"/>
      <c r="K24" s="200"/>
      <c r="L24" s="201"/>
      <c r="AA24" s="22">
        <f>SUM(Z26:Z34)</f>
        <v>591.25</v>
      </c>
      <c r="AB24" s="23"/>
      <c r="AC24" s="56">
        <v>98</v>
      </c>
      <c r="AD24" s="150">
        <v>65</v>
      </c>
    </row>
    <row r="25" spans="1:43" ht="14.4" x14ac:dyDescent="0.3">
      <c r="A25" s="202" t="str">
        <f>AC1</f>
        <v>AVR-4</v>
      </c>
      <c r="B25" s="1380">
        <f t="array" ref="B25">SUM(C19:C22/4)</f>
        <v>0.97685596681890963</v>
      </c>
      <c r="C25" s="1380"/>
      <c r="D25" s="1380">
        <f t="array" ref="D25">SUM(E19:E22/4)</f>
        <v>0.98374231966487979</v>
      </c>
      <c r="E25" s="1380"/>
      <c r="F25" s="1380">
        <f t="array" ref="F25">SUM(G19:G22/4)</f>
        <v>0.99081198335060328</v>
      </c>
      <c r="G25" s="1380"/>
      <c r="O25" s="13" t="s">
        <v>40</v>
      </c>
      <c r="P25" s="204" t="s">
        <v>12</v>
      </c>
      <c r="Q25" s="205">
        <f>SUM(P26:P34)</f>
        <v>613.75</v>
      </c>
      <c r="R25" s="206" t="s">
        <v>13</v>
      </c>
      <c r="S25" s="207">
        <f>SUM(R26:R34)</f>
        <v>747.5</v>
      </c>
      <c r="T25" s="208" t="s">
        <v>14</v>
      </c>
      <c r="U25" s="207">
        <f>SUM(T26:T34)</f>
        <v>743.75</v>
      </c>
      <c r="V25" s="208" t="s">
        <v>15</v>
      </c>
      <c r="W25" s="207">
        <f>SUM(V26:V34)</f>
        <v>242.92500000000001</v>
      </c>
      <c r="X25" s="208" t="s">
        <v>16</v>
      </c>
      <c r="Y25" s="209">
        <f>SUM(X26:X34)</f>
        <v>643.77499999999998</v>
      </c>
      <c r="Z25" s="210" t="s">
        <v>17</v>
      </c>
      <c r="AA25" s="39">
        <f t="shared" ref="AA25:AA33" si="21">Z26/$AA$24</f>
        <v>0.11839323467230443</v>
      </c>
      <c r="AB25" s="23"/>
      <c r="AC25" s="56">
        <v>98.5</v>
      </c>
      <c r="AD25" s="150">
        <v>70</v>
      </c>
    </row>
    <row r="26" spans="1:43" ht="14.4" x14ac:dyDescent="0.3">
      <c r="A26" s="211" t="str">
        <f>AD1</f>
        <v>AVR-6</v>
      </c>
      <c r="B26" s="1382">
        <f t="array" ref="B26">SUM(C18:C23/6)</f>
        <v>0.97518264022505774</v>
      </c>
      <c r="C26" s="1382"/>
      <c r="D26" s="1382">
        <f t="array" ref="D26">SUM(E18:E23/6)</f>
        <v>0.97995332063524343</v>
      </c>
      <c r="E26" s="1382"/>
      <c r="F26" s="1382">
        <f t="array" ref="F26">SUM(G18:G23/6)</f>
        <v>0.98392390348678771</v>
      </c>
      <c r="G26" s="1382"/>
      <c r="O26" s="127" t="str">
        <f t="shared" ref="O26:O33" si="22">O2</f>
        <v>PyCaret</v>
      </c>
      <c r="P26" s="213">
        <v>70</v>
      </c>
      <c r="Q26" s="214">
        <f t="shared" ref="Q26:Q34" si="23">P26/$Q$25</f>
        <v>0.11405295315682282</v>
      </c>
      <c r="R26" s="215">
        <v>63.75</v>
      </c>
      <c r="S26" s="216">
        <f t="shared" ref="S26:S34" si="24">R26/$S$25</f>
        <v>8.5284280936454848E-2</v>
      </c>
      <c r="T26" s="216">
        <v>78.75</v>
      </c>
      <c r="U26" s="216">
        <f t="shared" ref="U26:U34" si="25">T26/$U$25</f>
        <v>0.10588235294117647</v>
      </c>
      <c r="V26" s="216">
        <v>31.3</v>
      </c>
      <c r="W26" s="216">
        <f t="shared" ref="W26:W34" si="26">V26/$W$25</f>
        <v>0.12884635175465678</v>
      </c>
      <c r="X26" s="216">
        <v>76.25</v>
      </c>
      <c r="Y26" s="217">
        <f t="shared" ref="Y26:Y34" si="27">X26/$Y$25</f>
        <v>0.11844200225233972</v>
      </c>
      <c r="Z26" s="218">
        <v>70</v>
      </c>
      <c r="AA26" s="39">
        <f t="shared" si="21"/>
        <v>0.12684989429175475</v>
      </c>
      <c r="AB26" s="23"/>
      <c r="AC26" s="56">
        <v>99</v>
      </c>
      <c r="AD26" s="150">
        <v>75</v>
      </c>
    </row>
    <row r="27" spans="1:43" ht="14.4" x14ac:dyDescent="0.3">
      <c r="O27" s="143" t="str">
        <f t="shared" si="22"/>
        <v>ARIMAX</v>
      </c>
      <c r="P27" s="219">
        <v>78.75</v>
      </c>
      <c r="Q27" s="220">
        <f t="shared" si="23"/>
        <v>0.12830957230142567</v>
      </c>
      <c r="R27" s="221">
        <v>85</v>
      </c>
      <c r="S27" s="222">
        <f t="shared" si="24"/>
        <v>0.11371237458193979</v>
      </c>
      <c r="T27" s="222">
        <v>81.25</v>
      </c>
      <c r="U27" s="222">
        <f t="shared" si="25"/>
        <v>0.1092436974789916</v>
      </c>
      <c r="V27" s="222">
        <v>22.524999999999999</v>
      </c>
      <c r="W27" s="222">
        <f t="shared" si="26"/>
        <v>9.2724091797879993E-2</v>
      </c>
      <c r="X27" s="222">
        <v>73.75</v>
      </c>
      <c r="Y27" s="223">
        <f t="shared" si="27"/>
        <v>0.11455865791619743</v>
      </c>
      <c r="Z27" s="224">
        <v>75</v>
      </c>
      <c r="AA27" s="39">
        <f t="shared" si="21"/>
        <v>0.13530655391120508</v>
      </c>
      <c r="AB27" s="23"/>
      <c r="AC27" s="56">
        <v>99.25</v>
      </c>
      <c r="AD27" s="150">
        <v>80</v>
      </c>
      <c r="AF27" s="2"/>
    </row>
    <row r="28" spans="1:43" ht="14.25" customHeight="1" x14ac:dyDescent="0.3">
      <c r="O28" s="143" t="str">
        <f t="shared" si="22"/>
        <v>PCE</v>
      </c>
      <c r="P28" s="219">
        <v>78.75</v>
      </c>
      <c r="Q28" s="220">
        <f t="shared" si="23"/>
        <v>0.12830957230142567</v>
      </c>
      <c r="R28" s="221">
        <v>90</v>
      </c>
      <c r="S28" s="222">
        <f t="shared" si="24"/>
        <v>0.12040133779264214</v>
      </c>
      <c r="T28" s="222">
        <v>82.5</v>
      </c>
      <c r="U28" s="222">
        <f t="shared" si="25"/>
        <v>0.11092436974789915</v>
      </c>
      <c r="V28" s="222">
        <v>34</v>
      </c>
      <c r="W28" s="222">
        <f t="shared" si="26"/>
        <v>0.13996089327981887</v>
      </c>
      <c r="X28" s="222">
        <v>75</v>
      </c>
      <c r="Y28" s="223">
        <f t="shared" si="27"/>
        <v>0.11650033008426858</v>
      </c>
      <c r="Z28" s="224">
        <v>80</v>
      </c>
      <c r="AA28" s="39">
        <f t="shared" si="21"/>
        <v>9.3023255813953487E-2</v>
      </c>
      <c r="AB28" s="23"/>
      <c r="AC28" s="56">
        <v>99.5</v>
      </c>
      <c r="AD28" s="150">
        <v>90</v>
      </c>
      <c r="AK28" s="6"/>
    </row>
    <row r="29" spans="1:43" ht="14.25" customHeight="1" x14ac:dyDescent="0.3">
      <c r="O29" s="143" t="str">
        <f t="shared" si="22"/>
        <v>LSTM</v>
      </c>
      <c r="P29" s="219">
        <v>73.75</v>
      </c>
      <c r="Q29" s="220">
        <f t="shared" si="23"/>
        <v>0.12016293279022404</v>
      </c>
      <c r="R29" s="221">
        <v>82.5</v>
      </c>
      <c r="S29" s="222">
        <f t="shared" si="24"/>
        <v>0.11036789297658862</v>
      </c>
      <c r="T29" s="222">
        <v>87.5</v>
      </c>
      <c r="U29" s="222">
        <f t="shared" si="25"/>
        <v>0.11764705882352941</v>
      </c>
      <c r="V29" s="222">
        <v>28.75</v>
      </c>
      <c r="W29" s="222">
        <f t="shared" si="26"/>
        <v>0.11834928475867036</v>
      </c>
      <c r="X29" s="222">
        <v>72.5</v>
      </c>
      <c r="Y29" s="223">
        <f t="shared" si="27"/>
        <v>0.11261698574812629</v>
      </c>
      <c r="Z29" s="224">
        <v>55</v>
      </c>
      <c r="AA29" s="39">
        <f t="shared" si="21"/>
        <v>0.10993657505285412</v>
      </c>
      <c r="AB29" s="23"/>
      <c r="AC29" s="56">
        <v>99.75</v>
      </c>
      <c r="AD29" s="150">
        <v>95</v>
      </c>
    </row>
    <row r="30" spans="1:43" ht="14.25" customHeight="1" x14ac:dyDescent="0.3">
      <c r="M30" s="8"/>
      <c r="O30" s="143" t="str">
        <f t="shared" si="22"/>
        <v>GARCH</v>
      </c>
      <c r="P30" s="219">
        <v>80</v>
      </c>
      <c r="Q30" s="220">
        <f t="shared" si="23"/>
        <v>0.13034623217922606</v>
      </c>
      <c r="R30" s="221">
        <v>85</v>
      </c>
      <c r="S30" s="222">
        <f t="shared" si="24"/>
        <v>0.11371237458193979</v>
      </c>
      <c r="T30" s="222">
        <v>85</v>
      </c>
      <c r="U30" s="222">
        <f t="shared" si="25"/>
        <v>0.11428571428571428</v>
      </c>
      <c r="V30" s="222">
        <v>25</v>
      </c>
      <c r="W30" s="222">
        <f t="shared" si="26"/>
        <v>0.10291242152927858</v>
      </c>
      <c r="X30" s="222">
        <v>81.25</v>
      </c>
      <c r="Y30" s="223">
        <f t="shared" si="27"/>
        <v>0.12620869092462428</v>
      </c>
      <c r="Z30" s="224">
        <v>65</v>
      </c>
      <c r="AA30" s="39">
        <f t="shared" si="21"/>
        <v>0.1226215644820296</v>
      </c>
      <c r="AB30" s="23"/>
      <c r="AC30" s="93">
        <v>99.99</v>
      </c>
      <c r="AD30" s="229">
        <v>100</v>
      </c>
    </row>
    <row r="31" spans="1:43" ht="14.25" customHeight="1" x14ac:dyDescent="0.3">
      <c r="O31" s="143" t="str">
        <f t="shared" si="22"/>
        <v>VAR</v>
      </c>
      <c r="P31" s="219">
        <v>0</v>
      </c>
      <c r="Q31" s="220">
        <f t="shared" si="23"/>
        <v>0</v>
      </c>
      <c r="R31" s="221">
        <v>83.75</v>
      </c>
      <c r="S31" s="222">
        <f t="shared" si="24"/>
        <v>0.11204013377926421</v>
      </c>
      <c r="T31" s="222">
        <v>81.25</v>
      </c>
      <c r="U31" s="222">
        <f t="shared" si="25"/>
        <v>0.1092436974789916</v>
      </c>
      <c r="V31" s="222">
        <v>20.024999999999999</v>
      </c>
      <c r="W31" s="222">
        <f t="shared" si="26"/>
        <v>8.2432849644952136E-2</v>
      </c>
      <c r="X31" s="222">
        <v>72.5</v>
      </c>
      <c r="Y31" s="223">
        <f t="shared" si="27"/>
        <v>0.11261698574812629</v>
      </c>
      <c r="Z31" s="224">
        <v>72.5</v>
      </c>
      <c r="AA31" s="39">
        <f t="shared" si="21"/>
        <v>9.9365750528541227E-2</v>
      </c>
      <c r="AL31" s="230"/>
    </row>
    <row r="32" spans="1:43" ht="14.25" customHeight="1" x14ac:dyDescent="0.3">
      <c r="O32" s="143" t="str">
        <f t="shared" si="22"/>
        <v>RW</v>
      </c>
      <c r="P32" s="219">
        <v>81.25</v>
      </c>
      <c r="Q32" s="220">
        <f t="shared" si="23"/>
        <v>0.13238289205702647</v>
      </c>
      <c r="R32" s="221">
        <v>85</v>
      </c>
      <c r="S32" s="222">
        <f t="shared" si="24"/>
        <v>0.11371237458193979</v>
      </c>
      <c r="T32" s="222">
        <v>83.75</v>
      </c>
      <c r="U32" s="222">
        <f t="shared" si="25"/>
        <v>0.11260504201680673</v>
      </c>
      <c r="V32" s="222">
        <v>25.024999999999999</v>
      </c>
      <c r="W32" s="222">
        <f t="shared" si="26"/>
        <v>0.10301533395080785</v>
      </c>
      <c r="X32" s="222">
        <v>72.5</v>
      </c>
      <c r="Y32" s="223">
        <f t="shared" si="27"/>
        <v>0.11261698574812629</v>
      </c>
      <c r="Z32" s="224">
        <v>58.75</v>
      </c>
      <c r="AA32" s="39">
        <f t="shared" si="21"/>
        <v>9.9365750528541227E-2</v>
      </c>
      <c r="AK32" s="2"/>
      <c r="AL32" s="230"/>
    </row>
    <row r="33" spans="15:42" ht="14.25" customHeight="1" x14ac:dyDescent="0.3">
      <c r="O33" s="143" t="str">
        <f t="shared" si="22"/>
        <v>ETS</v>
      </c>
      <c r="P33" s="219">
        <v>81.25</v>
      </c>
      <c r="Q33" s="220">
        <f t="shared" si="23"/>
        <v>0.13238289205702647</v>
      </c>
      <c r="R33" s="221">
        <v>86.25</v>
      </c>
      <c r="S33" s="222">
        <f t="shared" si="24"/>
        <v>0.11538461538461539</v>
      </c>
      <c r="T33" s="222">
        <v>83.75</v>
      </c>
      <c r="U33" s="222">
        <f t="shared" si="25"/>
        <v>0.11260504201680673</v>
      </c>
      <c r="V33" s="222">
        <v>26.274999999999999</v>
      </c>
      <c r="W33" s="222">
        <f t="shared" si="26"/>
        <v>0.10816095502727179</v>
      </c>
      <c r="X33" s="222">
        <v>56.274999999999999</v>
      </c>
      <c r="Y33" s="223">
        <f t="shared" si="27"/>
        <v>8.7414081006562852E-2</v>
      </c>
      <c r="Z33" s="224">
        <v>58.75</v>
      </c>
      <c r="AA33" s="92">
        <f t="shared" si="21"/>
        <v>9.5137420718816063E-2</v>
      </c>
    </row>
    <row r="34" spans="15:42" ht="14.25" customHeight="1" x14ac:dyDescent="0.3">
      <c r="O34" s="180" t="str">
        <f>O22</f>
        <v>DynaMix</v>
      </c>
      <c r="P34" s="231">
        <v>70</v>
      </c>
      <c r="Q34" s="232">
        <f t="shared" si="23"/>
        <v>0.11405295315682282</v>
      </c>
      <c r="R34" s="233">
        <v>86.25</v>
      </c>
      <c r="S34" s="234">
        <f t="shared" si="24"/>
        <v>0.11538461538461539</v>
      </c>
      <c r="T34" s="234">
        <v>80</v>
      </c>
      <c r="U34" s="234">
        <f t="shared" si="25"/>
        <v>0.10756302521008404</v>
      </c>
      <c r="V34" s="234">
        <v>30.024999999999999</v>
      </c>
      <c r="W34" s="234">
        <f t="shared" si="26"/>
        <v>0.12359781825666356</v>
      </c>
      <c r="X34" s="234">
        <v>63.75</v>
      </c>
      <c r="Y34" s="235">
        <f t="shared" si="27"/>
        <v>9.9025280571628294E-2</v>
      </c>
      <c r="Z34" s="236">
        <v>56.25</v>
      </c>
    </row>
    <row r="35" spans="15:42" ht="14.25" customHeight="1" x14ac:dyDescent="0.3">
      <c r="O35" s="102" t="s">
        <v>26</v>
      </c>
      <c r="P35" s="231">
        <f>AVERAGE(P26:P34)</f>
        <v>68.194444444444443</v>
      </c>
      <c r="Q35" s="232"/>
      <c r="R35" s="233">
        <f>AVERAGE(R26:R34)</f>
        <v>83.055555555555557</v>
      </c>
      <c r="S35" s="234"/>
      <c r="T35" s="234">
        <f>AVERAGE(T26:T34)</f>
        <v>82.638888888888886</v>
      </c>
      <c r="U35" s="234"/>
      <c r="V35" s="234">
        <f>AVERAGE(V26:V34)</f>
        <v>26.991666666666667</v>
      </c>
      <c r="W35" s="234"/>
      <c r="X35" s="234">
        <f>AVERAGE(X26:X34)</f>
        <v>71.530555555555551</v>
      </c>
      <c r="Y35" s="235"/>
      <c r="Z35" s="236">
        <f>AVERAGE(Z26:Z34)</f>
        <v>65.694444444444443</v>
      </c>
      <c r="AP35" s="2"/>
    </row>
    <row r="36" spans="15:42" ht="14.25" customHeight="1" x14ac:dyDescent="0.3">
      <c r="AP36" s="2"/>
    </row>
    <row r="37" spans="15:42" ht="14.25" customHeight="1" x14ac:dyDescent="0.3">
      <c r="Z37" s="6"/>
    </row>
    <row r="38" spans="15:42" ht="14.25" customHeight="1" x14ac:dyDescent="0.3">
      <c r="Z38" s="6"/>
    </row>
    <row r="39" spans="15:42" ht="14.25" customHeight="1" x14ac:dyDescent="0.3">
      <c r="Z39" s="6"/>
    </row>
    <row r="40" spans="15:42" ht="14.25" customHeight="1" x14ac:dyDescent="0.3">
      <c r="Z40" s="6"/>
    </row>
    <row r="41" spans="15:42" ht="14.25" customHeight="1" x14ac:dyDescent="0.3">
      <c r="Z41" s="6"/>
    </row>
    <row r="43" spans="15:42" ht="14.25" customHeight="1" x14ac:dyDescent="0.3">
      <c r="AD43" s="237"/>
    </row>
    <row r="44" spans="15:42" ht="14.25" customHeight="1" x14ac:dyDescent="0.3">
      <c r="AD44" s="237"/>
    </row>
    <row r="45" spans="15:42" ht="14.25" customHeight="1" x14ac:dyDescent="0.3">
      <c r="AD45" s="237"/>
    </row>
    <row r="46" spans="15:42" ht="14.25" customHeight="1" x14ac:dyDescent="0.3">
      <c r="AD46" s="237"/>
    </row>
  </sheetData>
  <mergeCells count="13">
    <mergeCell ref="D9:E9"/>
    <mergeCell ref="F9:G9"/>
    <mergeCell ref="AG10:AH10"/>
    <mergeCell ref="AG11:AH11"/>
    <mergeCell ref="B17:C17"/>
    <mergeCell ref="D17:E17"/>
    <mergeCell ref="F17:G17"/>
    <mergeCell ref="B25:C25"/>
    <mergeCell ref="D25:E25"/>
    <mergeCell ref="F25:G25"/>
    <mergeCell ref="B26:C26"/>
    <mergeCell ref="D26:E26"/>
    <mergeCell ref="F26:G26"/>
  </mergeCells>
  <hyperlinks>
    <hyperlink ref="AK2" r:id="rId1" xr:uid="{00000000-0004-0000-04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EY46"/>
  <sheetViews>
    <sheetView zoomScale="120" zoomScaleNormal="120" workbookViewId="0">
      <selection activeCell="L3" sqref="L3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76</v>
      </c>
      <c r="O1" s="13" t="s">
        <v>11</v>
      </c>
      <c r="P1" s="316" t="s">
        <v>12</v>
      </c>
      <c r="Q1" s="15">
        <f>SUM(P2:P10)</f>
        <v>794.45312573720207</v>
      </c>
      <c r="R1" s="16" t="s">
        <v>13</v>
      </c>
      <c r="S1" s="17">
        <f>SUM(R2:R10)</f>
        <v>892.90764896925839</v>
      </c>
      <c r="T1" s="18" t="s">
        <v>14</v>
      </c>
      <c r="U1" s="17">
        <f>SUM(T2:T10)</f>
        <v>892.78731002360564</v>
      </c>
      <c r="V1" s="18" t="s">
        <v>15</v>
      </c>
      <c r="W1" s="17">
        <f>SUM(V2:V10)</f>
        <v>852.38990825688074</v>
      </c>
      <c r="X1" s="19" t="s">
        <v>16</v>
      </c>
      <c r="Y1" s="20">
        <f>SUM(X2:X10)</f>
        <v>881.99015871484403</v>
      </c>
      <c r="Z1" s="317" t="s">
        <v>17</v>
      </c>
      <c r="AA1" s="22">
        <f>SUM(Z2:Z10)</f>
        <v>894.44542932017885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4.2953999999999999</v>
      </c>
      <c r="C2" s="28">
        <v>4.1973000000000003</v>
      </c>
      <c r="D2" s="28">
        <v>4.2060000000000004</v>
      </c>
      <c r="E2" s="28">
        <v>4.2662000000000004</v>
      </c>
      <c r="F2" s="28">
        <v>4.2248000000000001</v>
      </c>
      <c r="G2" s="28">
        <v>0</v>
      </c>
      <c r="H2" s="318">
        <v>4.2191000000000001</v>
      </c>
      <c r="I2" s="318">
        <v>4.2188999999999997</v>
      </c>
      <c r="J2" s="29">
        <v>4.2163680000000001</v>
      </c>
      <c r="K2" s="30"/>
      <c r="O2" s="319" t="str">
        <f>B1</f>
        <v>PyCaret</v>
      </c>
      <c r="P2" s="320">
        <f>100-ABS((($H10-B2)/($H10)))*100</f>
        <v>98.669497523000715</v>
      </c>
      <c r="Q2" s="321">
        <f t="shared" ref="Q2:Q10" si="0">P2/$Q$1</f>
        <v>0.12419801033754091</v>
      </c>
      <c r="R2" s="322">
        <f>100-ABS((($H11-B3)/($H11)))*100</f>
        <v>98.415109525045466</v>
      </c>
      <c r="S2" s="323">
        <f t="shared" ref="S2:S10" si="1">R2/$S$1</f>
        <v>0.1102186879445511</v>
      </c>
      <c r="T2" s="323">
        <f>100-ABS((($H12-B4)/($H12)))*100</f>
        <v>99.302359699208253</v>
      </c>
      <c r="U2" s="323">
        <f t="shared" ref="U2:U10" si="2">T2/$U$1</f>
        <v>0.11122734226204745</v>
      </c>
      <c r="V2" s="323">
        <f>100-ABS((($H13-B5)/($H13)))*100</f>
        <v>99.05676605504587</v>
      </c>
      <c r="W2" s="323">
        <f t="shared" ref="W2:W10" si="3">V2/$W$1</f>
        <v>0.11621062743177574</v>
      </c>
      <c r="X2" s="324">
        <f>100-ABS((($H14-B6)/($H14)))*100</f>
        <v>99.07265184041681</v>
      </c>
      <c r="Y2" s="325">
        <f t="shared" ref="Y2:Y10" si="4">X2/$Y$1</f>
        <v>0.11232852301297384</v>
      </c>
      <c r="Z2" s="326">
        <f>100-ABS((($H15-B7)/($H15)))*100</f>
        <v>99.962540465546468</v>
      </c>
      <c r="AA2" s="39">
        <f t="shared" ref="AA2:AA10" si="5">Z2/$AA$1</f>
        <v>0.11175923895270252</v>
      </c>
      <c r="AB2" s="23"/>
      <c r="AC2" s="40">
        <f t="shared" ref="AC2:AC10" si="6">(R2+T2+V2+X2)/4</f>
        <v>98.961721779929093</v>
      </c>
      <c r="AD2" s="41">
        <f t="shared" ref="AD2:AD10" si="7">(P2+R2+T2+V2+X2+Z2)/6</f>
        <v>99.079820851377249</v>
      </c>
      <c r="AE2" s="42" t="str">
        <f>IF($AC2=MAX(AC2:AC10),"TOP","")</f>
        <v/>
      </c>
      <c r="AG2" s="1" t="s">
        <v>33</v>
      </c>
      <c r="AH2" s="2"/>
      <c r="AI2" s="2"/>
    </row>
    <row r="3" spans="1:45" ht="14.4" x14ac:dyDescent="0.3">
      <c r="A3" s="43" t="s">
        <v>13</v>
      </c>
      <c r="B3" s="44">
        <v>48117.577899999997</v>
      </c>
      <c r="C3" s="45">
        <v>49413.032700000003</v>
      </c>
      <c r="D3" s="45">
        <v>48894.522499999999</v>
      </c>
      <c r="E3" s="45">
        <v>49663.544099999999</v>
      </c>
      <c r="F3" s="45">
        <v>49204.156000000003</v>
      </c>
      <c r="G3" s="45">
        <v>49245.881600000001</v>
      </c>
      <c r="H3" s="45">
        <v>49154.663099999998</v>
      </c>
      <c r="I3" s="45">
        <v>49225.0841</v>
      </c>
      <c r="J3" s="46">
        <v>49031.609400000001</v>
      </c>
      <c r="K3" s="30"/>
      <c r="L3" s="47" t="s">
        <v>77</v>
      </c>
      <c r="O3" s="327" t="str">
        <f>C1</f>
        <v>ARIMAX</v>
      </c>
      <c r="P3" s="328">
        <f>100-ABS((($H10-C2)/($H10)))*100</f>
        <v>99.016277423920741</v>
      </c>
      <c r="Q3" s="329">
        <f t="shared" si="0"/>
        <v>0.12463451173666151</v>
      </c>
      <c r="R3" s="330">
        <f>100-ABS((($H11-C3)/($H11)))*100</f>
        <v>98.935290649050856</v>
      </c>
      <c r="S3" s="331">
        <f t="shared" si="1"/>
        <v>0.1108012578492953</v>
      </c>
      <c r="T3" s="331">
        <f>100-ABS((($H12-C4)/($H12)))*100</f>
        <v>98.488760660727323</v>
      </c>
      <c r="U3" s="331">
        <f t="shared" si="2"/>
        <v>0.11031604006347631</v>
      </c>
      <c r="V3" s="331">
        <f>100-ABS((($H13-C5)/($H13)))*100</f>
        <v>93.530389908256865</v>
      </c>
      <c r="W3" s="331">
        <f t="shared" si="3"/>
        <v>0.10972723750275801</v>
      </c>
      <c r="X3" s="332">
        <f>100-ABS((($H14-C6)/($H14)))*100</f>
        <v>98.105472204801643</v>
      </c>
      <c r="Y3" s="333">
        <f t="shared" si="4"/>
        <v>0.11123193522675132</v>
      </c>
      <c r="Z3" s="334">
        <f>100-ABS((($H15-C7)/($H15)))*100</f>
        <v>98.646485278248818</v>
      </c>
      <c r="AA3" s="39">
        <f t="shared" si="5"/>
        <v>0.11028787452491634</v>
      </c>
      <c r="AB3" s="23"/>
      <c r="AC3" s="56">
        <f t="shared" si="6"/>
        <v>97.264978355709175</v>
      </c>
      <c r="AD3" s="57">
        <f t="shared" si="7"/>
        <v>97.78711268750105</v>
      </c>
      <c r="AE3" s="42" t="str">
        <f>IF($AC3=MAX(AC2:AC10),"TOP","")</f>
        <v/>
      </c>
      <c r="AG3" s="76" t="s">
        <v>12</v>
      </c>
      <c r="AH3" s="270" t="s">
        <v>34</v>
      </c>
      <c r="AI3" s="271">
        <f>MAX(P2:P10)</f>
        <v>99.665015333805144</v>
      </c>
    </row>
    <row r="4" spans="1:45" ht="14.4" x14ac:dyDescent="0.3">
      <c r="A4" s="43" t="s">
        <v>14</v>
      </c>
      <c r="B4" s="58">
        <v>6987.4294</v>
      </c>
      <c r="C4" s="59">
        <v>7043.8851999999997</v>
      </c>
      <c r="D4" s="59">
        <v>6954.8640999999998</v>
      </c>
      <c r="E4" s="59">
        <v>6956.4612999999999</v>
      </c>
      <c r="F4" s="59">
        <v>6990.3748999999998</v>
      </c>
      <c r="G4" s="59">
        <v>6988.8032999999996</v>
      </c>
      <c r="H4" s="59">
        <v>7003.7866000000004</v>
      </c>
      <c r="I4" s="59">
        <v>7002.8073999999997</v>
      </c>
      <c r="J4" s="60">
        <v>7023.2578000000003</v>
      </c>
      <c r="K4" s="30"/>
      <c r="O4" s="327" t="str">
        <f>D1</f>
        <v>PCE</v>
      </c>
      <c r="P4" s="328">
        <f>100-ABS((($H10-D2)/($H10)))*100</f>
        <v>99.221514508138725</v>
      </c>
      <c r="Q4" s="329">
        <f t="shared" si="0"/>
        <v>0.12489284929940637</v>
      </c>
      <c r="R4" s="330">
        <f>100-ABS((($H11-D3)/($H11)))*100</f>
        <v>99.995802012048074</v>
      </c>
      <c r="S4" s="331">
        <f t="shared" si="1"/>
        <v>0.11198896339109622</v>
      </c>
      <c r="T4" s="331">
        <f>100-ABS((($H12-D4)/($H12)))*100</f>
        <v>99.771666604217899</v>
      </c>
      <c r="U4" s="331">
        <f t="shared" si="2"/>
        <v>0.11175300710936392</v>
      </c>
      <c r="V4" s="331">
        <f>100-ABS((($H13-D5)/($H13)))*100</f>
        <v>98.44323394495413</v>
      </c>
      <c r="W4" s="331">
        <f t="shared" si="3"/>
        <v>0.11549084872000473</v>
      </c>
      <c r="X4" s="332">
        <f>100-ABS((($H14-D6)/($H14)))*100</f>
        <v>99.030360043095826</v>
      </c>
      <c r="Y4" s="333">
        <f t="shared" si="4"/>
        <v>0.11228057259436304</v>
      </c>
      <c r="Z4" s="334">
        <f>100-ABS((($H15-D7)/($H15)))*100</f>
        <v>99.934137505780782</v>
      </c>
      <c r="AA4" s="39">
        <f t="shared" si="5"/>
        <v>0.11172748412581804</v>
      </c>
      <c r="AB4" s="23"/>
      <c r="AC4" s="56">
        <f t="shared" si="6"/>
        <v>99.310265651078979</v>
      </c>
      <c r="AD4" s="57">
        <f t="shared" si="7"/>
        <v>99.399452436372556</v>
      </c>
      <c r="AE4" s="42" t="str">
        <f>IF($AC4=MAX(AC2:AC10),"TOP","")</f>
        <v>TOP</v>
      </c>
      <c r="AG4" s="163" t="s">
        <v>13</v>
      </c>
      <c r="AH4" s="272" t="s">
        <v>35</v>
      </c>
      <c r="AI4" s="273">
        <f>MAX(R2:R10)</f>
        <v>99.995802012048074</v>
      </c>
    </row>
    <row r="5" spans="1:45" ht="14.4" x14ac:dyDescent="0.3">
      <c r="A5" s="43" t="s">
        <v>15</v>
      </c>
      <c r="B5" s="61">
        <v>17.275500000000001</v>
      </c>
      <c r="C5" s="62">
        <v>16.311699999999998</v>
      </c>
      <c r="D5" s="62">
        <v>17.168500000000002</v>
      </c>
      <c r="E5" s="62">
        <v>16.476800000000001</v>
      </c>
      <c r="F5" s="62">
        <v>16.342700000000001</v>
      </c>
      <c r="G5" s="62">
        <v>16.6008</v>
      </c>
      <c r="H5" s="62">
        <v>16.148499999999999</v>
      </c>
      <c r="I5" s="335">
        <v>16.0869</v>
      </c>
      <c r="J5" s="336">
        <v>16.2454</v>
      </c>
      <c r="K5" s="30"/>
      <c r="L5" s="1" t="s">
        <v>21</v>
      </c>
      <c r="O5" s="327" t="str">
        <f>E1</f>
        <v>LSTM</v>
      </c>
      <c r="P5" s="328">
        <f>100-ABS((($H10-E2)/($H10)))*100</f>
        <v>99.358339230950676</v>
      </c>
      <c r="Q5" s="329">
        <f t="shared" si="0"/>
        <v>0.12506507434123623</v>
      </c>
      <c r="R5" s="330">
        <f>100-ABS((($H11-E3)/($H11)))*100</f>
        <v>98.42291849849272</v>
      </c>
      <c r="S5" s="331">
        <f t="shared" si="1"/>
        <v>0.11022743350010354</v>
      </c>
      <c r="T5" s="331">
        <f>100-ABS((($H12-E4)/($H12)))*100</f>
        <v>99.748648944663657</v>
      </c>
      <c r="U5" s="331">
        <f t="shared" si="2"/>
        <v>0.11172722531419747</v>
      </c>
      <c r="V5" s="331">
        <f>100-ABS((($H13-E5)/($H13)))*100</f>
        <v>94.477064220183479</v>
      </c>
      <c r="W5" s="331">
        <f t="shared" si="3"/>
        <v>0.11083784932811683</v>
      </c>
      <c r="X5" s="332">
        <f>100-ABS((($H14-E6)/($H14)))*100</f>
        <v>97.260520687603531</v>
      </c>
      <c r="Y5" s="333">
        <f t="shared" si="4"/>
        <v>0.11027392961994352</v>
      </c>
      <c r="Z5" s="334">
        <f>100-ABS((($H15-E7)/($H15)))*100</f>
        <v>97.281216278711284</v>
      </c>
      <c r="AA5" s="39">
        <f t="shared" si="5"/>
        <v>0.10876148850427873</v>
      </c>
      <c r="AB5" s="23"/>
      <c r="AC5" s="56">
        <f t="shared" si="6"/>
        <v>97.477288087735843</v>
      </c>
      <c r="AD5" s="57">
        <f t="shared" si="7"/>
        <v>97.758117976767565</v>
      </c>
      <c r="AE5" s="42" t="str">
        <f>IF($AC5=MAX(AC2:AC10),"TOP","")</f>
        <v/>
      </c>
      <c r="AG5" s="43" t="s">
        <v>14</v>
      </c>
      <c r="AH5" s="274" t="s">
        <v>36</v>
      </c>
      <c r="AI5" s="275">
        <f>MAX(T2:T10)</f>
        <v>99.771666604217899</v>
      </c>
    </row>
    <row r="6" spans="1:45" ht="14.4" x14ac:dyDescent="0.3">
      <c r="A6" s="43" t="s">
        <v>16</v>
      </c>
      <c r="B6" s="64">
        <v>616.10310000000004</v>
      </c>
      <c r="C6" s="65">
        <v>633.65150000000006</v>
      </c>
      <c r="D6" s="65">
        <v>627.8999</v>
      </c>
      <c r="E6" s="65">
        <v>638.90599999999995</v>
      </c>
      <c r="F6" s="65">
        <v>633.53219999999999</v>
      </c>
      <c r="G6" s="65">
        <v>634.09540000000004</v>
      </c>
      <c r="H6" s="65">
        <v>633.9298</v>
      </c>
      <c r="I6" s="65">
        <v>633.64559999999994</v>
      </c>
      <c r="J6" s="66">
        <v>645.53049999999996</v>
      </c>
      <c r="K6" s="30"/>
      <c r="O6" s="327" t="str">
        <f>F1</f>
        <v>GARCH</v>
      </c>
      <c r="P6" s="328">
        <f>100-ABS((($H10-F2)/($H10)))*100</f>
        <v>99.665015333805144</v>
      </c>
      <c r="Q6" s="329">
        <f t="shared" si="0"/>
        <v>0.12545109598671708</v>
      </c>
      <c r="R6" s="330">
        <f>100-ABS((($H11-F3)/($H11)))*100</f>
        <v>99.362507150896647</v>
      </c>
      <c r="S6" s="331">
        <f t="shared" si="1"/>
        <v>0.11127971326664889</v>
      </c>
      <c r="T6" s="331">
        <f>100-ABS((($H12-F4)/($H12)))*100</f>
        <v>99.259911341947429</v>
      </c>
      <c r="U6" s="331">
        <f t="shared" si="2"/>
        <v>0.11117979638322027</v>
      </c>
      <c r="V6" s="331">
        <f>100-ABS((($H13-F5)/($H13)))*100</f>
        <v>93.70814220183486</v>
      </c>
      <c r="W6" s="331">
        <f t="shared" si="3"/>
        <v>0.10993577152205616</v>
      </c>
      <c r="X6" s="332">
        <f>100-ABS((($H14-F6)/($H14)))*100</f>
        <v>98.124656278643442</v>
      </c>
      <c r="Y6" s="333">
        <f t="shared" si="4"/>
        <v>0.11125368612006033</v>
      </c>
      <c r="Z6" s="334">
        <f>100-ABS((($H15-F7)/($H15)))*100</f>
        <v>99.754470479420391</v>
      </c>
      <c r="AA6" s="39">
        <f t="shared" si="5"/>
        <v>0.11152661437963694</v>
      </c>
      <c r="AB6" s="23"/>
      <c r="AC6" s="56">
        <f t="shared" si="6"/>
        <v>97.613804243330591</v>
      </c>
      <c r="AD6" s="57">
        <f t="shared" si="7"/>
        <v>98.312450464424657</v>
      </c>
      <c r="AE6" s="42" t="str">
        <f>IF($AC6=MAX(AC2:AC10),"TOP","")</f>
        <v/>
      </c>
      <c r="AG6" s="43" t="s">
        <v>15</v>
      </c>
      <c r="AH6" s="274" t="s">
        <v>37</v>
      </c>
      <c r="AI6" s="275">
        <f>MAX(V2:V10)</f>
        <v>99.05676605504587</v>
      </c>
    </row>
    <row r="7" spans="1:45" ht="14.4" x14ac:dyDescent="0.3">
      <c r="A7" s="67" t="s">
        <v>17</v>
      </c>
      <c r="B7" s="68">
        <v>259.38279999999997</v>
      </c>
      <c r="C7" s="69">
        <v>262.99209999999999</v>
      </c>
      <c r="D7" s="69">
        <v>259.3091</v>
      </c>
      <c r="E7" s="69">
        <v>266.53469999999999</v>
      </c>
      <c r="F7" s="69">
        <v>260.11709999999999</v>
      </c>
      <c r="G7" s="69">
        <v>260.875</v>
      </c>
      <c r="H7" s="69">
        <v>259.01600000000002</v>
      </c>
      <c r="I7" s="69">
        <v>259.01600000000002</v>
      </c>
      <c r="J7" s="70">
        <v>258.86200000000002</v>
      </c>
      <c r="K7" s="30"/>
      <c r="O7" s="327" t="str">
        <f>G1</f>
        <v>VAR</v>
      </c>
      <c r="P7" s="328">
        <f>100-ABS((($H10-G2)/($H10)))*100</f>
        <v>0</v>
      </c>
      <c r="Q7" s="329">
        <f t="shared" si="0"/>
        <v>0</v>
      </c>
      <c r="R7" s="330">
        <f>100-ABS((($H11-G3)/($H11)))*100</f>
        <v>99.277165583984612</v>
      </c>
      <c r="S7" s="331">
        <f t="shared" si="1"/>
        <v>0.1111841361182052</v>
      </c>
      <c r="T7" s="331">
        <f>100-ABS((($H12-G4)/($H12)))*100</f>
        <v>99.28256007332449</v>
      </c>
      <c r="U7" s="331">
        <f t="shared" si="2"/>
        <v>0.11120516494650828</v>
      </c>
      <c r="V7" s="331">
        <f>100-ABS((($H13-G5)/($H13)))*100</f>
        <v>95.188073394495405</v>
      </c>
      <c r="W7" s="331">
        <f t="shared" si="3"/>
        <v>0.1116719854053094</v>
      </c>
      <c r="X7" s="332">
        <f>100-ABS((($H14-G6)/($H14)))*100</f>
        <v>98.03409072635759</v>
      </c>
      <c r="Y7" s="333">
        <f t="shared" si="4"/>
        <v>0.11115100294225955</v>
      </c>
      <c r="Z7" s="334">
        <f>100-ABS((($H15-G7)/($H15)))*100</f>
        <v>99.462386311083719</v>
      </c>
      <c r="AA7" s="39">
        <f t="shared" si="5"/>
        <v>0.11120006101063076</v>
      </c>
      <c r="AB7" s="23"/>
      <c r="AC7" s="56">
        <f t="shared" si="6"/>
        <v>97.945472444540528</v>
      </c>
      <c r="AD7" s="57">
        <f t="shared" si="7"/>
        <v>81.87404601487431</v>
      </c>
      <c r="AE7" s="42" t="str">
        <f>IF($AC7=MAX(AC2:AC10),"TOP","")</f>
        <v/>
      </c>
      <c r="AG7" s="174" t="s">
        <v>16</v>
      </c>
      <c r="AH7" s="276" t="s">
        <v>36</v>
      </c>
      <c r="AI7" s="277">
        <f>MAX(X2:X10)</f>
        <v>99.07265184041681</v>
      </c>
    </row>
    <row r="8" spans="1:45" ht="14.4" x14ac:dyDescent="0.3">
      <c r="O8" s="327" t="str">
        <f>H1</f>
        <v>RW</v>
      </c>
      <c r="P8" s="328">
        <f>100-ABS((($H10-H2)/($H10)))*100</f>
        <v>99.530549657938195</v>
      </c>
      <c r="Q8" s="329">
        <f t="shared" si="0"/>
        <v>0.12528184034216011</v>
      </c>
      <c r="R8" s="330">
        <f>100-ABS((($H11-H3)/($H11)))*100</f>
        <v>99.463735213213823</v>
      </c>
      <c r="S8" s="331">
        <f t="shared" si="1"/>
        <v>0.11139308228351645</v>
      </c>
      <c r="T8" s="331">
        <f>100-ABS((($H12-H4)/($H12)))*100</f>
        <v>99.066631887499966</v>
      </c>
      <c r="U8" s="331">
        <f t="shared" si="2"/>
        <v>0.11096330646196192</v>
      </c>
      <c r="V8" s="331">
        <f>100-ABS((($H13-H5)/($H13)))*100</f>
        <v>92.594610091743107</v>
      </c>
      <c r="W8" s="331">
        <f t="shared" si="3"/>
        <v>0.10862940679471102</v>
      </c>
      <c r="X8" s="332">
        <f>100-ABS((($H14-H6)/($H14)))*100</f>
        <v>98.060720086191651</v>
      </c>
      <c r="Y8" s="333">
        <f t="shared" si="4"/>
        <v>0.11118119529709586</v>
      </c>
      <c r="Z8" s="334">
        <f>100-ABS((($H15-H7)/($H15)))*100</f>
        <v>99.821180823184832</v>
      </c>
      <c r="AA8" s="39">
        <f t="shared" si="5"/>
        <v>0.11160119729054202</v>
      </c>
      <c r="AB8" s="23"/>
      <c r="AC8" s="56">
        <f t="shared" si="6"/>
        <v>97.296424319662123</v>
      </c>
      <c r="AD8" s="57">
        <f t="shared" si="7"/>
        <v>98.089571293295251</v>
      </c>
      <c r="AE8" s="42" t="str">
        <f>IF($AC8=MAX(AC2:AC10),"TOP","")</f>
        <v/>
      </c>
      <c r="AG8" s="136" t="s">
        <v>17</v>
      </c>
      <c r="AH8" s="278" t="s">
        <v>38</v>
      </c>
      <c r="AI8" s="279">
        <f>MAX(Z2:Z10)</f>
        <v>99.962540465546468</v>
      </c>
    </row>
    <row r="9" spans="1:45" ht="15" x14ac:dyDescent="0.3">
      <c r="B9" s="258" t="s">
        <v>22</v>
      </c>
      <c r="C9" s="259" t="s">
        <v>23</v>
      </c>
      <c r="D9" s="1384" t="s">
        <v>21</v>
      </c>
      <c r="E9" s="1384"/>
      <c r="F9" s="1384" t="s">
        <v>24</v>
      </c>
      <c r="G9" s="1384"/>
      <c r="H9" s="73" t="s">
        <v>25</v>
      </c>
      <c r="K9" s="280"/>
      <c r="L9" s="281" t="str">
        <f>IF(M9&lt;25,L11,IF(M9&lt;45,L12,IF(M9&lt;55,L13,IF(M9&lt;75,L14,L15))))</f>
        <v>Greed</v>
      </c>
      <c r="M9" s="282">
        <v>64</v>
      </c>
      <c r="O9" s="327" t="str">
        <f>I1</f>
        <v>ETS</v>
      </c>
      <c r="P9" s="328">
        <f>100-ABS((($H10-I2)/($H10)))*100</f>
        <v>99.525831564048119</v>
      </c>
      <c r="Q9" s="329">
        <f t="shared" si="0"/>
        <v>0.12527590154761423</v>
      </c>
      <c r="R9" s="330">
        <f>100-ABS((($H11-I3)/($H11)))*100</f>
        <v>99.319702809041971</v>
      </c>
      <c r="S9" s="331">
        <f t="shared" si="1"/>
        <v>0.11123177511548164</v>
      </c>
      <c r="T9" s="331">
        <f>100-ABS((($H12-I4)/($H12)))*100</f>
        <v>99.080743390277021</v>
      </c>
      <c r="U9" s="331">
        <f t="shared" si="2"/>
        <v>0.11097911258131267</v>
      </c>
      <c r="V9" s="331">
        <f>100-ABS((($H13-I5)/($H13)))*100</f>
        <v>92.241399082568805</v>
      </c>
      <c r="W9" s="331">
        <f t="shared" si="3"/>
        <v>0.10821502951765408</v>
      </c>
      <c r="X9" s="332">
        <f>100-ABS((($H14-I6)/($H14)))*100</f>
        <v>98.106420956148398</v>
      </c>
      <c r="Y9" s="333">
        <f t="shared" si="4"/>
        <v>0.11123301092055286</v>
      </c>
      <c r="Z9" s="337">
        <f>100-ABS((($H15-I7)/($H15)))*100</f>
        <v>99.821180823184832</v>
      </c>
      <c r="AA9" s="39">
        <f t="shared" si="5"/>
        <v>0.11160119729054202</v>
      </c>
      <c r="AB9" s="23"/>
      <c r="AC9" s="56">
        <f t="shared" si="6"/>
        <v>97.187066559509049</v>
      </c>
      <c r="AD9" s="57">
        <f t="shared" si="7"/>
        <v>98.0158797708782</v>
      </c>
      <c r="AE9" s="42" t="str">
        <f>IF($AC9=MAX(AC2:AC10),"TOP","")</f>
        <v/>
      </c>
      <c r="AG9" s="2"/>
      <c r="AH9" s="2"/>
      <c r="AI9" s="199"/>
    </row>
    <row r="10" spans="1:45" ht="14.4" x14ac:dyDescent="0.3">
      <c r="A10" s="76" t="s">
        <v>12</v>
      </c>
      <c r="B10" s="260">
        <v>4.2229999999999999</v>
      </c>
      <c r="C10" s="338">
        <v>4.2270000000000003</v>
      </c>
      <c r="D10" s="283">
        <f>(B2*Q26)+(C2*Q27)+(D2*Q28)+(E2*Q29)+(F2*Q30)+(G2*Q31)+(H2*Q32)+(I2*Q33)+(J2*Q34)</f>
        <v>4.2301132877263576</v>
      </c>
      <c r="E10" s="284">
        <f>D10/$H$10</f>
        <v>0.9979035828559466</v>
      </c>
      <c r="F10" s="285">
        <v>4.2257303149606296</v>
      </c>
      <c r="G10" s="284">
        <f>F10/$H$10</f>
        <v>0.99686961900463078</v>
      </c>
      <c r="H10" s="82">
        <v>4.2389999999999999</v>
      </c>
      <c r="O10" s="339" t="str">
        <f>J1</f>
        <v>DynaMix</v>
      </c>
      <c r="P10" s="340">
        <f>100-ABS((($H10-J2)/($H10)))*100</f>
        <v>99.466100495399857</v>
      </c>
      <c r="Q10" s="341">
        <f t="shared" si="0"/>
        <v>0.12520071640866368</v>
      </c>
      <c r="R10" s="342">
        <f>100-ABS((($H11-J3)/($H11)))*100</f>
        <v>99.715417527484291</v>
      </c>
      <c r="S10" s="343">
        <f t="shared" si="1"/>
        <v>0.11167495053110174</v>
      </c>
      <c r="T10" s="343">
        <f>100-ABS((($H12-J4)/($H12)))*100</f>
        <v>98.786027421739675</v>
      </c>
      <c r="U10" s="343">
        <f t="shared" si="2"/>
        <v>0.11064900487791178</v>
      </c>
      <c r="V10" s="343">
        <f>100-ABS((($H13-J5)/($H13)))*100</f>
        <v>93.150229357798153</v>
      </c>
      <c r="W10" s="343">
        <f t="shared" si="3"/>
        <v>0.10928124377761393</v>
      </c>
      <c r="X10" s="344">
        <f>100-ABS((($H14-J6)/($H14)))*100</f>
        <v>96.195265891585066</v>
      </c>
      <c r="Y10" s="345">
        <f t="shared" si="4"/>
        <v>0.1090661442659996</v>
      </c>
      <c r="Z10" s="346">
        <f>100-ABS((($H15-J7)/($H15)))*100</f>
        <v>99.761831355017733</v>
      </c>
      <c r="AA10" s="92">
        <f t="shared" si="5"/>
        <v>0.11153484392093264</v>
      </c>
      <c r="AC10" s="93">
        <f t="shared" si="6"/>
        <v>96.961735049651793</v>
      </c>
      <c r="AD10" s="94">
        <f t="shared" si="7"/>
        <v>97.845812008170796</v>
      </c>
      <c r="AE10" s="42" t="str">
        <f>IF($AC10=MAX(AC2:AC10),"TOP","")</f>
        <v/>
      </c>
      <c r="AG10" s="1381" t="s">
        <v>39</v>
      </c>
      <c r="AH10" s="1381"/>
      <c r="AI10" s="203">
        <f>AVERAGE(AI4:AI7)</f>
        <v>99.474221627932167</v>
      </c>
    </row>
    <row r="11" spans="1:45" ht="15" customHeight="1" x14ac:dyDescent="0.3">
      <c r="A11" s="95" t="s">
        <v>13</v>
      </c>
      <c r="B11" s="261">
        <v>49003.41</v>
      </c>
      <c r="C11" s="347">
        <v>49406.61</v>
      </c>
      <c r="D11" s="286">
        <f>(B3*S26)+(C3*S27)+(D3*S28)+(E3*S29)+(F3*S30)+(G3*S31)+(H3*S32)+(I3*S33)+(J3*S34)</f>
        <v>49130.372665684583</v>
      </c>
      <c r="E11" s="287">
        <f>D11/$H$11</f>
        <v>1.0048658344666281</v>
      </c>
      <c r="F11" s="288">
        <v>49192.708895131102</v>
      </c>
      <c r="G11" s="287">
        <f>F11/$H$11</f>
        <v>1.0061408003140586</v>
      </c>
      <c r="H11" s="101">
        <v>48892.47</v>
      </c>
      <c r="J11" s="226" t="s">
        <v>43</v>
      </c>
      <c r="K11" s="227">
        <v>0</v>
      </c>
      <c r="L11" s="228" t="s">
        <v>44</v>
      </c>
      <c r="P11" s="348">
        <f>SUM(P2:P10)/8</f>
        <v>99.306640717150259</v>
      </c>
      <c r="Q11" s="349"/>
      <c r="R11" s="348">
        <f>AVERAGE(R2:R10)</f>
        <v>99.211960996584267</v>
      </c>
      <c r="S11" s="349"/>
      <c r="T11" s="348">
        <f>AVERAGE(T2:T10)</f>
        <v>99.198590002622851</v>
      </c>
      <c r="U11" s="349"/>
      <c r="V11" s="348">
        <f>AVERAGE(V2:V10)</f>
        <v>94.709989806320081</v>
      </c>
      <c r="W11" s="349"/>
      <c r="X11" s="348">
        <f>AVERAGE(X2:X10)</f>
        <v>97.998906523871554</v>
      </c>
      <c r="Y11" s="349"/>
      <c r="Z11" s="348">
        <f>AVERAGE(Z2:Z10)</f>
        <v>99.382825480019875</v>
      </c>
      <c r="AG11" s="1383" t="s">
        <v>41</v>
      </c>
      <c r="AH11" s="1383"/>
      <c r="AI11" s="212">
        <f>AVERAGE(AI3:AI8)</f>
        <v>99.587407051846711</v>
      </c>
      <c r="AQ11" s="103"/>
      <c r="AS11" s="104" t="s">
        <v>27</v>
      </c>
    </row>
    <row r="12" spans="1:45" ht="15" x14ac:dyDescent="0.3">
      <c r="A12" s="105" t="s">
        <v>14</v>
      </c>
      <c r="B12" s="262">
        <v>6978.6</v>
      </c>
      <c r="C12" s="292">
        <v>6955.55</v>
      </c>
      <c r="D12" s="289">
        <f>(B4*U26)+(C4*U27)+(D4*U28)+(E4*U29)+(F4*U30)+(G4*U31)+(H4*U32)+(I4*U33)+(J4*U34)</f>
        <v>6994.7628018518517</v>
      </c>
      <c r="E12" s="290">
        <f>D12/$H$12</f>
        <v>1.0080332383898376</v>
      </c>
      <c r="F12" s="291">
        <v>6996.82525951557</v>
      </c>
      <c r="G12" s="290">
        <f>F12/$H$12</f>
        <v>1.0083304644626432</v>
      </c>
      <c r="H12" s="111">
        <v>6939.02</v>
      </c>
      <c r="K12" s="227">
        <v>25</v>
      </c>
      <c r="L12" s="228" t="s">
        <v>45</v>
      </c>
      <c r="AQ12" s="103"/>
      <c r="AS12" s="103"/>
    </row>
    <row r="13" spans="1:45" ht="15" x14ac:dyDescent="0.3">
      <c r="A13" s="105" t="s">
        <v>15</v>
      </c>
      <c r="B13" s="262">
        <v>16.350000000000001</v>
      </c>
      <c r="C13" s="292">
        <v>16.149999999999999</v>
      </c>
      <c r="D13" s="289">
        <f>(B5*W26)+(C5*W27)+(D5*W28)+(E5*W29)+(F5*W30)+(G5*W31)+(H5*W32)+(I5*W33)+(J5*W34)</f>
        <v>16.431265935512172</v>
      </c>
      <c r="E13" s="290">
        <f>D13/$H$13</f>
        <v>0.94215974400872537</v>
      </c>
      <c r="F13" s="291">
        <v>16.5020547945205</v>
      </c>
      <c r="G13" s="290">
        <f>F13/$H$13</f>
        <v>0.94621873821791858</v>
      </c>
      <c r="H13" s="111">
        <v>17.440000000000001</v>
      </c>
      <c r="K13" s="227">
        <v>45</v>
      </c>
      <c r="L13" s="228" t="s">
        <v>46</v>
      </c>
      <c r="O13" s="13" t="s">
        <v>28</v>
      </c>
      <c r="P13" s="350" t="s">
        <v>12</v>
      </c>
      <c r="Q13" s="114">
        <f>SUM(P14:P22)</f>
        <v>650</v>
      </c>
      <c r="R13" s="115" t="s">
        <v>13</v>
      </c>
      <c r="S13" s="116">
        <f>SUM(R14:R22)</f>
        <v>710</v>
      </c>
      <c r="T13" s="117" t="s">
        <v>14</v>
      </c>
      <c r="U13" s="116">
        <f>SUM(T14:T22)</f>
        <v>710</v>
      </c>
      <c r="V13" s="117" t="s">
        <v>15</v>
      </c>
      <c r="W13" s="116">
        <f>SUM(V14:V22)</f>
        <v>350</v>
      </c>
      <c r="X13" s="117" t="s">
        <v>16</v>
      </c>
      <c r="Y13" s="20">
        <f>SUM(X14:X22)</f>
        <v>585</v>
      </c>
      <c r="Z13" s="351" t="s">
        <v>17</v>
      </c>
      <c r="AA13" s="22">
        <f>SUM(Z14:Z22)</f>
        <v>780</v>
      </c>
      <c r="AB13" s="23"/>
      <c r="AC13" s="24" t="s">
        <v>29</v>
      </c>
      <c r="AD13" s="119" t="s">
        <v>30</v>
      </c>
      <c r="AQ13" s="103"/>
      <c r="AS13" s="103"/>
    </row>
    <row r="14" spans="1:45" ht="15" x14ac:dyDescent="0.3">
      <c r="A14" s="120" t="s">
        <v>16</v>
      </c>
      <c r="B14" s="293">
        <v>631.13</v>
      </c>
      <c r="C14" s="294">
        <v>632.04</v>
      </c>
      <c r="D14" s="295">
        <f>(B6*Y26)+(C6*Y27)+(D6*Y28)+(E6*Y29)+(F6*Y30)+(G6*Y31)+(H6*Y32)+(I6*Y33)+(J6*Y34)</f>
        <v>632.68081623921717</v>
      </c>
      <c r="E14" s="296">
        <f>D14/$H$14</f>
        <v>1.0173843668921434</v>
      </c>
      <c r="F14" s="297">
        <v>633.72699999999998</v>
      </c>
      <c r="G14" s="296">
        <f>F14/$H$14</f>
        <v>1.0190666859633042</v>
      </c>
      <c r="H14" s="126">
        <v>621.87</v>
      </c>
      <c r="K14" s="227">
        <v>55</v>
      </c>
      <c r="L14" s="228" t="s">
        <v>47</v>
      </c>
      <c r="O14" s="127" t="str">
        <f t="shared" ref="O14:O22" si="8">O2</f>
        <v>PyCaret</v>
      </c>
      <c r="P14" s="352">
        <f t="shared" ref="P14:P22" si="9">IF(P2=0,0, LOOKUP(P2-0.000000000001,$AC$14:$AC$30,$AD$14:$AD$30))</f>
        <v>70</v>
      </c>
      <c r="Q14" s="129">
        <f t="shared" ref="Q14:Q22" si="10">P14/$Q$13</f>
        <v>0.1076923076923077</v>
      </c>
      <c r="R14" s="353">
        <f t="shared" ref="R14:R22" si="11">IF(R2=0,0, LOOKUP(R2-0.000000000001,$AC$14:$AC$30,$AD$14:$AD$30))</f>
        <v>65</v>
      </c>
      <c r="S14" s="131">
        <f t="shared" ref="S14:S22" si="12">R14/$S$13</f>
        <v>9.154929577464789E-2</v>
      </c>
      <c r="T14" s="354">
        <f t="shared" ref="T14:T22" si="13">IF(T2=0,0, LOOKUP(T2-0.000000000001,$AC$14:$AC$30,$AD$14:$AD$30))</f>
        <v>80</v>
      </c>
      <c r="U14" s="131">
        <f t="shared" ref="U14:U22" si="14">T14/$U$13</f>
        <v>0.11267605633802817</v>
      </c>
      <c r="V14" s="354">
        <f t="shared" ref="V14:V22" si="15">IF(V2=0,0, LOOKUP(V2-0.000000000001,$AC$14:$AC$30,$AD$14:$AD$30))</f>
        <v>75</v>
      </c>
      <c r="W14" s="131">
        <f t="shared" ref="W14:W22" si="16">V14/$W$13</f>
        <v>0.21428571428571427</v>
      </c>
      <c r="X14" s="354">
        <f t="shared" ref="X14:X22" si="17">IF(X2=0,0, LOOKUP(X2-0.000000000001,$AC$14:$AC$30,$AD$14:$AD$30))</f>
        <v>75</v>
      </c>
      <c r="Y14" s="132">
        <f t="shared" ref="Y14:Y22" si="18">X14/$Y$13</f>
        <v>0.12820512820512819</v>
      </c>
      <c r="Z14" s="355">
        <f t="shared" ref="Z14:Z22" si="19">IF(Z2=0,0, LOOKUP(Z2-0.000000000001,$AC$14:$AC$30,$AD$14:$AD$30))</f>
        <v>95</v>
      </c>
      <c r="AA14" s="134">
        <f t="shared" ref="AA14:AA22" si="20">Z14/$AA$13</f>
        <v>0.12179487179487179</v>
      </c>
      <c r="AB14" s="23"/>
      <c r="AC14" s="40">
        <v>1</v>
      </c>
      <c r="AD14" s="135">
        <v>0.1</v>
      </c>
      <c r="AQ14" s="103"/>
      <c r="AS14" s="103"/>
    </row>
    <row r="15" spans="1:45" ht="15" x14ac:dyDescent="0.3">
      <c r="A15" s="136" t="s">
        <v>17</v>
      </c>
      <c r="B15" s="298">
        <v>258.27</v>
      </c>
      <c r="C15" s="299">
        <v>258.27</v>
      </c>
      <c r="D15" s="300">
        <f>(B7*AA25)+(C7*AA26)+(D7*AA27)+(E7*AA28)+(F7*AA29)+(G7*AA30)+(H7*AA31)+(I7*AA32)+(J7*AA33)</f>
        <v>260.70872584033611</v>
      </c>
      <c r="E15" s="301">
        <f>D15/$H$15</f>
        <v>1.0047353392952678</v>
      </c>
      <c r="F15" s="302">
        <v>262.26928571428601</v>
      </c>
      <c r="G15" s="301">
        <f>F15/$H$15</f>
        <v>1.0107495210200632</v>
      </c>
      <c r="H15" s="142">
        <v>259.48</v>
      </c>
      <c r="K15" s="227">
        <v>75</v>
      </c>
      <c r="L15" s="228" t="s">
        <v>48</v>
      </c>
      <c r="O15" s="143" t="str">
        <f t="shared" si="8"/>
        <v>ARIMAX</v>
      </c>
      <c r="P15" s="356">
        <f t="shared" si="9"/>
        <v>75</v>
      </c>
      <c r="Q15" s="145">
        <f t="shared" si="10"/>
        <v>0.11538461538461539</v>
      </c>
      <c r="R15" s="357">
        <f t="shared" si="11"/>
        <v>70</v>
      </c>
      <c r="S15" s="147">
        <f t="shared" si="12"/>
        <v>9.8591549295774641E-2</v>
      </c>
      <c r="T15" s="358">
        <f t="shared" si="13"/>
        <v>65</v>
      </c>
      <c r="U15" s="147">
        <f t="shared" si="14"/>
        <v>9.154929577464789E-2</v>
      </c>
      <c r="V15" s="358">
        <f t="shared" si="15"/>
        <v>30</v>
      </c>
      <c r="W15" s="147">
        <f t="shared" si="16"/>
        <v>8.5714285714285715E-2</v>
      </c>
      <c r="X15" s="358">
        <f t="shared" si="17"/>
        <v>65</v>
      </c>
      <c r="Y15" s="148">
        <f t="shared" si="18"/>
        <v>0.1111111111111111</v>
      </c>
      <c r="Z15" s="359">
        <f t="shared" si="19"/>
        <v>70</v>
      </c>
      <c r="AA15" s="134">
        <f t="shared" si="20"/>
        <v>8.9743589743589744E-2</v>
      </c>
      <c r="AB15" s="23"/>
      <c r="AC15" s="56">
        <v>80</v>
      </c>
      <c r="AD15" s="150">
        <v>1</v>
      </c>
      <c r="AQ15" s="103"/>
      <c r="AS15" s="103"/>
    </row>
    <row r="16" spans="1:45" ht="15" x14ac:dyDescent="0.3">
      <c r="G16" s="151"/>
      <c r="K16" s="8"/>
      <c r="O16" s="143" t="str">
        <f t="shared" si="8"/>
        <v>PCE</v>
      </c>
      <c r="P16" s="356">
        <f t="shared" si="9"/>
        <v>75</v>
      </c>
      <c r="Q16" s="145">
        <f t="shared" si="10"/>
        <v>0.11538461538461539</v>
      </c>
      <c r="R16" s="357">
        <f t="shared" si="11"/>
        <v>100</v>
      </c>
      <c r="S16" s="147">
        <f t="shared" si="12"/>
        <v>0.14084507042253522</v>
      </c>
      <c r="T16" s="358">
        <f t="shared" si="13"/>
        <v>95</v>
      </c>
      <c r="U16" s="147">
        <f t="shared" si="14"/>
        <v>0.13380281690140844</v>
      </c>
      <c r="V16" s="358">
        <f t="shared" si="15"/>
        <v>65</v>
      </c>
      <c r="W16" s="147">
        <f t="shared" si="16"/>
        <v>0.18571428571428572</v>
      </c>
      <c r="X16" s="358">
        <f t="shared" si="17"/>
        <v>75</v>
      </c>
      <c r="Y16" s="148">
        <f t="shared" si="18"/>
        <v>0.12820512820512819</v>
      </c>
      <c r="Z16" s="359">
        <f t="shared" si="19"/>
        <v>95</v>
      </c>
      <c r="AA16" s="134">
        <f t="shared" si="20"/>
        <v>0.12179487179487179</v>
      </c>
      <c r="AB16" s="23"/>
      <c r="AC16" s="56">
        <v>82.5</v>
      </c>
      <c r="AD16" s="150">
        <v>2</v>
      </c>
      <c r="AQ16" s="103"/>
      <c r="AS16" s="103"/>
    </row>
    <row r="17" spans="1:43" ht="15" x14ac:dyDescent="0.3">
      <c r="A17" s="12" t="str">
        <f>F9</f>
        <v>LLM</v>
      </c>
      <c r="B17" s="1385" t="s">
        <v>31</v>
      </c>
      <c r="C17" s="1385"/>
      <c r="D17" s="1385">
        <v>85220</v>
      </c>
      <c r="E17" s="1385"/>
      <c r="F17" s="1385" t="s">
        <v>32</v>
      </c>
      <c r="G17" s="1385"/>
      <c r="H17" s="303"/>
      <c r="I17" s="304"/>
      <c r="J17" s="153"/>
      <c r="K17" s="152"/>
      <c r="L17" s="153"/>
      <c r="M17" s="154"/>
      <c r="O17" s="143" t="str">
        <f t="shared" si="8"/>
        <v>LSTM</v>
      </c>
      <c r="P17" s="356">
        <f t="shared" si="9"/>
        <v>80</v>
      </c>
      <c r="Q17" s="145">
        <f t="shared" si="10"/>
        <v>0.12307692307692308</v>
      </c>
      <c r="R17" s="357">
        <f t="shared" si="11"/>
        <v>65</v>
      </c>
      <c r="S17" s="147">
        <f t="shared" si="12"/>
        <v>9.154929577464789E-2</v>
      </c>
      <c r="T17" s="358">
        <f t="shared" si="13"/>
        <v>90</v>
      </c>
      <c r="U17" s="147">
        <f t="shared" si="14"/>
        <v>0.12676056338028169</v>
      </c>
      <c r="V17" s="358">
        <f t="shared" si="15"/>
        <v>30</v>
      </c>
      <c r="W17" s="147">
        <f t="shared" si="16"/>
        <v>8.5714285714285715E-2</v>
      </c>
      <c r="X17" s="358">
        <f t="shared" si="17"/>
        <v>60</v>
      </c>
      <c r="Y17" s="148">
        <f t="shared" si="18"/>
        <v>0.10256410256410256</v>
      </c>
      <c r="Z17" s="359">
        <f t="shared" si="19"/>
        <v>60</v>
      </c>
      <c r="AA17" s="134">
        <f t="shared" si="20"/>
        <v>7.6923076923076927E-2</v>
      </c>
      <c r="AB17" s="23"/>
      <c r="AC17" s="56">
        <v>85</v>
      </c>
      <c r="AD17" s="150">
        <v>5</v>
      </c>
      <c r="AQ17" s="103"/>
    </row>
    <row r="18" spans="1:43" ht="15" x14ac:dyDescent="0.3">
      <c r="A18" s="76" t="s">
        <v>12</v>
      </c>
      <c r="B18" s="155">
        <v>4.2300000000000004</v>
      </c>
      <c r="C18" s="156">
        <f>B18/$H$10</f>
        <v>0.99787685774946933</v>
      </c>
      <c r="D18" s="155">
        <v>4.2300000000000004</v>
      </c>
      <c r="E18" s="311">
        <f>D18/$H$10</f>
        <v>0.99787685774946933</v>
      </c>
      <c r="F18" s="155">
        <v>4.24</v>
      </c>
      <c r="G18" s="284">
        <f>F18/$H$10</f>
        <v>1.0002359046945035</v>
      </c>
      <c r="H18" s="305"/>
      <c r="I18" s="306"/>
      <c r="J18" s="307"/>
      <c r="K18" s="160"/>
      <c r="L18" s="161"/>
      <c r="M18" s="162"/>
      <c r="O18" s="143" t="str">
        <f t="shared" si="8"/>
        <v>GARCH</v>
      </c>
      <c r="P18" s="356">
        <f t="shared" si="9"/>
        <v>90</v>
      </c>
      <c r="Q18" s="145">
        <f t="shared" si="10"/>
        <v>0.13846153846153847</v>
      </c>
      <c r="R18" s="357">
        <f t="shared" si="11"/>
        <v>80</v>
      </c>
      <c r="S18" s="147">
        <f t="shared" si="12"/>
        <v>0.11267605633802817</v>
      </c>
      <c r="T18" s="358">
        <f t="shared" si="13"/>
        <v>80</v>
      </c>
      <c r="U18" s="147">
        <f t="shared" si="14"/>
        <v>0.11267605633802817</v>
      </c>
      <c r="V18" s="358">
        <f t="shared" si="15"/>
        <v>30</v>
      </c>
      <c r="W18" s="147">
        <f t="shared" si="16"/>
        <v>8.5714285714285715E-2</v>
      </c>
      <c r="X18" s="358">
        <f t="shared" si="17"/>
        <v>65</v>
      </c>
      <c r="Y18" s="148">
        <f t="shared" si="18"/>
        <v>0.1111111111111111</v>
      </c>
      <c r="Z18" s="359">
        <f t="shared" si="19"/>
        <v>95</v>
      </c>
      <c r="AA18" s="134">
        <f t="shared" si="20"/>
        <v>0.12179487179487179</v>
      </c>
      <c r="AB18" s="23"/>
      <c r="AC18" s="56">
        <v>87.5</v>
      </c>
      <c r="AD18" s="150">
        <v>10</v>
      </c>
      <c r="AQ18" s="103"/>
    </row>
    <row r="19" spans="1:43" ht="15" x14ac:dyDescent="0.3">
      <c r="A19" s="163" t="s">
        <v>13</v>
      </c>
      <c r="B19" s="164">
        <v>49305</v>
      </c>
      <c r="C19" s="165">
        <f>B19/$H$11</f>
        <v>1.0084374955898117</v>
      </c>
      <c r="D19" s="164">
        <v>49341</v>
      </c>
      <c r="E19" s="312">
        <f>D19/$H$11</f>
        <v>1.0091738052914896</v>
      </c>
      <c r="F19" s="164">
        <v>49272</v>
      </c>
      <c r="G19" s="287">
        <f>F19/$H$11</f>
        <v>1.0077625450299401</v>
      </c>
      <c r="H19" s="305"/>
      <c r="I19" s="308"/>
      <c r="J19" s="307"/>
      <c r="K19" s="160"/>
      <c r="L19" s="161"/>
      <c r="M19" s="162"/>
      <c r="O19" s="143" t="str">
        <f t="shared" si="8"/>
        <v>VAR</v>
      </c>
      <c r="P19" s="356">
        <f t="shared" si="9"/>
        <v>0</v>
      </c>
      <c r="Q19" s="145">
        <f t="shared" si="10"/>
        <v>0</v>
      </c>
      <c r="R19" s="357">
        <f t="shared" si="11"/>
        <v>80</v>
      </c>
      <c r="S19" s="147">
        <f t="shared" si="12"/>
        <v>0.11267605633802817</v>
      </c>
      <c r="T19" s="358">
        <f t="shared" si="13"/>
        <v>80</v>
      </c>
      <c r="U19" s="147">
        <f t="shared" si="14"/>
        <v>0.11267605633802817</v>
      </c>
      <c r="V19" s="358">
        <f t="shared" si="15"/>
        <v>40</v>
      </c>
      <c r="W19" s="147">
        <f t="shared" si="16"/>
        <v>0.11428571428571428</v>
      </c>
      <c r="X19" s="358">
        <f t="shared" si="17"/>
        <v>65</v>
      </c>
      <c r="Y19" s="148">
        <f t="shared" si="18"/>
        <v>0.1111111111111111</v>
      </c>
      <c r="Z19" s="359">
        <f t="shared" si="19"/>
        <v>80</v>
      </c>
      <c r="AA19" s="134">
        <f t="shared" si="20"/>
        <v>0.10256410256410256</v>
      </c>
      <c r="AB19" s="23"/>
      <c r="AC19" s="56">
        <v>90</v>
      </c>
      <c r="AD19" s="150">
        <v>20</v>
      </c>
      <c r="AK19" s="6"/>
      <c r="AQ19" s="103"/>
    </row>
    <row r="20" spans="1:43" ht="14.4" x14ac:dyDescent="0.3">
      <c r="A20" s="43" t="s">
        <v>14</v>
      </c>
      <c r="B20" s="169">
        <v>7000</v>
      </c>
      <c r="C20" s="170">
        <f>B20/$H$12</f>
        <v>1.0087879844704295</v>
      </c>
      <c r="D20" s="169">
        <v>7005</v>
      </c>
      <c r="E20" s="313">
        <f>D20/$H$12</f>
        <v>1.0095085473164798</v>
      </c>
      <c r="F20" s="169">
        <v>6995</v>
      </c>
      <c r="G20" s="290">
        <f>F20/$H$12</f>
        <v>1.0080674216243792</v>
      </c>
      <c r="H20" s="305"/>
      <c r="I20" s="308"/>
      <c r="J20" s="307"/>
      <c r="K20" s="160"/>
      <c r="L20" s="161"/>
      <c r="M20" s="162"/>
      <c r="O20" s="143" t="str">
        <f t="shared" si="8"/>
        <v>RW</v>
      </c>
      <c r="P20" s="356">
        <f t="shared" si="9"/>
        <v>90</v>
      </c>
      <c r="Q20" s="145">
        <f t="shared" si="10"/>
        <v>0.13846153846153847</v>
      </c>
      <c r="R20" s="357">
        <f t="shared" si="11"/>
        <v>80</v>
      </c>
      <c r="S20" s="147">
        <f t="shared" si="12"/>
        <v>0.11267605633802817</v>
      </c>
      <c r="T20" s="358">
        <f t="shared" si="13"/>
        <v>75</v>
      </c>
      <c r="U20" s="147">
        <f t="shared" si="14"/>
        <v>0.10563380281690141</v>
      </c>
      <c r="V20" s="358">
        <f t="shared" si="15"/>
        <v>30</v>
      </c>
      <c r="W20" s="147">
        <f t="shared" si="16"/>
        <v>8.5714285714285715E-2</v>
      </c>
      <c r="X20" s="358">
        <f t="shared" si="17"/>
        <v>65</v>
      </c>
      <c r="Y20" s="148">
        <f t="shared" si="18"/>
        <v>0.1111111111111111</v>
      </c>
      <c r="Z20" s="359">
        <f t="shared" si="19"/>
        <v>95</v>
      </c>
      <c r="AA20" s="134">
        <f t="shared" si="20"/>
        <v>0.12179487179487179</v>
      </c>
      <c r="AB20" s="23"/>
      <c r="AC20" s="56">
        <v>92.5</v>
      </c>
      <c r="AD20" s="150">
        <v>30</v>
      </c>
    </row>
    <row r="21" spans="1:43" ht="14.4" x14ac:dyDescent="0.3">
      <c r="A21" s="43" t="s">
        <v>15</v>
      </c>
      <c r="B21" s="169">
        <v>15.5</v>
      </c>
      <c r="C21" s="170">
        <f>B21/$H$13</f>
        <v>0.88876146788990817</v>
      </c>
      <c r="D21" s="169">
        <v>15.9</v>
      </c>
      <c r="E21" s="313">
        <f>D21/$H$13</f>
        <v>0.91169724770642202</v>
      </c>
      <c r="F21" s="169">
        <v>16.52</v>
      </c>
      <c r="G21" s="290">
        <f>F21/$H$13</f>
        <v>0.94724770642201828</v>
      </c>
      <c r="H21" s="305"/>
      <c r="I21" s="306"/>
      <c r="J21" s="307"/>
      <c r="K21" s="160"/>
      <c r="L21" s="161"/>
      <c r="M21" s="162"/>
      <c r="O21" s="143" t="str">
        <f t="shared" si="8"/>
        <v>ETS</v>
      </c>
      <c r="P21" s="356">
        <f t="shared" si="9"/>
        <v>90</v>
      </c>
      <c r="Q21" s="145">
        <f t="shared" si="10"/>
        <v>0.13846153846153847</v>
      </c>
      <c r="R21" s="357">
        <f t="shared" si="11"/>
        <v>80</v>
      </c>
      <c r="S21" s="147">
        <f t="shared" si="12"/>
        <v>0.11267605633802817</v>
      </c>
      <c r="T21" s="358">
        <f t="shared" si="13"/>
        <v>75</v>
      </c>
      <c r="U21" s="147">
        <f t="shared" si="14"/>
        <v>0.10563380281690141</v>
      </c>
      <c r="V21" s="358">
        <f t="shared" si="15"/>
        <v>20</v>
      </c>
      <c r="W21" s="147">
        <f t="shared" si="16"/>
        <v>5.7142857142857141E-2</v>
      </c>
      <c r="X21" s="358">
        <f t="shared" si="17"/>
        <v>65</v>
      </c>
      <c r="Y21" s="148">
        <f t="shared" si="18"/>
        <v>0.1111111111111111</v>
      </c>
      <c r="Z21" s="359">
        <f t="shared" si="19"/>
        <v>95</v>
      </c>
      <c r="AA21" s="134">
        <f t="shared" si="20"/>
        <v>0.12179487179487179</v>
      </c>
      <c r="AC21" s="56">
        <v>95</v>
      </c>
      <c r="AD21" s="150">
        <v>40</v>
      </c>
    </row>
    <row r="22" spans="1:43" ht="14.4" x14ac:dyDescent="0.3">
      <c r="A22" s="174" t="s">
        <v>16</v>
      </c>
      <c r="B22" s="175">
        <v>635.29999999999995</v>
      </c>
      <c r="C22" s="176">
        <f>B22/$H$14</f>
        <v>1.0215961535369127</v>
      </c>
      <c r="D22" s="175">
        <v>637.5</v>
      </c>
      <c r="E22" s="314">
        <f>D22/$H$14</f>
        <v>1.0251338704230788</v>
      </c>
      <c r="F22" s="175">
        <v>635.20000000000005</v>
      </c>
      <c r="G22" s="296">
        <f>F22/$H$14</f>
        <v>1.0214353482239054</v>
      </c>
      <c r="H22" s="305"/>
      <c r="I22" s="309"/>
      <c r="J22" s="307"/>
      <c r="K22" s="160"/>
      <c r="L22" s="161"/>
      <c r="M22" s="162"/>
      <c r="O22" s="180" t="str">
        <f t="shared" si="8"/>
        <v>DynaMix</v>
      </c>
      <c r="P22" s="360">
        <f t="shared" si="9"/>
        <v>80</v>
      </c>
      <c r="Q22" s="182">
        <f t="shared" si="10"/>
        <v>0.12307692307692308</v>
      </c>
      <c r="R22" s="361">
        <f t="shared" si="11"/>
        <v>90</v>
      </c>
      <c r="S22" s="184">
        <f t="shared" si="12"/>
        <v>0.12676056338028169</v>
      </c>
      <c r="T22" s="362">
        <f t="shared" si="13"/>
        <v>70</v>
      </c>
      <c r="U22" s="184">
        <f t="shared" si="14"/>
        <v>9.8591549295774641E-2</v>
      </c>
      <c r="V22" s="362">
        <f t="shared" si="15"/>
        <v>30</v>
      </c>
      <c r="W22" s="184">
        <f t="shared" si="16"/>
        <v>8.5714285714285715E-2</v>
      </c>
      <c r="X22" s="362">
        <f t="shared" si="17"/>
        <v>50</v>
      </c>
      <c r="Y22" s="185">
        <f t="shared" si="18"/>
        <v>8.5470085470085472E-2</v>
      </c>
      <c r="Z22" s="363">
        <f t="shared" si="19"/>
        <v>95</v>
      </c>
      <c r="AA22" s="187">
        <f t="shared" si="20"/>
        <v>0.12179487179487179</v>
      </c>
      <c r="AB22" s="23"/>
      <c r="AC22" s="56">
        <v>96</v>
      </c>
      <c r="AD22" s="150">
        <v>50</v>
      </c>
    </row>
    <row r="23" spans="1:43" ht="14.4" x14ac:dyDescent="0.3">
      <c r="A23" s="136" t="s">
        <v>17</v>
      </c>
      <c r="B23" s="188">
        <v>261</v>
      </c>
      <c r="C23" s="189">
        <f>B23/$H$15</f>
        <v>1.0058578695853244</v>
      </c>
      <c r="D23" s="188">
        <v>261.3</v>
      </c>
      <c r="E23" s="315">
        <f>D23/$H$15</f>
        <v>1.0070140280561122</v>
      </c>
      <c r="F23" s="188">
        <v>259.39999999999998</v>
      </c>
      <c r="G23" s="301">
        <f>F23/$H$15</f>
        <v>0.99969169107445643</v>
      </c>
      <c r="H23" s="305"/>
      <c r="I23" s="309"/>
      <c r="J23" s="307"/>
      <c r="K23" s="160"/>
      <c r="L23" s="161"/>
      <c r="M23" s="162"/>
      <c r="P23" s="348">
        <f>AVERAGE(P14:P22)</f>
        <v>72.222222222222229</v>
      </c>
      <c r="Q23" s="349"/>
      <c r="R23" s="348">
        <f>AVERAGE(R14:R22)</f>
        <v>78.888888888888886</v>
      </c>
      <c r="S23" s="349"/>
      <c r="T23" s="348">
        <f>AVERAGE(T14:T22)</f>
        <v>78.888888888888886</v>
      </c>
      <c r="U23" s="349"/>
      <c r="V23" s="348">
        <f>AVERAGE(V14:V22)</f>
        <v>38.888888888888886</v>
      </c>
      <c r="W23" s="349"/>
      <c r="X23" s="348">
        <f>AVERAGE(X14:X22)</f>
        <v>65</v>
      </c>
      <c r="Y23" s="349"/>
      <c r="Z23" s="348">
        <f>AVERAGE(Z14:Z22)</f>
        <v>86.666666666666671</v>
      </c>
      <c r="AC23" s="56">
        <v>97</v>
      </c>
      <c r="AD23" s="150">
        <v>60</v>
      </c>
    </row>
    <row r="24" spans="1:43" ht="14.4" x14ac:dyDescent="0.3">
      <c r="H24" s="310"/>
      <c r="I24" s="303"/>
      <c r="K24" s="200"/>
      <c r="L24" s="201"/>
      <c r="AA24" s="22">
        <f>SUM(Z26:Z34)</f>
        <v>595</v>
      </c>
      <c r="AB24" s="23"/>
      <c r="AC24" s="56">
        <v>98</v>
      </c>
      <c r="AD24" s="150">
        <v>65</v>
      </c>
    </row>
    <row r="25" spans="1:43" ht="14.4" x14ac:dyDescent="0.3">
      <c r="A25" s="202" t="str">
        <f>AC1</f>
        <v>AVR-4</v>
      </c>
      <c r="B25" s="1380">
        <f t="array" ref="B25">SUM(C19:C22/4)</f>
        <v>0.98189577537176553</v>
      </c>
      <c r="C25" s="1380"/>
      <c r="D25" s="1380">
        <f t="array" ref="D25">SUM(E19:E22/4)</f>
        <v>0.98887836768436754</v>
      </c>
      <c r="E25" s="1380"/>
      <c r="F25" s="1380">
        <f t="array" ref="F25">SUM(G19:G22/4)</f>
        <v>0.99612825532506077</v>
      </c>
      <c r="G25" s="1380"/>
      <c r="O25" s="13" t="s">
        <v>40</v>
      </c>
      <c r="P25" s="364" t="s">
        <v>12</v>
      </c>
      <c r="Q25" s="205">
        <f>SUM(P26:P34)</f>
        <v>621.25</v>
      </c>
      <c r="R25" s="365" t="s">
        <v>13</v>
      </c>
      <c r="S25" s="366">
        <f>SUM(R26:R34)</f>
        <v>721.25</v>
      </c>
      <c r="T25" s="367" t="s">
        <v>14</v>
      </c>
      <c r="U25" s="366">
        <f>SUM(T26:T34)</f>
        <v>742.5</v>
      </c>
      <c r="V25" s="367" t="s">
        <v>15</v>
      </c>
      <c r="W25" s="366">
        <f>SUM(V26:V34)</f>
        <v>227.95000000000002</v>
      </c>
      <c r="X25" s="367" t="s">
        <v>16</v>
      </c>
      <c r="Y25" s="209">
        <f>SUM(X26:X34)</f>
        <v>646.27499999999998</v>
      </c>
      <c r="Z25" s="368" t="s">
        <v>17</v>
      </c>
      <c r="AA25" s="39">
        <f t="shared" ref="AA25:AA33" si="21">Z26/$AA$24</f>
        <v>0.10504201680672269</v>
      </c>
      <c r="AB25" s="23"/>
      <c r="AC25" s="56">
        <v>98.5</v>
      </c>
      <c r="AD25" s="150">
        <v>70</v>
      </c>
    </row>
    <row r="26" spans="1:43" ht="14.4" x14ac:dyDescent="0.3">
      <c r="A26" s="211" t="str">
        <f>AD1</f>
        <v>AVR-6</v>
      </c>
      <c r="B26" s="1382">
        <f t="array" ref="B26">SUM(C18:C23/6)</f>
        <v>0.98855297147030918</v>
      </c>
      <c r="C26" s="1382"/>
      <c r="D26" s="1382">
        <f t="array" ref="D26">SUM(E18:E23/6)</f>
        <v>0.99340072609050856</v>
      </c>
      <c r="E26" s="1382"/>
      <c r="F26" s="1382">
        <f t="array" ref="F26">SUM(G18:G23/6)</f>
        <v>0.99740676951153373</v>
      </c>
      <c r="G26" s="1382"/>
      <c r="O26" s="127" t="str">
        <f t="shared" ref="O26:O33" si="22">O2</f>
        <v>PyCaret</v>
      </c>
      <c r="P26" s="369">
        <v>75</v>
      </c>
      <c r="Q26" s="370">
        <f t="shared" ref="Q26:Q34" si="23">P26/$Q$25</f>
        <v>0.12072434607645875</v>
      </c>
      <c r="R26" s="371">
        <v>65</v>
      </c>
      <c r="S26" s="372">
        <f t="shared" ref="S26:S34" si="24">R26/$S$25</f>
        <v>9.0121317157712308E-2</v>
      </c>
      <c r="T26" s="372">
        <v>68.75</v>
      </c>
      <c r="U26" s="372">
        <f t="shared" ref="U26:U34" si="25">T26/$U$25</f>
        <v>9.2592592592592587E-2</v>
      </c>
      <c r="V26" s="372">
        <v>17.55</v>
      </c>
      <c r="W26" s="372">
        <f t="shared" ref="W26:W34" si="26">V26/$W$25</f>
        <v>7.699056810704101E-2</v>
      </c>
      <c r="X26" s="372">
        <v>81.25</v>
      </c>
      <c r="Y26" s="373">
        <f t="shared" ref="Y26:Y34" si="27">X26/$Y$25</f>
        <v>0.12572047502997949</v>
      </c>
      <c r="Z26" s="374">
        <v>62.5</v>
      </c>
      <c r="AA26" s="39">
        <f t="shared" si="21"/>
        <v>0.12605042016806722</v>
      </c>
      <c r="AB26" s="23"/>
      <c r="AC26" s="56">
        <v>99</v>
      </c>
      <c r="AD26" s="150">
        <v>75</v>
      </c>
    </row>
    <row r="27" spans="1:43" ht="14.4" x14ac:dyDescent="0.3">
      <c r="O27" s="143" t="str">
        <f t="shared" si="22"/>
        <v>ARIMAX</v>
      </c>
      <c r="P27" s="375">
        <v>77.5</v>
      </c>
      <c r="Q27" s="376">
        <f t="shared" si="23"/>
        <v>0.12474849094567404</v>
      </c>
      <c r="R27" s="377">
        <v>85</v>
      </c>
      <c r="S27" s="378">
        <f t="shared" si="24"/>
        <v>0.11785095320623917</v>
      </c>
      <c r="T27" s="378">
        <v>82.5</v>
      </c>
      <c r="U27" s="378">
        <f t="shared" si="25"/>
        <v>0.1111111111111111</v>
      </c>
      <c r="V27" s="378">
        <v>37.524999999999999</v>
      </c>
      <c r="W27" s="378">
        <f t="shared" si="26"/>
        <v>0.16461943408642243</v>
      </c>
      <c r="X27" s="378">
        <v>72.5</v>
      </c>
      <c r="Y27" s="379">
        <f t="shared" si="27"/>
        <v>0.11218134694982787</v>
      </c>
      <c r="Z27" s="380">
        <v>75</v>
      </c>
      <c r="AA27" s="39">
        <f t="shared" si="21"/>
        <v>0.13235294117647059</v>
      </c>
      <c r="AB27" s="23"/>
      <c r="AC27" s="56">
        <v>99.25</v>
      </c>
      <c r="AD27" s="150">
        <v>80</v>
      </c>
      <c r="AF27" s="2"/>
    </row>
    <row r="28" spans="1:43" ht="14.25" customHeight="1" x14ac:dyDescent="0.3">
      <c r="O28" s="143" t="str">
        <f t="shared" si="22"/>
        <v>PCE</v>
      </c>
      <c r="P28" s="375">
        <v>80</v>
      </c>
      <c r="Q28" s="376">
        <f t="shared" si="23"/>
        <v>0.12877263581488935</v>
      </c>
      <c r="R28" s="377">
        <v>80</v>
      </c>
      <c r="S28" s="378">
        <f t="shared" si="24"/>
        <v>0.11091854419410745</v>
      </c>
      <c r="T28" s="378">
        <v>82.5</v>
      </c>
      <c r="U28" s="378">
        <f t="shared" si="25"/>
        <v>0.1111111111111111</v>
      </c>
      <c r="V28" s="378">
        <v>17.774999999999999</v>
      </c>
      <c r="W28" s="378">
        <f t="shared" si="26"/>
        <v>7.7977626672515885E-2</v>
      </c>
      <c r="X28" s="378">
        <v>73.75</v>
      </c>
      <c r="Y28" s="379">
        <f t="shared" si="27"/>
        <v>0.11411550810413525</v>
      </c>
      <c r="Z28" s="380">
        <v>78.75</v>
      </c>
      <c r="AA28" s="39">
        <f t="shared" si="21"/>
        <v>0.10504201680672269</v>
      </c>
      <c r="AB28" s="23"/>
      <c r="AC28" s="56">
        <v>99.5</v>
      </c>
      <c r="AD28" s="150">
        <v>90</v>
      </c>
      <c r="AK28" s="6"/>
    </row>
    <row r="29" spans="1:43" ht="14.25" customHeight="1" x14ac:dyDescent="0.3">
      <c r="O29" s="143" t="str">
        <f t="shared" si="22"/>
        <v>LSTM</v>
      </c>
      <c r="P29" s="381">
        <v>76.25</v>
      </c>
      <c r="Q29" s="376">
        <f t="shared" si="23"/>
        <v>0.1227364185110664</v>
      </c>
      <c r="R29" s="377">
        <v>81.25</v>
      </c>
      <c r="S29" s="378">
        <f t="shared" si="24"/>
        <v>0.11265164644714037</v>
      </c>
      <c r="T29" s="378">
        <v>85</v>
      </c>
      <c r="U29" s="378">
        <f t="shared" si="25"/>
        <v>0.11447811447811448</v>
      </c>
      <c r="V29" s="378">
        <v>23.75</v>
      </c>
      <c r="W29" s="378">
        <f t="shared" si="26"/>
        <v>0.10418951524457117</v>
      </c>
      <c r="X29" s="378">
        <v>75</v>
      </c>
      <c r="Y29" s="379">
        <f t="shared" si="27"/>
        <v>0.11604966925844262</v>
      </c>
      <c r="Z29" s="380">
        <v>62.5</v>
      </c>
      <c r="AA29" s="39">
        <f t="shared" si="21"/>
        <v>0.1092436974789916</v>
      </c>
      <c r="AB29" s="23"/>
      <c r="AC29" s="56">
        <v>99.75</v>
      </c>
      <c r="AD29" s="150">
        <v>95</v>
      </c>
    </row>
    <row r="30" spans="1:43" ht="14.25" customHeight="1" x14ac:dyDescent="0.3">
      <c r="M30" s="8"/>
      <c r="O30" s="143" t="str">
        <f t="shared" si="22"/>
        <v>GARCH</v>
      </c>
      <c r="P30" s="375">
        <v>81.25</v>
      </c>
      <c r="Q30" s="376">
        <f t="shared" si="23"/>
        <v>0.13078470824949698</v>
      </c>
      <c r="R30" s="377">
        <v>82.5</v>
      </c>
      <c r="S30" s="378">
        <f t="shared" si="24"/>
        <v>0.11438474870017332</v>
      </c>
      <c r="T30" s="378">
        <v>83.75</v>
      </c>
      <c r="U30" s="378">
        <f t="shared" si="25"/>
        <v>0.11279461279461279</v>
      </c>
      <c r="V30" s="378">
        <v>25</v>
      </c>
      <c r="W30" s="378">
        <f t="shared" si="26"/>
        <v>0.10967317394165386</v>
      </c>
      <c r="X30" s="378">
        <v>80</v>
      </c>
      <c r="Y30" s="379">
        <f t="shared" si="27"/>
        <v>0.12378631387567213</v>
      </c>
      <c r="Z30" s="380">
        <v>65</v>
      </c>
      <c r="AA30" s="39">
        <f t="shared" si="21"/>
        <v>0.11764705882352941</v>
      </c>
      <c r="AB30" s="23"/>
      <c r="AC30" s="93">
        <v>99.99</v>
      </c>
      <c r="AD30" s="229">
        <v>100</v>
      </c>
      <c r="AG30" s="225" t="s">
        <v>42</v>
      </c>
    </row>
    <row r="31" spans="1:43" ht="14.25" customHeight="1" x14ac:dyDescent="0.3">
      <c r="O31" s="143" t="str">
        <f t="shared" si="22"/>
        <v>VAR</v>
      </c>
      <c r="P31" s="381">
        <v>0</v>
      </c>
      <c r="Q31" s="376">
        <f t="shared" si="23"/>
        <v>0</v>
      </c>
      <c r="R31" s="377">
        <v>81.25</v>
      </c>
      <c r="S31" s="378">
        <f t="shared" si="24"/>
        <v>0.11265164644714037</v>
      </c>
      <c r="T31" s="378">
        <v>85</v>
      </c>
      <c r="U31" s="378">
        <f t="shared" si="25"/>
        <v>0.11447811447811448</v>
      </c>
      <c r="V31" s="378">
        <v>12.525</v>
      </c>
      <c r="W31" s="378">
        <f t="shared" si="26"/>
        <v>5.494626014476859E-2</v>
      </c>
      <c r="X31" s="378">
        <v>71.25</v>
      </c>
      <c r="Y31" s="379">
        <f t="shared" si="27"/>
        <v>0.11024718579552048</v>
      </c>
      <c r="Z31" s="380">
        <v>70</v>
      </c>
      <c r="AA31" s="39">
        <f t="shared" si="21"/>
        <v>0.10504201680672269</v>
      </c>
      <c r="AL31" s="230"/>
    </row>
    <row r="32" spans="1:43" ht="14.25" customHeight="1" x14ac:dyDescent="0.3">
      <c r="O32" s="143" t="str">
        <f t="shared" si="22"/>
        <v>RW</v>
      </c>
      <c r="P32" s="375">
        <v>82.5</v>
      </c>
      <c r="Q32" s="376">
        <f t="shared" si="23"/>
        <v>0.13279678068410464</v>
      </c>
      <c r="R32" s="377">
        <v>81.25</v>
      </c>
      <c r="S32" s="378">
        <f t="shared" si="24"/>
        <v>0.11265164644714037</v>
      </c>
      <c r="T32" s="378">
        <v>85</v>
      </c>
      <c r="U32" s="378">
        <f t="shared" si="25"/>
        <v>0.11447811447811448</v>
      </c>
      <c r="V32" s="378">
        <v>25.024999999999999</v>
      </c>
      <c r="W32" s="378">
        <f t="shared" si="26"/>
        <v>0.10978284711559551</v>
      </c>
      <c r="X32" s="378">
        <v>71.25</v>
      </c>
      <c r="Y32" s="379">
        <f t="shared" si="27"/>
        <v>0.11024718579552048</v>
      </c>
      <c r="Z32" s="380">
        <v>62.5</v>
      </c>
      <c r="AA32" s="39">
        <f t="shared" si="21"/>
        <v>0.10504201680672269</v>
      </c>
      <c r="AK32" s="2"/>
      <c r="AL32" s="230"/>
    </row>
    <row r="33" spans="15:42" ht="14.25" customHeight="1" x14ac:dyDescent="0.3">
      <c r="O33" s="143" t="str">
        <f t="shared" si="22"/>
        <v>ETS</v>
      </c>
      <c r="P33" s="375">
        <v>82.5</v>
      </c>
      <c r="Q33" s="376">
        <f t="shared" si="23"/>
        <v>0.13279678068410464</v>
      </c>
      <c r="R33" s="377">
        <v>83.75</v>
      </c>
      <c r="S33" s="378">
        <f t="shared" si="24"/>
        <v>0.11611785095320624</v>
      </c>
      <c r="T33" s="378">
        <v>85</v>
      </c>
      <c r="U33" s="378">
        <f t="shared" si="25"/>
        <v>0.11447811447811448</v>
      </c>
      <c r="V33" s="378">
        <v>28.774999999999999</v>
      </c>
      <c r="W33" s="378">
        <f t="shared" si="26"/>
        <v>0.12623382320684359</v>
      </c>
      <c r="X33" s="378">
        <v>55.024999999999999</v>
      </c>
      <c r="Y33" s="379">
        <f t="shared" si="27"/>
        <v>8.5141774012610735E-2</v>
      </c>
      <c r="Z33" s="380">
        <v>62.5</v>
      </c>
      <c r="AA33" s="92">
        <f t="shared" si="21"/>
        <v>9.4537815126050417E-2</v>
      </c>
    </row>
    <row r="34" spans="15:42" ht="14.25" customHeight="1" x14ac:dyDescent="0.3">
      <c r="O34" s="180" t="str">
        <f>O22</f>
        <v>DynaMix</v>
      </c>
      <c r="P34" s="382">
        <v>66.25</v>
      </c>
      <c r="Q34" s="383">
        <f t="shared" si="23"/>
        <v>0.10663983903420524</v>
      </c>
      <c r="R34" s="384">
        <v>81.25</v>
      </c>
      <c r="S34" s="385">
        <f t="shared" si="24"/>
        <v>0.11265164644714037</v>
      </c>
      <c r="T34" s="385">
        <v>85</v>
      </c>
      <c r="U34" s="385">
        <f t="shared" si="25"/>
        <v>0.11447811447811448</v>
      </c>
      <c r="V34" s="385">
        <v>40.024999999999999</v>
      </c>
      <c r="W34" s="385">
        <f t="shared" si="26"/>
        <v>0.17558675148058783</v>
      </c>
      <c r="X34" s="385">
        <v>66.25</v>
      </c>
      <c r="Y34" s="386">
        <f t="shared" si="27"/>
        <v>0.10251054117829098</v>
      </c>
      <c r="Z34" s="387">
        <v>56.25</v>
      </c>
    </row>
    <row r="35" spans="15:42" ht="14.25" customHeight="1" x14ac:dyDescent="0.3">
      <c r="P35" s="348">
        <f>AVERAGE(P26:P34)</f>
        <v>69.027777777777771</v>
      </c>
      <c r="Q35" s="349"/>
      <c r="R35" s="348">
        <f>AVERAGE(R26:R34)</f>
        <v>80.138888888888886</v>
      </c>
      <c r="S35" s="349"/>
      <c r="T35" s="348">
        <f>AVERAGE(T26:T34)</f>
        <v>82.5</v>
      </c>
      <c r="U35" s="349"/>
      <c r="V35" s="348">
        <f>AVERAGE(V26:V34)</f>
        <v>25.327777777777779</v>
      </c>
      <c r="W35" s="349"/>
      <c r="X35" s="348">
        <f>AVERAGE(X26:X34)</f>
        <v>71.808333333333337</v>
      </c>
      <c r="Y35" s="349"/>
      <c r="Z35" s="348">
        <f>AVERAGE(Z26:Z34)</f>
        <v>66.111111111111114</v>
      </c>
      <c r="AP35" s="2"/>
    </row>
    <row r="36" spans="15:42" ht="14.25" customHeight="1" x14ac:dyDescent="0.3">
      <c r="AP36" s="2"/>
    </row>
    <row r="37" spans="15:42" ht="14.25" customHeight="1" x14ac:dyDescent="0.3">
      <c r="Z37" s="6"/>
    </row>
    <row r="38" spans="15:42" ht="14.25" customHeight="1" x14ac:dyDescent="0.3">
      <c r="Z38" s="6"/>
    </row>
    <row r="39" spans="15:42" ht="14.25" customHeight="1" x14ac:dyDescent="0.3">
      <c r="Z39" s="6"/>
    </row>
    <row r="40" spans="15:42" ht="14.25" customHeight="1" x14ac:dyDescent="0.3">
      <c r="Z40" s="6"/>
    </row>
    <row r="41" spans="15:42" ht="14.25" customHeight="1" x14ac:dyDescent="0.3">
      <c r="Z41" s="6"/>
    </row>
    <row r="43" spans="15:42" ht="14.25" customHeight="1" x14ac:dyDescent="0.3">
      <c r="AD43" s="237"/>
    </row>
    <row r="44" spans="15:42" ht="14.25" customHeight="1" x14ac:dyDescent="0.3">
      <c r="AD44" s="237"/>
    </row>
    <row r="45" spans="15:42" ht="14.25" customHeight="1" x14ac:dyDescent="0.3">
      <c r="AD45" s="237"/>
    </row>
    <row r="46" spans="15:42" ht="14.25" customHeight="1" x14ac:dyDescent="0.3">
      <c r="AD46" s="237"/>
    </row>
  </sheetData>
  <mergeCells count="13">
    <mergeCell ref="D9:E9"/>
    <mergeCell ref="F9:G9"/>
    <mergeCell ref="AG10:AH10"/>
    <mergeCell ref="AG11:AH11"/>
    <mergeCell ref="B17:C17"/>
    <mergeCell ref="D17:E17"/>
    <mergeCell ref="F17:G17"/>
    <mergeCell ref="B25:C25"/>
    <mergeCell ref="D25:E25"/>
    <mergeCell ref="F25:G25"/>
    <mergeCell ref="B26:C26"/>
    <mergeCell ref="D26:E26"/>
    <mergeCell ref="F26:G26"/>
  </mergeCells>
  <hyperlinks>
    <hyperlink ref="AG30" r:id="rId1" xr:uid="{00000000-0004-0000-05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EY46"/>
  <sheetViews>
    <sheetView zoomScale="120" zoomScaleNormal="120" workbookViewId="0">
      <selection activeCell="P12" sqref="P12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78</v>
      </c>
      <c r="O1" s="13" t="s">
        <v>11</v>
      </c>
      <c r="P1" s="316" t="s">
        <v>12</v>
      </c>
      <c r="Q1" s="15">
        <f>SUM(P2:P10)</f>
        <v>788.21555187898832</v>
      </c>
      <c r="R1" s="16" t="s">
        <v>13</v>
      </c>
      <c r="S1" s="17">
        <f>SUM(R2:R10)</f>
        <v>889.74349835260432</v>
      </c>
      <c r="T1" s="18" t="s">
        <v>14</v>
      </c>
      <c r="U1" s="17">
        <f>SUM(T2:T10)</f>
        <v>889.61756140447278</v>
      </c>
      <c r="V1" s="18" t="s">
        <v>15</v>
      </c>
      <c r="W1" s="17">
        <f>SUM(V2:V10)</f>
        <v>684.77315102548164</v>
      </c>
      <c r="X1" s="19" t="s">
        <v>16</v>
      </c>
      <c r="Y1" s="20">
        <f>SUM(X2:X10)</f>
        <v>800.02569373072981</v>
      </c>
      <c r="Z1" s="317" t="s">
        <v>17</v>
      </c>
      <c r="AA1" s="22">
        <f>SUM(Z2:Z10)</f>
        <v>879.15277760902541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4.2119</v>
      </c>
      <c r="C2" s="28">
        <v>4.2869999999999999</v>
      </c>
      <c r="D2" s="28">
        <v>4.2590000000000003</v>
      </c>
      <c r="E2" s="28">
        <v>4.274</v>
      </c>
      <c r="F2" s="28">
        <v>4.2954999999999997</v>
      </c>
      <c r="G2" s="28">
        <v>0</v>
      </c>
      <c r="H2" s="318">
        <v>4.2919999999999998</v>
      </c>
      <c r="I2" s="318">
        <v>4.29</v>
      </c>
      <c r="J2" s="29">
        <v>4.399</v>
      </c>
      <c r="K2" s="30"/>
      <c r="O2" s="319" t="str">
        <f>B1</f>
        <v>PyCaret</v>
      </c>
      <c r="P2" s="320">
        <f>100-ABS((($G10-B2)/($G10)))*100</f>
        <v>99.548570077995748</v>
      </c>
      <c r="Q2" s="321">
        <f t="shared" ref="Q2:Q10" si="0">P2/$Q$1</f>
        <v>0.12629612526762102</v>
      </c>
      <c r="R2" s="322">
        <f>100-ABS((($G11-B3)/($G11)))*100</f>
        <v>97.050655709691767</v>
      </c>
      <c r="S2" s="323">
        <f t="shared" ref="S2:S10" si="1">R2/$S$1</f>
        <v>0.10907711704483926</v>
      </c>
      <c r="T2" s="323">
        <f>100-ABS((($G12-B4)/($G12)))*100</f>
        <v>99.094513579404307</v>
      </c>
      <c r="U2" s="323">
        <f t="shared" ref="U2:U10" si="2">T2/$U$1</f>
        <v>0.11139001507901897</v>
      </c>
      <c r="V2" s="323">
        <f>100-ABS((($G13-B5)/($G13)))*100</f>
        <v>41.019266625233072</v>
      </c>
      <c r="W2" s="323">
        <f t="shared" ref="W2:W10" si="3">V2/$W$1</f>
        <v>5.9901978580504646E-2</v>
      </c>
      <c r="X2" s="324">
        <f>100-ABS((($G14-B6)/($G14)))*100</f>
        <v>99.707733812949655</v>
      </c>
      <c r="Y2" s="325">
        <f t="shared" ref="Y2:Y10" si="4">X2/$Y$1</f>
        <v>0.1246306644827697</v>
      </c>
      <c r="Z2" s="326">
        <f>100-ABS((($G15-B7)/($G15)))*100</f>
        <v>99.201741654571848</v>
      </c>
      <c r="AA2" s="39">
        <f t="shared" ref="AA2:AA10" si="5">Z2/$AA$1</f>
        <v>0.11283788686235442</v>
      </c>
      <c r="AB2" s="23"/>
      <c r="AC2" s="40">
        <f t="shared" ref="AC2:AC10" si="6">(R2+T2+V2+X2)/4</f>
        <v>84.218042431819697</v>
      </c>
      <c r="AD2" s="41">
        <f t="shared" ref="AD2:AD10" si="7">(P2+R2+T2+V2+X2+Z2)/6</f>
        <v>89.270413576641076</v>
      </c>
      <c r="AE2" s="42" t="str">
        <f>IF($AC2=MAX(AC2:AC10),"TOP","")</f>
        <v/>
      </c>
      <c r="AG2" s="1" t="s">
        <v>33</v>
      </c>
      <c r="AH2" s="2"/>
      <c r="AI2" s="2"/>
    </row>
    <row r="3" spans="1:45" ht="14.4" x14ac:dyDescent="0.3">
      <c r="A3" s="43" t="s">
        <v>13</v>
      </c>
      <c r="B3" s="44">
        <v>47650.62</v>
      </c>
      <c r="C3" s="45">
        <v>48806.27</v>
      </c>
      <c r="D3" s="45">
        <v>48279.88</v>
      </c>
      <c r="E3" s="45">
        <v>48995.48</v>
      </c>
      <c r="F3" s="45">
        <v>48706.89</v>
      </c>
      <c r="G3" s="45">
        <v>48703.9</v>
      </c>
      <c r="H3" s="45">
        <v>48635.9</v>
      </c>
      <c r="I3" s="45">
        <v>48775.64</v>
      </c>
      <c r="J3" s="46">
        <v>48298</v>
      </c>
      <c r="K3" s="30"/>
      <c r="L3" s="47" t="s">
        <v>79</v>
      </c>
      <c r="O3" s="327" t="str">
        <f>C1</f>
        <v>ARIMAX</v>
      </c>
      <c r="P3" s="328">
        <f>100-ABS((($G10-C2)/($G10)))*100</f>
        <v>98.67643583077286</v>
      </c>
      <c r="Q3" s="329">
        <f t="shared" si="0"/>
        <v>0.12518965858456224</v>
      </c>
      <c r="R3" s="330">
        <f>100-ABS((($G11-C3)/($G11)))*100</f>
        <v>99.404383536756868</v>
      </c>
      <c r="S3" s="331">
        <f t="shared" si="1"/>
        <v>0.11172251746802091</v>
      </c>
      <c r="T3" s="331">
        <f>100-ABS((($G12-C4)/($G12)))*100</f>
        <v>98.935308764796218</v>
      </c>
      <c r="U3" s="331">
        <f t="shared" si="2"/>
        <v>0.11121105636516811</v>
      </c>
      <c r="V3" s="331">
        <f>100-ABS((($G13-C5)/($G13)))*100</f>
        <v>74.642635177128639</v>
      </c>
      <c r="W3" s="331">
        <f t="shared" si="3"/>
        <v>0.10900344890179704</v>
      </c>
      <c r="X3" s="332">
        <f>100-ABS((($G14-C6)/($G14)))*100</f>
        <v>98.47122302158273</v>
      </c>
      <c r="Y3" s="333">
        <f t="shared" si="4"/>
        <v>0.12308507563349068</v>
      </c>
      <c r="Z3" s="334">
        <f>100-ABS((($G15-C7)/($G15)))*100</f>
        <v>99.690936945653931</v>
      </c>
      <c r="AA3" s="39">
        <f t="shared" si="5"/>
        <v>0.1133943263158161</v>
      </c>
      <c r="AB3" s="23"/>
      <c r="AC3" s="56">
        <f t="shared" si="6"/>
        <v>92.86338762506611</v>
      </c>
      <c r="AD3" s="57">
        <f t="shared" si="7"/>
        <v>94.970153879448546</v>
      </c>
      <c r="AE3" s="42" t="str">
        <f>IF($AC3=MAX(AC2:AC10),"TOP","")</f>
        <v/>
      </c>
      <c r="AG3" s="76" t="s">
        <v>12</v>
      </c>
      <c r="AH3" s="270" t="s">
        <v>34</v>
      </c>
      <c r="AI3" s="388">
        <f>MAX(P2:P10)</f>
        <v>99.548570077995748</v>
      </c>
    </row>
    <row r="4" spans="1:45" ht="14.4" x14ac:dyDescent="0.3">
      <c r="A4" s="43" t="s">
        <v>14</v>
      </c>
      <c r="B4" s="58">
        <v>6853</v>
      </c>
      <c r="C4" s="59">
        <v>6841.99</v>
      </c>
      <c r="D4" s="59">
        <v>6797.8</v>
      </c>
      <c r="E4" s="59">
        <v>6981.03</v>
      </c>
      <c r="F4" s="59">
        <v>6981</v>
      </c>
      <c r="G4" s="59">
        <v>6811.17</v>
      </c>
      <c r="H4" s="59">
        <v>6817.1</v>
      </c>
      <c r="I4" s="59">
        <v>6822.06</v>
      </c>
      <c r="J4" s="60">
        <v>6879</v>
      </c>
      <c r="K4" s="30"/>
      <c r="O4" s="327" t="str">
        <f>D1</f>
        <v>PCE</v>
      </c>
      <c r="P4" s="328">
        <f>100-ABS((($G10-D2)/($G10)))*100</f>
        <v>99.338217915386423</v>
      </c>
      <c r="Q4" s="329">
        <f t="shared" si="0"/>
        <v>0.12602925389962039</v>
      </c>
      <c r="R4" s="330">
        <f>100-ABS((($G11-D3)/($G11)))*100</f>
        <v>98.33227797634602</v>
      </c>
      <c r="S4" s="331">
        <f t="shared" si="1"/>
        <v>0.11051755720430907</v>
      </c>
      <c r="T4" s="331">
        <f>100-ABS((($G12-D4)/($G12)))*100</f>
        <v>98.296320503440043</v>
      </c>
      <c r="U4" s="331">
        <f t="shared" si="2"/>
        <v>0.11049278338014813</v>
      </c>
      <c r="V4" s="331">
        <f>100-ABS((($G13-D5)/($G13)))*100</f>
        <v>97.327532628962089</v>
      </c>
      <c r="W4" s="331">
        <f t="shared" si="3"/>
        <v>0.14213105826828826</v>
      </c>
      <c r="X4" s="332">
        <f>100-ABS((($G14-D6)/($G14)))*100</f>
        <v>97.690775950668041</v>
      </c>
      <c r="Y4" s="333">
        <f t="shared" si="4"/>
        <v>0.12210954812602369</v>
      </c>
      <c r="Z4" s="334">
        <f>100-ABS((($G15-D7)/($G15)))*100</f>
        <v>98.996129656507023</v>
      </c>
      <c r="AA4" s="39">
        <f t="shared" si="5"/>
        <v>0.11260401170060606</v>
      </c>
      <c r="AB4" s="23"/>
      <c r="AC4" s="56">
        <f t="shared" si="6"/>
        <v>97.911726764854052</v>
      </c>
      <c r="AD4" s="57">
        <f t="shared" si="7"/>
        <v>98.330209105218273</v>
      </c>
      <c r="AE4" s="42" t="str">
        <f>IF($AC4=MAX(AC2:AC10),"TOP","")</f>
        <v>TOP</v>
      </c>
      <c r="AG4" s="163" t="s">
        <v>13</v>
      </c>
      <c r="AH4" s="272" t="s">
        <v>35</v>
      </c>
      <c r="AI4" s="389">
        <f>MAX(R2:R10)</f>
        <v>99.789750076936855</v>
      </c>
    </row>
    <row r="5" spans="1:45" ht="14.4" x14ac:dyDescent="0.3">
      <c r="A5" s="43" t="s">
        <v>15</v>
      </c>
      <c r="B5" s="61">
        <v>25.58</v>
      </c>
      <c r="C5" s="62">
        <v>20.170000000000002</v>
      </c>
      <c r="D5" s="62">
        <v>16.52</v>
      </c>
      <c r="E5" s="62">
        <v>17.95</v>
      </c>
      <c r="F5" s="62">
        <v>17.95</v>
      </c>
      <c r="G5" s="62">
        <v>20.23</v>
      </c>
      <c r="H5" s="62">
        <v>20.71</v>
      </c>
      <c r="I5" s="335">
        <v>20.71</v>
      </c>
      <c r="J5" s="336">
        <v>19.62</v>
      </c>
      <c r="K5" s="30"/>
      <c r="L5" s="1" t="s">
        <v>21</v>
      </c>
      <c r="O5" s="327" t="str">
        <f>E1</f>
        <v>LSTM</v>
      </c>
      <c r="P5" s="328">
        <f>100-ABS((($G10-E2)/($G10)))*100</f>
        <v>98.983691798629167</v>
      </c>
      <c r="Q5" s="329">
        <f t="shared" si="0"/>
        <v>0.12557947069512496</v>
      </c>
      <c r="R5" s="330">
        <f>100-ABS((($G11-E3)/($G11)))*100</f>
        <v>99.789750076936855</v>
      </c>
      <c r="S5" s="331">
        <f t="shared" si="1"/>
        <v>0.11215563840781255</v>
      </c>
      <c r="T5" s="331">
        <f>100-ABS((($G12-E4)/($G12)))*100</f>
        <v>99.054170125021329</v>
      </c>
      <c r="U5" s="331">
        <f t="shared" si="2"/>
        <v>0.11134466586815213</v>
      </c>
      <c r="V5" s="331">
        <f>100-ABS((($G13-E5)/($G13)))*100</f>
        <v>88.4400248601616</v>
      </c>
      <c r="W5" s="331">
        <f t="shared" si="3"/>
        <v>0.12915229624251226</v>
      </c>
      <c r="X5" s="332">
        <f>100-ABS((($G14-E6)/($G14)))*100</f>
        <v>99.824961459403923</v>
      </c>
      <c r="Y5" s="333">
        <f t="shared" si="4"/>
        <v>0.12477719433471433</v>
      </c>
      <c r="Z5" s="334">
        <f>100-ABS((($G15-E7)/($G15)))*100</f>
        <v>93.928398645379758</v>
      </c>
      <c r="AA5" s="39">
        <f t="shared" si="5"/>
        <v>0.10683967683163183</v>
      </c>
      <c r="AB5" s="23"/>
      <c r="AC5" s="56">
        <f t="shared" si="6"/>
        <v>96.777226630380923</v>
      </c>
      <c r="AD5" s="57">
        <f t="shared" si="7"/>
        <v>96.670166160922108</v>
      </c>
      <c r="AE5" s="42" t="str">
        <f>IF($AC5=MAX(AC2:AC10),"TOP","")</f>
        <v/>
      </c>
      <c r="AG5" s="43" t="s">
        <v>14</v>
      </c>
      <c r="AH5" s="274" t="s">
        <v>36</v>
      </c>
      <c r="AI5" s="390">
        <f>MAX(T2:T10)</f>
        <v>99.470474086199076</v>
      </c>
    </row>
    <row r="6" spans="1:45" ht="14.4" x14ac:dyDescent="0.3">
      <c r="A6" s="43" t="s">
        <v>16</v>
      </c>
      <c r="B6" s="64">
        <v>624.54</v>
      </c>
      <c r="C6" s="65">
        <v>613.20000000000005</v>
      </c>
      <c r="D6" s="65">
        <v>608.34</v>
      </c>
      <c r="E6" s="65">
        <v>623.80999999999995</v>
      </c>
      <c r="F6" s="65">
        <v>623.80999999999995</v>
      </c>
      <c r="G6" s="65">
        <v>611.72</v>
      </c>
      <c r="H6" s="65">
        <v>610.58000000000004</v>
      </c>
      <c r="I6" s="65">
        <v>61.58</v>
      </c>
      <c r="J6" s="66">
        <v>612.34</v>
      </c>
      <c r="K6" s="30"/>
      <c r="O6" s="327" t="str">
        <f>F1</f>
        <v>GARCH</v>
      </c>
      <c r="P6" s="328">
        <f>100-ABS((($G10-F2)/($G10)))*100</f>
        <v>98.47553769794375</v>
      </c>
      <c r="Q6" s="329">
        <f t="shared" si="0"/>
        <v>0.12493478143534818</v>
      </c>
      <c r="R6" s="330">
        <f>100-ABS((($G11-F3)/($G11)))*100</f>
        <v>99.20197496023826</v>
      </c>
      <c r="S6" s="331">
        <f t="shared" si="1"/>
        <v>0.11149502653732754</v>
      </c>
      <c r="T6" s="331">
        <f>100-ABS((($G12-F4)/($G12)))*100</f>
        <v>99.054603925606088</v>
      </c>
      <c r="U6" s="331">
        <f t="shared" si="2"/>
        <v>0.11134515349407542</v>
      </c>
      <c r="V6" s="331">
        <f>100-ABS((($G13-F5)/($G13)))*100</f>
        <v>88.4400248601616</v>
      </c>
      <c r="W6" s="331">
        <f t="shared" si="3"/>
        <v>0.12915229624251226</v>
      </c>
      <c r="X6" s="332">
        <f>100-ABS((($G14-F6)/($G14)))*100</f>
        <v>99.824961459403923</v>
      </c>
      <c r="Y6" s="333">
        <f t="shared" si="4"/>
        <v>0.12477719433471433</v>
      </c>
      <c r="Z6" s="334">
        <f>100-ABS((($G15-F7)/($G15)))*100</f>
        <v>93.928398645379758</v>
      </c>
      <c r="AA6" s="39">
        <f t="shared" si="5"/>
        <v>0.10683967683163183</v>
      </c>
      <c r="AB6" s="23"/>
      <c r="AC6" s="56">
        <f t="shared" si="6"/>
        <v>96.630391301352475</v>
      </c>
      <c r="AD6" s="57">
        <f t="shared" si="7"/>
        <v>96.487583591455575</v>
      </c>
      <c r="AE6" s="42" t="str">
        <f>IF($AC6=MAX(AC2:AC10),"TOP","")</f>
        <v/>
      </c>
      <c r="AG6" s="43" t="s">
        <v>15</v>
      </c>
      <c r="AH6" s="274" t="s">
        <v>37</v>
      </c>
      <c r="AI6" s="390">
        <f>MAX(V2:V10)</f>
        <v>97.327532628962089</v>
      </c>
    </row>
    <row r="7" spans="1:45" ht="14.4" x14ac:dyDescent="0.3">
      <c r="A7" s="67" t="s">
        <v>17</v>
      </c>
      <c r="B7" s="68">
        <v>246.06</v>
      </c>
      <c r="C7" s="69">
        <v>247.27340000000001</v>
      </c>
      <c r="D7" s="69">
        <v>245.55</v>
      </c>
      <c r="E7" s="69">
        <v>263.10000000000002</v>
      </c>
      <c r="F7" s="69">
        <v>263.10000000000002</v>
      </c>
      <c r="G7" s="69">
        <v>244.55</v>
      </c>
      <c r="H7" s="69">
        <v>247.285</v>
      </c>
      <c r="I7" s="69">
        <v>247.28</v>
      </c>
      <c r="J7" s="70">
        <v>250.18</v>
      </c>
      <c r="K7" s="30"/>
      <c r="O7" s="327" t="str">
        <f>G1</f>
        <v>VAR</v>
      </c>
      <c r="P7" s="328">
        <f>100-ABS((($G10-G2)/($G10)))*100</f>
        <v>0</v>
      </c>
      <c r="Q7" s="329">
        <f t="shared" si="0"/>
        <v>0</v>
      </c>
      <c r="R7" s="330">
        <f>100-ABS((($G11-G3)/($G11)))*100</f>
        <v>99.195885187207566</v>
      </c>
      <c r="S7" s="331">
        <f t="shared" si="1"/>
        <v>0.1114881821231318</v>
      </c>
      <c r="T7" s="331">
        <f>100-ABS((($G12-G4)/($G12)))*100</f>
        <v>98.489650964049503</v>
      </c>
      <c r="U7" s="331">
        <f t="shared" si="2"/>
        <v>0.11071010199996521</v>
      </c>
      <c r="V7" s="331">
        <f>100-ABS((($G13-G5)/($G13)))*100</f>
        <v>74.269732753262886</v>
      </c>
      <c r="W7" s="331">
        <f t="shared" si="3"/>
        <v>0.1084588854601561</v>
      </c>
      <c r="X7" s="332">
        <f>100-ABS((($G14-G6)/($G14)))*100</f>
        <v>98.233556012332997</v>
      </c>
      <c r="Y7" s="333">
        <f t="shared" si="4"/>
        <v>0.12278800141310979</v>
      </c>
      <c r="Z7" s="334">
        <f>100-ABS((($G15-G7)/($G15)))*100</f>
        <v>98.592968875987751</v>
      </c>
      <c r="AA7" s="39">
        <f t="shared" si="5"/>
        <v>0.11214543295207988</v>
      </c>
      <c r="AB7" s="23"/>
      <c r="AC7" s="56">
        <f t="shared" si="6"/>
        <v>92.547206229213231</v>
      </c>
      <c r="AD7" s="57">
        <f t="shared" si="7"/>
        <v>78.130298965473443</v>
      </c>
      <c r="AE7" s="42" t="str">
        <f>IF($AC7=MAX(AC2:AC10),"TOP","")</f>
        <v/>
      </c>
      <c r="AG7" s="174" t="s">
        <v>16</v>
      </c>
      <c r="AH7" s="276" t="s">
        <v>36</v>
      </c>
      <c r="AI7" s="391">
        <f>MAX(X2:X10)</f>
        <v>99.824961459403923</v>
      </c>
    </row>
    <row r="8" spans="1:45" ht="14.4" x14ac:dyDescent="0.3">
      <c r="O8" s="327" t="str">
        <f>H1</f>
        <v>RW</v>
      </c>
      <c r="P8" s="328">
        <f>100-ABS((($G10-H2)/($G10)))*100</f>
        <v>98.558260458520451</v>
      </c>
      <c r="Q8" s="329">
        <f t="shared" si="0"/>
        <v>0.12503973084973044</v>
      </c>
      <c r="R8" s="330">
        <f>100-ABS((($G11-H3)/($G11)))*100</f>
        <v>99.057388676810461</v>
      </c>
      <c r="S8" s="331">
        <f t="shared" si="1"/>
        <v>0.1113325232049677</v>
      </c>
      <c r="T8" s="331">
        <f>100-ABS((($G12-H4)/($G12)))*100</f>
        <v>98.575398879637703</v>
      </c>
      <c r="U8" s="331">
        <f t="shared" si="2"/>
        <v>0.11080648939080408</v>
      </c>
      <c r="V8" s="331">
        <f>100-ABS((($G13-H5)/($G13)))*100</f>
        <v>71.286513362336848</v>
      </c>
      <c r="W8" s="331">
        <f t="shared" si="3"/>
        <v>0.10410237792702849</v>
      </c>
      <c r="X8" s="332">
        <f>100-ABS((($G14-H6)/($G14)))*100</f>
        <v>98.05048818088386</v>
      </c>
      <c r="Y8" s="333">
        <f t="shared" si="4"/>
        <v>0.12255917397308666</v>
      </c>
      <c r="Z8" s="334">
        <f>100-ABS((($E15-H7)/($E15)))*100</f>
        <v>98.666161215902832</v>
      </c>
      <c r="AA8" s="39">
        <f t="shared" si="5"/>
        <v>0.11222868621792764</v>
      </c>
      <c r="AB8" s="23"/>
      <c r="AC8" s="56">
        <f t="shared" si="6"/>
        <v>91.742447274917211</v>
      </c>
      <c r="AD8" s="57">
        <f t="shared" si="7"/>
        <v>94.0323684623487</v>
      </c>
      <c r="AE8" s="42" t="str">
        <f>IF($AC8=MAX(AC2:AC10),"TOP","")</f>
        <v/>
      </c>
      <c r="AG8" s="136" t="s">
        <v>17</v>
      </c>
      <c r="AH8" s="278" t="s">
        <v>38</v>
      </c>
      <c r="AI8" s="392">
        <f>MAX(Z2:Z10)</f>
        <v>99.690936945653931</v>
      </c>
    </row>
    <row r="9" spans="1:45" ht="15" x14ac:dyDescent="0.3">
      <c r="B9" s="258" t="s">
        <v>22</v>
      </c>
      <c r="C9" s="393" t="s">
        <v>21</v>
      </c>
      <c r="D9" s="394" t="s">
        <v>24</v>
      </c>
      <c r="E9" s="395" t="s">
        <v>80</v>
      </c>
      <c r="F9" s="396" t="s">
        <v>81</v>
      </c>
      <c r="G9" s="73" t="s">
        <v>82</v>
      </c>
      <c r="I9" s="304" t="s">
        <v>83</v>
      </c>
      <c r="K9" s="280"/>
      <c r="L9" s="281" t="str">
        <f>IF(M9&lt;25,L11,IF(M9&lt;45,L12,IF(M9&lt;55,L13,IF(M9&lt;75,L14,L15))))</f>
        <v>Neutral</v>
      </c>
      <c r="M9" s="282">
        <v>48</v>
      </c>
      <c r="O9" s="327" t="str">
        <f>I1</f>
        <v>ETS</v>
      </c>
      <c r="P9" s="328">
        <f>100-ABS((($G10-I2)/($G10)))*100</f>
        <v>98.605530607421414</v>
      </c>
      <c r="Q9" s="329">
        <f t="shared" si="0"/>
        <v>0.12509970194366318</v>
      </c>
      <c r="R9" s="330">
        <f>100-ABS((($G11-I3)/($G11)))*100</f>
        <v>99.341999005676527</v>
      </c>
      <c r="S9" s="331">
        <f t="shared" si="1"/>
        <v>0.11165240228179493</v>
      </c>
      <c r="T9" s="331">
        <f>100-ABS((($G12-I4)/($G12)))*100</f>
        <v>98.647120576318542</v>
      </c>
      <c r="U9" s="331">
        <f t="shared" si="2"/>
        <v>0.11088711021012289</v>
      </c>
      <c r="V9" s="331">
        <f>100-ABS((($G13-I5)/($G13)))*100</f>
        <v>71.286513362336848</v>
      </c>
      <c r="W9" s="331">
        <f t="shared" si="3"/>
        <v>0.10410237792702849</v>
      </c>
      <c r="X9" s="332">
        <f>100-ABS((($G14-I6)/($G14)))*100</f>
        <v>9.8888746145940445</v>
      </c>
      <c r="Y9" s="333">
        <f t="shared" si="4"/>
        <v>1.2360696277740314E-2</v>
      </c>
      <c r="Z9" s="334">
        <f>100-ABS((($E15-I7)/($E15)))*100</f>
        <v>98.668210144038056</v>
      </c>
      <c r="AA9" s="39">
        <f t="shared" si="5"/>
        <v>0.11223101678911777</v>
      </c>
      <c r="AB9" s="23"/>
      <c r="AC9" s="56">
        <f t="shared" si="6"/>
        <v>69.791126889731487</v>
      </c>
      <c r="AD9" s="57">
        <f t="shared" si="7"/>
        <v>79.406374718397572</v>
      </c>
      <c r="AE9" s="42" t="str">
        <f>IF($AC9=MAX(AC2:AC10),"TOP","")</f>
        <v/>
      </c>
      <c r="AG9" s="2"/>
      <c r="AH9" s="2"/>
      <c r="AI9" s="2"/>
    </row>
    <row r="10" spans="1:45" ht="14.4" x14ac:dyDescent="0.3">
      <c r="A10" s="76" t="s">
        <v>12</v>
      </c>
      <c r="B10" s="260">
        <v>4.3</v>
      </c>
      <c r="C10" s="283">
        <f>(B2*Q24)+(C2*Q25)+(D2*Q26)+(E2*Q27)+(F2*Q28)+(G2*Q29)+(H2*Q30)+(I2*Q31)+(J2*Q32)</f>
        <v>4.2883643153526974</v>
      </c>
      <c r="D10" s="397">
        <v>4.2856715063520898</v>
      </c>
      <c r="E10" s="398">
        <f t="shared" ref="E10:E15" si="8">F18</f>
        <v>4.2716124571629335</v>
      </c>
      <c r="F10" s="399">
        <f t="shared" ref="F10:F15" si="9">F18*L18</f>
        <v>0</v>
      </c>
      <c r="G10" s="82">
        <v>4.2309999999999999</v>
      </c>
      <c r="I10" s="306">
        <f t="shared" ref="I10:I15" si="10">(AI22+AK22)/2</f>
        <v>4.2450000000000001</v>
      </c>
      <c r="O10" s="339" t="str">
        <f>J1</f>
        <v>DynaMix</v>
      </c>
      <c r="P10" s="340">
        <f>100-ABS((($G10-J2)/($G10)))*100</f>
        <v>96.029307492318594</v>
      </c>
      <c r="Q10" s="341">
        <f t="shared" si="0"/>
        <v>0.12183127732432968</v>
      </c>
      <c r="R10" s="342">
        <f>100-ABS((($G11-J3)/($G11)))*100</f>
        <v>98.36918322294008</v>
      </c>
      <c r="S10" s="343">
        <f t="shared" si="1"/>
        <v>0.11055903572779634</v>
      </c>
      <c r="T10" s="343">
        <f>100-ABS((($G12-J4)/($G12)))*100</f>
        <v>99.470474086199076</v>
      </c>
      <c r="U10" s="343">
        <f t="shared" si="2"/>
        <v>0.11181262421254509</v>
      </c>
      <c r="V10" s="343">
        <f>100-ABS((($G13-J5)/($G13)))*100</f>
        <v>78.06090739589807</v>
      </c>
      <c r="W10" s="343">
        <f t="shared" si="3"/>
        <v>0.11399528045017245</v>
      </c>
      <c r="X10" s="344">
        <f>100-ABS((($G14-J6)/($G14)))*100</f>
        <v>98.333119218910582</v>
      </c>
      <c r="Y10" s="345">
        <f t="shared" si="4"/>
        <v>0.12291245142435044</v>
      </c>
      <c r="Z10" s="346">
        <f>100-ABS((($E15-J7)/($E15)))*100</f>
        <v>97.479831825604336</v>
      </c>
      <c r="AA10" s="92">
        <f t="shared" si="5"/>
        <v>0.11087928549883433</v>
      </c>
      <c r="AC10" s="93">
        <f t="shared" si="6"/>
        <v>93.558420980986966</v>
      </c>
      <c r="AD10" s="94">
        <f t="shared" si="7"/>
        <v>94.623803873645144</v>
      </c>
      <c r="AE10" s="42" t="str">
        <f>IF($AC10=MAX(AC2:AC10),"TOP","")</f>
        <v/>
      </c>
      <c r="AG10" s="1381" t="s">
        <v>39</v>
      </c>
      <c r="AH10" s="1381"/>
      <c r="AI10" s="400">
        <f>AVERAGE(AI4:AI7)</f>
        <v>99.103179562875496</v>
      </c>
    </row>
    <row r="11" spans="1:45" ht="15" customHeight="1" x14ac:dyDescent="0.3">
      <c r="A11" s="95" t="s">
        <v>13</v>
      </c>
      <c r="B11" s="261">
        <v>48488.47</v>
      </c>
      <c r="C11" s="286">
        <f>(B3*S24)+(C3*S25)+(D3*S26)+(E3*S27)+(F3*S28)+(G3*S29)+(H3*S30)+(I3*S31)+(J3*S32)</f>
        <v>48559.058405017917</v>
      </c>
      <c r="D11" s="401">
        <v>48671.1489230769</v>
      </c>
      <c r="E11" s="402">
        <f t="shared" si="8"/>
        <v>48031.370489372603</v>
      </c>
      <c r="F11" s="403">
        <f t="shared" si="9"/>
        <v>0</v>
      </c>
      <c r="G11" s="101">
        <v>49098.71</v>
      </c>
      <c r="I11" s="308">
        <f t="shared" si="10"/>
        <v>48841</v>
      </c>
      <c r="J11" s="226" t="s">
        <v>43</v>
      </c>
      <c r="K11" s="227">
        <v>0</v>
      </c>
      <c r="L11" s="228" t="s">
        <v>44</v>
      </c>
      <c r="Q11" s="5"/>
      <c r="AG11" s="1383" t="s">
        <v>41</v>
      </c>
      <c r="AH11" s="1383"/>
      <c r="AI11" s="404">
        <f>AVERAGE(AI3:AI8)</f>
        <v>99.275370879191939</v>
      </c>
      <c r="AQ11" s="103"/>
      <c r="AS11" s="104" t="s">
        <v>27</v>
      </c>
    </row>
    <row r="12" spans="1:45" ht="15" x14ac:dyDescent="0.3">
      <c r="A12" s="105" t="s">
        <v>14</v>
      </c>
      <c r="B12" s="262">
        <v>6794.06</v>
      </c>
      <c r="C12" s="289">
        <f>(B4*U24)+(C4*U25)+(D4*U26)+(E4*U27)+(F4*U28)+(G4*U29)+(H4*U30)+(I4*U31)+(J4*U32)</f>
        <v>6863.9220382165604</v>
      </c>
      <c r="D12" s="405">
        <v>6825.7403314917101</v>
      </c>
      <c r="E12" s="406">
        <f t="shared" si="8"/>
        <v>6688.5536555144845</v>
      </c>
      <c r="F12" s="407">
        <f t="shared" si="9"/>
        <v>0</v>
      </c>
      <c r="G12" s="111">
        <v>6915.62</v>
      </c>
      <c r="I12" s="308">
        <f t="shared" si="10"/>
        <v>6812.5</v>
      </c>
      <c r="K12" s="227">
        <v>25</v>
      </c>
      <c r="L12" s="228" t="s">
        <v>45</v>
      </c>
      <c r="O12" s="13" t="s">
        <v>28</v>
      </c>
      <c r="P12" s="350" t="s">
        <v>12</v>
      </c>
      <c r="Q12" s="114">
        <f>SUM(P13:P21)</f>
        <v>565</v>
      </c>
      <c r="R12" s="115" t="s">
        <v>13</v>
      </c>
      <c r="S12" s="116">
        <f>SUM(R13:R21)</f>
        <v>670</v>
      </c>
      <c r="T12" s="117" t="s">
        <v>14</v>
      </c>
      <c r="U12" s="116">
        <f>SUM(T13:T21)</f>
        <v>645</v>
      </c>
      <c r="V12" s="117" t="s">
        <v>15</v>
      </c>
      <c r="W12" s="116">
        <f>SUM(V13:V21)</f>
        <v>80.59999999999998</v>
      </c>
      <c r="X12" s="117" t="s">
        <v>16</v>
      </c>
      <c r="Y12" s="20">
        <f>SUM(X13:X21)</f>
        <v>600.1</v>
      </c>
      <c r="Z12" s="351" t="s">
        <v>17</v>
      </c>
      <c r="AA12" s="22">
        <f>SUM(Z13:Z21)</f>
        <v>565</v>
      </c>
      <c r="AB12" s="23"/>
      <c r="AC12" s="24" t="s">
        <v>29</v>
      </c>
      <c r="AD12" s="119" t="s">
        <v>30</v>
      </c>
      <c r="AQ12" s="103"/>
      <c r="AS12" s="103"/>
    </row>
    <row r="13" spans="1:45" ht="15" x14ac:dyDescent="0.3">
      <c r="A13" s="105" t="s">
        <v>15</v>
      </c>
      <c r="B13" s="262">
        <v>20.85</v>
      </c>
      <c r="C13" s="289">
        <f>(B5*W24)+(C5*W25)+(D5*W26)+(E5*W27)+(F5*W28)+(G5*W29)+(H5*W30)+(I5*W31)+(J5*W32)</f>
        <v>20.217748797632257</v>
      </c>
      <c r="D13" s="405">
        <v>20.411216931216899</v>
      </c>
      <c r="E13" s="406">
        <f t="shared" si="8"/>
        <v>18.291109402397552</v>
      </c>
      <c r="F13" s="407">
        <f t="shared" si="9"/>
        <v>0</v>
      </c>
      <c r="G13" s="111">
        <v>16.09</v>
      </c>
      <c r="I13" s="306">
        <f t="shared" si="10"/>
        <v>18.884999999999998</v>
      </c>
      <c r="K13" s="227">
        <v>45</v>
      </c>
      <c r="L13" s="228" t="s">
        <v>46</v>
      </c>
      <c r="O13" s="127" t="str">
        <f t="shared" ref="O13:O21" si="11">O2</f>
        <v>PyCaret</v>
      </c>
      <c r="P13" s="352">
        <f t="shared" ref="P13:P21" si="12">IF(P2=0,0, LOOKUP(P2-0.000000000001,$AC$13:$AC$29,$AD$13:$AD$29))</f>
        <v>90</v>
      </c>
      <c r="Q13" s="129">
        <f t="shared" ref="Q13:Q21" si="13">P13/$Q$12</f>
        <v>0.15929203539823009</v>
      </c>
      <c r="R13" s="353">
        <f t="shared" ref="R13:R21" si="14">IF(R2=0,0, LOOKUP(R2-0.000000000001,$AC$13:$AC$29,$AD$13:$AD$29))</f>
        <v>60</v>
      </c>
      <c r="S13" s="131">
        <f t="shared" ref="S13:S21" si="15">R13/$S$12</f>
        <v>8.9552238805970144E-2</v>
      </c>
      <c r="T13" s="354">
        <f t="shared" ref="T13:T21" si="16">IF(T2=0,0, LOOKUP(T2-0.000000000001,$AC$13:$AC$29,$AD$13:$AD$29))</f>
        <v>75</v>
      </c>
      <c r="U13" s="131">
        <f t="shared" ref="U13:U21" si="17">T13/$U$12</f>
        <v>0.11627906976744186</v>
      </c>
      <c r="V13" s="354">
        <f t="shared" ref="V13:V21" si="18">IF(V2=0,0, LOOKUP(V2-0.000000000001,$AC$13:$AC$29,$AD$13:$AD$29))</f>
        <v>0.1</v>
      </c>
      <c r="W13" s="131">
        <f t="shared" ref="W13:W21" si="19">V13/$W$12</f>
        <v>1.2406947890818863E-3</v>
      </c>
      <c r="X13" s="354">
        <f t="shared" ref="X13:X21" si="20">IF(X2=0,0, LOOKUP(X2-0.000000000001,$AC$13:$AC$29,$AD$13:$AD$29))</f>
        <v>90</v>
      </c>
      <c r="Y13" s="132">
        <f t="shared" ref="Y13:Y21" si="21">X13/$Y$12</f>
        <v>0.14997500416597234</v>
      </c>
      <c r="Z13" s="355">
        <f t="shared" ref="Z13:Z21" si="22">IF(Z2=0,0, LOOKUP(Z2-0.000000000001,$AC$13:$AC$29,$AD$13:$AD$29))</f>
        <v>75</v>
      </c>
      <c r="AA13" s="134">
        <f t="shared" ref="AA13:AA21" si="23">Z13/$AA$12</f>
        <v>0.13274336283185842</v>
      </c>
      <c r="AB13" s="23"/>
      <c r="AC13" s="40">
        <v>1</v>
      </c>
      <c r="AD13" s="135">
        <v>0.1</v>
      </c>
      <c r="AG13" s="8" t="s">
        <v>84</v>
      </c>
      <c r="AQ13" s="103"/>
      <c r="AS13" s="103"/>
    </row>
    <row r="14" spans="1:45" ht="15" x14ac:dyDescent="0.3">
      <c r="A14" s="120" t="s">
        <v>16</v>
      </c>
      <c r="B14" s="293">
        <v>608.05999999999995</v>
      </c>
      <c r="C14" s="295">
        <f>(B6*Y24)+(C6*Y25)+(D6*Y26)+(E6*Y27)+(F6*Y28)+(G6*Y29)+(H6*Y30)+(I6*Y31)+(J6*Y32)</f>
        <v>555.05805019305024</v>
      </c>
      <c r="D14" s="408">
        <v>613.30043032786898</v>
      </c>
      <c r="E14" s="409">
        <f t="shared" si="8"/>
        <v>590.56577307777661</v>
      </c>
      <c r="F14" s="410">
        <f t="shared" si="9"/>
        <v>0</v>
      </c>
      <c r="G14" s="126">
        <v>622.72</v>
      </c>
      <c r="I14" s="309">
        <f t="shared" si="10"/>
        <v>604.09</v>
      </c>
      <c r="K14" s="227">
        <v>55</v>
      </c>
      <c r="L14" s="228" t="s">
        <v>47</v>
      </c>
      <c r="O14" s="143" t="str">
        <f t="shared" si="11"/>
        <v>ARIMAX</v>
      </c>
      <c r="P14" s="356">
        <f t="shared" si="12"/>
        <v>70</v>
      </c>
      <c r="Q14" s="145">
        <f t="shared" si="13"/>
        <v>0.12389380530973451</v>
      </c>
      <c r="R14" s="357">
        <f t="shared" si="14"/>
        <v>80</v>
      </c>
      <c r="S14" s="147">
        <f t="shared" si="15"/>
        <v>0.11940298507462686</v>
      </c>
      <c r="T14" s="358">
        <f t="shared" si="16"/>
        <v>70</v>
      </c>
      <c r="U14" s="147">
        <f t="shared" si="17"/>
        <v>0.10852713178294573</v>
      </c>
      <c r="V14" s="358">
        <f t="shared" si="18"/>
        <v>0.1</v>
      </c>
      <c r="W14" s="147">
        <f t="shared" si="19"/>
        <v>1.2406947890818863E-3</v>
      </c>
      <c r="X14" s="358">
        <f t="shared" si="20"/>
        <v>65</v>
      </c>
      <c r="Y14" s="148">
        <f t="shared" si="21"/>
        <v>0.10831528078653557</v>
      </c>
      <c r="Z14" s="359">
        <f t="shared" si="22"/>
        <v>90</v>
      </c>
      <c r="AA14" s="134">
        <f t="shared" si="23"/>
        <v>0.15929203539823009</v>
      </c>
      <c r="AB14" s="23"/>
      <c r="AC14" s="56">
        <v>80</v>
      </c>
      <c r="AD14" s="150">
        <v>1</v>
      </c>
      <c r="AG14" s="411" t="s">
        <v>85</v>
      </c>
      <c r="AH14" s="412" t="s">
        <v>86</v>
      </c>
      <c r="AQ14" s="103"/>
      <c r="AS14" s="103"/>
    </row>
    <row r="15" spans="1:45" ht="15" x14ac:dyDescent="0.3">
      <c r="A15" s="136" t="s">
        <v>17</v>
      </c>
      <c r="B15" s="298">
        <v>246.7</v>
      </c>
      <c r="C15" s="300">
        <f>(B7*AA24)+(C7*AA25)+(D7*AA26)+(E7*AA27)+(F7*AA28)+(G7*AA29)+(H7*AA30)+(I7*AA31)+(J7*AA32)</f>
        <v>250.88990189620296</v>
      </c>
      <c r="D15" s="413">
        <v>250.069465346535</v>
      </c>
      <c r="E15" s="414">
        <f t="shared" si="8"/>
        <v>244.0300327779625</v>
      </c>
      <c r="F15" s="415">
        <f t="shared" si="9"/>
        <v>0</v>
      </c>
      <c r="G15" s="142">
        <v>248.04</v>
      </c>
      <c r="I15" s="309">
        <f t="shared" si="10"/>
        <v>244.5</v>
      </c>
      <c r="K15" s="227">
        <v>75</v>
      </c>
      <c r="L15" s="228" t="s">
        <v>48</v>
      </c>
      <c r="O15" s="143" t="str">
        <f t="shared" si="11"/>
        <v>PCE</v>
      </c>
      <c r="P15" s="356">
        <f t="shared" si="12"/>
        <v>80</v>
      </c>
      <c r="Q15" s="145">
        <f t="shared" si="13"/>
        <v>0.1415929203539823</v>
      </c>
      <c r="R15" s="357">
        <f t="shared" si="14"/>
        <v>65</v>
      </c>
      <c r="S15" s="147">
        <f t="shared" si="15"/>
        <v>9.7014925373134331E-2</v>
      </c>
      <c r="T15" s="358">
        <f t="shared" si="16"/>
        <v>65</v>
      </c>
      <c r="U15" s="147">
        <f t="shared" si="17"/>
        <v>0.10077519379844961</v>
      </c>
      <c r="V15" s="358">
        <f t="shared" si="18"/>
        <v>60</v>
      </c>
      <c r="W15" s="147">
        <f t="shared" si="19"/>
        <v>0.74441687344913166</v>
      </c>
      <c r="X15" s="358">
        <f t="shared" si="20"/>
        <v>60</v>
      </c>
      <c r="Y15" s="148">
        <f t="shared" si="21"/>
        <v>9.9983336110648219E-2</v>
      </c>
      <c r="Z15" s="359">
        <f t="shared" si="22"/>
        <v>70</v>
      </c>
      <c r="AA15" s="134">
        <f t="shared" si="23"/>
        <v>0.12389380530973451</v>
      </c>
      <c r="AB15" s="23"/>
      <c r="AC15" s="56">
        <v>82.5</v>
      </c>
      <c r="AD15" s="150">
        <v>2</v>
      </c>
      <c r="AG15" s="416" t="str">
        <f>P1</f>
        <v>TNX</v>
      </c>
      <c r="AH15" s="417" t="str">
        <f>R1</f>
        <v>DJI</v>
      </c>
      <c r="AI15" s="417" t="str">
        <f>T1</f>
        <v>SPX</v>
      </c>
      <c r="AJ15" s="417" t="str">
        <f>V1</f>
        <v>VIX</v>
      </c>
      <c r="AK15" s="417" t="str">
        <f>X1</f>
        <v>QQQ</v>
      </c>
      <c r="AL15" s="418" t="str">
        <f>Z1</f>
        <v>AAPL</v>
      </c>
      <c r="AQ15" s="103"/>
      <c r="AS15" s="103"/>
    </row>
    <row r="16" spans="1:45" ht="15" x14ac:dyDescent="0.3">
      <c r="G16" s="151"/>
      <c r="K16" s="8"/>
      <c r="O16" s="143" t="str">
        <f t="shared" si="11"/>
        <v>LSTM</v>
      </c>
      <c r="P16" s="356">
        <f t="shared" si="12"/>
        <v>70</v>
      </c>
      <c r="Q16" s="145">
        <f t="shared" si="13"/>
        <v>0.12389380530973451</v>
      </c>
      <c r="R16" s="357">
        <f t="shared" si="14"/>
        <v>95</v>
      </c>
      <c r="S16" s="147">
        <f t="shared" si="15"/>
        <v>0.1417910447761194</v>
      </c>
      <c r="T16" s="358">
        <f t="shared" si="16"/>
        <v>75</v>
      </c>
      <c r="U16" s="147">
        <f t="shared" si="17"/>
        <v>0.11627906976744186</v>
      </c>
      <c r="V16" s="358">
        <f t="shared" si="18"/>
        <v>10</v>
      </c>
      <c r="W16" s="147">
        <f t="shared" si="19"/>
        <v>0.12406947890818862</v>
      </c>
      <c r="X16" s="358">
        <f t="shared" si="20"/>
        <v>95</v>
      </c>
      <c r="Y16" s="148">
        <f t="shared" si="21"/>
        <v>0.1583069488418597</v>
      </c>
      <c r="Z16" s="359">
        <f t="shared" si="22"/>
        <v>30</v>
      </c>
      <c r="AA16" s="134">
        <f t="shared" si="23"/>
        <v>5.3097345132743362E-2</v>
      </c>
      <c r="AB16" s="23"/>
      <c r="AC16" s="56">
        <v>85</v>
      </c>
      <c r="AD16" s="150">
        <v>5</v>
      </c>
      <c r="AG16" s="419">
        <f>C18</f>
        <v>-2.6928090006075323E-3</v>
      </c>
      <c r="AH16" s="419">
        <f>C19</f>
        <v>112.09051805898343</v>
      </c>
      <c r="AI16" s="419">
        <f>C20</f>
        <v>-38.181706724850301</v>
      </c>
      <c r="AJ16" s="419">
        <f>C21</f>
        <v>0.19346813358464132</v>
      </c>
      <c r="AK16" s="419">
        <f>C22</f>
        <v>58.242380134818745</v>
      </c>
      <c r="AL16" s="419">
        <f>C23</f>
        <v>-0.82043654966795998</v>
      </c>
      <c r="AQ16" s="103"/>
      <c r="AS16" s="103"/>
    </row>
    <row r="17" spans="1:47" ht="15" x14ac:dyDescent="0.3">
      <c r="A17" s="420" t="s">
        <v>21</v>
      </c>
      <c r="B17" s="421" t="str">
        <f t="shared" ref="B17:B23" si="24">B9</f>
        <v>Close YF</v>
      </c>
      <c r="C17" s="422" t="s">
        <v>87</v>
      </c>
      <c r="D17" s="1391" t="s">
        <v>88</v>
      </c>
      <c r="E17" s="1391"/>
      <c r="F17" s="423" t="str">
        <f>E9</f>
        <v>ML-&gt;LLM</v>
      </c>
      <c r="G17" s="8"/>
      <c r="H17" s="303" t="s">
        <v>89</v>
      </c>
      <c r="I17" s="424" t="str">
        <f>E9</f>
        <v>ML-&gt;LLM</v>
      </c>
      <c r="J17" s="153"/>
      <c r="K17" s="152" t="s">
        <v>90</v>
      </c>
      <c r="L17" s="153" t="str">
        <f>F9</f>
        <v>LLM-&gt; +3</v>
      </c>
      <c r="M17" s="154"/>
      <c r="O17" s="143" t="str">
        <f t="shared" si="11"/>
        <v>GARCH</v>
      </c>
      <c r="P17" s="356">
        <f t="shared" si="12"/>
        <v>65</v>
      </c>
      <c r="Q17" s="145">
        <f t="shared" si="13"/>
        <v>0.11504424778761062</v>
      </c>
      <c r="R17" s="357">
        <f t="shared" si="14"/>
        <v>75</v>
      </c>
      <c r="S17" s="147">
        <f t="shared" si="15"/>
        <v>0.11194029850746269</v>
      </c>
      <c r="T17" s="358">
        <f t="shared" si="16"/>
        <v>75</v>
      </c>
      <c r="U17" s="147">
        <f t="shared" si="17"/>
        <v>0.11627906976744186</v>
      </c>
      <c r="V17" s="358">
        <f t="shared" si="18"/>
        <v>10</v>
      </c>
      <c r="W17" s="147">
        <f t="shared" si="19"/>
        <v>0.12406947890818862</v>
      </c>
      <c r="X17" s="358">
        <f t="shared" si="20"/>
        <v>95</v>
      </c>
      <c r="Y17" s="148">
        <f t="shared" si="21"/>
        <v>0.1583069488418597</v>
      </c>
      <c r="Z17" s="359">
        <f t="shared" si="22"/>
        <v>30</v>
      </c>
      <c r="AA17" s="134">
        <f t="shared" si="23"/>
        <v>5.3097345132743362E-2</v>
      </c>
      <c r="AB17" s="23"/>
      <c r="AC17" s="56">
        <v>87.5</v>
      </c>
      <c r="AD17" s="150">
        <v>10</v>
      </c>
      <c r="AG17" s="425">
        <f>D18</f>
        <v>10.541981562992977</v>
      </c>
      <c r="AH17" s="425">
        <f>D19</f>
        <v>-4.0779498439544062</v>
      </c>
      <c r="AI17" s="425">
        <f>D20</f>
        <v>2.7632694694825601</v>
      </c>
      <c r="AJ17" s="425">
        <f>D21</f>
        <v>-13.226418998263339</v>
      </c>
      <c r="AK17" s="425">
        <f>D22</f>
        <v>-0.30036936817705351</v>
      </c>
      <c r="AL17" s="425">
        <f>D23</f>
        <v>3.2543250579438978</v>
      </c>
      <c r="AQ17" s="103"/>
    </row>
    <row r="18" spans="1:47" ht="15" x14ac:dyDescent="0.3">
      <c r="A18" s="426" t="s">
        <v>12</v>
      </c>
      <c r="B18" s="427">
        <f t="shared" si="24"/>
        <v>4.3</v>
      </c>
      <c r="C18" s="428">
        <f t="shared" ref="C18:C23" si="25">D10-C10</f>
        <v>-2.6928090006075323E-3</v>
      </c>
      <c r="D18" s="429">
        <f t="shared" ref="D18:D23" si="26">H18*I18</f>
        <v>10.541981562992977</v>
      </c>
      <c r="E18" s="430">
        <f t="shared" ref="E18:E23" si="27">C18*D18</f>
        <v>-2.8387542837066147E-2</v>
      </c>
      <c r="F18" s="431">
        <f t="shared" ref="F18:F23" si="28">B18+C18*D18</f>
        <v>4.2716124571629335</v>
      </c>
      <c r="G18" s="432" t="str">
        <f t="shared" ref="G18:G23" si="29">TEXT(J18,"0.00%") &amp; "" &amp; K18</f>
        <v>0.66%  ↓</v>
      </c>
      <c r="H18" s="305">
        <v>-0.14527115932977799</v>
      </c>
      <c r="I18" s="433">
        <v>-72.567615014772301</v>
      </c>
      <c r="J18" s="307">
        <f t="shared" ref="J18:J23" si="30">IF((E10-B10)&gt;0, (E10/B10-1), (1-E10/B10))</f>
        <v>6.6017541481550035E-3</v>
      </c>
      <c r="K18" s="160" t="str">
        <f t="shared" ref="K18:K23" si="31">IF(E10&lt;B10,"  ↓","  ↑")</f>
        <v xml:space="preserve">  ↓</v>
      </c>
      <c r="L18" s="161">
        <v>0</v>
      </c>
      <c r="M18" s="162"/>
      <c r="O18" s="143" t="str">
        <f t="shared" si="11"/>
        <v>VAR</v>
      </c>
      <c r="P18" s="356">
        <f t="shared" si="12"/>
        <v>0</v>
      </c>
      <c r="Q18" s="145">
        <f t="shared" si="13"/>
        <v>0</v>
      </c>
      <c r="R18" s="357">
        <f t="shared" si="14"/>
        <v>75</v>
      </c>
      <c r="S18" s="147">
        <f t="shared" si="15"/>
        <v>0.11194029850746269</v>
      </c>
      <c r="T18" s="358">
        <f t="shared" si="16"/>
        <v>65</v>
      </c>
      <c r="U18" s="147">
        <f t="shared" si="17"/>
        <v>0.10077519379844961</v>
      </c>
      <c r="V18" s="358">
        <f t="shared" si="18"/>
        <v>0.1</v>
      </c>
      <c r="W18" s="147">
        <f t="shared" si="19"/>
        <v>1.2406947890818863E-3</v>
      </c>
      <c r="X18" s="358">
        <f t="shared" si="20"/>
        <v>65</v>
      </c>
      <c r="Y18" s="148">
        <f t="shared" si="21"/>
        <v>0.10831528078653557</v>
      </c>
      <c r="Z18" s="359">
        <f t="shared" si="22"/>
        <v>70</v>
      </c>
      <c r="AA18" s="134">
        <f t="shared" si="23"/>
        <v>0.12389380530973451</v>
      </c>
      <c r="AB18" s="23"/>
      <c r="AC18" s="56">
        <v>90</v>
      </c>
      <c r="AD18" s="150">
        <v>20</v>
      </c>
      <c r="AG18" s="434">
        <f>F18</f>
        <v>4.2716124571629335</v>
      </c>
      <c r="AH18" s="435">
        <f>F19</f>
        <v>48031.370489372603</v>
      </c>
      <c r="AI18" s="435">
        <f>F20</f>
        <v>6688.5536555144845</v>
      </c>
      <c r="AJ18" s="435">
        <f>F21</f>
        <v>18.291109402397552</v>
      </c>
      <c r="AK18" s="435">
        <f>F22</f>
        <v>590.56577307777661</v>
      </c>
      <c r="AL18" s="436">
        <f>F23</f>
        <v>244.0300327779625</v>
      </c>
      <c r="AQ18" s="103"/>
    </row>
    <row r="19" spans="1:47" ht="15" x14ac:dyDescent="0.3">
      <c r="A19" s="437" t="s">
        <v>13</v>
      </c>
      <c r="B19" s="438">
        <f t="shared" si="24"/>
        <v>48488.47</v>
      </c>
      <c r="C19" s="439">
        <f t="shared" si="25"/>
        <v>112.09051805898343</v>
      </c>
      <c r="D19" s="440">
        <f t="shared" si="26"/>
        <v>-4.0779498439544062</v>
      </c>
      <c r="E19" s="441">
        <f t="shared" si="27"/>
        <v>-457.09951062740004</v>
      </c>
      <c r="F19" s="442">
        <f t="shared" si="28"/>
        <v>48031.370489372603</v>
      </c>
      <c r="G19" s="443" t="str">
        <f t="shared" si="29"/>
        <v>0.94%  ↓</v>
      </c>
      <c r="H19" s="305">
        <v>0.58256426342205803</v>
      </c>
      <c r="I19" s="433">
        <v>-7</v>
      </c>
      <c r="J19" s="307">
        <f t="shared" si="30"/>
        <v>9.4269732707054077E-3</v>
      </c>
      <c r="K19" s="160" t="str">
        <f t="shared" si="31"/>
        <v xml:space="preserve">  ↓</v>
      </c>
      <c r="L19" s="161">
        <v>0</v>
      </c>
      <c r="M19" s="162"/>
      <c r="O19" s="143" t="str">
        <f t="shared" si="11"/>
        <v>RW</v>
      </c>
      <c r="P19" s="356">
        <f t="shared" si="12"/>
        <v>70</v>
      </c>
      <c r="Q19" s="145">
        <f t="shared" si="13"/>
        <v>0.12389380530973451</v>
      </c>
      <c r="R19" s="357">
        <f t="shared" si="14"/>
        <v>75</v>
      </c>
      <c r="S19" s="147">
        <f t="shared" si="15"/>
        <v>0.11194029850746269</v>
      </c>
      <c r="T19" s="358">
        <f t="shared" si="16"/>
        <v>70</v>
      </c>
      <c r="U19" s="147">
        <f t="shared" si="17"/>
        <v>0.10852713178294573</v>
      </c>
      <c r="V19" s="358">
        <f t="shared" si="18"/>
        <v>0.1</v>
      </c>
      <c r="W19" s="147">
        <f t="shared" si="19"/>
        <v>1.2406947890818863E-3</v>
      </c>
      <c r="X19" s="358">
        <f t="shared" si="20"/>
        <v>65</v>
      </c>
      <c r="Y19" s="148">
        <f t="shared" si="21"/>
        <v>0.10831528078653557</v>
      </c>
      <c r="Z19" s="359">
        <f t="shared" si="22"/>
        <v>70</v>
      </c>
      <c r="AA19" s="134">
        <f t="shared" si="23"/>
        <v>0.12389380530973451</v>
      </c>
      <c r="AB19" s="23"/>
      <c r="AC19" s="56">
        <v>92.5</v>
      </c>
      <c r="AD19" s="150">
        <v>30</v>
      </c>
      <c r="AQ19" s="103"/>
    </row>
    <row r="20" spans="1:47" ht="14.4" x14ac:dyDescent="0.3">
      <c r="A20" s="444" t="s">
        <v>14</v>
      </c>
      <c r="B20" s="445">
        <f t="shared" si="24"/>
        <v>6794.06</v>
      </c>
      <c r="C20" s="446">
        <f t="shared" si="25"/>
        <v>-38.181706724850301</v>
      </c>
      <c r="D20" s="447">
        <f t="shared" si="26"/>
        <v>2.7632694694825601</v>
      </c>
      <c r="E20" s="448">
        <f t="shared" si="27"/>
        <v>-105.50634448551578</v>
      </c>
      <c r="F20" s="449">
        <f t="shared" si="28"/>
        <v>6688.5536555144845</v>
      </c>
      <c r="G20" s="443" t="str">
        <f t="shared" si="29"/>
        <v>1.55%  ↓</v>
      </c>
      <c r="H20" s="305">
        <v>0.69081736737064003</v>
      </c>
      <c r="I20" s="433">
        <v>4</v>
      </c>
      <c r="J20" s="307">
        <f t="shared" si="30"/>
        <v>1.5529204111461414E-2</v>
      </c>
      <c r="K20" s="160" t="str">
        <f t="shared" si="31"/>
        <v xml:space="preserve">  ↓</v>
      </c>
      <c r="L20" s="161">
        <v>0</v>
      </c>
      <c r="M20" s="162"/>
      <c r="O20" s="143" t="str">
        <f t="shared" si="11"/>
        <v>ETS</v>
      </c>
      <c r="P20" s="356">
        <f t="shared" si="12"/>
        <v>70</v>
      </c>
      <c r="Q20" s="145">
        <f t="shared" si="13"/>
        <v>0.12389380530973451</v>
      </c>
      <c r="R20" s="357">
        <f t="shared" si="14"/>
        <v>80</v>
      </c>
      <c r="S20" s="147">
        <f t="shared" si="15"/>
        <v>0.11940298507462686</v>
      </c>
      <c r="T20" s="358">
        <f t="shared" si="16"/>
        <v>70</v>
      </c>
      <c r="U20" s="147">
        <f t="shared" si="17"/>
        <v>0.10852713178294573</v>
      </c>
      <c r="V20" s="358">
        <f t="shared" si="18"/>
        <v>0.1</v>
      </c>
      <c r="W20" s="147">
        <f t="shared" si="19"/>
        <v>1.2406947890818863E-3</v>
      </c>
      <c r="X20" s="358">
        <f t="shared" si="20"/>
        <v>0.1</v>
      </c>
      <c r="Y20" s="148">
        <f t="shared" si="21"/>
        <v>1.6663889351774705E-4</v>
      </c>
      <c r="Z20" s="359">
        <f t="shared" si="22"/>
        <v>70</v>
      </c>
      <c r="AA20" s="134">
        <f t="shared" si="23"/>
        <v>0.12389380530973451</v>
      </c>
      <c r="AC20" s="56">
        <v>95</v>
      </c>
      <c r="AD20" s="150">
        <v>40</v>
      </c>
    </row>
    <row r="21" spans="1:47" ht="15" x14ac:dyDescent="0.3">
      <c r="A21" s="444" t="s">
        <v>15</v>
      </c>
      <c r="B21" s="445">
        <f t="shared" si="24"/>
        <v>20.85</v>
      </c>
      <c r="C21" s="446">
        <f t="shared" si="25"/>
        <v>0.19346813358464132</v>
      </c>
      <c r="D21" s="447">
        <f t="shared" si="26"/>
        <v>-13.226418998263339</v>
      </c>
      <c r="E21" s="448">
        <f t="shared" si="27"/>
        <v>-2.5588905976024496</v>
      </c>
      <c r="F21" s="449">
        <f t="shared" si="28"/>
        <v>18.291109402397552</v>
      </c>
      <c r="G21" s="443" t="str">
        <f t="shared" si="29"/>
        <v>12.27%  ↓</v>
      </c>
      <c r="H21" s="305">
        <v>7.43057247093446E-2</v>
      </c>
      <c r="I21" s="433">
        <v>-178</v>
      </c>
      <c r="J21" s="307">
        <f t="shared" si="30"/>
        <v>0.12272856583225178</v>
      </c>
      <c r="K21" s="160" t="str">
        <f t="shared" si="31"/>
        <v xml:space="preserve">  ↓</v>
      </c>
      <c r="L21" s="161">
        <v>0</v>
      </c>
      <c r="M21" s="162"/>
      <c r="O21" s="180" t="str">
        <f t="shared" si="11"/>
        <v>DynaMix</v>
      </c>
      <c r="P21" s="360">
        <f t="shared" si="12"/>
        <v>50</v>
      </c>
      <c r="Q21" s="182">
        <f t="shared" si="13"/>
        <v>8.8495575221238937E-2</v>
      </c>
      <c r="R21" s="361">
        <f t="shared" si="14"/>
        <v>65</v>
      </c>
      <c r="S21" s="184">
        <f t="shared" si="15"/>
        <v>9.7014925373134331E-2</v>
      </c>
      <c r="T21" s="362">
        <f t="shared" si="16"/>
        <v>80</v>
      </c>
      <c r="U21" s="184">
        <f t="shared" si="17"/>
        <v>0.12403100775193798</v>
      </c>
      <c r="V21" s="362">
        <f t="shared" si="18"/>
        <v>0.1</v>
      </c>
      <c r="W21" s="184">
        <f t="shared" si="19"/>
        <v>1.2406947890818863E-3</v>
      </c>
      <c r="X21" s="362">
        <f t="shared" si="20"/>
        <v>65</v>
      </c>
      <c r="Y21" s="185">
        <f t="shared" si="21"/>
        <v>0.10831528078653557</v>
      </c>
      <c r="Z21" s="363">
        <f t="shared" si="22"/>
        <v>60</v>
      </c>
      <c r="AA21" s="187">
        <f t="shared" si="23"/>
        <v>0.10619469026548672</v>
      </c>
      <c r="AB21" s="23"/>
      <c r="AC21" s="56">
        <v>96</v>
      </c>
      <c r="AD21" s="150">
        <v>50</v>
      </c>
      <c r="AG21" s="1" t="s">
        <v>0</v>
      </c>
      <c r="AH21" s="259" t="s">
        <v>23</v>
      </c>
      <c r="AI21" s="1392" t="s">
        <v>31</v>
      </c>
      <c r="AJ21" s="1392"/>
      <c r="AK21" s="1392">
        <v>85520</v>
      </c>
      <c r="AL21" s="1392"/>
      <c r="AM21" s="1389" t="s">
        <v>25</v>
      </c>
      <c r="AN21" s="1389"/>
      <c r="AP21" s="450">
        <f t="shared" ref="AP21:AP26" si="32">(AI22-AH22)/AH22</f>
        <v>-1.3953488372092933E-2</v>
      </c>
      <c r="AQ21" s="451" t="str">
        <f t="shared" ref="AQ21:AQ26" si="33">IF(AI22-AH22&gt;0,"↑","↓")</f>
        <v>↓</v>
      </c>
      <c r="AR21" s="452">
        <f t="shared" ref="AR21:AR26" si="34">(AK22-AH22)/AH22</f>
        <v>-1.1627906976744146E-2</v>
      </c>
      <c r="AS21" s="453" t="str">
        <f t="shared" ref="AS21:AS26" si="35">IF(AK22-AH22&gt;0,"↑","↓")</f>
        <v>↓</v>
      </c>
      <c r="AT21" s="450">
        <f t="shared" ref="AT21:AT26" si="36">(AM22-AH22)/AH22</f>
        <v>-1.6046511627906965E-2</v>
      </c>
      <c r="AU21" s="451" t="str">
        <f t="shared" ref="AU21:AU26" si="37">IF(AM22-AH22&gt;0,"↑","↓")</f>
        <v>↓</v>
      </c>
    </row>
    <row r="22" spans="1:47" ht="15" x14ac:dyDescent="0.3">
      <c r="A22" s="454" t="s">
        <v>16</v>
      </c>
      <c r="B22" s="455">
        <f t="shared" si="24"/>
        <v>608.05999999999995</v>
      </c>
      <c r="C22" s="456">
        <f t="shared" si="25"/>
        <v>58.242380134818745</v>
      </c>
      <c r="D22" s="457">
        <f t="shared" si="26"/>
        <v>-0.30036936817705351</v>
      </c>
      <c r="E22" s="458">
        <f t="shared" si="27"/>
        <v>-17.49422692222328</v>
      </c>
      <c r="F22" s="459">
        <f t="shared" si="28"/>
        <v>590.56577307777661</v>
      </c>
      <c r="G22" s="443" t="str">
        <f t="shared" si="29"/>
        <v>2.88%  ↓</v>
      </c>
      <c r="H22" s="305">
        <v>-0.20024624545136899</v>
      </c>
      <c r="I22" s="433">
        <v>1.5</v>
      </c>
      <c r="J22" s="307">
        <f t="shared" si="30"/>
        <v>2.8770560343096663E-2</v>
      </c>
      <c r="K22" s="160" t="str">
        <f t="shared" si="31"/>
        <v xml:space="preserve">  ↓</v>
      </c>
      <c r="L22" s="161">
        <v>0</v>
      </c>
      <c r="M22" s="162"/>
      <c r="Q22" s="5"/>
      <c r="AC22" s="56">
        <v>97</v>
      </c>
      <c r="AD22" s="150">
        <v>60</v>
      </c>
      <c r="AG22" s="460" t="s">
        <v>12</v>
      </c>
      <c r="AH22" s="461">
        <f t="shared" ref="AH22:AH27" si="38">B10</f>
        <v>4.3</v>
      </c>
      <c r="AI22" s="462">
        <f t="shared" ref="AI22:AI27" si="39">B27</f>
        <v>4.24</v>
      </c>
      <c r="AJ22" s="463" t="str">
        <f t="shared" ref="AJ22:AJ27" si="40">CONCATENATE(TEXT(AP21,"0.00%"),"  ",AQ21)</f>
        <v>-1.40%  ↓</v>
      </c>
      <c r="AK22" s="462">
        <f t="shared" ref="AK22:AK27" si="41">D27</f>
        <v>4.25</v>
      </c>
      <c r="AL22" s="463" t="str">
        <f t="shared" ref="AL22:AL27" si="42">CONCATENATE(TEXT(AR21,"0.00%"),"  ",AS21)</f>
        <v>-1.16%  ↓</v>
      </c>
      <c r="AM22" s="464">
        <f t="shared" ref="AM22:AM27" si="43">G10</f>
        <v>4.2309999999999999</v>
      </c>
      <c r="AN22" s="465" t="str">
        <f t="shared" ref="AN22:AN27" si="44">CONCATENATE(TEXT(AT21,"0.00%"),"  ",AU21)</f>
        <v>-1.60%  ↓</v>
      </c>
      <c r="AP22" s="466">
        <f t="shared" si="32"/>
        <v>6.9197893849816013E-3</v>
      </c>
      <c r="AQ22" s="467" t="str">
        <f t="shared" si="33"/>
        <v>↑</v>
      </c>
      <c r="AR22" s="468">
        <f t="shared" si="34"/>
        <v>7.620987009901505E-3</v>
      </c>
      <c r="AS22" s="469" t="str">
        <f t="shared" si="35"/>
        <v>↑</v>
      </c>
      <c r="AT22" s="466">
        <f t="shared" si="36"/>
        <v>1.258525995973884E-2</v>
      </c>
      <c r="AU22" s="467" t="str">
        <f t="shared" si="37"/>
        <v>↑</v>
      </c>
    </row>
    <row r="23" spans="1:47" ht="15" x14ac:dyDescent="0.3">
      <c r="A23" s="470" t="s">
        <v>17</v>
      </c>
      <c r="B23" s="471">
        <f t="shared" si="24"/>
        <v>246.7</v>
      </c>
      <c r="C23" s="472">
        <f t="shared" si="25"/>
        <v>-0.82043654966795998</v>
      </c>
      <c r="D23" s="473">
        <f t="shared" si="26"/>
        <v>3.2543250579438978</v>
      </c>
      <c r="E23" s="474">
        <f t="shared" si="27"/>
        <v>-2.6699672220374753</v>
      </c>
      <c r="F23" s="475">
        <f t="shared" si="28"/>
        <v>244.0300327779625</v>
      </c>
      <c r="G23" s="432" t="str">
        <f t="shared" si="29"/>
        <v>1.08%  ↓</v>
      </c>
      <c r="H23" s="305">
        <v>4.3103643151574804</v>
      </c>
      <c r="I23" s="433">
        <v>0.755</v>
      </c>
      <c r="J23" s="307">
        <f t="shared" si="30"/>
        <v>1.0822728909758772E-2</v>
      </c>
      <c r="K23" s="160" t="str">
        <f t="shared" si="31"/>
        <v xml:space="preserve">  ↓</v>
      </c>
      <c r="L23" s="161">
        <v>0</v>
      </c>
      <c r="M23" s="162"/>
      <c r="O23" s="13" t="s">
        <v>40</v>
      </c>
      <c r="P23" s="364" t="s">
        <v>12</v>
      </c>
      <c r="Q23" s="205">
        <f>SUM(P24:P32)</f>
        <v>602.5</v>
      </c>
      <c r="R23" s="365" t="s">
        <v>13</v>
      </c>
      <c r="S23" s="366">
        <f>SUM(R24:R32)</f>
        <v>697.5</v>
      </c>
      <c r="T23" s="367" t="s">
        <v>14</v>
      </c>
      <c r="U23" s="366">
        <f>SUM(T24:T32)</f>
        <v>785</v>
      </c>
      <c r="V23" s="367" t="s">
        <v>15</v>
      </c>
      <c r="W23" s="366">
        <f>SUM(V24:V32)</f>
        <v>270.3</v>
      </c>
      <c r="X23" s="367" t="s">
        <v>16</v>
      </c>
      <c r="Y23" s="209">
        <f>SUM(X24:X32)</f>
        <v>647.5</v>
      </c>
      <c r="Z23" s="368" t="s">
        <v>17</v>
      </c>
      <c r="AA23" s="22">
        <f>SUM(Z24:Z32)</f>
        <v>531.32499999999993</v>
      </c>
      <c r="AB23" s="23"/>
      <c r="AC23" s="56">
        <v>98</v>
      </c>
      <c r="AD23" s="150">
        <v>65</v>
      </c>
      <c r="AG23" s="163" t="s">
        <v>13</v>
      </c>
      <c r="AH23" s="476">
        <f t="shared" si="38"/>
        <v>48488.47</v>
      </c>
      <c r="AI23" s="477">
        <f t="shared" si="39"/>
        <v>48824</v>
      </c>
      <c r="AJ23" s="478" t="str">
        <f t="shared" si="40"/>
        <v>0.69%  ↑</v>
      </c>
      <c r="AK23" s="477">
        <f t="shared" si="41"/>
        <v>48858</v>
      </c>
      <c r="AL23" s="478" t="str">
        <f t="shared" si="42"/>
        <v>0.76%  ↑</v>
      </c>
      <c r="AM23" s="479">
        <f t="shared" si="43"/>
        <v>49098.71</v>
      </c>
      <c r="AN23" s="480" t="str">
        <f t="shared" si="44"/>
        <v>1.26%  ↑</v>
      </c>
      <c r="AP23" s="466">
        <f t="shared" si="32"/>
        <v>2.4933544890683329E-3</v>
      </c>
      <c r="AQ23" s="467" t="str">
        <f t="shared" si="33"/>
        <v>↑</v>
      </c>
      <c r="AR23" s="468">
        <f t="shared" si="34"/>
        <v>2.9349166772150376E-3</v>
      </c>
      <c r="AS23" s="469" t="str">
        <f t="shared" si="35"/>
        <v>↑</v>
      </c>
      <c r="AT23" s="466">
        <f t="shared" si="36"/>
        <v>1.7892099863704394E-2</v>
      </c>
      <c r="AU23" s="467" t="str">
        <f t="shared" si="37"/>
        <v>↑</v>
      </c>
    </row>
    <row r="24" spans="1:47" ht="15" x14ac:dyDescent="0.3">
      <c r="H24" s="310"/>
      <c r="I24" s="303" t="s">
        <v>91</v>
      </c>
      <c r="K24" s="200"/>
      <c r="L24" s="201" t="s">
        <v>92</v>
      </c>
      <c r="O24" s="127" t="str">
        <f t="shared" ref="O24:O31" si="45">O2</f>
        <v>PyCaret</v>
      </c>
      <c r="P24" s="369">
        <v>67.5</v>
      </c>
      <c r="Q24" s="370">
        <f t="shared" ref="Q24:Q32" si="46">P24/$Q$23</f>
        <v>0.11203319502074689</v>
      </c>
      <c r="R24" s="371">
        <v>62.5</v>
      </c>
      <c r="S24" s="372">
        <f t="shared" ref="S24:S32" si="47">R24/$S$23</f>
        <v>8.9605734767025089E-2</v>
      </c>
      <c r="T24" s="372">
        <v>73.75</v>
      </c>
      <c r="U24" s="372">
        <f t="shared" ref="U24:U32" si="48">T24/$U$23</f>
        <v>9.3949044585987268E-2</v>
      </c>
      <c r="V24" s="372">
        <v>25.024999999999999</v>
      </c>
      <c r="W24" s="372">
        <f t="shared" ref="W24:W32" si="49">V24/$W$23</f>
        <v>9.2582315945246019E-2</v>
      </c>
      <c r="X24" s="372">
        <v>75</v>
      </c>
      <c r="Y24" s="373">
        <f t="shared" ref="Y24:Y32" si="50">X24/$Y$23</f>
        <v>0.11583011583011583</v>
      </c>
      <c r="Z24" s="374">
        <v>58.75</v>
      </c>
      <c r="AA24" s="39">
        <f t="shared" ref="AA24:AA32" si="51">Z24/$AA$23</f>
        <v>0.11057262504117067</v>
      </c>
      <c r="AB24" s="23"/>
      <c r="AC24" s="56">
        <v>98.5</v>
      </c>
      <c r="AD24" s="150">
        <v>70</v>
      </c>
      <c r="AG24" s="43" t="s">
        <v>14</v>
      </c>
      <c r="AH24" s="481">
        <f t="shared" si="38"/>
        <v>6794.06</v>
      </c>
      <c r="AI24" s="482">
        <f t="shared" si="39"/>
        <v>6811</v>
      </c>
      <c r="AJ24" s="483" t="str">
        <f t="shared" si="40"/>
        <v>0.25%  ↑</v>
      </c>
      <c r="AK24" s="482">
        <f t="shared" si="41"/>
        <v>6814</v>
      </c>
      <c r="AL24" s="483" t="str">
        <f t="shared" si="42"/>
        <v>0.29%  ↑</v>
      </c>
      <c r="AM24" s="484">
        <f t="shared" si="43"/>
        <v>6915.62</v>
      </c>
      <c r="AN24" s="485" t="str">
        <f t="shared" si="44"/>
        <v>1.79%  ↑</v>
      </c>
      <c r="AP24" s="466">
        <f t="shared" si="32"/>
        <v>-8.8729016786570802E-2</v>
      </c>
      <c r="AQ24" s="467" t="str">
        <f t="shared" si="33"/>
        <v>↓</v>
      </c>
      <c r="AR24" s="468">
        <f t="shared" si="34"/>
        <v>-9.9760191846522864E-2</v>
      </c>
      <c r="AS24" s="469" t="str">
        <f t="shared" si="35"/>
        <v>↓</v>
      </c>
      <c r="AT24" s="466">
        <f t="shared" si="36"/>
        <v>-0.22829736211031182</v>
      </c>
      <c r="AU24" s="467" t="str">
        <f t="shared" si="37"/>
        <v>↓</v>
      </c>
    </row>
    <row r="25" spans="1:47" ht="15" x14ac:dyDescent="0.3">
      <c r="O25" s="143" t="str">
        <f t="shared" si="45"/>
        <v>ARIMAX</v>
      </c>
      <c r="P25" s="375">
        <v>75</v>
      </c>
      <c r="Q25" s="376">
        <f t="shared" si="46"/>
        <v>0.12448132780082988</v>
      </c>
      <c r="R25" s="377">
        <v>81.25</v>
      </c>
      <c r="S25" s="378">
        <f t="shared" si="47"/>
        <v>0.11648745519713262</v>
      </c>
      <c r="T25" s="378">
        <v>87.5</v>
      </c>
      <c r="U25" s="378">
        <f t="shared" si="48"/>
        <v>0.11146496815286625</v>
      </c>
      <c r="V25" s="378">
        <v>45</v>
      </c>
      <c r="W25" s="378">
        <f t="shared" si="49"/>
        <v>0.16648168701442839</v>
      </c>
      <c r="X25" s="378">
        <v>72.5</v>
      </c>
      <c r="Y25" s="379">
        <f t="shared" si="50"/>
        <v>0.11196911196911197</v>
      </c>
      <c r="Z25" s="380">
        <v>65</v>
      </c>
      <c r="AA25" s="39">
        <f t="shared" si="51"/>
        <v>0.12233567025831649</v>
      </c>
      <c r="AB25" s="23"/>
      <c r="AC25" s="56">
        <v>99</v>
      </c>
      <c r="AD25" s="150">
        <v>75</v>
      </c>
      <c r="AG25" s="43" t="s">
        <v>15</v>
      </c>
      <c r="AH25" s="481">
        <f t="shared" si="38"/>
        <v>20.85</v>
      </c>
      <c r="AI25" s="486">
        <f t="shared" si="39"/>
        <v>19</v>
      </c>
      <c r="AJ25" s="483" t="str">
        <f t="shared" si="40"/>
        <v>-8.87%  ↓</v>
      </c>
      <c r="AK25" s="486">
        <f t="shared" si="41"/>
        <v>18.77</v>
      </c>
      <c r="AL25" s="483" t="str">
        <f t="shared" si="42"/>
        <v>-9.98%  ↓</v>
      </c>
      <c r="AM25" s="484">
        <f t="shared" si="43"/>
        <v>16.09</v>
      </c>
      <c r="AN25" s="485" t="str">
        <f t="shared" si="44"/>
        <v>-22.83%  ↓</v>
      </c>
      <c r="AP25" s="466">
        <f t="shared" si="32"/>
        <v>-5.4928789922045829E-3</v>
      </c>
      <c r="AQ25" s="467" t="str">
        <f t="shared" si="33"/>
        <v>↓</v>
      </c>
      <c r="AR25" s="468">
        <f t="shared" si="34"/>
        <v>-7.5650429233955685E-3</v>
      </c>
      <c r="AS25" s="469" t="str">
        <f t="shared" si="35"/>
        <v>↓</v>
      </c>
      <c r="AT25" s="466">
        <f t="shared" si="36"/>
        <v>2.4109462881952575E-2</v>
      </c>
      <c r="AU25" s="467" t="str">
        <f t="shared" si="37"/>
        <v>↑</v>
      </c>
    </row>
    <row r="26" spans="1:47" ht="15" x14ac:dyDescent="0.3">
      <c r="A26" s="12" t="str">
        <f>E9</f>
        <v>ML-&gt;LLM</v>
      </c>
      <c r="B26" s="1385" t="s">
        <v>31</v>
      </c>
      <c r="C26" s="1385"/>
      <c r="D26" s="1385">
        <v>85220</v>
      </c>
      <c r="E26" s="1385"/>
      <c r="F26" s="1385" t="s">
        <v>32</v>
      </c>
      <c r="G26" s="1385"/>
      <c r="H26" s="487" t="str">
        <f>E9</f>
        <v>ML-&gt;LLM</v>
      </c>
      <c r="O26" s="143" t="str">
        <f t="shared" si="45"/>
        <v>PCE</v>
      </c>
      <c r="P26" s="375">
        <v>77.5</v>
      </c>
      <c r="Q26" s="376">
        <f t="shared" si="46"/>
        <v>0.12863070539419086</v>
      </c>
      <c r="R26" s="377">
        <v>78.75</v>
      </c>
      <c r="S26" s="378">
        <f t="shared" si="47"/>
        <v>0.11290322580645161</v>
      </c>
      <c r="T26" s="378">
        <v>90</v>
      </c>
      <c r="U26" s="378">
        <f t="shared" si="48"/>
        <v>0.11464968152866242</v>
      </c>
      <c r="V26" s="378">
        <v>5.2750000000000004</v>
      </c>
      <c r="W26" s="378">
        <f t="shared" si="49"/>
        <v>1.9515353311135776E-2</v>
      </c>
      <c r="X26" s="378">
        <v>76.25</v>
      </c>
      <c r="Y26" s="379">
        <f t="shared" si="50"/>
        <v>0.11776061776061776</v>
      </c>
      <c r="Z26" s="380">
        <v>73.75</v>
      </c>
      <c r="AA26" s="39">
        <f t="shared" si="51"/>
        <v>0.13880393356232062</v>
      </c>
      <c r="AB26" s="23"/>
      <c r="AC26" s="56">
        <v>99.25</v>
      </c>
      <c r="AD26" s="150">
        <v>80</v>
      </c>
      <c r="AG26" s="174" t="s">
        <v>16</v>
      </c>
      <c r="AH26" s="488">
        <f t="shared" si="38"/>
        <v>608.05999999999995</v>
      </c>
      <c r="AI26" s="489">
        <f t="shared" si="39"/>
        <v>604.72</v>
      </c>
      <c r="AJ26" s="490" t="str">
        <f t="shared" si="40"/>
        <v>-0.55%  ↓</v>
      </c>
      <c r="AK26" s="489">
        <f t="shared" si="41"/>
        <v>603.46</v>
      </c>
      <c r="AL26" s="490" t="str">
        <f t="shared" si="42"/>
        <v>-0.76%  ↓</v>
      </c>
      <c r="AM26" s="491">
        <f t="shared" si="43"/>
        <v>622.72</v>
      </c>
      <c r="AN26" s="492" t="str">
        <f t="shared" si="44"/>
        <v>2.41%  ↑</v>
      </c>
      <c r="AP26" s="493">
        <f t="shared" si="32"/>
        <v>-1.0944466963923748E-2</v>
      </c>
      <c r="AQ26" s="494" t="str">
        <f t="shared" si="33"/>
        <v>↓</v>
      </c>
      <c r="AR26" s="495">
        <f t="shared" si="34"/>
        <v>-6.8909606809890098E-3</v>
      </c>
      <c r="AS26" s="496" t="str">
        <f t="shared" si="35"/>
        <v>↓</v>
      </c>
      <c r="AT26" s="493">
        <f t="shared" si="36"/>
        <v>5.4316984191325642E-3</v>
      </c>
      <c r="AU26" s="494" t="str">
        <f t="shared" si="37"/>
        <v>↑</v>
      </c>
    </row>
    <row r="27" spans="1:47" ht="14.4" x14ac:dyDescent="0.3">
      <c r="A27" s="76" t="s">
        <v>12</v>
      </c>
      <c r="B27" s="155">
        <v>4.24</v>
      </c>
      <c r="C27" s="497">
        <f t="shared" ref="C27:C32" si="52">100-ABS(($E10-B27)/($E10))*100</f>
        <v>99.259940889302271</v>
      </c>
      <c r="D27" s="155">
        <v>4.25</v>
      </c>
      <c r="E27" s="498">
        <f t="shared" ref="E27:E32" si="53">100-ABS(($E10-D27)/($E10))*100</f>
        <v>99.494044523475154</v>
      </c>
      <c r="F27" s="155">
        <v>4.28</v>
      </c>
      <c r="G27" s="499">
        <f t="shared" ref="G27:G32" si="54">100-ABS(($E10-F27)/($E10))*100</f>
        <v>99.803644574006199</v>
      </c>
      <c r="H27" s="500">
        <f t="shared" ref="H27:H32" si="55">G10</f>
        <v>4.2309999999999999</v>
      </c>
      <c r="O27" s="143" t="str">
        <f t="shared" si="45"/>
        <v>LSTM</v>
      </c>
      <c r="P27" s="381">
        <v>73.75</v>
      </c>
      <c r="Q27" s="376">
        <f t="shared" si="46"/>
        <v>0.12240663900414937</v>
      </c>
      <c r="R27" s="377">
        <v>76.25</v>
      </c>
      <c r="S27" s="378">
        <f t="shared" si="47"/>
        <v>0.10931899641577061</v>
      </c>
      <c r="T27" s="378">
        <v>85</v>
      </c>
      <c r="U27" s="378">
        <f t="shared" si="48"/>
        <v>0.10828025477707007</v>
      </c>
      <c r="V27" s="378">
        <v>23.75</v>
      </c>
      <c r="W27" s="378">
        <f t="shared" si="49"/>
        <v>8.7865334813170548E-2</v>
      </c>
      <c r="X27" s="378">
        <v>71.25</v>
      </c>
      <c r="Y27" s="379">
        <f t="shared" si="50"/>
        <v>0.11003861003861004</v>
      </c>
      <c r="Z27" s="380">
        <v>67.5</v>
      </c>
      <c r="AA27" s="39">
        <f t="shared" si="51"/>
        <v>0.12704088834517482</v>
      </c>
      <c r="AB27" s="23"/>
      <c r="AC27" s="56">
        <v>99.5</v>
      </c>
      <c r="AD27" s="150">
        <v>90</v>
      </c>
      <c r="AF27" s="2"/>
      <c r="AG27" s="501" t="s">
        <v>17</v>
      </c>
      <c r="AH27" s="502">
        <f t="shared" si="38"/>
        <v>246.7</v>
      </c>
      <c r="AI27" s="503">
        <f t="shared" si="39"/>
        <v>244</v>
      </c>
      <c r="AJ27" s="504" t="str">
        <f t="shared" si="40"/>
        <v>-1.09%  ↓</v>
      </c>
      <c r="AK27" s="503">
        <f t="shared" si="41"/>
        <v>245</v>
      </c>
      <c r="AL27" s="504" t="str">
        <f t="shared" si="42"/>
        <v>-0.69%  ↓</v>
      </c>
      <c r="AM27" s="505">
        <f t="shared" si="43"/>
        <v>248.04</v>
      </c>
      <c r="AN27" s="506" t="str">
        <f t="shared" si="44"/>
        <v>0.54%  ↑</v>
      </c>
    </row>
    <row r="28" spans="1:47" ht="14.25" customHeight="1" x14ac:dyDescent="0.3">
      <c r="A28" s="163" t="s">
        <v>13</v>
      </c>
      <c r="B28" s="164">
        <v>48824</v>
      </c>
      <c r="C28" s="507">
        <f t="shared" si="52"/>
        <v>98.349767032354876</v>
      </c>
      <c r="D28" s="164">
        <v>48858</v>
      </c>
      <c r="E28" s="508">
        <f t="shared" si="53"/>
        <v>98.278979962043152</v>
      </c>
      <c r="F28" s="164">
        <v>48540</v>
      </c>
      <c r="G28" s="509">
        <f t="shared" si="54"/>
        <v>98.941047266723444</v>
      </c>
      <c r="H28" s="510">
        <f t="shared" si="55"/>
        <v>49098.71</v>
      </c>
      <c r="O28" s="143" t="str">
        <f t="shared" si="45"/>
        <v>GARCH</v>
      </c>
      <c r="P28" s="375">
        <v>80</v>
      </c>
      <c r="Q28" s="376">
        <f t="shared" si="46"/>
        <v>0.13278008298755187</v>
      </c>
      <c r="R28" s="377">
        <v>80</v>
      </c>
      <c r="S28" s="378">
        <f t="shared" si="47"/>
        <v>0.11469534050179211</v>
      </c>
      <c r="T28" s="378">
        <v>87.5</v>
      </c>
      <c r="U28" s="378">
        <f t="shared" si="48"/>
        <v>0.11146496815286625</v>
      </c>
      <c r="V28" s="378">
        <v>30</v>
      </c>
      <c r="W28" s="378">
        <f t="shared" si="49"/>
        <v>0.11098779134295227</v>
      </c>
      <c r="X28" s="378">
        <v>72.5</v>
      </c>
      <c r="Y28" s="379">
        <f t="shared" si="50"/>
        <v>0.11196911196911197</v>
      </c>
      <c r="Z28" s="380">
        <v>70</v>
      </c>
      <c r="AA28" s="39">
        <f t="shared" si="51"/>
        <v>0.13174610643203313</v>
      </c>
      <c r="AB28" s="23"/>
      <c r="AC28" s="56">
        <v>99.75</v>
      </c>
      <c r="AD28" s="150">
        <v>95</v>
      </c>
      <c r="AK28" s="6"/>
    </row>
    <row r="29" spans="1:47" ht="14.25" customHeight="1" x14ac:dyDescent="0.3">
      <c r="A29" s="43" t="s">
        <v>14</v>
      </c>
      <c r="B29" s="169">
        <v>6811</v>
      </c>
      <c r="C29" s="511">
        <f t="shared" si="52"/>
        <v>98.169315059847619</v>
      </c>
      <c r="D29" s="169">
        <v>6814</v>
      </c>
      <c r="E29" s="512">
        <f t="shared" si="53"/>
        <v>98.124462313581219</v>
      </c>
      <c r="F29" s="169">
        <v>6802</v>
      </c>
      <c r="G29" s="513">
        <f t="shared" si="54"/>
        <v>98.30387329864682</v>
      </c>
      <c r="H29" s="514">
        <f t="shared" si="55"/>
        <v>6915.62</v>
      </c>
      <c r="O29" s="143" t="str">
        <f t="shared" si="45"/>
        <v>VAR</v>
      </c>
      <c r="P29" s="381">
        <v>0</v>
      </c>
      <c r="Q29" s="376">
        <f t="shared" si="46"/>
        <v>0</v>
      </c>
      <c r="R29" s="377">
        <v>78.75</v>
      </c>
      <c r="S29" s="378">
        <f t="shared" si="47"/>
        <v>0.11290322580645161</v>
      </c>
      <c r="T29" s="378">
        <v>92.5</v>
      </c>
      <c r="U29" s="378">
        <f t="shared" si="48"/>
        <v>0.1178343949044586</v>
      </c>
      <c r="V29" s="378">
        <v>17.5</v>
      </c>
      <c r="W29" s="378">
        <f t="shared" si="49"/>
        <v>6.474287828338883E-2</v>
      </c>
      <c r="X29" s="378">
        <v>71.25</v>
      </c>
      <c r="Y29" s="379">
        <f t="shared" si="50"/>
        <v>0.11003861003861004</v>
      </c>
      <c r="Z29" s="380">
        <v>65</v>
      </c>
      <c r="AA29" s="39">
        <f t="shared" si="51"/>
        <v>0.12233567025831649</v>
      </c>
      <c r="AB29" s="23"/>
      <c r="AC29" s="93">
        <v>99.99</v>
      </c>
      <c r="AD29" s="229">
        <v>100</v>
      </c>
    </row>
    <row r="30" spans="1:47" ht="14.25" customHeight="1" x14ac:dyDescent="0.3">
      <c r="A30" s="43" t="s">
        <v>15</v>
      </c>
      <c r="B30" s="169">
        <v>19</v>
      </c>
      <c r="C30" s="511">
        <f t="shared" si="52"/>
        <v>96.124398023066178</v>
      </c>
      <c r="D30" s="169">
        <v>18.77</v>
      </c>
      <c r="E30" s="512">
        <f t="shared" si="53"/>
        <v>97.381839520681694</v>
      </c>
      <c r="F30" s="169">
        <v>18.739999999999998</v>
      </c>
      <c r="G30" s="513">
        <f t="shared" si="54"/>
        <v>97.545853629066329</v>
      </c>
      <c r="H30" s="514">
        <f t="shared" si="55"/>
        <v>16.09</v>
      </c>
      <c r="M30" s="8"/>
      <c r="O30" s="143" t="str">
        <f t="shared" si="45"/>
        <v>RW</v>
      </c>
      <c r="P30" s="375">
        <v>80</v>
      </c>
      <c r="Q30" s="376">
        <f t="shared" si="46"/>
        <v>0.13278008298755187</v>
      </c>
      <c r="R30" s="377">
        <v>78.75</v>
      </c>
      <c r="S30" s="378">
        <f t="shared" si="47"/>
        <v>0.11290322580645161</v>
      </c>
      <c r="T30" s="378">
        <v>90</v>
      </c>
      <c r="U30" s="378">
        <f t="shared" si="48"/>
        <v>0.11464968152866242</v>
      </c>
      <c r="V30" s="378">
        <v>37.5</v>
      </c>
      <c r="W30" s="378">
        <f t="shared" si="49"/>
        <v>0.13873473917869034</v>
      </c>
      <c r="X30" s="378">
        <v>71.25</v>
      </c>
      <c r="Y30" s="379">
        <f t="shared" si="50"/>
        <v>0.11003861003861004</v>
      </c>
      <c r="Z30" s="380">
        <v>45.024999999999999</v>
      </c>
      <c r="AA30" s="39">
        <f t="shared" si="51"/>
        <v>8.4740977744318463E-2</v>
      </c>
    </row>
    <row r="31" spans="1:47" ht="14.25" customHeight="1" x14ac:dyDescent="0.3">
      <c r="A31" s="174" t="s">
        <v>16</v>
      </c>
      <c r="B31" s="175">
        <v>604.72</v>
      </c>
      <c r="C31" s="515">
        <f t="shared" si="52"/>
        <v>97.603276795324987</v>
      </c>
      <c r="D31" s="175">
        <v>603.46</v>
      </c>
      <c r="E31" s="516">
        <f t="shared" si="53"/>
        <v>97.816631523526297</v>
      </c>
      <c r="F31" s="175">
        <v>607.70000000000005</v>
      </c>
      <c r="G31" s="517">
        <f t="shared" si="54"/>
        <v>97.098675930213972</v>
      </c>
      <c r="H31" s="518">
        <f t="shared" si="55"/>
        <v>622.72</v>
      </c>
      <c r="J31" s="8"/>
      <c r="O31" s="143" t="str">
        <f t="shared" si="45"/>
        <v>ETS</v>
      </c>
      <c r="P31" s="375">
        <v>80</v>
      </c>
      <c r="Q31" s="376">
        <f t="shared" si="46"/>
        <v>0.13278008298755187</v>
      </c>
      <c r="R31" s="377">
        <v>80</v>
      </c>
      <c r="S31" s="378">
        <f t="shared" si="47"/>
        <v>0.11469534050179211</v>
      </c>
      <c r="T31" s="378">
        <v>90</v>
      </c>
      <c r="U31" s="378">
        <f t="shared" si="48"/>
        <v>0.11464968152866242</v>
      </c>
      <c r="V31" s="378">
        <v>38.75</v>
      </c>
      <c r="W31" s="378">
        <f t="shared" si="49"/>
        <v>0.14335923048464669</v>
      </c>
      <c r="X31" s="378">
        <v>71.25</v>
      </c>
      <c r="Y31" s="379">
        <f t="shared" si="50"/>
        <v>0.11003861003861004</v>
      </c>
      <c r="Z31" s="380">
        <v>45.024999999999999</v>
      </c>
      <c r="AA31" s="39">
        <f t="shared" si="51"/>
        <v>8.4740977744318463E-2</v>
      </c>
      <c r="AL31" s="230"/>
    </row>
    <row r="32" spans="1:47" ht="14.25" customHeight="1" x14ac:dyDescent="0.3">
      <c r="A32" s="136" t="s">
        <v>17</v>
      </c>
      <c r="B32" s="188">
        <v>244</v>
      </c>
      <c r="C32" s="519">
        <f t="shared" si="52"/>
        <v>99.987692999250697</v>
      </c>
      <c r="D32" s="188">
        <v>245</v>
      </c>
      <c r="E32" s="520">
        <f t="shared" si="53"/>
        <v>99.602521373703198</v>
      </c>
      <c r="F32" s="188">
        <v>246.2</v>
      </c>
      <c r="G32" s="521">
        <f t="shared" si="54"/>
        <v>99.11077862124786</v>
      </c>
      <c r="H32" s="522">
        <f t="shared" si="55"/>
        <v>248.04</v>
      </c>
      <c r="J32" s="8"/>
      <c r="O32" s="180" t="str">
        <f>O21</f>
        <v>DynaMix</v>
      </c>
      <c r="P32" s="382">
        <v>68.75</v>
      </c>
      <c r="Q32" s="383">
        <f t="shared" si="46"/>
        <v>0.11410788381742738</v>
      </c>
      <c r="R32" s="384">
        <v>81.25</v>
      </c>
      <c r="S32" s="385">
        <f t="shared" si="47"/>
        <v>0.11648745519713262</v>
      </c>
      <c r="T32" s="385">
        <v>88.75</v>
      </c>
      <c r="U32" s="385">
        <f t="shared" si="48"/>
        <v>0.11305732484076433</v>
      </c>
      <c r="V32" s="385">
        <v>47.5</v>
      </c>
      <c r="W32" s="385">
        <f t="shared" si="49"/>
        <v>0.1757306696263411</v>
      </c>
      <c r="X32" s="385">
        <v>66.25</v>
      </c>
      <c r="Y32" s="386">
        <f t="shared" si="50"/>
        <v>0.10231660231660232</v>
      </c>
      <c r="Z32" s="387">
        <v>41.274999999999999</v>
      </c>
      <c r="AA32" s="92">
        <f t="shared" si="51"/>
        <v>7.7683150614030971E-2</v>
      </c>
      <c r="AK32" s="2"/>
      <c r="AL32" s="230"/>
    </row>
    <row r="34" spans="1:42" ht="14.25" customHeight="1" x14ac:dyDescent="0.3">
      <c r="A34" s="202" t="str">
        <f>AC1</f>
        <v>AVR-4</v>
      </c>
      <c r="B34" s="1390">
        <f t="array" ref="B34">SUM(C28:C31/4)</f>
        <v>97.561689227648415</v>
      </c>
      <c r="C34" s="1390"/>
      <c r="D34" s="1390">
        <f t="array" ref="D34">SUM(E28:E31/4)</f>
        <v>97.900478329958105</v>
      </c>
      <c r="E34" s="1390"/>
      <c r="F34" s="1390">
        <f t="array" ref="F34">SUM(G28:G31/4)</f>
        <v>97.972362531162645</v>
      </c>
      <c r="G34" s="1390"/>
      <c r="O34" s="225" t="s">
        <v>42</v>
      </c>
    </row>
    <row r="35" spans="1:42" ht="14.25" customHeight="1" x14ac:dyDescent="0.3">
      <c r="A35" s="211" t="str">
        <f>AD1</f>
        <v>AVR-6</v>
      </c>
      <c r="B35" s="1388">
        <f t="array" ref="B35">SUM(C27:C32/6)</f>
        <v>98.249065133191095</v>
      </c>
      <c r="C35" s="1388"/>
      <c r="D35" s="1388">
        <f t="array" ref="D35">SUM(E27:E32/6)</f>
        <v>98.449746536168448</v>
      </c>
      <c r="E35" s="1388"/>
      <c r="F35" s="1388">
        <f t="array" ref="F35">SUM(G27:G32/6)</f>
        <v>98.467312219984095</v>
      </c>
      <c r="G35" s="1388"/>
      <c r="AK35" s="2"/>
      <c r="AP35" s="2"/>
    </row>
    <row r="36" spans="1:42" ht="14.25" customHeight="1" x14ac:dyDescent="0.3">
      <c r="AK36" s="6"/>
      <c r="AP36" s="2"/>
    </row>
    <row r="37" spans="1:42" ht="14.25" customHeight="1" x14ac:dyDescent="0.3">
      <c r="Z37" s="6"/>
    </row>
    <row r="38" spans="1:42" ht="14.25" customHeight="1" x14ac:dyDescent="0.3">
      <c r="Z38" s="6"/>
    </row>
    <row r="39" spans="1:42" ht="14.25" customHeight="1" x14ac:dyDescent="0.3">
      <c r="Z39" s="6"/>
    </row>
    <row r="40" spans="1:42" ht="14.25" customHeight="1" x14ac:dyDescent="0.3">
      <c r="Z40" s="6"/>
    </row>
    <row r="41" spans="1:42" ht="14.25" customHeight="1" x14ac:dyDescent="0.3">
      <c r="Z41" s="6"/>
    </row>
    <row r="43" spans="1:42" ht="14.25" customHeight="1" x14ac:dyDescent="0.3">
      <c r="AD43" s="237"/>
    </row>
    <row r="44" spans="1:42" ht="14.25" customHeight="1" x14ac:dyDescent="0.3">
      <c r="AD44" s="237"/>
    </row>
    <row r="45" spans="1:42" ht="14.25" customHeight="1" x14ac:dyDescent="0.3">
      <c r="AD45" s="237"/>
    </row>
    <row r="46" spans="1:42" ht="14.25" customHeight="1" x14ac:dyDescent="0.3">
      <c r="AD46" s="237"/>
    </row>
  </sheetData>
  <mergeCells count="15">
    <mergeCell ref="AG10:AH10"/>
    <mergeCell ref="AG11:AH11"/>
    <mergeCell ref="D17:E17"/>
    <mergeCell ref="AI21:AJ21"/>
    <mergeCell ref="AK21:AL21"/>
    <mergeCell ref="B35:C35"/>
    <mergeCell ref="D35:E35"/>
    <mergeCell ref="F35:G35"/>
    <mergeCell ref="AM21:AN21"/>
    <mergeCell ref="B26:C26"/>
    <mergeCell ref="D26:E26"/>
    <mergeCell ref="F26:G26"/>
    <mergeCell ref="B34:C34"/>
    <mergeCell ref="D34:E34"/>
    <mergeCell ref="F34:G34"/>
  </mergeCells>
  <hyperlinks>
    <hyperlink ref="O34" r:id="rId1" xr:uid="{00000000-0004-0000-06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46"/>
  <sheetViews>
    <sheetView zoomScale="120" zoomScaleNormal="120" workbookViewId="0">
      <selection activeCell="P12" sqref="P12"/>
    </sheetView>
  </sheetViews>
  <sheetFormatPr defaultColWidth="8.77734375" defaultRowHeight="14.25" customHeight="1" x14ac:dyDescent="0.3"/>
  <cols>
    <col min="1" max="4" width="7.6640625" style="2" customWidth="1"/>
    <col min="5" max="5" width="7.33203125" style="2" customWidth="1"/>
    <col min="6" max="6" width="7.5546875" style="2" customWidth="1"/>
    <col min="7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5.66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style="8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93</v>
      </c>
      <c r="O1" s="13" t="s">
        <v>11</v>
      </c>
      <c r="P1" s="316" t="s">
        <v>12</v>
      </c>
      <c r="Q1" s="15">
        <f>SUM(P2:P10)</f>
        <v>785.6244975171436</v>
      </c>
      <c r="R1" s="16" t="s">
        <v>13</v>
      </c>
      <c r="S1" s="17">
        <f>SUM(R2:R10)</f>
        <v>894.33443079555582</v>
      </c>
      <c r="T1" s="18" t="s">
        <v>14</v>
      </c>
      <c r="U1" s="17">
        <f>SUM(T2:T10)</f>
        <v>897.35233745051789</v>
      </c>
      <c r="V1" s="18" t="s">
        <v>15</v>
      </c>
      <c r="W1" s="17">
        <f>SUM(V2:V10)</f>
        <v>865.99804560260577</v>
      </c>
      <c r="X1" s="19" t="s">
        <v>16</v>
      </c>
      <c r="Y1" s="20">
        <f>SUM(X2:X10)</f>
        <v>889.92478189485871</v>
      </c>
      <c r="Z1" s="317" t="s">
        <v>17</v>
      </c>
      <c r="AA1" s="22">
        <f>SUM(Z2:Z10)</f>
        <v>885.51415101246016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4.0567000000000002</v>
      </c>
      <c r="C2" s="28">
        <v>4.1769999999999996</v>
      </c>
      <c r="D2" s="28">
        <v>4.1586999999999996</v>
      </c>
      <c r="E2" s="28">
        <v>4.1612999999999998</v>
      </c>
      <c r="F2" s="28">
        <v>4.1714000000000002</v>
      </c>
      <c r="G2" s="28">
        <v>0</v>
      </c>
      <c r="H2" s="318">
        <v>4.1661000000000001</v>
      </c>
      <c r="I2" s="318">
        <v>4.1664000000000003</v>
      </c>
      <c r="J2" s="29">
        <v>4.1664599999999998</v>
      </c>
      <c r="K2" s="30"/>
      <c r="O2" s="319" t="str">
        <f>B1</f>
        <v>PyCaret</v>
      </c>
      <c r="P2" s="320">
        <f>100-ABS((($G10-B2)/($G10)))*100</f>
        <v>95.925750768503192</v>
      </c>
      <c r="Q2" s="321">
        <f t="shared" ref="Q2:Q10" si="0">P2/$Q$1</f>
        <v>0.12210127239115266</v>
      </c>
      <c r="R2" s="322">
        <f>100-ABS((($G11-B3)/($G11)))*100</f>
        <v>95.791757708218483</v>
      </c>
      <c r="S2" s="323">
        <f t="shared" ref="S2:S10" si="1">R2/$S$1</f>
        <v>0.10710954919068347</v>
      </c>
      <c r="T2" s="323">
        <f>100-ABS((($G12-B4)/($G12)))*100</f>
        <v>99.734308310138928</v>
      </c>
      <c r="U2" s="323">
        <f t="shared" ref="U2:U10" si="2">T2/$U$1</f>
        <v>0.1111428634526051</v>
      </c>
      <c r="V2" s="323">
        <f>100-ABS((($G13-B5)/($G13)))*100</f>
        <v>96.186970684039082</v>
      </c>
      <c r="W2" s="323">
        <f t="shared" ref="W2:W10" si="3">V2/$W$1</f>
        <v>0.1110706556122852</v>
      </c>
      <c r="X2" s="324">
        <f>100-ABS((($G14-B6)/($G14)))*100</f>
        <v>99.326256317805743</v>
      </c>
      <c r="Y2" s="325">
        <f t="shared" ref="Y2:Y10" si="4">X2/$Y$1</f>
        <v>0.11161196804331804</v>
      </c>
      <c r="Z2" s="326">
        <f>100-ABS((($G15-B7)/($G15)))*100</f>
        <v>98.551598638124673</v>
      </c>
      <c r="AA2" s="39">
        <f t="shared" ref="AA2:AA10" si="5">Z2/$AA$1</f>
        <v>0.11129308156786073</v>
      </c>
      <c r="AB2" s="23"/>
      <c r="AC2" s="40">
        <f t="shared" ref="AC2:AC10" si="6">(R2+T2+V2+X2)/4</f>
        <v>97.759823255050563</v>
      </c>
      <c r="AD2" s="41">
        <f t="shared" ref="AD2:AD10" si="7">(P2+R2+T2+V2+X2+Z2)/6</f>
        <v>97.586107071138358</v>
      </c>
      <c r="AE2" s="42" t="str">
        <f>IF($AC2=MAX(AC2:AC10),"TOP","")</f>
        <v/>
      </c>
      <c r="AG2" s="1" t="s">
        <v>33</v>
      </c>
      <c r="AH2" s="2"/>
      <c r="AI2" s="2"/>
    </row>
    <row r="3" spans="1:45" ht="14.4" x14ac:dyDescent="0.3">
      <c r="A3" s="43" t="s">
        <v>13</v>
      </c>
      <c r="B3" s="44">
        <v>47282.169800000003</v>
      </c>
      <c r="C3" s="45">
        <v>49437.733899999999</v>
      </c>
      <c r="D3" s="45">
        <v>49362.082399999999</v>
      </c>
      <c r="E3" s="45">
        <v>49051.89</v>
      </c>
      <c r="F3" s="45">
        <v>49328.659099999997</v>
      </c>
      <c r="G3" s="45">
        <v>49558.560100000002</v>
      </c>
      <c r="H3" s="45">
        <v>49353.531499999997</v>
      </c>
      <c r="I3" s="45">
        <v>49421.073900000003</v>
      </c>
      <c r="J3" s="46">
        <v>49326.0429</v>
      </c>
      <c r="K3" s="30"/>
      <c r="L3" s="47" t="s">
        <v>94</v>
      </c>
      <c r="O3" s="327" t="str">
        <f>C1</f>
        <v>ARIMAX</v>
      </c>
      <c r="P3" s="328">
        <f>100-ABS((($G10-C2)/($G10)))*100</f>
        <v>98.770394892409541</v>
      </c>
      <c r="Q3" s="329">
        <f t="shared" si="0"/>
        <v>0.12572214232697626</v>
      </c>
      <c r="R3" s="330">
        <f>100-ABS((($G11-C3)/($G11)))*100</f>
        <v>99.841156879560572</v>
      </c>
      <c r="S3" s="331">
        <f t="shared" si="1"/>
        <v>0.11163738467582736</v>
      </c>
      <c r="T3" s="331">
        <f>100-ABS((($G12-C4)/($G12)))*100</f>
        <v>99.954098027019199</v>
      </c>
      <c r="U3" s="331">
        <f t="shared" si="2"/>
        <v>0.11138779479975545</v>
      </c>
      <c r="V3" s="331">
        <f>100-ABS((($G13-C5)/($G13)))*100</f>
        <v>96.325081433224753</v>
      </c>
      <c r="W3" s="331">
        <f t="shared" si="3"/>
        <v>0.11123013720683034</v>
      </c>
      <c r="X3" s="332">
        <f>100-ABS((($G14-C6)/($G14)))*100</f>
        <v>99.00288124134822</v>
      </c>
      <c r="Y3" s="333">
        <f t="shared" si="4"/>
        <v>0.11124859455037071</v>
      </c>
      <c r="Z3" s="334">
        <f>100-ABS((($G15-C7)/($G15)))*100</f>
        <v>96.837161977067268</v>
      </c>
      <c r="AA3" s="39">
        <f t="shared" si="5"/>
        <v>0.10935698979665957</v>
      </c>
      <c r="AB3" s="23"/>
      <c r="AC3" s="56">
        <f t="shared" si="6"/>
        <v>98.780804395288186</v>
      </c>
      <c r="AD3" s="57">
        <f t="shared" si="7"/>
        <v>98.455129075104921</v>
      </c>
      <c r="AE3" s="42" t="str">
        <f>IF($AC3=MAX(AC2:AC10),"TOP","")</f>
        <v/>
      </c>
      <c r="AG3" s="76" t="s">
        <v>12</v>
      </c>
      <c r="AH3" s="270" t="s">
        <v>34</v>
      </c>
      <c r="AI3" s="388">
        <f>MAX(P2:P10)</f>
        <v>98.770394892409541</v>
      </c>
    </row>
    <row r="4" spans="1:45" ht="14.4" x14ac:dyDescent="0.3">
      <c r="A4" s="43" t="s">
        <v>14</v>
      </c>
      <c r="B4" s="58">
        <v>6958.7219999999998</v>
      </c>
      <c r="C4" s="59">
        <v>6980.4627</v>
      </c>
      <c r="D4" s="59">
        <v>6937.6008000000002</v>
      </c>
      <c r="E4" s="59">
        <v>6949.4147000000003</v>
      </c>
      <c r="F4" s="59">
        <v>6951.8711000000003</v>
      </c>
      <c r="G4" s="59">
        <v>6953.7983999999997</v>
      </c>
      <c r="H4" s="59">
        <v>6981.9624999999996</v>
      </c>
      <c r="I4" s="59">
        <v>6983.1714000000002</v>
      </c>
      <c r="J4" s="60">
        <v>6941.2353000000003</v>
      </c>
      <c r="K4" s="30"/>
      <c r="O4" s="327" t="str">
        <f>D1</f>
        <v>PCE</v>
      </c>
      <c r="P4" s="328">
        <f>100-ABS((($G10-D2)/($G10)))*100</f>
        <v>98.337668479545982</v>
      </c>
      <c r="Q4" s="329">
        <f t="shared" si="0"/>
        <v>0.12517133667589089</v>
      </c>
      <c r="R4" s="330">
        <f>100-ABS((($G11-D3)/($G11)))*100</f>
        <v>99.99442374926889</v>
      </c>
      <c r="S4" s="331">
        <f t="shared" si="1"/>
        <v>0.1118087600186865</v>
      </c>
      <c r="T4" s="331">
        <f>100-ABS((($G12-D4)/($G12)))*100</f>
        <v>99.431593490854581</v>
      </c>
      <c r="U4" s="331">
        <f t="shared" si="2"/>
        <v>0.11080552124414282</v>
      </c>
      <c r="V4" s="331">
        <f>100-ABS((($G13-D5)/($G13)))*100</f>
        <v>89.839087947882732</v>
      </c>
      <c r="W4" s="331">
        <f t="shared" si="3"/>
        <v>0.10374052043658839</v>
      </c>
      <c r="X4" s="332">
        <f>100-ABS((($G14-D6)/($G14)))*100</f>
        <v>99.595113157132275</v>
      </c>
      <c r="Y4" s="333">
        <f t="shared" si="4"/>
        <v>0.11191407991254149</v>
      </c>
      <c r="Z4" s="334">
        <f>100-ABS((($G15-D7)/($G15)))*100</f>
        <v>99.295072985559429</v>
      </c>
      <c r="AA4" s="39">
        <f t="shared" si="5"/>
        <v>0.11213267780309277</v>
      </c>
      <c r="AB4" s="23"/>
      <c r="AC4" s="56">
        <f t="shared" si="6"/>
        <v>97.215054586284623</v>
      </c>
      <c r="AD4" s="57">
        <f t="shared" si="7"/>
        <v>97.748826635040643</v>
      </c>
      <c r="AE4" s="42" t="str">
        <f>IF($AC4=MAX(AC2:AC10),"TOP","")</f>
        <v/>
      </c>
      <c r="AG4" s="163" t="s">
        <v>13</v>
      </c>
      <c r="AH4" s="272" t="s">
        <v>35</v>
      </c>
      <c r="AI4" s="389">
        <f>MAX(R2:R10)</f>
        <v>99.99442374926889</v>
      </c>
    </row>
    <row r="5" spans="1:45" ht="14.4" x14ac:dyDescent="0.3">
      <c r="A5" s="43" t="s">
        <v>15</v>
      </c>
      <c r="B5" s="61">
        <v>15.9353</v>
      </c>
      <c r="C5" s="62">
        <v>15.914099999999999</v>
      </c>
      <c r="D5" s="62">
        <v>16.909700000000001</v>
      </c>
      <c r="E5" s="62">
        <v>15.52</v>
      </c>
      <c r="F5" s="62">
        <v>15.937099999999999</v>
      </c>
      <c r="G5" s="62">
        <v>16.140499999999999</v>
      </c>
      <c r="H5" s="62">
        <v>15.823399999999999</v>
      </c>
      <c r="I5" s="335">
        <v>15.647600000000001</v>
      </c>
      <c r="J5" s="336">
        <v>15.1584</v>
      </c>
      <c r="K5" s="30"/>
      <c r="L5" s="1" t="s">
        <v>21</v>
      </c>
      <c r="O5" s="327" t="str">
        <f>E1</f>
        <v>LSTM</v>
      </c>
      <c r="P5" s="328">
        <f>100-ABS((($G10-E2)/($G10)))*100</f>
        <v>98.399148734925504</v>
      </c>
      <c r="Q5" s="329">
        <f t="shared" si="0"/>
        <v>0.12524959321648224</v>
      </c>
      <c r="R5" s="330">
        <f>100-ABS((($G11-E3)/($G11)))*100</f>
        <v>99.37713903328914</v>
      </c>
      <c r="S5" s="331">
        <f t="shared" si="1"/>
        <v>0.11111854314374113</v>
      </c>
      <c r="T5" s="331">
        <f>100-ABS((($G12-E4)/($G12)))*100</f>
        <v>99.600913539125671</v>
      </c>
      <c r="U5" s="331">
        <f t="shared" si="2"/>
        <v>0.11099420972380082</v>
      </c>
      <c r="V5" s="331">
        <f>100-ABS((($G13-E5)/($G13)))*100</f>
        <v>98.892508143322473</v>
      </c>
      <c r="W5" s="331">
        <f t="shared" si="3"/>
        <v>0.11419483986769047</v>
      </c>
      <c r="X5" s="332">
        <f>100-ABS((($G14-E6)/($G14)))*100</f>
        <v>97.897402053890488</v>
      </c>
      <c r="Y5" s="333">
        <f t="shared" si="4"/>
        <v>0.11000637811820899</v>
      </c>
      <c r="Z5" s="334">
        <f>100-ABS((($G15-E7)/($G15)))*100</f>
        <v>95.891832661527019</v>
      </c>
      <c r="AA5" s="39">
        <f t="shared" si="5"/>
        <v>0.10828944128322317</v>
      </c>
      <c r="AB5" s="23"/>
      <c r="AC5" s="56">
        <f t="shared" si="6"/>
        <v>98.941990692406932</v>
      </c>
      <c r="AD5" s="57">
        <f t="shared" si="7"/>
        <v>98.343157361013382</v>
      </c>
      <c r="AE5" s="42" t="str">
        <f>IF($AC5=MAX(AC2:AC10),"TOP","")</f>
        <v/>
      </c>
      <c r="AG5" s="43" t="s">
        <v>14</v>
      </c>
      <c r="AH5" s="274" t="s">
        <v>36</v>
      </c>
      <c r="AI5" s="390">
        <f>MAX(T2:T10)</f>
        <v>99.954098027019199</v>
      </c>
    </row>
    <row r="6" spans="1:45" ht="14.4" x14ac:dyDescent="0.3">
      <c r="A6" s="43" t="s">
        <v>16</v>
      </c>
      <c r="B6" s="64">
        <v>625.44569999999999</v>
      </c>
      <c r="C6" s="65">
        <v>627.4547</v>
      </c>
      <c r="D6" s="65">
        <v>623.77539999999999</v>
      </c>
      <c r="E6" s="65">
        <v>634.32259999999997</v>
      </c>
      <c r="F6" s="65">
        <v>627.05769999999995</v>
      </c>
      <c r="G6" s="65">
        <v>628.54650000000004</v>
      </c>
      <c r="H6" s="65">
        <v>629.10990000000004</v>
      </c>
      <c r="I6" s="65">
        <v>629.20050000000003</v>
      </c>
      <c r="J6" s="66">
        <v>629.02030000000002</v>
      </c>
      <c r="K6" s="30"/>
      <c r="O6" s="327" t="str">
        <f>F1</f>
        <v>GARCH</v>
      </c>
      <c r="P6" s="328">
        <f>100-ABS((($G10-F2)/($G10)))*100</f>
        <v>98.637975880822893</v>
      </c>
      <c r="Q6" s="329">
        <f t="shared" si="0"/>
        <v>0.12555358977801026</v>
      </c>
      <c r="R6" s="330">
        <f>100-ABS((($G11-F3)/($G11)))*100</f>
        <v>99.937862000963136</v>
      </c>
      <c r="S6" s="331">
        <f t="shared" si="1"/>
        <v>0.11174551550258816</v>
      </c>
      <c r="T6" s="331">
        <f>100-ABS((($G12-F4)/($G12)))*100</f>
        <v>99.636119336243738</v>
      </c>
      <c r="U6" s="331">
        <f t="shared" si="2"/>
        <v>0.1110334426935595</v>
      </c>
      <c r="V6" s="331">
        <f>100-ABS((($G13-F5)/($G13)))*100</f>
        <v>96.175244299674276</v>
      </c>
      <c r="W6" s="331">
        <f t="shared" si="3"/>
        <v>0.11105711472218233</v>
      </c>
      <c r="X6" s="332">
        <f>100-ABS((($G14-F6)/($G14)))*100</f>
        <v>99.066783633261437</v>
      </c>
      <c r="Y6" s="333">
        <f t="shared" si="4"/>
        <v>0.11132040105943</v>
      </c>
      <c r="Z6" s="334">
        <f>100-ABS((($G15-F7)/($G15)))*100</f>
        <v>97.639337846828155</v>
      </c>
      <c r="AA6" s="39">
        <f t="shared" si="5"/>
        <v>0.11026287692318794</v>
      </c>
      <c r="AB6" s="23"/>
      <c r="AC6" s="56">
        <f t="shared" si="6"/>
        <v>98.70400231753564</v>
      </c>
      <c r="AD6" s="57">
        <f t="shared" si="7"/>
        <v>98.515553832965608</v>
      </c>
      <c r="AE6" s="42" t="str">
        <f>IF($AC6=MAX(AC2:AC10),"TOP","")</f>
        <v/>
      </c>
      <c r="AG6" s="43" t="s">
        <v>15</v>
      </c>
      <c r="AH6" s="274" t="s">
        <v>37</v>
      </c>
      <c r="AI6" s="390">
        <f>MAX(V2:V10)</f>
        <v>98.892508143322473</v>
      </c>
    </row>
    <row r="7" spans="1:45" ht="14.4" x14ac:dyDescent="0.3">
      <c r="A7" s="67" t="s">
        <v>17</v>
      </c>
      <c r="B7" s="68">
        <v>259.23110000000003</v>
      </c>
      <c r="C7" s="69">
        <v>263.61200000000002</v>
      </c>
      <c r="D7" s="69">
        <v>257.3313</v>
      </c>
      <c r="E7" s="69">
        <v>266.02760000000001</v>
      </c>
      <c r="F7" s="69">
        <v>261.56220000000002</v>
      </c>
      <c r="G7" s="69">
        <v>261.94220000000001</v>
      </c>
      <c r="H7" s="69">
        <v>261.88049999999998</v>
      </c>
      <c r="I7" s="69">
        <v>261.88049999999998</v>
      </c>
      <c r="J7" s="70">
        <v>261.99020000000002</v>
      </c>
      <c r="K7" s="30"/>
      <c r="O7" s="327" t="str">
        <f>G1</f>
        <v>VAR</v>
      </c>
      <c r="P7" s="328">
        <f>100-ABS((($G10-G2)/($G10)))*100</f>
        <v>0</v>
      </c>
      <c r="Q7" s="329">
        <f t="shared" si="0"/>
        <v>0</v>
      </c>
      <c r="R7" s="330">
        <f>100-ABS((($G11-G3)/($G11)))*100</f>
        <v>99.596367900455704</v>
      </c>
      <c r="S7" s="331">
        <f t="shared" si="1"/>
        <v>0.11136367389082816</v>
      </c>
      <c r="T7" s="331">
        <f>100-ABS((($G12-G4)/($G12)))*100</f>
        <v>99.663741927346834</v>
      </c>
      <c r="U7" s="331">
        <f t="shared" si="2"/>
        <v>0.1110642250183502</v>
      </c>
      <c r="V7" s="331">
        <f>100-ABS((($G13-G5)/($G13)))*100</f>
        <v>94.850162866449509</v>
      </c>
      <c r="W7" s="331">
        <f t="shared" si="3"/>
        <v>0.10952699414055596</v>
      </c>
      <c r="X7" s="332">
        <f>100-ABS((($G14-G6)/($G14)))*100</f>
        <v>98.827141615426711</v>
      </c>
      <c r="Y7" s="333">
        <f t="shared" si="4"/>
        <v>0.11105111760681677</v>
      </c>
      <c r="Z7" s="334">
        <f>100-ABS((($G15-G7)/($G15)))*100</f>
        <v>97.490627323601927</v>
      </c>
      <c r="AA7" s="39">
        <f t="shared" si="5"/>
        <v>0.11009493999857053</v>
      </c>
      <c r="AB7" s="23"/>
      <c r="AC7" s="56">
        <f t="shared" si="6"/>
        <v>98.234353577419682</v>
      </c>
      <c r="AD7" s="57">
        <f t="shared" si="7"/>
        <v>81.738006938880105</v>
      </c>
      <c r="AE7" s="42" t="str">
        <f>IF($AC7=MAX(AC2:AC10),"TOP","")</f>
        <v/>
      </c>
      <c r="AG7" s="174" t="s">
        <v>16</v>
      </c>
      <c r="AH7" s="276" t="s">
        <v>36</v>
      </c>
      <c r="AI7" s="391">
        <f>MAX(X2:X10)</f>
        <v>99.595113157132275</v>
      </c>
    </row>
    <row r="8" spans="1:45" ht="14.4" x14ac:dyDescent="0.3">
      <c r="O8" s="327" t="str">
        <f>H1</f>
        <v>RW</v>
      </c>
      <c r="P8" s="328">
        <f>100-ABS((($G10-H2)/($G10)))*100</f>
        <v>98.512650744856941</v>
      </c>
      <c r="Q8" s="329">
        <f t="shared" si="0"/>
        <v>0.12539406682988172</v>
      </c>
      <c r="R8" s="330">
        <f>100-ABS((($G11-H3)/($G11)))*100</f>
        <v>99.988252474253599</v>
      </c>
      <c r="S8" s="331">
        <f t="shared" si="1"/>
        <v>0.11180185960783035</v>
      </c>
      <c r="T8" s="331">
        <f>100-ABS((($G12-H4)/($G12)))*100</f>
        <v>99.932602482923102</v>
      </c>
      <c r="U8" s="331">
        <f t="shared" si="2"/>
        <v>0.11136384039166067</v>
      </c>
      <c r="V8" s="331">
        <f>100-ABS((($G13-H5)/($G13)))*100</f>
        <v>96.915960912052114</v>
      </c>
      <c r="W8" s="331">
        <f t="shared" si="3"/>
        <v>0.11191244761368142</v>
      </c>
      <c r="X8" s="332">
        <f>100-ABS((($G14-H6)/($G14)))*100</f>
        <v>98.736454946399249</v>
      </c>
      <c r="Y8" s="333">
        <f t="shared" si="4"/>
        <v>0.11094921386071098</v>
      </c>
      <c r="Z8" s="334">
        <f>100-ABS((($E15-H7)/($E15)))*100</f>
        <v>99.950143266475649</v>
      </c>
      <c r="AA8" s="39">
        <f t="shared" si="5"/>
        <v>0.11287244043722712</v>
      </c>
      <c r="AB8" s="23"/>
      <c r="AC8" s="56">
        <f t="shared" si="6"/>
        <v>98.893317703907016</v>
      </c>
      <c r="AD8" s="57">
        <f t="shared" si="7"/>
        <v>99.006010804493442</v>
      </c>
      <c r="AE8" s="42" t="str">
        <f>IF($AC8=MAX(AC2:AC10),"TOP","")</f>
        <v/>
      </c>
      <c r="AG8" s="136" t="s">
        <v>17</v>
      </c>
      <c r="AH8" s="278" t="s">
        <v>38</v>
      </c>
      <c r="AI8" s="392">
        <f>MAX(Z2:Z10)</f>
        <v>99.950143266475649</v>
      </c>
    </row>
    <row r="9" spans="1:45" ht="15" x14ac:dyDescent="0.3">
      <c r="B9" s="258" t="s">
        <v>22</v>
      </c>
      <c r="C9" s="393" t="s">
        <v>21</v>
      </c>
      <c r="D9" s="394" t="s">
        <v>24</v>
      </c>
      <c r="E9" s="395" t="s">
        <v>80</v>
      </c>
      <c r="F9" s="396" t="s">
        <v>81</v>
      </c>
      <c r="G9" s="73" t="s">
        <v>82</v>
      </c>
      <c r="I9" s="304" t="s">
        <v>83</v>
      </c>
      <c r="K9" s="523"/>
      <c r="L9" s="524" t="str">
        <f>IF(M9&lt;25,L11,IF(M9&lt;45,L12,IF(M9&lt;55,L13,IF(M9&lt;75,L14,L15))))</f>
        <v>Neutral</v>
      </c>
      <c r="M9" s="525">
        <v>54</v>
      </c>
      <c r="O9" s="327" t="str">
        <f>I1</f>
        <v>ETS</v>
      </c>
      <c r="P9" s="328">
        <f>100-ABS((($G10-I2)/($G10)))*100</f>
        <v>98.519744620477667</v>
      </c>
      <c r="Q9" s="329">
        <f t="shared" si="0"/>
        <v>0.1254030964307192</v>
      </c>
      <c r="R9" s="330">
        <f>100-ABS((($G11-I3)/($G11)))*100</f>
        <v>99.874909363640057</v>
      </c>
      <c r="S9" s="331">
        <f t="shared" si="1"/>
        <v>0.11167512501424803</v>
      </c>
      <c r="T9" s="331">
        <f>100-ABS((($G12-I4)/($G12)))*100</f>
        <v>99.915276197246484</v>
      </c>
      <c r="U9" s="331">
        <f t="shared" si="2"/>
        <v>0.11134453216126608</v>
      </c>
      <c r="V9" s="331">
        <f>100-ABS((($G13-I5)/($G13)))*100</f>
        <v>98.061237785016274</v>
      </c>
      <c r="W9" s="331">
        <f t="shared" si="3"/>
        <v>0.11323494121373016</v>
      </c>
      <c r="X9" s="332">
        <f>100-ABS((($G14-I6)/($G14)))*100</f>
        <v>98.721871680133916</v>
      </c>
      <c r="Y9" s="333">
        <f t="shared" si="4"/>
        <v>0.11093282678332868</v>
      </c>
      <c r="Z9" s="334">
        <f>100-ABS((($E15-I7)/($E15)))*100</f>
        <v>99.950143266475649</v>
      </c>
      <c r="AA9" s="39">
        <f t="shared" si="5"/>
        <v>0.11287244043722712</v>
      </c>
      <c r="AB9" s="23"/>
      <c r="AC9" s="56">
        <f t="shared" si="6"/>
        <v>99.143323756509176</v>
      </c>
      <c r="AD9" s="57">
        <f t="shared" si="7"/>
        <v>99.173863818831663</v>
      </c>
      <c r="AE9" s="42" t="str">
        <f>IF($AC9=MAX(AC2:AC10),"TOP","")</f>
        <v/>
      </c>
      <c r="AG9" s="2"/>
      <c r="AH9" s="2"/>
      <c r="AI9" s="2"/>
    </row>
    <row r="10" spans="1:45" ht="14.4" x14ac:dyDescent="0.3">
      <c r="A10" s="76" t="s">
        <v>12</v>
      </c>
      <c r="B10" s="260">
        <v>4.1710000000000003</v>
      </c>
      <c r="C10" s="283">
        <f>(B2*Q24)+(C2*Q25)+(D2*Q26)+(E2*Q27)+(F2*Q28)+(G2*Q29)+(H2*Q30)+(I2*Q31)+(J2*Q32)</f>
        <v>4.1522608130081302</v>
      </c>
      <c r="D10" s="397">
        <v>4.1680234896175898</v>
      </c>
      <c r="E10" s="398">
        <f t="shared" ref="E10:E15" si="8">F18</f>
        <v>4.168000000000001</v>
      </c>
      <c r="F10" s="399">
        <f t="shared" ref="F10:F15" si="9">F18*L18</f>
        <v>0</v>
      </c>
      <c r="G10" s="82">
        <v>4.2290000000000001</v>
      </c>
      <c r="I10" s="306">
        <f t="shared" ref="I10:I15" si="10">(AI22+AK22)/2</f>
        <v>4.17</v>
      </c>
      <c r="O10" s="339" t="str">
        <f>J1</f>
        <v>DynaMix</v>
      </c>
      <c r="P10" s="340">
        <f>100-ABS((($G10-J2)/($G10)))*100</f>
        <v>98.521163395601789</v>
      </c>
      <c r="Q10" s="341">
        <f t="shared" si="0"/>
        <v>0.12540490235088667</v>
      </c>
      <c r="R10" s="342">
        <f>100-ABS((($G11-J3)/($G11)))*100</f>
        <v>99.932561685906194</v>
      </c>
      <c r="S10" s="343">
        <f t="shared" si="1"/>
        <v>0.11173958895556678</v>
      </c>
      <c r="T10" s="343">
        <f>100-ABS((($G12-J4)/($G12)))*100</f>
        <v>99.483684139619285</v>
      </c>
      <c r="U10" s="343">
        <f t="shared" si="2"/>
        <v>0.11086357051485927</v>
      </c>
      <c r="V10" s="343">
        <f>100-ABS((($G13-J5)/($G13)))*100</f>
        <v>98.751791530944629</v>
      </c>
      <c r="W10" s="343">
        <f t="shared" si="3"/>
        <v>0.11403234918645581</v>
      </c>
      <c r="X10" s="344">
        <f>100-ABS((($G14-J6)/($G14)))*100</f>
        <v>98.750877249460771</v>
      </c>
      <c r="Y10" s="345">
        <f t="shared" si="4"/>
        <v>0.11096542006527448</v>
      </c>
      <c r="Z10" s="346">
        <f>100-ABS((($E15-J7)/($E15)))*100</f>
        <v>99.908233046800376</v>
      </c>
      <c r="AA10" s="92">
        <f t="shared" si="5"/>
        <v>0.11282511175295104</v>
      </c>
      <c r="AC10" s="93">
        <f t="shared" si="6"/>
        <v>99.229728651482716</v>
      </c>
      <c r="AD10" s="94">
        <f t="shared" si="7"/>
        <v>99.224718508055503</v>
      </c>
      <c r="AE10" s="42" t="str">
        <f>IF($AC10=MAX(AC2:AC10),"TOP","")</f>
        <v>TOP</v>
      </c>
      <c r="AG10" s="1381" t="s">
        <v>39</v>
      </c>
      <c r="AH10" s="1381"/>
      <c r="AI10" s="400">
        <f>AVERAGE(AI4:AI7)</f>
        <v>99.609035769185709</v>
      </c>
    </row>
    <row r="11" spans="1:45" ht="15" customHeight="1" x14ac:dyDescent="0.3">
      <c r="A11" s="95" t="s">
        <v>13</v>
      </c>
      <c r="B11" s="261">
        <v>49191.99</v>
      </c>
      <c r="C11" s="286">
        <f>(B3*S24)+(C3*S25)+(D3*S26)+(E3*S27)+(F3*S28)+(G3*S29)+(H3*S30)+(I3*S31)+(J3*S32)</f>
        <v>49126.941480251349</v>
      </c>
      <c r="D11" s="401">
        <v>49388.472893936298</v>
      </c>
      <c r="E11" s="402">
        <f t="shared" si="8"/>
        <v>49388.990000000005</v>
      </c>
      <c r="F11" s="403">
        <f t="shared" si="9"/>
        <v>0</v>
      </c>
      <c r="G11" s="101">
        <v>49359.33</v>
      </c>
      <c r="I11" s="308">
        <f t="shared" si="10"/>
        <v>49384.5</v>
      </c>
      <c r="J11" s="226" t="s">
        <v>43</v>
      </c>
      <c r="K11" s="227">
        <v>0</v>
      </c>
      <c r="L11" s="228" t="s">
        <v>44</v>
      </c>
      <c r="Q11" s="5"/>
      <c r="AG11" s="1383" t="s">
        <v>41</v>
      </c>
      <c r="AH11" s="1383"/>
      <c r="AI11" s="404">
        <f>AVERAGE(AI3:AI8)</f>
        <v>99.526113539271321</v>
      </c>
      <c r="AQ11" s="103"/>
      <c r="AS11" s="104" t="s">
        <v>27</v>
      </c>
    </row>
    <row r="12" spans="1:45" ht="15" x14ac:dyDescent="0.3">
      <c r="A12" s="105" t="s">
        <v>14</v>
      </c>
      <c r="B12" s="262">
        <v>6955.82</v>
      </c>
      <c r="C12" s="289">
        <f>(B4*U24)+(C4*U25)+(D4*U26)+(E4*U27)+(F4*U28)+(G4*U29)+(H4*U30)+(I4*U31)+(J4*U32)</f>
        <v>6959.7879721311483</v>
      </c>
      <c r="D12" s="405">
        <v>6979.4132333140997</v>
      </c>
      <c r="E12" s="406">
        <f t="shared" si="8"/>
        <v>6979.41</v>
      </c>
      <c r="F12" s="407">
        <f t="shared" si="9"/>
        <v>0</v>
      </c>
      <c r="G12" s="111">
        <v>6977.26</v>
      </c>
      <c r="I12" s="308">
        <f t="shared" si="10"/>
        <v>6986</v>
      </c>
      <c r="K12" s="227">
        <v>25</v>
      </c>
      <c r="L12" s="228" t="s">
        <v>45</v>
      </c>
      <c r="O12" s="13" t="s">
        <v>28</v>
      </c>
      <c r="P12" s="350" t="s">
        <v>12</v>
      </c>
      <c r="Q12" s="114">
        <f>SUM(P13:P21)</f>
        <v>520</v>
      </c>
      <c r="R12" s="115" t="s">
        <v>13</v>
      </c>
      <c r="S12" s="116">
        <f>SUM(R13:R21)</f>
        <v>785</v>
      </c>
      <c r="T12" s="117" t="s">
        <v>14</v>
      </c>
      <c r="U12" s="116">
        <f>SUM(T13:T21)</f>
        <v>805</v>
      </c>
      <c r="V12" s="117" t="s">
        <v>15</v>
      </c>
      <c r="W12" s="116">
        <f>SUM(V13:V21)</f>
        <v>445</v>
      </c>
      <c r="X12" s="117" t="s">
        <v>16</v>
      </c>
      <c r="Y12" s="20">
        <f>SUM(X13:X21)</f>
        <v>660</v>
      </c>
      <c r="Z12" s="351" t="s">
        <v>17</v>
      </c>
      <c r="AA12" s="22">
        <f>SUM(Z13:Z21)</f>
        <v>645</v>
      </c>
      <c r="AB12" s="23"/>
      <c r="AC12" s="24" t="s">
        <v>29</v>
      </c>
      <c r="AD12" s="119" t="s">
        <v>30</v>
      </c>
      <c r="AQ12" s="103"/>
      <c r="AS12" s="103"/>
    </row>
    <row r="13" spans="1:45" ht="15" x14ac:dyDescent="0.3">
      <c r="A13" s="105" t="s">
        <v>15</v>
      </c>
      <c r="B13" s="262">
        <v>16.04</v>
      </c>
      <c r="C13" s="289">
        <f>(B5*W24)+(C5*W25)+(D5*W26)+(E5*W27)+(F5*W28)+(G5*W29)+(H5*W30)+(I5*W31)+(J5*W32)</f>
        <v>15.749306986899564</v>
      </c>
      <c r="D13" s="405">
        <v>16.449972948602301</v>
      </c>
      <c r="E13" s="406">
        <f t="shared" si="8"/>
        <v>16.449999999999996</v>
      </c>
      <c r="F13" s="407">
        <f t="shared" si="9"/>
        <v>0</v>
      </c>
      <c r="G13" s="111">
        <v>15.35</v>
      </c>
      <c r="I13" s="306">
        <f t="shared" si="10"/>
        <v>15.76</v>
      </c>
      <c r="K13" s="227">
        <v>45</v>
      </c>
      <c r="L13" s="228" t="s">
        <v>46</v>
      </c>
      <c r="O13" s="127" t="str">
        <f t="shared" ref="O13:O21" si="11">O2</f>
        <v>PyCaret</v>
      </c>
      <c r="P13" s="352">
        <f t="shared" ref="P13:P21" si="12">IF(P2=0,0, LOOKUP(P2-0.000000000001,$AC$13:$AC$29,$AD$13:$AD$29))</f>
        <v>40</v>
      </c>
      <c r="Q13" s="129">
        <f t="shared" ref="Q13:Q21" si="13">P13/$Q$12</f>
        <v>7.6923076923076927E-2</v>
      </c>
      <c r="R13" s="353">
        <f t="shared" ref="R13:R21" si="14">IF(R2=0,0, LOOKUP(R2-0.000000000001,$AC$13:$AC$29,$AD$13:$AD$29))</f>
        <v>40</v>
      </c>
      <c r="S13" s="131">
        <f t="shared" ref="S13:S21" si="15">R13/$S$12</f>
        <v>5.0955414012738856E-2</v>
      </c>
      <c r="T13" s="354">
        <f t="shared" ref="T13:T21" si="16">IF(T2=0,0, LOOKUP(T2-0.000000000001,$AC$13:$AC$29,$AD$13:$AD$29))</f>
        <v>90</v>
      </c>
      <c r="U13" s="131">
        <f t="shared" ref="U13:U21" si="17">T13/$U$12</f>
        <v>0.11180124223602485</v>
      </c>
      <c r="V13" s="354">
        <f t="shared" ref="V13:V21" si="18">IF(V2=0,0, LOOKUP(V2-0.000000000001,$AC$13:$AC$29,$AD$13:$AD$29))</f>
        <v>50</v>
      </c>
      <c r="W13" s="131">
        <f t="shared" ref="W13:W21" si="19">V13/$W$12</f>
        <v>0.11235955056179775</v>
      </c>
      <c r="X13" s="354">
        <f t="shared" ref="X13:X21" si="20">IF(X2=0,0, LOOKUP(X2-0.000000000001,$AC$13:$AC$29,$AD$13:$AD$29))</f>
        <v>80</v>
      </c>
      <c r="Y13" s="132">
        <f t="shared" ref="Y13:Y21" si="21">X13/$Y$12</f>
        <v>0.12121212121212122</v>
      </c>
      <c r="Z13" s="355">
        <f t="shared" ref="Z13:Z21" si="22">IF(Z2=0,0, LOOKUP(Z2-0.000000000001,$AC$13:$AC$29,$AD$13:$AD$29))</f>
        <v>70</v>
      </c>
      <c r="AA13" s="134">
        <f t="shared" ref="AA13:AA21" si="23">Z13/$AA$12</f>
        <v>0.10852713178294573</v>
      </c>
      <c r="AB13" s="23"/>
      <c r="AC13" s="40">
        <v>1</v>
      </c>
      <c r="AD13" s="135">
        <v>0.1</v>
      </c>
      <c r="AG13" s="8" t="s">
        <v>84</v>
      </c>
      <c r="AQ13" s="103"/>
      <c r="AS13" s="103"/>
    </row>
    <row r="14" spans="1:45" ht="15" x14ac:dyDescent="0.3">
      <c r="A14" s="120" t="s">
        <v>16</v>
      </c>
      <c r="B14" s="293">
        <v>626.24</v>
      </c>
      <c r="C14" s="295">
        <f>(B6*Y24)+(C6*Y25)+(D6*Y26)+(E6*Y27)+(F6*Y28)+(G6*Y29)+(H6*Y30)+(I6*Y31)+(J6*Y32)</f>
        <v>628.30968199233723</v>
      </c>
      <c r="D14" s="408">
        <v>626.78859970364101</v>
      </c>
      <c r="E14" s="409">
        <f t="shared" si="8"/>
        <v>626.79</v>
      </c>
      <c r="F14" s="410">
        <f t="shared" si="9"/>
        <v>0</v>
      </c>
      <c r="G14" s="126">
        <v>621.26</v>
      </c>
      <c r="I14" s="309">
        <f t="shared" si="10"/>
        <v>627.29999999999995</v>
      </c>
      <c r="K14" s="227">
        <v>55</v>
      </c>
      <c r="L14" s="228" t="s">
        <v>47</v>
      </c>
      <c r="O14" s="143" t="str">
        <f t="shared" si="11"/>
        <v>ARIMAX</v>
      </c>
      <c r="P14" s="356">
        <f t="shared" si="12"/>
        <v>70</v>
      </c>
      <c r="Q14" s="145">
        <f t="shared" si="13"/>
        <v>0.13461538461538461</v>
      </c>
      <c r="R14" s="357">
        <f t="shared" si="14"/>
        <v>95</v>
      </c>
      <c r="S14" s="147">
        <f t="shared" si="15"/>
        <v>0.12101910828025478</v>
      </c>
      <c r="T14" s="358">
        <f t="shared" si="16"/>
        <v>95</v>
      </c>
      <c r="U14" s="147">
        <f t="shared" si="17"/>
        <v>0.11801242236024845</v>
      </c>
      <c r="V14" s="358">
        <f t="shared" si="18"/>
        <v>50</v>
      </c>
      <c r="W14" s="147">
        <f t="shared" si="19"/>
        <v>0.11235955056179775</v>
      </c>
      <c r="X14" s="358">
        <f t="shared" si="20"/>
        <v>75</v>
      </c>
      <c r="Y14" s="148">
        <f t="shared" si="21"/>
        <v>0.11363636363636363</v>
      </c>
      <c r="Z14" s="359">
        <f t="shared" si="22"/>
        <v>50</v>
      </c>
      <c r="AA14" s="134">
        <f t="shared" si="23"/>
        <v>7.7519379844961239E-2</v>
      </c>
      <c r="AB14" s="23"/>
      <c r="AC14" s="56">
        <v>80</v>
      </c>
      <c r="AD14" s="150">
        <v>1</v>
      </c>
      <c r="AG14" s="411" t="s">
        <v>85</v>
      </c>
      <c r="AH14" s="412" t="s">
        <v>86</v>
      </c>
      <c r="AQ14" s="103"/>
      <c r="AS14" s="103"/>
    </row>
    <row r="15" spans="1:45" ht="15" x14ac:dyDescent="0.3">
      <c r="A15" s="136" t="s">
        <v>17</v>
      </c>
      <c r="B15" s="298">
        <v>261.05</v>
      </c>
      <c r="C15" s="300">
        <f>(B7*AA24)+(C7*AA25)+(D7*AA26)+(E7*AA27)+(F7*AA28)+(G7*AA29)+(H7*AA30)+(I7*AA31)+(J7*AA32)</f>
        <v>261.67103278248396</v>
      </c>
      <c r="D15" s="413">
        <v>261.74692028985498</v>
      </c>
      <c r="E15" s="414">
        <f t="shared" si="8"/>
        <v>261.75</v>
      </c>
      <c r="F15" s="415">
        <f t="shared" si="9"/>
        <v>0</v>
      </c>
      <c r="G15" s="142">
        <v>255.53</v>
      </c>
      <c r="I15" s="309">
        <f t="shared" si="10"/>
        <v>262.10000000000002</v>
      </c>
      <c r="K15" s="227">
        <v>75</v>
      </c>
      <c r="L15" s="228" t="s">
        <v>48</v>
      </c>
      <c r="O15" s="143" t="str">
        <f t="shared" si="11"/>
        <v>PCE</v>
      </c>
      <c r="P15" s="356">
        <f t="shared" si="12"/>
        <v>65</v>
      </c>
      <c r="Q15" s="145">
        <f t="shared" si="13"/>
        <v>0.125</v>
      </c>
      <c r="R15" s="357">
        <f t="shared" si="14"/>
        <v>100</v>
      </c>
      <c r="S15" s="147">
        <f t="shared" si="15"/>
        <v>0.12738853503184713</v>
      </c>
      <c r="T15" s="358">
        <f t="shared" si="16"/>
        <v>80</v>
      </c>
      <c r="U15" s="147">
        <f t="shared" si="17"/>
        <v>9.9378881987577633E-2</v>
      </c>
      <c r="V15" s="358">
        <f t="shared" si="18"/>
        <v>10</v>
      </c>
      <c r="W15" s="147">
        <f t="shared" si="19"/>
        <v>2.247191011235955E-2</v>
      </c>
      <c r="X15" s="358">
        <f t="shared" si="20"/>
        <v>90</v>
      </c>
      <c r="Y15" s="148">
        <f t="shared" si="21"/>
        <v>0.13636363636363635</v>
      </c>
      <c r="Z15" s="359">
        <f t="shared" si="22"/>
        <v>80</v>
      </c>
      <c r="AA15" s="134">
        <f t="shared" si="23"/>
        <v>0.12403100775193798</v>
      </c>
      <c r="AB15" s="23"/>
      <c r="AC15" s="56">
        <v>82.5</v>
      </c>
      <c r="AD15" s="150">
        <v>2</v>
      </c>
      <c r="AG15" s="416" t="str">
        <f>P1</f>
        <v>TNX</v>
      </c>
      <c r="AH15" s="417" t="str">
        <f>R1</f>
        <v>DJI</v>
      </c>
      <c r="AI15" s="417" t="str">
        <f>T1</f>
        <v>SPX</v>
      </c>
      <c r="AJ15" s="417" t="str">
        <f>V1</f>
        <v>VIX</v>
      </c>
      <c r="AK15" s="417" t="str">
        <f>X1</f>
        <v>QQQ</v>
      </c>
      <c r="AL15" s="418" t="str">
        <f>Z1</f>
        <v>AAPL</v>
      </c>
      <c r="AQ15" s="103"/>
      <c r="AS15" s="103"/>
    </row>
    <row r="16" spans="1:45" ht="15" x14ac:dyDescent="0.25">
      <c r="G16" s="151"/>
      <c r="K16" s="8"/>
      <c r="O16" s="143" t="str">
        <f t="shared" si="11"/>
        <v>LSTM</v>
      </c>
      <c r="P16" s="356">
        <f t="shared" si="12"/>
        <v>65</v>
      </c>
      <c r="Q16" s="145">
        <f t="shared" si="13"/>
        <v>0.125</v>
      </c>
      <c r="R16" s="357">
        <f t="shared" si="14"/>
        <v>80</v>
      </c>
      <c r="S16" s="147">
        <f t="shared" si="15"/>
        <v>0.10191082802547771</v>
      </c>
      <c r="T16" s="358">
        <f t="shared" si="16"/>
        <v>90</v>
      </c>
      <c r="U16" s="147">
        <f t="shared" si="17"/>
        <v>0.11180124223602485</v>
      </c>
      <c r="V16" s="358">
        <f t="shared" si="18"/>
        <v>70</v>
      </c>
      <c r="W16" s="147">
        <f t="shared" si="19"/>
        <v>0.15730337078651685</v>
      </c>
      <c r="X16" s="358">
        <f t="shared" si="20"/>
        <v>60</v>
      </c>
      <c r="Y16" s="148">
        <f t="shared" si="21"/>
        <v>9.0909090909090912E-2</v>
      </c>
      <c r="Z16" s="359">
        <f t="shared" si="22"/>
        <v>40</v>
      </c>
      <c r="AA16" s="134">
        <f t="shared" si="23"/>
        <v>6.2015503875968991E-2</v>
      </c>
      <c r="AB16" s="23"/>
      <c r="AC16" s="56">
        <v>85</v>
      </c>
      <c r="AD16" s="150">
        <v>5</v>
      </c>
      <c r="AG16" s="419">
        <f>C18</f>
        <v>1.5762676609459625E-2</v>
      </c>
      <c r="AH16" s="419">
        <f>C19</f>
        <v>261.53141368494835</v>
      </c>
      <c r="AI16" s="419">
        <f>C20</f>
        <v>19.625261182951363</v>
      </c>
      <c r="AJ16" s="419">
        <f>C21</f>
        <v>0.70066596170273776</v>
      </c>
      <c r="AK16" s="419">
        <f>C22</f>
        <v>-1.5210822886962205</v>
      </c>
      <c r="AL16" s="419">
        <f>C23</f>
        <v>7.5887507371021456E-2</v>
      </c>
      <c r="AQ16" s="103"/>
      <c r="AS16" s="103"/>
    </row>
    <row r="17" spans="1:47" ht="15" x14ac:dyDescent="0.25">
      <c r="A17" s="420" t="s">
        <v>21</v>
      </c>
      <c r="B17" s="421" t="str">
        <f t="shared" ref="B17:B23" si="24">B9</f>
        <v>Close YF</v>
      </c>
      <c r="C17" s="422" t="s">
        <v>87</v>
      </c>
      <c r="D17" s="1391" t="s">
        <v>88</v>
      </c>
      <c r="E17" s="1391"/>
      <c r="F17" s="423" t="str">
        <f>E9</f>
        <v>ML-&gt;LLM</v>
      </c>
      <c r="G17" s="8"/>
      <c r="H17" s="303" t="s">
        <v>89</v>
      </c>
      <c r="I17" s="424" t="str">
        <f>E9</f>
        <v>ML-&gt;LLM</v>
      </c>
      <c r="J17" s="153"/>
      <c r="K17" s="152" t="s">
        <v>90</v>
      </c>
      <c r="L17" s="153" t="str">
        <f>F9</f>
        <v>LLM-&gt; +3</v>
      </c>
      <c r="M17" s="154"/>
      <c r="O17" s="143" t="str">
        <f t="shared" si="11"/>
        <v>GARCH</v>
      </c>
      <c r="P17" s="356">
        <f t="shared" si="12"/>
        <v>70</v>
      </c>
      <c r="Q17" s="145">
        <f t="shared" si="13"/>
        <v>0.13461538461538461</v>
      </c>
      <c r="R17" s="357">
        <f t="shared" si="14"/>
        <v>95</v>
      </c>
      <c r="S17" s="147">
        <f t="shared" si="15"/>
        <v>0.12101910828025478</v>
      </c>
      <c r="T17" s="358">
        <f t="shared" si="16"/>
        <v>90</v>
      </c>
      <c r="U17" s="147">
        <f t="shared" si="17"/>
        <v>0.11180124223602485</v>
      </c>
      <c r="V17" s="358">
        <f t="shared" si="18"/>
        <v>50</v>
      </c>
      <c r="W17" s="147">
        <f t="shared" si="19"/>
        <v>0.11235955056179775</v>
      </c>
      <c r="X17" s="358">
        <f t="shared" si="20"/>
        <v>75</v>
      </c>
      <c r="Y17" s="148">
        <f t="shared" si="21"/>
        <v>0.11363636363636363</v>
      </c>
      <c r="Z17" s="359">
        <f t="shared" si="22"/>
        <v>60</v>
      </c>
      <c r="AA17" s="134">
        <f t="shared" si="23"/>
        <v>9.3023255813953487E-2</v>
      </c>
      <c r="AB17" s="23"/>
      <c r="AC17" s="56">
        <v>87.5</v>
      </c>
      <c r="AD17" s="150">
        <v>10</v>
      </c>
      <c r="AG17" s="425">
        <f>D18</f>
        <v>-0.19032300632235549</v>
      </c>
      <c r="AH17" s="425">
        <f>D19</f>
        <v>0.75325559260472097</v>
      </c>
      <c r="AI17" s="425">
        <f>D20</f>
        <v>1.2020222192249137</v>
      </c>
      <c r="AJ17" s="425">
        <f>D21</f>
        <v>0.5851575820860887</v>
      </c>
      <c r="AK17" s="425">
        <f>D22</f>
        <v>-0.36158464541153701</v>
      </c>
      <c r="AL17" s="425">
        <f>D23</f>
        <v>9.2241796344370091</v>
      </c>
      <c r="AQ17" s="103"/>
    </row>
    <row r="18" spans="1:47" ht="15" x14ac:dyDescent="0.25">
      <c r="A18" s="426" t="s">
        <v>12</v>
      </c>
      <c r="B18" s="427">
        <f t="shared" si="24"/>
        <v>4.1710000000000003</v>
      </c>
      <c r="C18" s="428">
        <f t="shared" ref="C18:C23" si="25">D10-C10</f>
        <v>1.5762676609459625E-2</v>
      </c>
      <c r="D18" s="429">
        <f t="shared" ref="D18:D23" si="26">H18*I18</f>
        <v>-0.19032300632235549</v>
      </c>
      <c r="E18" s="430">
        <f t="shared" ref="E18:E23" si="27">C18*D18</f>
        <v>-2.9999999999994293E-3</v>
      </c>
      <c r="F18" s="431">
        <f t="shared" ref="F18:F23" si="28">B18+C18*D18</f>
        <v>4.168000000000001</v>
      </c>
      <c r="G18" s="432" t="str">
        <f t="shared" ref="G18:G23" si="29">TEXT(J18,"0.00%") &amp; "" &amp; K18</f>
        <v>0.07%  ↓</v>
      </c>
      <c r="H18" s="305">
        <v>-0.14527115932977799</v>
      </c>
      <c r="I18" s="433">
        <v>1.3101224441274399</v>
      </c>
      <c r="J18" s="307">
        <f t="shared" ref="J18:J23" si="30">IF((E10-B10)&gt;0, (E10/B10-1), (1-E10/B10))</f>
        <v>7.1925197794275864E-4</v>
      </c>
      <c r="K18" s="160" t="str">
        <f t="shared" ref="K18:K23" si="31">IF(E10&lt;B10,"  ↓","  ↑")</f>
        <v xml:space="preserve">  ↓</v>
      </c>
      <c r="L18" s="161">
        <v>0</v>
      </c>
      <c r="M18" s="162"/>
      <c r="O18" s="143" t="str">
        <f t="shared" si="11"/>
        <v>VAR</v>
      </c>
      <c r="P18" s="356">
        <f t="shared" si="12"/>
        <v>0</v>
      </c>
      <c r="Q18" s="145">
        <f t="shared" si="13"/>
        <v>0</v>
      </c>
      <c r="R18" s="357">
        <f t="shared" si="14"/>
        <v>90</v>
      </c>
      <c r="S18" s="147">
        <f t="shared" si="15"/>
        <v>0.11464968152866242</v>
      </c>
      <c r="T18" s="358">
        <f t="shared" si="16"/>
        <v>90</v>
      </c>
      <c r="U18" s="147">
        <f t="shared" si="17"/>
        <v>0.11180124223602485</v>
      </c>
      <c r="V18" s="358">
        <f t="shared" si="18"/>
        <v>30</v>
      </c>
      <c r="W18" s="147">
        <f t="shared" si="19"/>
        <v>6.741573033707865E-2</v>
      </c>
      <c r="X18" s="358">
        <f t="shared" si="20"/>
        <v>70</v>
      </c>
      <c r="Y18" s="148">
        <f t="shared" si="21"/>
        <v>0.10606060606060606</v>
      </c>
      <c r="Z18" s="359">
        <f t="shared" si="22"/>
        <v>60</v>
      </c>
      <c r="AA18" s="134">
        <f t="shared" si="23"/>
        <v>9.3023255813953487E-2</v>
      </c>
      <c r="AB18" s="23"/>
      <c r="AC18" s="56">
        <v>90</v>
      </c>
      <c r="AD18" s="150">
        <v>20</v>
      </c>
      <c r="AG18" s="434">
        <f>F18</f>
        <v>4.168000000000001</v>
      </c>
      <c r="AH18" s="435">
        <f>F19</f>
        <v>49388.990000000005</v>
      </c>
      <c r="AI18" s="435">
        <f>F20</f>
        <v>6979.41</v>
      </c>
      <c r="AJ18" s="435">
        <f>F21</f>
        <v>16.449999999999996</v>
      </c>
      <c r="AK18" s="435">
        <f>F22</f>
        <v>626.79</v>
      </c>
      <c r="AL18" s="436">
        <f>F23</f>
        <v>261.75</v>
      </c>
      <c r="AQ18" s="103"/>
    </row>
    <row r="19" spans="1:47" ht="15" x14ac:dyDescent="0.25">
      <c r="A19" s="437" t="s">
        <v>13</v>
      </c>
      <c r="B19" s="438">
        <f t="shared" si="24"/>
        <v>49191.99</v>
      </c>
      <c r="C19" s="439">
        <f t="shared" si="25"/>
        <v>261.53141368494835</v>
      </c>
      <c r="D19" s="440">
        <f t="shared" si="26"/>
        <v>0.75325559260472097</v>
      </c>
      <c r="E19" s="441">
        <f t="shared" si="27"/>
        <v>197.0000000000062</v>
      </c>
      <c r="F19" s="442">
        <f t="shared" si="28"/>
        <v>49388.990000000005</v>
      </c>
      <c r="G19" s="443" t="str">
        <f t="shared" si="29"/>
        <v>0.40%  ↑</v>
      </c>
      <c r="H19" s="305">
        <v>0.58256426342205803</v>
      </c>
      <c r="I19" s="433">
        <v>1.2929999999999999</v>
      </c>
      <c r="J19" s="307">
        <f t="shared" si="30"/>
        <v>4.0047170281178879E-3</v>
      </c>
      <c r="K19" s="160" t="str">
        <f t="shared" si="31"/>
        <v xml:space="preserve">  ↑</v>
      </c>
      <c r="L19" s="161">
        <v>0</v>
      </c>
      <c r="M19" s="162"/>
      <c r="O19" s="143" t="str">
        <f t="shared" si="11"/>
        <v>RW</v>
      </c>
      <c r="P19" s="356">
        <f t="shared" si="12"/>
        <v>70</v>
      </c>
      <c r="Q19" s="145">
        <f t="shared" si="13"/>
        <v>0.13461538461538461</v>
      </c>
      <c r="R19" s="357">
        <f t="shared" si="14"/>
        <v>95</v>
      </c>
      <c r="S19" s="147">
        <f t="shared" si="15"/>
        <v>0.12101910828025478</v>
      </c>
      <c r="T19" s="358">
        <f t="shared" si="16"/>
        <v>95</v>
      </c>
      <c r="U19" s="147">
        <f t="shared" si="17"/>
        <v>0.11801242236024845</v>
      </c>
      <c r="V19" s="358">
        <f t="shared" si="18"/>
        <v>50</v>
      </c>
      <c r="W19" s="147">
        <f t="shared" si="19"/>
        <v>0.11235955056179775</v>
      </c>
      <c r="X19" s="358">
        <f t="shared" si="20"/>
        <v>70</v>
      </c>
      <c r="Y19" s="148">
        <f t="shared" si="21"/>
        <v>0.10606060606060606</v>
      </c>
      <c r="Z19" s="359">
        <f t="shared" si="22"/>
        <v>95</v>
      </c>
      <c r="AA19" s="134">
        <f t="shared" si="23"/>
        <v>0.14728682170542637</v>
      </c>
      <c r="AB19" s="23"/>
      <c r="AC19" s="56">
        <v>92.5</v>
      </c>
      <c r="AD19" s="150">
        <v>30</v>
      </c>
      <c r="AQ19" s="103"/>
    </row>
    <row r="20" spans="1:47" ht="14.4" x14ac:dyDescent="0.25">
      <c r="A20" s="444" t="s">
        <v>14</v>
      </c>
      <c r="B20" s="445">
        <f t="shared" si="24"/>
        <v>6955.82</v>
      </c>
      <c r="C20" s="446">
        <f t="shared" si="25"/>
        <v>19.625261182951363</v>
      </c>
      <c r="D20" s="447">
        <f t="shared" si="26"/>
        <v>1.2020222192249137</v>
      </c>
      <c r="E20" s="448">
        <f t="shared" si="27"/>
        <v>23.589999999999751</v>
      </c>
      <c r="F20" s="449">
        <f t="shared" si="28"/>
        <v>6979.41</v>
      </c>
      <c r="G20" s="443" t="str">
        <f t="shared" si="29"/>
        <v>0.34%  ↑</v>
      </c>
      <c r="H20" s="305">
        <v>0.69081736737064003</v>
      </c>
      <c r="I20" s="433">
        <v>1.74</v>
      </c>
      <c r="J20" s="307">
        <f t="shared" si="30"/>
        <v>3.3914046079397409E-3</v>
      </c>
      <c r="K20" s="160" t="str">
        <f t="shared" si="31"/>
        <v xml:space="preserve">  ↑</v>
      </c>
      <c r="L20" s="161">
        <v>0</v>
      </c>
      <c r="M20" s="162"/>
      <c r="O20" s="143" t="str">
        <f t="shared" si="11"/>
        <v>ETS</v>
      </c>
      <c r="P20" s="356">
        <f t="shared" si="12"/>
        <v>70</v>
      </c>
      <c r="Q20" s="145">
        <f t="shared" si="13"/>
        <v>0.13461538461538461</v>
      </c>
      <c r="R20" s="357">
        <f t="shared" si="14"/>
        <v>95</v>
      </c>
      <c r="S20" s="147">
        <f t="shared" si="15"/>
        <v>0.12101910828025478</v>
      </c>
      <c r="T20" s="358">
        <f t="shared" si="16"/>
        <v>95</v>
      </c>
      <c r="U20" s="147">
        <f t="shared" si="17"/>
        <v>0.11801242236024845</v>
      </c>
      <c r="V20" s="358">
        <f t="shared" si="18"/>
        <v>65</v>
      </c>
      <c r="W20" s="147">
        <f t="shared" si="19"/>
        <v>0.14606741573033707</v>
      </c>
      <c r="X20" s="358">
        <f t="shared" si="20"/>
        <v>70</v>
      </c>
      <c r="Y20" s="148">
        <f t="shared" si="21"/>
        <v>0.10606060606060606</v>
      </c>
      <c r="Z20" s="359">
        <f t="shared" si="22"/>
        <v>95</v>
      </c>
      <c r="AA20" s="134">
        <f t="shared" si="23"/>
        <v>0.14728682170542637</v>
      </c>
      <c r="AC20" s="56">
        <v>95</v>
      </c>
      <c r="AD20" s="150">
        <v>40</v>
      </c>
    </row>
    <row r="21" spans="1:47" ht="15" x14ac:dyDescent="0.25">
      <c r="A21" s="444" t="s">
        <v>15</v>
      </c>
      <c r="B21" s="445">
        <f t="shared" si="24"/>
        <v>16.04</v>
      </c>
      <c r="C21" s="446">
        <f t="shared" si="25"/>
        <v>0.70066596170273776</v>
      </c>
      <c r="D21" s="447">
        <f t="shared" si="26"/>
        <v>0.5851575820860887</v>
      </c>
      <c r="E21" s="448">
        <f t="shared" si="27"/>
        <v>0.40999999999999803</v>
      </c>
      <c r="F21" s="449">
        <f t="shared" si="28"/>
        <v>16.449999999999996</v>
      </c>
      <c r="G21" s="443" t="str">
        <f t="shared" si="29"/>
        <v>2.56%  ↑</v>
      </c>
      <c r="H21" s="305">
        <v>7.43057247093446E-2</v>
      </c>
      <c r="I21" s="433">
        <v>7.875</v>
      </c>
      <c r="J21" s="307">
        <f t="shared" si="30"/>
        <v>2.5561097256857623E-2</v>
      </c>
      <c r="K21" s="160" t="str">
        <f t="shared" si="31"/>
        <v xml:space="preserve">  ↑</v>
      </c>
      <c r="L21" s="161">
        <v>0</v>
      </c>
      <c r="M21" s="162"/>
      <c r="O21" s="180" t="str">
        <f t="shared" si="11"/>
        <v>DynaMix</v>
      </c>
      <c r="P21" s="360">
        <f t="shared" si="12"/>
        <v>70</v>
      </c>
      <c r="Q21" s="182">
        <f t="shared" si="13"/>
        <v>0.13461538461538461</v>
      </c>
      <c r="R21" s="361">
        <f t="shared" si="14"/>
        <v>95</v>
      </c>
      <c r="S21" s="184">
        <f t="shared" si="15"/>
        <v>0.12101910828025478</v>
      </c>
      <c r="T21" s="362">
        <f t="shared" si="16"/>
        <v>80</v>
      </c>
      <c r="U21" s="184">
        <f t="shared" si="17"/>
        <v>9.9378881987577633E-2</v>
      </c>
      <c r="V21" s="362">
        <f t="shared" si="18"/>
        <v>70</v>
      </c>
      <c r="W21" s="184">
        <f t="shared" si="19"/>
        <v>0.15730337078651685</v>
      </c>
      <c r="X21" s="362">
        <f t="shared" si="20"/>
        <v>70</v>
      </c>
      <c r="Y21" s="185">
        <f t="shared" si="21"/>
        <v>0.10606060606060606</v>
      </c>
      <c r="Z21" s="363">
        <f t="shared" si="22"/>
        <v>95</v>
      </c>
      <c r="AA21" s="187">
        <f t="shared" si="23"/>
        <v>0.14728682170542637</v>
      </c>
      <c r="AB21" s="23"/>
      <c r="AC21" s="56">
        <v>96</v>
      </c>
      <c r="AD21" s="150">
        <v>50</v>
      </c>
      <c r="AG21" s="1" t="s">
        <v>0</v>
      </c>
      <c r="AH21" s="259" t="s">
        <v>23</v>
      </c>
      <c r="AI21" s="1392" t="s">
        <v>31</v>
      </c>
      <c r="AJ21" s="1392"/>
      <c r="AK21" s="1392">
        <v>85520</v>
      </c>
      <c r="AL21" s="1392"/>
      <c r="AM21" s="1389" t="s">
        <v>25</v>
      </c>
      <c r="AN21" s="1389"/>
      <c r="AP21" s="450">
        <f t="shared" ref="AP21:AP26" si="32">(AI22-AH22)/AH22</f>
        <v>-2.3975065931439317E-4</v>
      </c>
      <c r="AQ21" s="451" t="str">
        <f t="shared" ref="AQ21:AQ26" si="33">IF(AI22-AH22&gt;0,"↑","↓")</f>
        <v>↓</v>
      </c>
      <c r="AR21" s="452">
        <f t="shared" ref="AR21:AR26" si="34">(AK22-AH22)/AH22</f>
        <v>-2.3975065931439317E-4</v>
      </c>
      <c r="AS21" s="453" t="str">
        <f t="shared" ref="AS21:AS26" si="35">IF(AK22-AH22&gt;0,"↑","↓")</f>
        <v>↓</v>
      </c>
      <c r="AT21" s="450">
        <f t="shared" ref="AT21:AT26" si="36">(AM22-AH22)/AH22</f>
        <v>1.3905538240230119E-2</v>
      </c>
      <c r="AU21" s="451" t="str">
        <f t="shared" ref="AU21:AU26" si="37">IF(AM22-AH22&gt;0,"↑","↓")</f>
        <v>↑</v>
      </c>
    </row>
    <row r="22" spans="1:47" ht="15" x14ac:dyDescent="0.25">
      <c r="A22" s="454" t="s">
        <v>16</v>
      </c>
      <c r="B22" s="455">
        <f t="shared" si="24"/>
        <v>626.24</v>
      </c>
      <c r="C22" s="456">
        <f t="shared" si="25"/>
        <v>-1.5210822886962205</v>
      </c>
      <c r="D22" s="457">
        <f t="shared" si="26"/>
        <v>-0.36158464541153701</v>
      </c>
      <c r="E22" s="458">
        <f t="shared" si="27"/>
        <v>0.54999999999999205</v>
      </c>
      <c r="F22" s="459">
        <f t="shared" si="28"/>
        <v>626.79</v>
      </c>
      <c r="G22" s="443" t="str">
        <f t="shared" si="29"/>
        <v>0.09%  ↑</v>
      </c>
      <c r="H22" s="305">
        <v>-0.20024624545136899</v>
      </c>
      <c r="I22" s="433">
        <v>1.8057000000000001</v>
      </c>
      <c r="J22" s="307">
        <f t="shared" si="30"/>
        <v>8.7825753704651177E-4</v>
      </c>
      <c r="K22" s="160" t="str">
        <f t="shared" si="31"/>
        <v xml:space="preserve">  ↑</v>
      </c>
      <c r="L22" s="161">
        <v>0</v>
      </c>
      <c r="M22" s="162"/>
      <c r="Q22" s="5"/>
      <c r="AC22" s="56">
        <v>97</v>
      </c>
      <c r="AD22" s="150">
        <v>60</v>
      </c>
      <c r="AG22" s="460" t="s">
        <v>12</v>
      </c>
      <c r="AH22" s="461">
        <f t="shared" ref="AH22:AH27" si="38">B10</f>
        <v>4.1710000000000003</v>
      </c>
      <c r="AI22" s="462">
        <f t="shared" ref="AI22:AI27" si="39">B27</f>
        <v>4.17</v>
      </c>
      <c r="AJ22" s="463" t="str">
        <f t="shared" ref="AJ22:AJ27" si="40">CONCATENATE(TEXT(AP21,"0.00%"),"  ",AQ21)</f>
        <v>-0.02%  ↓</v>
      </c>
      <c r="AK22" s="462">
        <f t="shared" ref="AK22:AK27" si="41">D27</f>
        <v>4.17</v>
      </c>
      <c r="AL22" s="463" t="str">
        <f t="shared" ref="AL22:AL27" si="42">CONCATENATE(TEXT(AR21,"0.00%"),"  ",AS21)</f>
        <v>-0.02%  ↓</v>
      </c>
      <c r="AM22" s="464">
        <f t="shared" ref="AM22:AM27" si="43">G10</f>
        <v>4.2290000000000001</v>
      </c>
      <c r="AN22" s="465" t="str">
        <f t="shared" ref="AN22:AN27" si="44">CONCATENATE(TEXT(AT21,"0.00%"),"  ",AU21)</f>
        <v>1.39%  ↑</v>
      </c>
      <c r="AP22" s="466">
        <f t="shared" si="32"/>
        <v>3.699992620749883E-3</v>
      </c>
      <c r="AQ22" s="467" t="str">
        <f t="shared" si="33"/>
        <v>↑</v>
      </c>
      <c r="AR22" s="468">
        <f t="shared" si="34"/>
        <v>4.1268913902446731E-3</v>
      </c>
      <c r="AS22" s="469" t="str">
        <f t="shared" si="35"/>
        <v>↑</v>
      </c>
      <c r="AT22" s="466">
        <f t="shared" si="36"/>
        <v>3.4017733374885582E-3</v>
      </c>
      <c r="AU22" s="467" t="str">
        <f t="shared" si="37"/>
        <v>↑</v>
      </c>
    </row>
    <row r="23" spans="1:47" ht="15" x14ac:dyDescent="0.25">
      <c r="A23" s="470" t="s">
        <v>17</v>
      </c>
      <c r="B23" s="471">
        <f t="shared" si="24"/>
        <v>261.05</v>
      </c>
      <c r="C23" s="472">
        <f t="shared" si="25"/>
        <v>7.5887507371021456E-2</v>
      </c>
      <c r="D23" s="473">
        <f t="shared" si="26"/>
        <v>9.2241796344370091</v>
      </c>
      <c r="E23" s="474">
        <f t="shared" si="27"/>
        <v>0.69999999999996454</v>
      </c>
      <c r="F23" s="475">
        <f t="shared" si="28"/>
        <v>261.75</v>
      </c>
      <c r="G23" s="432" t="str">
        <f t="shared" si="29"/>
        <v>0.27%  ↑</v>
      </c>
      <c r="H23" s="305">
        <v>4.3103643151574804</v>
      </c>
      <c r="I23" s="433">
        <v>2.14</v>
      </c>
      <c r="J23" s="307">
        <f t="shared" si="30"/>
        <v>2.6814786439379734E-3</v>
      </c>
      <c r="K23" s="160" t="str">
        <f t="shared" si="31"/>
        <v xml:space="preserve">  ↑</v>
      </c>
      <c r="L23" s="161">
        <v>0</v>
      </c>
      <c r="M23" s="162"/>
      <c r="O23" s="13" t="s">
        <v>40</v>
      </c>
      <c r="P23" s="364" t="s">
        <v>12</v>
      </c>
      <c r="Q23" s="205">
        <f>SUM(P24:P32)</f>
        <v>615</v>
      </c>
      <c r="R23" s="365" t="s">
        <v>13</v>
      </c>
      <c r="S23" s="366">
        <f>SUM(R24:R32)</f>
        <v>696.25</v>
      </c>
      <c r="T23" s="367" t="s">
        <v>14</v>
      </c>
      <c r="U23" s="366">
        <f>SUM(T24:T32)</f>
        <v>762.5</v>
      </c>
      <c r="V23" s="367" t="s">
        <v>15</v>
      </c>
      <c r="W23" s="366">
        <f>SUM(V24:V32)</f>
        <v>269.07499999999999</v>
      </c>
      <c r="X23" s="367" t="s">
        <v>16</v>
      </c>
      <c r="Y23" s="209">
        <f>SUM(X24:X32)</f>
        <v>652.5</v>
      </c>
      <c r="Z23" s="368" t="s">
        <v>17</v>
      </c>
      <c r="AA23" s="22">
        <f>SUM(Z24:Z32)</f>
        <v>540.07499999999993</v>
      </c>
      <c r="AB23" s="23"/>
      <c r="AC23" s="56">
        <v>98</v>
      </c>
      <c r="AD23" s="150">
        <v>65</v>
      </c>
      <c r="AG23" s="163" t="s">
        <v>13</v>
      </c>
      <c r="AH23" s="476">
        <f t="shared" si="38"/>
        <v>49191.99</v>
      </c>
      <c r="AI23" s="477">
        <f t="shared" si="39"/>
        <v>49374</v>
      </c>
      <c r="AJ23" s="478" t="str">
        <f t="shared" si="40"/>
        <v>0.37%  ↑</v>
      </c>
      <c r="AK23" s="477">
        <f t="shared" si="41"/>
        <v>49395</v>
      </c>
      <c r="AL23" s="478" t="str">
        <f t="shared" si="42"/>
        <v>0.41%  ↑</v>
      </c>
      <c r="AM23" s="479">
        <f t="shared" si="43"/>
        <v>49359.33</v>
      </c>
      <c r="AN23" s="480" t="str">
        <f t="shared" si="44"/>
        <v>0.34%  ↑</v>
      </c>
      <c r="AP23" s="466">
        <f t="shared" si="32"/>
        <v>4.1950481754847438E-3</v>
      </c>
      <c r="AQ23" s="467" t="str">
        <f t="shared" si="33"/>
        <v>↑</v>
      </c>
      <c r="AR23" s="468">
        <f t="shared" si="34"/>
        <v>4.4825771799730718E-3</v>
      </c>
      <c r="AS23" s="469" t="str">
        <f t="shared" si="35"/>
        <v>↑</v>
      </c>
      <c r="AT23" s="466">
        <f t="shared" si="36"/>
        <v>3.0823109281149469E-3</v>
      </c>
      <c r="AU23" s="467" t="str">
        <f t="shared" si="37"/>
        <v>↑</v>
      </c>
    </row>
    <row r="24" spans="1:47" ht="15" x14ac:dyDescent="0.3">
      <c r="H24" s="310"/>
      <c r="I24" s="303" t="s">
        <v>91</v>
      </c>
      <c r="K24" s="200"/>
      <c r="L24" s="201" t="s">
        <v>92</v>
      </c>
      <c r="O24" s="127" t="str">
        <f t="shared" ref="O24:O31" si="45">O2</f>
        <v>PyCaret</v>
      </c>
      <c r="P24" s="369">
        <v>81.25</v>
      </c>
      <c r="Q24" s="370">
        <f t="shared" ref="Q24:Q32" si="46">P24/$Q$23</f>
        <v>0.13211382113821138</v>
      </c>
      <c r="R24" s="371">
        <v>76.25</v>
      </c>
      <c r="S24" s="372">
        <f t="shared" ref="S24:S32" si="47">R24/$S$23</f>
        <v>0.10951526032315978</v>
      </c>
      <c r="T24" s="372">
        <v>66.25</v>
      </c>
      <c r="U24" s="372">
        <f t="shared" ref="U24:U32" si="48">T24/$U$23</f>
        <v>8.6885245901639346E-2</v>
      </c>
      <c r="V24" s="372">
        <v>27.524999999999999</v>
      </c>
      <c r="W24" s="372">
        <f t="shared" ref="W24:W32" si="49">V24/$W$23</f>
        <v>0.10229489919167518</v>
      </c>
      <c r="X24" s="372">
        <v>70</v>
      </c>
      <c r="Y24" s="373">
        <f t="shared" ref="Y24:Y32" si="50">X24/$Y$23</f>
        <v>0.10727969348659004</v>
      </c>
      <c r="Z24" s="374">
        <v>60</v>
      </c>
      <c r="AA24" s="39">
        <f t="shared" ref="AA24:AA32" si="51">Z24/$AA$23</f>
        <v>0.1110956811553951</v>
      </c>
      <c r="AB24" s="23"/>
      <c r="AC24" s="56">
        <v>98.5</v>
      </c>
      <c r="AD24" s="150">
        <v>70</v>
      </c>
      <c r="AG24" s="43" t="s">
        <v>14</v>
      </c>
      <c r="AH24" s="481">
        <f t="shared" si="38"/>
        <v>6955.82</v>
      </c>
      <c r="AI24" s="482">
        <f t="shared" si="39"/>
        <v>6985</v>
      </c>
      <c r="AJ24" s="483" t="str">
        <f t="shared" si="40"/>
        <v>0.42%  ↑</v>
      </c>
      <c r="AK24" s="482">
        <f t="shared" si="41"/>
        <v>6987</v>
      </c>
      <c r="AL24" s="483" t="str">
        <f t="shared" si="42"/>
        <v>0.45%  ↑</v>
      </c>
      <c r="AM24" s="484">
        <f t="shared" si="43"/>
        <v>6977.26</v>
      </c>
      <c r="AN24" s="485" t="str">
        <f t="shared" si="44"/>
        <v>0.31%  ↑</v>
      </c>
      <c r="AP24" s="466">
        <f t="shared" si="32"/>
        <v>-2.6807980049875297E-2</v>
      </c>
      <c r="AQ24" s="467" t="str">
        <f t="shared" si="33"/>
        <v>↓</v>
      </c>
      <c r="AR24" s="468">
        <f t="shared" si="34"/>
        <v>-8.1047381546134039E-3</v>
      </c>
      <c r="AS24" s="469" t="str">
        <f t="shared" si="35"/>
        <v>↓</v>
      </c>
      <c r="AT24" s="466">
        <f t="shared" si="36"/>
        <v>-4.3017456359102216E-2</v>
      </c>
      <c r="AU24" s="467" t="str">
        <f t="shared" si="37"/>
        <v>↓</v>
      </c>
    </row>
    <row r="25" spans="1:47" ht="15" x14ac:dyDescent="0.3">
      <c r="O25" s="143" t="str">
        <f t="shared" si="45"/>
        <v>ARIMAX</v>
      </c>
      <c r="P25" s="375">
        <v>67.5</v>
      </c>
      <c r="Q25" s="376">
        <f t="shared" si="46"/>
        <v>0.10975609756097561</v>
      </c>
      <c r="R25" s="377">
        <v>72.5</v>
      </c>
      <c r="S25" s="378">
        <f t="shared" si="47"/>
        <v>0.10412926391382406</v>
      </c>
      <c r="T25" s="378">
        <v>78.75</v>
      </c>
      <c r="U25" s="378">
        <f t="shared" si="48"/>
        <v>0.10327868852459017</v>
      </c>
      <c r="V25" s="378">
        <v>32.524999999999999</v>
      </c>
      <c r="W25" s="378">
        <f t="shared" si="49"/>
        <v>0.12087707888135278</v>
      </c>
      <c r="X25" s="378">
        <v>63.75</v>
      </c>
      <c r="Y25" s="379">
        <f t="shared" si="50"/>
        <v>9.7701149425287362E-2</v>
      </c>
      <c r="Z25" s="380">
        <v>62.5</v>
      </c>
      <c r="AA25" s="39">
        <f t="shared" si="51"/>
        <v>0.11572466787020323</v>
      </c>
      <c r="AB25" s="23"/>
      <c r="AC25" s="56">
        <v>99</v>
      </c>
      <c r="AD25" s="150">
        <v>75</v>
      </c>
      <c r="AG25" s="43" t="s">
        <v>15</v>
      </c>
      <c r="AH25" s="481">
        <f t="shared" si="38"/>
        <v>16.04</v>
      </c>
      <c r="AI25" s="486">
        <f t="shared" si="39"/>
        <v>15.61</v>
      </c>
      <c r="AJ25" s="483" t="str">
        <f t="shared" si="40"/>
        <v>-2.68%  ↓</v>
      </c>
      <c r="AK25" s="486">
        <f t="shared" si="41"/>
        <v>15.91</v>
      </c>
      <c r="AL25" s="483" t="str">
        <f t="shared" si="42"/>
        <v>-0.81%  ↓</v>
      </c>
      <c r="AM25" s="484">
        <f t="shared" si="43"/>
        <v>15.35</v>
      </c>
      <c r="AN25" s="485" t="str">
        <f t="shared" si="44"/>
        <v>-4.30%  ↓</v>
      </c>
      <c r="AP25" s="466">
        <f t="shared" si="32"/>
        <v>1.3732754215636397E-3</v>
      </c>
      <c r="AQ25" s="467" t="str">
        <f t="shared" si="33"/>
        <v>↑</v>
      </c>
      <c r="AR25" s="468">
        <f t="shared" si="34"/>
        <v>2.0120081757792393E-3</v>
      </c>
      <c r="AS25" s="469" t="str">
        <f t="shared" si="35"/>
        <v>↑</v>
      </c>
      <c r="AT25" s="466">
        <f t="shared" si="36"/>
        <v>-7.9522227899846993E-3</v>
      </c>
      <c r="AU25" s="467" t="str">
        <f t="shared" si="37"/>
        <v>↓</v>
      </c>
    </row>
    <row r="26" spans="1:47" ht="15" x14ac:dyDescent="0.3">
      <c r="A26" s="12" t="str">
        <f>E9</f>
        <v>ML-&gt;LLM</v>
      </c>
      <c r="B26" s="1385" t="s">
        <v>31</v>
      </c>
      <c r="C26" s="1385"/>
      <c r="D26" s="1385">
        <v>85220</v>
      </c>
      <c r="E26" s="1385"/>
      <c r="F26" s="1385" t="s">
        <v>32</v>
      </c>
      <c r="G26" s="1385"/>
      <c r="H26" s="487" t="str">
        <f>E9</f>
        <v>ML-&gt;LLM</v>
      </c>
      <c r="O26" s="143" t="str">
        <f t="shared" si="45"/>
        <v>PCE</v>
      </c>
      <c r="P26" s="375">
        <v>62.5</v>
      </c>
      <c r="Q26" s="376">
        <f t="shared" si="46"/>
        <v>0.1016260162601626</v>
      </c>
      <c r="R26" s="377">
        <v>68.75</v>
      </c>
      <c r="S26" s="378">
        <f t="shared" si="47"/>
        <v>9.8743267504488336E-2</v>
      </c>
      <c r="T26" s="378">
        <v>87.5</v>
      </c>
      <c r="U26" s="378">
        <f t="shared" si="48"/>
        <v>0.11475409836065574</v>
      </c>
      <c r="V26" s="378">
        <v>5.2750000000000004</v>
      </c>
      <c r="W26" s="378">
        <f t="shared" si="49"/>
        <v>1.9604199572609868E-2</v>
      </c>
      <c r="X26" s="378">
        <v>71.25</v>
      </c>
      <c r="Y26" s="379">
        <f t="shared" si="50"/>
        <v>0.10919540229885058</v>
      </c>
      <c r="Z26" s="380">
        <v>77.5</v>
      </c>
      <c r="AA26" s="39">
        <f t="shared" si="51"/>
        <v>0.143498588159052</v>
      </c>
      <c r="AB26" s="23"/>
      <c r="AC26" s="56">
        <v>99.25</v>
      </c>
      <c r="AD26" s="150">
        <v>80</v>
      </c>
      <c r="AG26" s="174" t="s">
        <v>16</v>
      </c>
      <c r="AH26" s="488">
        <f t="shared" si="38"/>
        <v>626.24</v>
      </c>
      <c r="AI26" s="489">
        <f t="shared" si="39"/>
        <v>627.1</v>
      </c>
      <c r="AJ26" s="490" t="str">
        <f t="shared" si="40"/>
        <v>0.14%  ↑</v>
      </c>
      <c r="AK26" s="489">
        <f t="shared" si="41"/>
        <v>627.5</v>
      </c>
      <c r="AL26" s="490" t="str">
        <f t="shared" si="42"/>
        <v>0.20%  ↑</v>
      </c>
      <c r="AM26" s="491">
        <f t="shared" si="43"/>
        <v>621.26</v>
      </c>
      <c r="AN26" s="492" t="str">
        <f t="shared" si="44"/>
        <v>-0.80%  ↓</v>
      </c>
      <c r="AP26" s="493">
        <f t="shared" si="32"/>
        <v>2.4899444550851454E-3</v>
      </c>
      <c r="AQ26" s="494" t="str">
        <f t="shared" si="33"/>
        <v>↑</v>
      </c>
      <c r="AR26" s="495">
        <f t="shared" si="34"/>
        <v>5.5544914767285524E-3</v>
      </c>
      <c r="AS26" s="496" t="str">
        <f t="shared" si="35"/>
        <v>↑</v>
      </c>
      <c r="AT26" s="493">
        <f t="shared" si="36"/>
        <v>-2.1145374449339244E-2</v>
      </c>
      <c r="AU26" s="494" t="str">
        <f t="shared" si="37"/>
        <v>↓</v>
      </c>
    </row>
    <row r="27" spans="1:47" ht="14.4" x14ac:dyDescent="0.3">
      <c r="A27" s="76" t="s">
        <v>12</v>
      </c>
      <c r="B27" s="155">
        <v>4.17</v>
      </c>
      <c r="C27" s="497">
        <f t="shared" ref="C27:C32" si="52">100-ABS(($E10-B27)/($E10))*100</f>
        <v>99.952015355086402</v>
      </c>
      <c r="D27" s="155">
        <v>4.17</v>
      </c>
      <c r="E27" s="498">
        <f t="shared" ref="E27:E32" si="53">100-ABS(($E10-D27)/($E10))*100</f>
        <v>99.952015355086402</v>
      </c>
      <c r="F27" s="155">
        <v>4.17</v>
      </c>
      <c r="G27" s="499">
        <f t="shared" ref="G27:G32" si="54">100-ABS(($E10-F27)/($E10))*100</f>
        <v>99.952015355086402</v>
      </c>
      <c r="H27" s="500">
        <f t="shared" ref="H27:H32" si="55">G10</f>
        <v>4.2290000000000001</v>
      </c>
      <c r="O27" s="143" t="str">
        <f t="shared" si="45"/>
        <v>LSTM</v>
      </c>
      <c r="P27" s="381">
        <v>80</v>
      </c>
      <c r="Q27" s="376">
        <f t="shared" si="46"/>
        <v>0.13008130081300814</v>
      </c>
      <c r="R27" s="377">
        <v>80</v>
      </c>
      <c r="S27" s="378">
        <f t="shared" si="47"/>
        <v>0.11490125673249552</v>
      </c>
      <c r="T27" s="378">
        <v>85</v>
      </c>
      <c r="U27" s="378">
        <f t="shared" si="48"/>
        <v>0.11147540983606558</v>
      </c>
      <c r="V27" s="378">
        <v>7.5</v>
      </c>
      <c r="W27" s="378">
        <f t="shared" si="49"/>
        <v>2.7873269534516399E-2</v>
      </c>
      <c r="X27" s="378">
        <v>78.75</v>
      </c>
      <c r="Y27" s="379">
        <f t="shared" si="50"/>
        <v>0.1206896551724138</v>
      </c>
      <c r="Z27" s="380">
        <v>73.75</v>
      </c>
      <c r="AA27" s="39">
        <f t="shared" si="51"/>
        <v>0.13655510808683982</v>
      </c>
      <c r="AB27" s="23"/>
      <c r="AC27" s="56">
        <v>99.5</v>
      </c>
      <c r="AD27" s="150">
        <v>90</v>
      </c>
      <c r="AF27" s="2"/>
      <c r="AG27" s="501" t="s">
        <v>17</v>
      </c>
      <c r="AH27" s="502">
        <f t="shared" si="38"/>
        <v>261.05</v>
      </c>
      <c r="AI27" s="503">
        <f t="shared" si="39"/>
        <v>261.7</v>
      </c>
      <c r="AJ27" s="504" t="str">
        <f t="shared" si="40"/>
        <v>0.25%  ↑</v>
      </c>
      <c r="AK27" s="503">
        <f t="shared" si="41"/>
        <v>262.5</v>
      </c>
      <c r="AL27" s="504" t="str">
        <f t="shared" si="42"/>
        <v>0.56%  ↑</v>
      </c>
      <c r="AM27" s="505">
        <f t="shared" si="43"/>
        <v>255.53</v>
      </c>
      <c r="AN27" s="506" t="str">
        <f t="shared" si="44"/>
        <v>-2.11%  ↓</v>
      </c>
    </row>
    <row r="28" spans="1:47" ht="14.25" customHeight="1" x14ac:dyDescent="0.3">
      <c r="A28" s="163" t="s">
        <v>13</v>
      </c>
      <c r="B28" s="164">
        <v>49374</v>
      </c>
      <c r="C28" s="507">
        <f t="shared" si="52"/>
        <v>99.969649106005193</v>
      </c>
      <c r="D28" s="164">
        <v>49395</v>
      </c>
      <c r="E28" s="508">
        <f t="shared" si="53"/>
        <v>99.987831296003435</v>
      </c>
      <c r="F28" s="164">
        <v>49390</v>
      </c>
      <c r="G28" s="509">
        <f t="shared" si="54"/>
        <v>99.997955009810909</v>
      </c>
      <c r="H28" s="510">
        <f t="shared" si="55"/>
        <v>49359.33</v>
      </c>
      <c r="O28" s="143" t="str">
        <f t="shared" si="45"/>
        <v>GARCH</v>
      </c>
      <c r="P28" s="375">
        <v>82.5</v>
      </c>
      <c r="Q28" s="376">
        <f t="shared" si="46"/>
        <v>0.13414634146341464</v>
      </c>
      <c r="R28" s="377">
        <v>80</v>
      </c>
      <c r="S28" s="378">
        <f t="shared" si="47"/>
        <v>0.11490125673249552</v>
      </c>
      <c r="T28" s="378">
        <v>85</v>
      </c>
      <c r="U28" s="378">
        <f t="shared" si="48"/>
        <v>0.11147540983606558</v>
      </c>
      <c r="V28" s="378">
        <v>35</v>
      </c>
      <c r="W28" s="378">
        <f t="shared" si="49"/>
        <v>0.13007525782774321</v>
      </c>
      <c r="X28" s="378">
        <v>72.5</v>
      </c>
      <c r="Y28" s="379">
        <f t="shared" si="50"/>
        <v>0.1111111111111111</v>
      </c>
      <c r="Z28" s="380">
        <v>75</v>
      </c>
      <c r="AA28" s="39">
        <f t="shared" si="51"/>
        <v>0.13886960144424387</v>
      </c>
      <c r="AB28" s="23"/>
      <c r="AC28" s="56">
        <v>99.75</v>
      </c>
      <c r="AD28" s="150">
        <v>95</v>
      </c>
      <c r="AK28" s="6"/>
    </row>
    <row r="29" spans="1:47" ht="14.25" customHeight="1" x14ac:dyDescent="0.3">
      <c r="A29" s="43" t="s">
        <v>14</v>
      </c>
      <c r="B29" s="169">
        <v>6985</v>
      </c>
      <c r="C29" s="511">
        <f t="shared" si="52"/>
        <v>99.919907270098761</v>
      </c>
      <c r="D29" s="169">
        <v>6987</v>
      </c>
      <c r="E29" s="512">
        <f t="shared" si="53"/>
        <v>99.891251552781682</v>
      </c>
      <c r="F29" s="169">
        <v>6985</v>
      </c>
      <c r="G29" s="513">
        <f t="shared" si="54"/>
        <v>99.919907270098761</v>
      </c>
      <c r="H29" s="514">
        <f t="shared" si="55"/>
        <v>6977.26</v>
      </c>
      <c r="O29" s="143" t="str">
        <f t="shared" si="45"/>
        <v>VAR</v>
      </c>
      <c r="P29" s="381">
        <v>0</v>
      </c>
      <c r="Q29" s="376">
        <f t="shared" si="46"/>
        <v>0</v>
      </c>
      <c r="R29" s="377">
        <v>80</v>
      </c>
      <c r="S29" s="378">
        <f t="shared" si="47"/>
        <v>0.11490125673249552</v>
      </c>
      <c r="T29" s="378">
        <v>93.75</v>
      </c>
      <c r="U29" s="378">
        <f t="shared" si="48"/>
        <v>0.12295081967213115</v>
      </c>
      <c r="V29" s="378">
        <v>26.25</v>
      </c>
      <c r="W29" s="378">
        <f t="shared" si="49"/>
        <v>9.7556443370807405E-2</v>
      </c>
      <c r="X29" s="378">
        <v>76.25</v>
      </c>
      <c r="Y29" s="379">
        <f t="shared" si="50"/>
        <v>0.11685823754789272</v>
      </c>
      <c r="Z29" s="380">
        <v>66.25</v>
      </c>
      <c r="AA29" s="39">
        <f t="shared" si="51"/>
        <v>0.12266814794241541</v>
      </c>
      <c r="AB29" s="23"/>
      <c r="AC29" s="93">
        <v>99.99</v>
      </c>
      <c r="AD29" s="229">
        <v>100</v>
      </c>
    </row>
    <row r="30" spans="1:47" ht="14.25" customHeight="1" x14ac:dyDescent="0.3">
      <c r="A30" s="43" t="s">
        <v>15</v>
      </c>
      <c r="B30" s="169">
        <v>15.61</v>
      </c>
      <c r="C30" s="511">
        <f t="shared" si="52"/>
        <v>94.893617021276611</v>
      </c>
      <c r="D30" s="169">
        <v>15.91</v>
      </c>
      <c r="E30" s="512">
        <f t="shared" si="53"/>
        <v>96.717325227963556</v>
      </c>
      <c r="F30" s="169">
        <v>16.559999999999999</v>
      </c>
      <c r="G30" s="513">
        <f t="shared" si="54"/>
        <v>99.331306990881444</v>
      </c>
      <c r="H30" s="514">
        <f t="shared" si="55"/>
        <v>15.35</v>
      </c>
      <c r="M30" s="8"/>
      <c r="O30" s="143" t="str">
        <f t="shared" si="45"/>
        <v>RW</v>
      </c>
      <c r="P30" s="375">
        <v>85</v>
      </c>
      <c r="Q30" s="376">
        <f t="shared" si="46"/>
        <v>0.13821138211382114</v>
      </c>
      <c r="R30" s="377">
        <v>78.75</v>
      </c>
      <c r="S30" s="378">
        <f t="shared" si="47"/>
        <v>0.11310592459605028</v>
      </c>
      <c r="T30" s="378">
        <v>90</v>
      </c>
      <c r="U30" s="378">
        <f t="shared" si="48"/>
        <v>0.11803278688524591</v>
      </c>
      <c r="V30" s="378">
        <v>43.75</v>
      </c>
      <c r="W30" s="378">
        <f t="shared" si="49"/>
        <v>0.16259407228467901</v>
      </c>
      <c r="X30" s="378">
        <v>77.5</v>
      </c>
      <c r="Y30" s="379">
        <f t="shared" si="50"/>
        <v>0.11877394636015326</v>
      </c>
      <c r="Z30" s="380">
        <v>43.774999999999999</v>
      </c>
      <c r="AA30" s="39">
        <f t="shared" si="51"/>
        <v>8.1053557376290344E-2</v>
      </c>
    </row>
    <row r="31" spans="1:47" ht="14.25" customHeight="1" x14ac:dyDescent="0.3">
      <c r="A31" s="174" t="s">
        <v>16</v>
      </c>
      <c r="B31" s="175">
        <v>627.1</v>
      </c>
      <c r="C31" s="515">
        <f t="shared" si="52"/>
        <v>99.950541648718058</v>
      </c>
      <c r="D31" s="175">
        <v>627.5</v>
      </c>
      <c r="E31" s="516">
        <f t="shared" si="53"/>
        <v>99.886724421257512</v>
      </c>
      <c r="F31" s="175">
        <v>626.9</v>
      </c>
      <c r="G31" s="517">
        <f t="shared" si="54"/>
        <v>99.982450262448339</v>
      </c>
      <c r="H31" s="518">
        <f t="shared" si="55"/>
        <v>621.26</v>
      </c>
      <c r="J31" s="8"/>
      <c r="O31" s="143" t="str">
        <f t="shared" si="45"/>
        <v>ETS</v>
      </c>
      <c r="P31" s="375">
        <v>85</v>
      </c>
      <c r="Q31" s="376">
        <f t="shared" si="46"/>
        <v>0.13821138211382114</v>
      </c>
      <c r="R31" s="377">
        <v>80</v>
      </c>
      <c r="S31" s="378">
        <f t="shared" si="47"/>
        <v>0.11490125673249552</v>
      </c>
      <c r="T31" s="378">
        <v>90</v>
      </c>
      <c r="U31" s="378">
        <f t="shared" si="48"/>
        <v>0.11803278688524591</v>
      </c>
      <c r="V31" s="378">
        <v>38.75</v>
      </c>
      <c r="W31" s="378">
        <f t="shared" si="49"/>
        <v>0.14401189259500141</v>
      </c>
      <c r="X31" s="378">
        <v>77.5</v>
      </c>
      <c r="Y31" s="379">
        <f t="shared" si="50"/>
        <v>0.11877394636015326</v>
      </c>
      <c r="Z31" s="380">
        <v>43.774999999999999</v>
      </c>
      <c r="AA31" s="39">
        <f t="shared" si="51"/>
        <v>8.1053557376290344E-2</v>
      </c>
      <c r="AL31" s="230"/>
    </row>
    <row r="32" spans="1:47" ht="14.25" customHeight="1" x14ac:dyDescent="0.3">
      <c r="A32" s="136" t="s">
        <v>17</v>
      </c>
      <c r="B32" s="188">
        <v>261.7</v>
      </c>
      <c r="C32" s="519">
        <f t="shared" si="52"/>
        <v>99.980897803247373</v>
      </c>
      <c r="D32" s="188">
        <v>262.5</v>
      </c>
      <c r="E32" s="520">
        <f t="shared" si="53"/>
        <v>99.713467048710598</v>
      </c>
      <c r="F32" s="188">
        <v>262.5</v>
      </c>
      <c r="G32" s="521">
        <f t="shared" si="54"/>
        <v>99.713467048710598</v>
      </c>
      <c r="H32" s="522">
        <f t="shared" si="55"/>
        <v>255.53</v>
      </c>
      <c r="J32" s="8"/>
      <c r="O32" s="180" t="str">
        <f>O21</f>
        <v>DynaMix</v>
      </c>
      <c r="P32" s="382">
        <v>71.25</v>
      </c>
      <c r="Q32" s="383">
        <f t="shared" si="46"/>
        <v>0.11585365853658537</v>
      </c>
      <c r="R32" s="384">
        <v>80</v>
      </c>
      <c r="S32" s="385">
        <f t="shared" si="47"/>
        <v>0.11490125673249552</v>
      </c>
      <c r="T32" s="385">
        <v>86.25</v>
      </c>
      <c r="U32" s="385">
        <f t="shared" si="48"/>
        <v>0.11311475409836065</v>
      </c>
      <c r="V32" s="385">
        <v>52.5</v>
      </c>
      <c r="W32" s="385">
        <f t="shared" si="49"/>
        <v>0.19511288674161481</v>
      </c>
      <c r="X32" s="385">
        <v>65</v>
      </c>
      <c r="Y32" s="386">
        <f t="shared" si="50"/>
        <v>9.9616858237547887E-2</v>
      </c>
      <c r="Z32" s="387">
        <v>37.524999999999999</v>
      </c>
      <c r="AA32" s="92">
        <f t="shared" si="51"/>
        <v>6.9481090589270017E-2</v>
      </c>
      <c r="AK32" s="2"/>
      <c r="AL32" s="230"/>
    </row>
    <row r="34" spans="1:42" ht="14.25" customHeight="1" x14ac:dyDescent="0.3">
      <c r="A34" s="202" t="str">
        <f>AC1</f>
        <v>AVR-4</v>
      </c>
      <c r="B34" s="1390">
        <f t="array" ref="B34">SUM(C28:C31/4)</f>
        <v>98.683428761524652</v>
      </c>
      <c r="C34" s="1390"/>
      <c r="D34" s="1390">
        <f t="array" ref="D34">SUM(E28:E31/4)</f>
        <v>99.120783124501543</v>
      </c>
      <c r="E34" s="1390"/>
      <c r="F34" s="1390">
        <f t="array" ref="F34">SUM(G28:G31/4)</f>
        <v>99.807904883309874</v>
      </c>
      <c r="G34" s="1390"/>
      <c r="O34" s="225" t="s">
        <v>42</v>
      </c>
    </row>
    <row r="35" spans="1:42" ht="14.25" customHeight="1" x14ac:dyDescent="0.3">
      <c r="A35" s="211" t="str">
        <f>AD1</f>
        <v>AVR-6</v>
      </c>
      <c r="B35" s="1388">
        <f t="array" ref="B35">SUM(C27:C32/6)</f>
        <v>99.111104700738736</v>
      </c>
      <c r="C35" s="1388"/>
      <c r="D35" s="1388">
        <f t="array" ref="D35">SUM(E27:E32/6)</f>
        <v>99.358102483633857</v>
      </c>
      <c r="E35" s="1388"/>
      <c r="F35" s="1388">
        <f t="array" ref="F35">SUM(G27:G32/6)</f>
        <v>99.816183656172754</v>
      </c>
      <c r="G35" s="1388"/>
      <c r="AK35" s="2"/>
      <c r="AP35" s="2"/>
    </row>
    <row r="36" spans="1:42" ht="14.25" customHeight="1" x14ac:dyDescent="0.3">
      <c r="AK36" s="6"/>
      <c r="AP36" s="2"/>
    </row>
    <row r="37" spans="1:42" ht="14.25" customHeight="1" x14ac:dyDescent="0.3">
      <c r="Z37" s="6"/>
    </row>
    <row r="38" spans="1:42" ht="14.25" customHeight="1" x14ac:dyDescent="0.3">
      <c r="Z38" s="6"/>
    </row>
    <row r="39" spans="1:42" ht="14.25" customHeight="1" x14ac:dyDescent="0.3">
      <c r="Z39" s="6"/>
    </row>
    <row r="40" spans="1:42" ht="14.25" customHeight="1" x14ac:dyDescent="0.3">
      <c r="Z40" s="6"/>
    </row>
    <row r="41" spans="1:42" ht="14.25" customHeight="1" x14ac:dyDescent="0.3">
      <c r="Z41" s="6"/>
    </row>
    <row r="43" spans="1:42" ht="14.25" customHeight="1" x14ac:dyDescent="0.3">
      <c r="AD43" s="237"/>
    </row>
    <row r="44" spans="1:42" ht="14.25" customHeight="1" x14ac:dyDescent="0.3">
      <c r="AD44" s="237"/>
    </row>
    <row r="45" spans="1:42" ht="14.25" customHeight="1" x14ac:dyDescent="0.3">
      <c r="AD45" s="237"/>
    </row>
    <row r="46" spans="1:42" ht="14.25" customHeight="1" x14ac:dyDescent="0.3">
      <c r="AD46" s="237"/>
    </row>
  </sheetData>
  <mergeCells count="15">
    <mergeCell ref="AG10:AH10"/>
    <mergeCell ref="AG11:AH11"/>
    <mergeCell ref="D17:E17"/>
    <mergeCell ref="AI21:AJ21"/>
    <mergeCell ref="AK21:AL21"/>
    <mergeCell ref="B35:C35"/>
    <mergeCell ref="D35:E35"/>
    <mergeCell ref="F35:G35"/>
    <mergeCell ref="AM21:AN21"/>
    <mergeCell ref="B26:C26"/>
    <mergeCell ref="D26:E26"/>
    <mergeCell ref="F26:G26"/>
    <mergeCell ref="B34:C34"/>
    <mergeCell ref="D34:E34"/>
    <mergeCell ref="F34:G34"/>
  </mergeCells>
  <hyperlinks>
    <hyperlink ref="O34" r:id="rId1" xr:uid="{00000000-0004-0000-07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46"/>
  <sheetViews>
    <sheetView zoomScale="120" zoomScaleNormal="120" workbookViewId="0">
      <selection activeCell="AJ22" sqref="AJ22"/>
    </sheetView>
  </sheetViews>
  <sheetFormatPr defaultColWidth="8.77734375" defaultRowHeight="14.25" customHeight="1" x14ac:dyDescent="0.3"/>
  <cols>
    <col min="1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3.441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style="8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95</v>
      </c>
      <c r="O1" s="13" t="s">
        <v>11</v>
      </c>
      <c r="P1" s="316" t="s">
        <v>12</v>
      </c>
      <c r="Q1" s="15">
        <f>SUM(P2:P10)</f>
        <v>797.87073993733418</v>
      </c>
      <c r="R1" s="16" t="s">
        <v>13</v>
      </c>
      <c r="S1" s="17">
        <f>SUM(R2:R10)</f>
        <v>897.09397813103965</v>
      </c>
      <c r="T1" s="18" t="s">
        <v>14</v>
      </c>
      <c r="U1" s="17">
        <f>SUM(T2:T10)</f>
        <v>897.39227360051734</v>
      </c>
      <c r="V1" s="18" t="s">
        <v>15</v>
      </c>
      <c r="W1" s="17">
        <f>SUM(V2:V10)</f>
        <v>780.69684775318592</v>
      </c>
      <c r="X1" s="19" t="s">
        <v>16</v>
      </c>
      <c r="Y1" s="20">
        <f>SUM(X2:X10)</f>
        <v>892.42416335791279</v>
      </c>
      <c r="Z1" s="317" t="s">
        <v>17</v>
      </c>
      <c r="AA1" s="22">
        <f>SUM(Z2:Z10)</f>
        <v>891.73164558582118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4.1703000000000001</v>
      </c>
      <c r="C2" s="28">
        <v>4.149</v>
      </c>
      <c r="D2" s="28">
        <v>4.1521999999999997</v>
      </c>
      <c r="E2" s="28">
        <v>4.1238000000000001</v>
      </c>
      <c r="F2" s="28">
        <v>4.1468999999999996</v>
      </c>
      <c r="G2" s="28">
        <v>0</v>
      </c>
      <c r="H2" s="318">
        <v>4.1432000000000002</v>
      </c>
      <c r="I2" s="318">
        <v>4.1433999999999997</v>
      </c>
      <c r="J2" s="29">
        <v>4.1741429999999999</v>
      </c>
      <c r="K2" s="30"/>
      <c r="O2" s="319" t="str">
        <f>B1</f>
        <v>PyCaret</v>
      </c>
      <c r="P2" s="320">
        <f>100-ABS((($G10-B2)/($G10)))*100</f>
        <v>99.486623282718725</v>
      </c>
      <c r="Q2" s="321">
        <f t="shared" ref="Q2:Q10" si="0">P2/$Q$1</f>
        <v>0.12469015130261894</v>
      </c>
      <c r="R2" s="322">
        <f>100-ABS((($G11-B3)/($G11)))*100</f>
        <v>99.651399016389149</v>
      </c>
      <c r="S2" s="323">
        <f t="shared" ref="S2:S10" si="1">R2/$S$1</f>
        <v>0.11108245227996943</v>
      </c>
      <c r="T2" s="323">
        <f>100-ABS((($G12-B4)/($G12)))*100</f>
        <v>98.979982412733065</v>
      </c>
      <c r="U2" s="323">
        <f t="shared" ref="U2:U10" si="2">T2/$U$1</f>
        <v>0.11029734189219791</v>
      </c>
      <c r="V2" s="323">
        <f>100-ABS((($G13-B5)/($G13)))*100</f>
        <v>73.623742454728372</v>
      </c>
      <c r="W2" s="323">
        <f t="shared" ref="W2:W10" si="3">V2/$W$1</f>
        <v>9.4305161685505123E-2</v>
      </c>
      <c r="X2" s="324">
        <f>100-ABS((($G14-B6)/($G14)))*100</f>
        <v>97.279134592010379</v>
      </c>
      <c r="Y2" s="325">
        <f t="shared" ref="Y2:Y10" si="4">X2/$Y$1</f>
        <v>0.10900549154337041</v>
      </c>
      <c r="Z2" s="326">
        <f>100-ABS((($G15-B7)/($G15)))*100</f>
        <v>95.904446961669166</v>
      </c>
      <c r="AA2" s="39">
        <f t="shared" ref="AA2:AA10" si="5">Z2/$AA$1</f>
        <v>0.10754855167068221</v>
      </c>
      <c r="AB2" s="23"/>
      <c r="AC2" s="40">
        <f t="shared" ref="AC2:AC10" si="6">(R2+T2+V2+X2)/4</f>
        <v>92.383564618965238</v>
      </c>
      <c r="AD2" s="41">
        <f t="shared" ref="AD2:AD10" si="7">(P2+R2+T2+V2+X2+Z2)/6</f>
        <v>94.154221453374817</v>
      </c>
      <c r="AE2" s="42" t="str">
        <f>IF($AC2=MAX(AC2:AC10),"TOP","")</f>
        <v/>
      </c>
      <c r="AG2" s="1" t="s">
        <v>33</v>
      </c>
      <c r="AH2" s="2"/>
      <c r="AI2" s="2"/>
    </row>
    <row r="3" spans="1:45" ht="14.4" x14ac:dyDescent="0.3">
      <c r="A3" s="43" t="s">
        <v>13</v>
      </c>
      <c r="B3" s="526">
        <v>48302.688699999999</v>
      </c>
      <c r="C3" s="527">
        <v>48020.56</v>
      </c>
      <c r="D3" s="527">
        <v>48195.381430000001</v>
      </c>
      <c r="E3" s="527">
        <v>48342.459600000002</v>
      </c>
      <c r="F3" s="527">
        <v>48291.366000000002</v>
      </c>
      <c r="G3" s="527">
        <v>48375.058700000001</v>
      </c>
      <c r="H3" s="527">
        <v>48275.7886</v>
      </c>
      <c r="I3" s="527">
        <v>48339.3652</v>
      </c>
      <c r="J3" s="528">
        <v>48241.492200000001</v>
      </c>
      <c r="K3" s="30"/>
      <c r="L3" s="47" t="s">
        <v>96</v>
      </c>
      <c r="O3" s="327" t="str">
        <f>C1</f>
        <v>ARIMAX</v>
      </c>
      <c r="P3" s="328">
        <f>100-ABS((($G10-C2)/($G10)))*100</f>
        <v>100</v>
      </c>
      <c r="Q3" s="329">
        <f t="shared" si="0"/>
        <v>0.12533358474563702</v>
      </c>
      <c r="R3" s="330">
        <f>100-ABS((($G11-C3)/($G11)))*100</f>
        <v>99.762479980737467</v>
      </c>
      <c r="S3" s="331">
        <f t="shared" si="1"/>
        <v>0.11120627538775546</v>
      </c>
      <c r="T3" s="331">
        <f>100-ABS((($G12-C4)/($G12)))*100</f>
        <v>99.886458243409521</v>
      </c>
      <c r="U3" s="331">
        <f t="shared" si="2"/>
        <v>0.11130746406211529</v>
      </c>
      <c r="V3" s="331">
        <f>100-ABS((($G13-C5)/($G13)))*100</f>
        <v>89.470154258886652</v>
      </c>
      <c r="W3" s="331">
        <f t="shared" si="3"/>
        <v>0.11460294033001177</v>
      </c>
      <c r="X3" s="332">
        <f>100-ABS((($G14-C6)/($G14)))*100</f>
        <v>99.619447370553459</v>
      </c>
      <c r="Y3" s="333">
        <f t="shared" si="4"/>
        <v>0.11162791356490916</v>
      </c>
      <c r="Z3" s="334">
        <f>100-ABS((($G15-C7)/($G15)))*100</f>
        <v>99.535389337523299</v>
      </c>
      <c r="AA3" s="39">
        <f t="shared" si="5"/>
        <v>0.11162033985250544</v>
      </c>
      <c r="AB3" s="23"/>
      <c r="AC3" s="56">
        <f t="shared" si="6"/>
        <v>97.184634963396789</v>
      </c>
      <c r="AD3" s="57">
        <f t="shared" si="7"/>
        <v>98.045654865185057</v>
      </c>
      <c r="AE3" s="42" t="str">
        <f>IF($AC3=MAX(AC2:AC10),"TOP","")</f>
        <v/>
      </c>
      <c r="AG3" s="76" t="s">
        <v>12</v>
      </c>
      <c r="AH3" s="270" t="s">
        <v>34</v>
      </c>
      <c r="AI3" s="388">
        <f>MAX(P2:P10)</f>
        <v>100</v>
      </c>
    </row>
    <row r="4" spans="1:45" ht="14.4" x14ac:dyDescent="0.3">
      <c r="A4" s="43" t="s">
        <v>14</v>
      </c>
      <c r="B4" s="529">
        <v>6764.777</v>
      </c>
      <c r="C4" s="530">
        <v>6826.73</v>
      </c>
      <c r="D4" s="530">
        <v>6808.0364</v>
      </c>
      <c r="E4" s="530">
        <v>6831.7224999999999</v>
      </c>
      <c r="F4" s="530">
        <v>6828.5942999999997</v>
      </c>
      <c r="G4" s="530">
        <v>6815.5883000000003</v>
      </c>
      <c r="H4" s="530">
        <v>6826.7290999999996</v>
      </c>
      <c r="I4" s="530">
        <v>6828.2992000000004</v>
      </c>
      <c r="J4" s="531">
        <v>6801.7084000000004</v>
      </c>
      <c r="K4" s="30"/>
      <c r="O4" s="327" t="str">
        <f>D1</f>
        <v>PCE</v>
      </c>
      <c r="P4" s="328">
        <f>100-ABS((($G10-D2)/($G10)))*100</f>
        <v>99.922872981441316</v>
      </c>
      <c r="Q4" s="329">
        <f t="shared" si="0"/>
        <v>0.12523691868847001</v>
      </c>
      <c r="R4" s="330">
        <f>100-ABS((($G11-D3)/($G11)))*100</f>
        <v>99.87432934821291</v>
      </c>
      <c r="S4" s="331">
        <f t="shared" si="1"/>
        <v>0.11133095504250964</v>
      </c>
      <c r="T4" s="331">
        <f>100-ABS((($G12-D4)/($G12)))*100</f>
        <v>99.612939663383813</v>
      </c>
      <c r="U4" s="331">
        <f t="shared" si="2"/>
        <v>0.11100267140000745</v>
      </c>
      <c r="V4" s="331">
        <f>100-ABS((($G13-D5)/($G13)))*100</f>
        <v>80.389671361502351</v>
      </c>
      <c r="W4" s="331">
        <f t="shared" si="3"/>
        <v>0.10297168688827243</v>
      </c>
      <c r="X4" s="332">
        <f>100-ABS((($G14-D6)/($G14)))*100</f>
        <v>99.226788752937381</v>
      </c>
      <c r="Y4" s="333">
        <f t="shared" si="4"/>
        <v>0.11118792254523682</v>
      </c>
      <c r="Z4" s="334">
        <f>100-ABS((($G15-D7)/($G15)))*100</f>
        <v>99.02155881170755</v>
      </c>
      <c r="AA4" s="39">
        <f t="shared" si="5"/>
        <v>0.11104412330982776</v>
      </c>
      <c r="AB4" s="23"/>
      <c r="AC4" s="56">
        <f t="shared" si="6"/>
        <v>94.775932281509114</v>
      </c>
      <c r="AD4" s="57">
        <f t="shared" si="7"/>
        <v>96.341360153197556</v>
      </c>
      <c r="AE4" s="42" t="str">
        <f>IF($AC4=MAX(AC2:AC10),"TOP","")</f>
        <v/>
      </c>
      <c r="AG4" s="163" t="s">
        <v>13</v>
      </c>
      <c r="AH4" s="272" t="s">
        <v>35</v>
      </c>
      <c r="AI4" s="389">
        <f>MAX(R2:R10)</f>
        <v>99.87432934821291</v>
      </c>
    </row>
    <row r="5" spans="1:45" ht="14.4" x14ac:dyDescent="0.3">
      <c r="A5" s="43" t="s">
        <v>15</v>
      </c>
      <c r="B5" s="532">
        <v>10.9773</v>
      </c>
      <c r="C5" s="533">
        <v>16.48</v>
      </c>
      <c r="D5" s="533">
        <v>17.8339</v>
      </c>
      <c r="E5" s="533">
        <v>16.905100000000001</v>
      </c>
      <c r="F5" s="533">
        <v>16.445499999999999</v>
      </c>
      <c r="G5" s="533">
        <v>16.6297</v>
      </c>
      <c r="H5" s="534">
        <v>16.246200000000002</v>
      </c>
      <c r="I5" s="534">
        <v>16.203399999999998</v>
      </c>
      <c r="J5" s="535">
        <v>16.3916</v>
      </c>
      <c r="K5" s="30"/>
      <c r="L5" s="1" t="s">
        <v>21</v>
      </c>
      <c r="O5" s="327" t="str">
        <f>E1</f>
        <v>LSTM</v>
      </c>
      <c r="P5" s="328">
        <f>100-ABS((($G10-E2)/($G10)))*100</f>
        <v>99.392624728850322</v>
      </c>
      <c r="Q5" s="329">
        <f t="shared" si="0"/>
        <v>0.12457233954544661</v>
      </c>
      <c r="R5" s="330">
        <f>100-ABS((($G11-E3)/($G11)))*100</f>
        <v>99.568775164958296</v>
      </c>
      <c r="S5" s="331">
        <f t="shared" si="1"/>
        <v>0.11099035061231251</v>
      </c>
      <c r="T5" s="331">
        <f>100-ABS((($G12-E4)/($G12)))*100</f>
        <v>99.959506854205657</v>
      </c>
      <c r="U5" s="331">
        <f t="shared" si="2"/>
        <v>0.11138886504242801</v>
      </c>
      <c r="V5" s="331">
        <f>100-ABS((($G13-E5)/($G13)))*100</f>
        <v>86.61904761904762</v>
      </c>
      <c r="W5" s="331">
        <f t="shared" si="3"/>
        <v>0.11095093808606216</v>
      </c>
      <c r="X5" s="332">
        <f>100-ABS((($G14-E6)/($G14)))*100</f>
        <v>99.034972854711938</v>
      </c>
      <c r="Y5" s="333">
        <f t="shared" si="4"/>
        <v>0.11097298450780886</v>
      </c>
      <c r="Z5" s="334">
        <f>100-ABS((($G15-E7)/($G15)))*100</f>
        <v>99.696715021741525</v>
      </c>
      <c r="AA5" s="39">
        <f t="shared" si="5"/>
        <v>0.11180125266973787</v>
      </c>
      <c r="AB5" s="23"/>
      <c r="AC5" s="56">
        <f t="shared" si="6"/>
        <v>96.295575623230874</v>
      </c>
      <c r="AD5" s="57">
        <f t="shared" si="7"/>
        <v>97.378607040585905</v>
      </c>
      <c r="AE5" s="42" t="str">
        <f>IF($AC5=MAX(AC2:AC10),"TOP","")</f>
        <v/>
      </c>
      <c r="AG5" s="43" t="s">
        <v>14</v>
      </c>
      <c r="AH5" s="274" t="s">
        <v>36</v>
      </c>
      <c r="AI5" s="390">
        <f>MAX(T2:T10)</f>
        <v>99.959506854205657</v>
      </c>
    </row>
    <row r="6" spans="1:45" ht="14.4" x14ac:dyDescent="0.3">
      <c r="A6" s="43" t="s">
        <v>16</v>
      </c>
      <c r="B6" s="536">
        <v>600.26089999999999</v>
      </c>
      <c r="C6" s="537">
        <v>614.70180000000005</v>
      </c>
      <c r="D6" s="537">
        <v>612.27890000000002</v>
      </c>
      <c r="E6" s="537">
        <v>611.09529999999995</v>
      </c>
      <c r="F6" s="537">
        <v>614.66600000000005</v>
      </c>
      <c r="G6" s="537">
        <v>614.27790000000005</v>
      </c>
      <c r="H6" s="537">
        <v>614.70180000000005</v>
      </c>
      <c r="I6" s="537">
        <v>614.6943</v>
      </c>
      <c r="J6" s="538">
        <v>610.02639999999997</v>
      </c>
      <c r="K6" s="30"/>
      <c r="O6" s="327" t="str">
        <f>F1</f>
        <v>GARCH</v>
      </c>
      <c r="P6" s="328">
        <f>100-ABS((($G10-F2)/($G10)))*100</f>
        <v>99.949385394070845</v>
      </c>
      <c r="Q6" s="329">
        <f t="shared" si="0"/>
        <v>0.12527014764562114</v>
      </c>
      <c r="R6" s="330">
        <f>100-ABS((($G11-F3)/($G11)))*100</f>
        <v>99.674921870601551</v>
      </c>
      <c r="S6" s="331">
        <f t="shared" si="1"/>
        <v>0.11110867345053331</v>
      </c>
      <c r="T6" s="331">
        <f>100-ABS((($G12-F4)/($G12)))*100</f>
        <v>99.913736065163604</v>
      </c>
      <c r="U6" s="331">
        <f t="shared" si="2"/>
        <v>0.1113378608267817</v>
      </c>
      <c r="V6" s="331">
        <f>100-ABS((($G13-F5)/($G13)))*100</f>
        <v>89.701542588866545</v>
      </c>
      <c r="W6" s="331">
        <f t="shared" si="3"/>
        <v>0.11489932724465837</v>
      </c>
      <c r="X6" s="332">
        <f>100-ABS((($G14-F6)/($G14)))*100</f>
        <v>99.613645571671682</v>
      </c>
      <c r="Y6" s="333">
        <f t="shared" si="4"/>
        <v>0.1116214123975047</v>
      </c>
      <c r="Z6" s="334">
        <f>100-ABS((($G15-F7)/($G15)))*100</f>
        <v>99.095735740124979</v>
      </c>
      <c r="AA6" s="39">
        <f t="shared" si="5"/>
        <v>0.11112730632658466</v>
      </c>
      <c r="AB6" s="23"/>
      <c r="AC6" s="56">
        <f t="shared" si="6"/>
        <v>97.225961524075842</v>
      </c>
      <c r="AD6" s="57">
        <f t="shared" si="7"/>
        <v>97.991494538416532</v>
      </c>
      <c r="AE6" s="42" t="str">
        <f>IF($AC6=MAX(AC2:AC10),"TOP","")</f>
        <v/>
      </c>
      <c r="AG6" s="43" t="s">
        <v>15</v>
      </c>
      <c r="AH6" s="274" t="s">
        <v>37</v>
      </c>
      <c r="AI6" s="390">
        <f>MAX(V2:V10)</f>
        <v>91.325285043594917</v>
      </c>
    </row>
    <row r="7" spans="1:45" ht="14.4" x14ac:dyDescent="0.3">
      <c r="A7" s="67" t="s">
        <v>17</v>
      </c>
      <c r="B7" s="68">
        <v>262.46170000000001</v>
      </c>
      <c r="C7" s="69">
        <v>274.94150000000002</v>
      </c>
      <c r="D7" s="69">
        <v>276.34769999999997</v>
      </c>
      <c r="E7" s="69">
        <v>274.5</v>
      </c>
      <c r="F7" s="69">
        <v>276.1447</v>
      </c>
      <c r="G7" s="69">
        <v>275.50799999999998</v>
      </c>
      <c r="H7" s="69">
        <v>275.78359999999998</v>
      </c>
      <c r="I7" s="69">
        <v>275.78359999999998</v>
      </c>
      <c r="J7" s="70">
        <v>273.94569999999999</v>
      </c>
      <c r="K7" s="30"/>
      <c r="O7" s="327" t="str">
        <f>G1</f>
        <v>VAR</v>
      </c>
      <c r="P7" s="328">
        <f>100-ABS((($G10-G2)/($G10)))*100</f>
        <v>0</v>
      </c>
      <c r="Q7" s="329">
        <f t="shared" si="0"/>
        <v>0</v>
      </c>
      <c r="R7" s="330">
        <f>100-ABS((($G11-G3)/($G11)))*100</f>
        <v>99.501050693166633</v>
      </c>
      <c r="S7" s="331">
        <f t="shared" si="1"/>
        <v>0.11091485743830552</v>
      </c>
      <c r="T7" s="331">
        <f>100-ABS((($G12-G4)/($G12)))*100</f>
        <v>99.723436569517261</v>
      </c>
      <c r="U7" s="331">
        <f t="shared" si="2"/>
        <v>0.11112580250931611</v>
      </c>
      <c r="V7" s="331">
        <f>100-ABS((($G13-G5)/($G13)))*100</f>
        <v>88.466130114017446</v>
      </c>
      <c r="W7" s="331">
        <f t="shared" si="3"/>
        <v>0.11331687884819748</v>
      </c>
      <c r="X7" s="332">
        <f>100-ABS((($G14-G6)/($G14)))*100</f>
        <v>99.550749534073432</v>
      </c>
      <c r="Y7" s="333">
        <f t="shared" si="4"/>
        <v>0.1115509346581284</v>
      </c>
      <c r="Z7" s="334">
        <f>100-ABS((($G15-G7)/($G15)))*100</f>
        <v>99.328388204772182</v>
      </c>
      <c r="AA7" s="39">
        <f t="shared" si="5"/>
        <v>0.11138820596584145</v>
      </c>
      <c r="AB7" s="23"/>
      <c r="AC7" s="56">
        <f t="shared" si="6"/>
        <v>96.810341727693697</v>
      </c>
      <c r="AD7" s="57">
        <f t="shared" si="7"/>
        <v>81.094959185924495</v>
      </c>
      <c r="AE7" s="42" t="str">
        <f>IF($AC7=MAX(AC2:AC10),"TOP","")</f>
        <v/>
      </c>
      <c r="AG7" s="174" t="s">
        <v>16</v>
      </c>
      <c r="AH7" s="276" t="s">
        <v>36</v>
      </c>
      <c r="AI7" s="391">
        <f>MAX(X2:X10)</f>
        <v>99.619447370553459</v>
      </c>
    </row>
    <row r="8" spans="1:45" ht="14.4" x14ac:dyDescent="0.3">
      <c r="O8" s="327" t="str">
        <f>H1</f>
        <v>RW</v>
      </c>
      <c r="P8" s="328">
        <f>100-ABS((($G10-H2)/($G10)))*100</f>
        <v>99.860207278862376</v>
      </c>
      <c r="Q8" s="329">
        <f t="shared" si="0"/>
        <v>0.12515837751702177</v>
      </c>
      <c r="R8" s="330">
        <f>100-ABS((($G11-H3)/($G11)))*100</f>
        <v>99.707283843382626</v>
      </c>
      <c r="S8" s="331">
        <f t="shared" si="1"/>
        <v>0.11114474767861864</v>
      </c>
      <c r="T8" s="331">
        <f>100-ABS((($G12-H4)/($G12)))*100</f>
        <v>99.886445074906831</v>
      </c>
      <c r="U8" s="331">
        <f t="shared" si="2"/>
        <v>0.11130744938792757</v>
      </c>
      <c r="V8" s="331">
        <f>100-ABS((($G13-H5)/($G13)))*100</f>
        <v>91.038229376257533</v>
      </c>
      <c r="W8" s="331">
        <f t="shared" si="3"/>
        <v>0.11661149860955874</v>
      </c>
      <c r="X8" s="332">
        <f>100-ABS((($G14-H6)/($G14)))*100</f>
        <v>99.619447370553459</v>
      </c>
      <c r="Y8" s="333">
        <f t="shared" si="4"/>
        <v>0.11162791356490916</v>
      </c>
      <c r="Z8" s="334">
        <f>100-ABS((($E15-H7)/($E15)))*100</f>
        <v>99.81705899447833</v>
      </c>
      <c r="AA8" s="39">
        <f t="shared" si="5"/>
        <v>0.11193620803812983</v>
      </c>
      <c r="AB8" s="23"/>
      <c r="AC8" s="56">
        <f t="shared" si="6"/>
        <v>97.562851416275109</v>
      </c>
      <c r="AD8" s="57">
        <f t="shared" si="7"/>
        <v>98.321445323073533</v>
      </c>
      <c r="AE8" s="42" t="str">
        <f>IF($AC8=MAX(AC2:AC10),"TOP","")</f>
        <v/>
      </c>
      <c r="AG8" s="136" t="s">
        <v>17</v>
      </c>
      <c r="AH8" s="278" t="s">
        <v>38</v>
      </c>
      <c r="AI8" s="392">
        <f>MAX(Z2:Z10)</f>
        <v>99.81705899447833</v>
      </c>
    </row>
    <row r="9" spans="1:45" ht="15" x14ac:dyDescent="0.3">
      <c r="B9" s="258" t="s">
        <v>22</v>
      </c>
      <c r="C9" s="393" t="s">
        <v>21</v>
      </c>
      <c r="D9" s="394" t="s">
        <v>24</v>
      </c>
      <c r="E9" s="539" t="s">
        <v>97</v>
      </c>
      <c r="F9" s="540" t="s">
        <v>98</v>
      </c>
      <c r="G9" s="73" t="s">
        <v>82</v>
      </c>
      <c r="I9" s="304" t="s">
        <v>83</v>
      </c>
      <c r="K9" s="523"/>
      <c r="L9" s="524" t="str">
        <f>IF(M9&lt;25,L11,IF(M9&lt;45,L12,IF(M9&lt;55,L13,IF(M9&lt;75,L14,L15))))</f>
        <v>Neutral</v>
      </c>
      <c r="M9" s="525">
        <v>47</v>
      </c>
      <c r="O9" s="327" t="str">
        <f>I1</f>
        <v>ETS</v>
      </c>
      <c r="P9" s="328">
        <f>100-ABS((($G10-I2)/($G10)))*100</f>
        <v>99.865027717522281</v>
      </c>
      <c r="Q9" s="329">
        <f t="shared" si="0"/>
        <v>0.1251644191455947</v>
      </c>
      <c r="R9" s="330">
        <f>100-ABS((($G11-I3)/($G11)))*100</f>
        <v>99.575203765916982</v>
      </c>
      <c r="S9" s="331">
        <f t="shared" si="1"/>
        <v>0.11099751664075032</v>
      </c>
      <c r="T9" s="331">
        <f>100-ABS((($G12-I4)/($G12)))*100</f>
        <v>99.909418259445843</v>
      </c>
      <c r="U9" s="331">
        <f t="shared" si="2"/>
        <v>0.11133304932366898</v>
      </c>
      <c r="V9" s="331">
        <f>100-ABS((($G13-I5)/($G13)))*100</f>
        <v>91.325285043594917</v>
      </c>
      <c r="W9" s="331">
        <f t="shared" si="3"/>
        <v>0.11697919020222178</v>
      </c>
      <c r="X9" s="332">
        <f>100-ABS((($G14-I6)/($G14)))*100</f>
        <v>99.618231909893851</v>
      </c>
      <c r="Y9" s="333">
        <f t="shared" si="4"/>
        <v>0.11162655158849759</v>
      </c>
      <c r="Z9" s="334">
        <f>100-ABS((($E15-I7)/($E15)))*100</f>
        <v>99.81705899447833</v>
      </c>
      <c r="AA9" s="39">
        <f t="shared" si="5"/>
        <v>0.11193620803812983</v>
      </c>
      <c r="AB9" s="23"/>
      <c r="AC9" s="56">
        <f t="shared" si="6"/>
        <v>97.607034744712891</v>
      </c>
      <c r="AD9" s="57">
        <f t="shared" si="7"/>
        <v>98.351704281808694</v>
      </c>
      <c r="AE9" s="42" t="str">
        <f>IF($AC9=MAX(AC2:AC10),"TOP","")</f>
        <v>TOP</v>
      </c>
      <c r="AG9" s="2"/>
      <c r="AH9" s="2"/>
      <c r="AI9" s="2"/>
    </row>
    <row r="10" spans="1:45" ht="14.4" x14ac:dyDescent="0.3">
      <c r="A10" s="76" t="s">
        <v>12</v>
      </c>
      <c r="B10" s="260">
        <v>4.149</v>
      </c>
      <c r="C10" s="541">
        <f>(B2*Q24)+(C2*Q25)+(D2*Q26)+(E2*Q27)+(F2*Q28)+(G2*Q29)+(H2*Q30)+(I2*Q31)+(J2*Q32)</f>
        <v>4.1498636199575367</v>
      </c>
      <c r="D10" s="397">
        <v>4.1487860565629999</v>
      </c>
      <c r="E10" s="398">
        <f t="shared" ref="E10:E15" si="8">F18</f>
        <v>4.149</v>
      </c>
      <c r="F10" s="399">
        <f t="shared" ref="F10:F15" si="9">F18*L18</f>
        <v>4.149</v>
      </c>
      <c r="G10" s="82">
        <v>4.149</v>
      </c>
      <c r="I10" s="306">
        <f t="shared" ref="I10:I15" si="10">(AI22+AK22)/2</f>
        <v>4.1500000000000004</v>
      </c>
      <c r="O10" s="339" t="str">
        <f>J1</f>
        <v>DynaMix</v>
      </c>
      <c r="P10" s="340">
        <f>100-ABS((($G10-J2)/($G10)))*100</f>
        <v>99.3939985538684</v>
      </c>
      <c r="Q10" s="341">
        <f t="shared" si="0"/>
        <v>0.1245740614095899</v>
      </c>
      <c r="R10" s="342">
        <f>100-ABS((($G11-J3)/($G11)))*100</f>
        <v>99.778534447674019</v>
      </c>
      <c r="S10" s="343">
        <f t="shared" si="1"/>
        <v>0.11122417146924515</v>
      </c>
      <c r="T10" s="343">
        <f>100-ABS((($G12-J4)/($G12)))*100</f>
        <v>99.520350457751789</v>
      </c>
      <c r="U10" s="343">
        <f t="shared" si="2"/>
        <v>0.11089949555555703</v>
      </c>
      <c r="V10" s="343">
        <f>100-ABS((($G13-J5)/($G13)))*100</f>
        <v>90.063044936284371</v>
      </c>
      <c r="W10" s="343">
        <f t="shared" si="3"/>
        <v>0.115362378105512</v>
      </c>
      <c r="X10" s="344">
        <f>100-ABS((($G14-J6)/($G14)))*100</f>
        <v>98.861745401507179</v>
      </c>
      <c r="Y10" s="345">
        <f t="shared" si="4"/>
        <v>0.11077887562963487</v>
      </c>
      <c r="Z10" s="346">
        <f>100-ABS((($E15-J7)/($E15)))*100</f>
        <v>99.515293519325809</v>
      </c>
      <c r="AA10" s="92">
        <f t="shared" si="5"/>
        <v>0.11159780412856095</v>
      </c>
      <c r="AC10" s="93">
        <f t="shared" si="6"/>
        <v>97.055918810804343</v>
      </c>
      <c r="AD10" s="94">
        <f t="shared" si="7"/>
        <v>97.855494552735252</v>
      </c>
      <c r="AE10" s="42" t="str">
        <f>IF($AC10=MAX(AC2:AC10),"TOP","")</f>
        <v/>
      </c>
      <c r="AG10" s="1381" t="s">
        <v>39</v>
      </c>
      <c r="AH10" s="1381"/>
      <c r="AI10" s="400">
        <f>AVERAGE(AI4:AI7)</f>
        <v>97.694642154141746</v>
      </c>
    </row>
    <row r="11" spans="1:45" ht="15" customHeight="1" x14ac:dyDescent="0.3">
      <c r="A11" s="95" t="s">
        <v>13</v>
      </c>
      <c r="B11" s="261">
        <v>48114.26</v>
      </c>
      <c r="C11" s="542">
        <f>(B3*S24)+(C3*S25)+(D3*S26)+(E3*S27)+(F3*S28)+(G3*S29)+(H3*S30)+(I3*S31)+(J3*S32)</f>
        <v>48269.680883433393</v>
      </c>
      <c r="D11" s="401">
        <v>48216.270634759698</v>
      </c>
      <c r="E11" s="402">
        <f t="shared" si="8"/>
        <v>48216.270000000004</v>
      </c>
      <c r="F11" s="403">
        <f t="shared" si="9"/>
        <v>48134.890000000014</v>
      </c>
      <c r="G11" s="101">
        <v>48134.89</v>
      </c>
      <c r="I11" s="308">
        <f t="shared" si="10"/>
        <v>48304.5</v>
      </c>
      <c r="J11" s="226" t="s">
        <v>43</v>
      </c>
      <c r="K11" s="227">
        <v>0</v>
      </c>
      <c r="L11" s="228" t="s">
        <v>44</v>
      </c>
      <c r="Q11" s="5"/>
      <c r="AG11" s="1383" t="s">
        <v>41</v>
      </c>
      <c r="AH11" s="1383"/>
      <c r="AI11" s="404">
        <f>AVERAGE(AI3:AI8)</f>
        <v>98.432604601840879</v>
      </c>
      <c r="AQ11" s="103"/>
      <c r="AS11" s="104" t="s">
        <v>27</v>
      </c>
    </row>
    <row r="12" spans="1:45" ht="15" x14ac:dyDescent="0.3">
      <c r="A12" s="105" t="s">
        <v>14</v>
      </c>
      <c r="B12" s="262">
        <v>6800.26</v>
      </c>
      <c r="C12" s="543">
        <f>(B4*U24)+(C4*U25)+(D4*U26)+(E4*U27)+(F4*U28)+(G4*U29)+(H4*U30)+(I4*U31)+(J4*U32)</f>
        <v>6815.6181897610913</v>
      </c>
      <c r="D12" s="405">
        <v>6813.4231582996699</v>
      </c>
      <c r="E12" s="406">
        <f t="shared" si="8"/>
        <v>6813.42</v>
      </c>
      <c r="F12" s="407">
        <f t="shared" si="9"/>
        <v>6834.4900000000243</v>
      </c>
      <c r="G12" s="111">
        <v>6834.49</v>
      </c>
      <c r="I12" s="308">
        <f t="shared" si="10"/>
        <v>6819</v>
      </c>
      <c r="K12" s="227">
        <v>25</v>
      </c>
      <c r="L12" s="228" t="s">
        <v>45</v>
      </c>
      <c r="O12" s="13" t="s">
        <v>28</v>
      </c>
      <c r="P12" s="350" t="s">
        <v>12</v>
      </c>
      <c r="Q12" s="114">
        <f>SUM(P13:P21)</f>
        <v>720</v>
      </c>
      <c r="R12" s="115" t="s">
        <v>13</v>
      </c>
      <c r="S12" s="116">
        <f>SUM(R13:R21)</f>
        <v>825</v>
      </c>
      <c r="T12" s="117" t="s">
        <v>14</v>
      </c>
      <c r="U12" s="116">
        <f>SUM(T13:T21)</f>
        <v>815</v>
      </c>
      <c r="V12" s="117" t="s">
        <v>15</v>
      </c>
      <c r="W12" s="116">
        <f>SUM(V13:V21)</f>
        <v>96.1</v>
      </c>
      <c r="X12" s="117" t="s">
        <v>16</v>
      </c>
      <c r="Y12" s="20">
        <f>SUM(X13:X21)</f>
        <v>730</v>
      </c>
      <c r="Z12" s="351" t="s">
        <v>17</v>
      </c>
      <c r="AA12" s="22">
        <f>SUM(Z13:Z21)</f>
        <v>730</v>
      </c>
      <c r="AB12" s="23"/>
      <c r="AC12" s="24" t="s">
        <v>29</v>
      </c>
      <c r="AD12" s="119" t="s">
        <v>30</v>
      </c>
      <c r="AQ12" s="103"/>
      <c r="AS12" s="103"/>
    </row>
    <row r="13" spans="1:45" ht="15" x14ac:dyDescent="0.3">
      <c r="A13" s="105" t="s">
        <v>15</v>
      </c>
      <c r="B13" s="262">
        <v>16.48</v>
      </c>
      <c r="C13" s="544">
        <f>(B5*W24)+(C5*W25)+(D5*W26)+(E5*W27)+(F5*W28)+(G5*W29)+(H5*W30)+(I5*W31)+(J5*W32)</f>
        <v>15.840830454033165</v>
      </c>
      <c r="D13" s="405">
        <v>16.556330027051398</v>
      </c>
      <c r="E13" s="406">
        <f t="shared" si="8"/>
        <v>16.559999999999995</v>
      </c>
      <c r="F13" s="407">
        <f t="shared" si="9"/>
        <v>14.910000000000002</v>
      </c>
      <c r="G13" s="111">
        <v>14.91</v>
      </c>
      <c r="I13" s="306">
        <f t="shared" si="10"/>
        <v>16.2</v>
      </c>
      <c r="K13" s="227">
        <v>45</v>
      </c>
      <c r="L13" s="228" t="s">
        <v>46</v>
      </c>
      <c r="O13" s="127" t="str">
        <f t="shared" ref="O13:O21" si="11">O2</f>
        <v>PyCaret</v>
      </c>
      <c r="P13" s="352">
        <f t="shared" ref="P13:P21" si="12">IF(P2=0,0, LOOKUP(P2-0.000000000001,$AC$13:$AC$29,$AD$13:$AD$29))</f>
        <v>80</v>
      </c>
      <c r="Q13" s="129">
        <f t="shared" ref="Q13:Q21" si="13">P13/$Q$12</f>
        <v>0.1111111111111111</v>
      </c>
      <c r="R13" s="353">
        <f t="shared" ref="R13:R21" si="14">IF(R2=0,0, LOOKUP(R2-0.000000000001,$AC$13:$AC$29,$AD$13:$AD$29))</f>
        <v>90</v>
      </c>
      <c r="S13" s="131">
        <f t="shared" ref="S13:S21" si="15">R13/$S$12</f>
        <v>0.10909090909090909</v>
      </c>
      <c r="T13" s="354">
        <f t="shared" ref="T13:T21" si="16">IF(T2=0,0, LOOKUP(T2-0.000000000001,$AC$13:$AC$29,$AD$13:$AD$29))</f>
        <v>70</v>
      </c>
      <c r="U13" s="131">
        <f t="shared" ref="U13:U21" si="17">T13/$U$12</f>
        <v>8.5889570552147243E-2</v>
      </c>
      <c r="V13" s="354">
        <f t="shared" ref="V13:V21" si="18">IF(V2=0,0, LOOKUP(V2-0.000000000001,$AC$13:$AC$29,$AD$13:$AD$29))</f>
        <v>0.1</v>
      </c>
      <c r="W13" s="131">
        <f t="shared" ref="W13:W21" si="19">V13/$W$12</f>
        <v>1.0405827263267431E-3</v>
      </c>
      <c r="X13" s="354">
        <f t="shared" ref="X13:X21" si="20">IF(X2=0,0, LOOKUP(X2-0.000000000001,$AC$13:$AC$29,$AD$13:$AD$29))</f>
        <v>60</v>
      </c>
      <c r="Y13" s="132">
        <f t="shared" ref="Y13:Y21" si="21">X13/$Y$12</f>
        <v>8.2191780821917804E-2</v>
      </c>
      <c r="Z13" s="355">
        <f t="shared" ref="Z13:Z21" si="22">IF(Z2=0,0, LOOKUP(Z2-0.000000000001,$AC$13:$AC$29,$AD$13:$AD$29))</f>
        <v>40</v>
      </c>
      <c r="AA13" s="134">
        <f t="shared" ref="AA13:AA21" si="23">Z13/$AA$12</f>
        <v>5.4794520547945202E-2</v>
      </c>
      <c r="AB13" s="23"/>
      <c r="AC13" s="40">
        <v>1</v>
      </c>
      <c r="AD13" s="135">
        <v>0.1</v>
      </c>
      <c r="AG13" s="8" t="s">
        <v>84</v>
      </c>
      <c r="AQ13" s="103"/>
      <c r="AS13" s="103"/>
    </row>
    <row r="14" spans="1:45" ht="15" x14ac:dyDescent="0.3">
      <c r="A14" s="120" t="s">
        <v>16</v>
      </c>
      <c r="B14" s="293">
        <v>611.75</v>
      </c>
      <c r="C14" s="545">
        <f>(B6*Y24)+(C6*Y25)+(D6*Y26)+(E6*Y27)+(F6*Y28)+(G6*Y29)+(H6*Y30)+(I6*Y31)+(J6*Y32)</f>
        <v>611.7538571717173</v>
      </c>
      <c r="D14" s="408">
        <v>612.83868543607105</v>
      </c>
      <c r="E14" s="409">
        <f t="shared" si="8"/>
        <v>612.83999999999992</v>
      </c>
      <c r="F14" s="410">
        <f t="shared" si="9"/>
        <v>617.04999999999723</v>
      </c>
      <c r="G14" s="126">
        <v>617.04999999999995</v>
      </c>
      <c r="I14" s="309">
        <f t="shared" si="10"/>
        <v>615.15</v>
      </c>
      <c r="K14" s="227">
        <v>55</v>
      </c>
      <c r="L14" s="228" t="s">
        <v>47</v>
      </c>
      <c r="O14" s="143" t="str">
        <f t="shared" si="11"/>
        <v>ARIMAX</v>
      </c>
      <c r="P14" s="356">
        <f t="shared" si="12"/>
        <v>100</v>
      </c>
      <c r="Q14" s="145">
        <f t="shared" si="13"/>
        <v>0.1388888888888889</v>
      </c>
      <c r="R14" s="357">
        <f t="shared" si="14"/>
        <v>95</v>
      </c>
      <c r="S14" s="147">
        <f t="shared" si="15"/>
        <v>0.11515151515151516</v>
      </c>
      <c r="T14" s="358">
        <f t="shared" si="16"/>
        <v>95</v>
      </c>
      <c r="U14" s="147">
        <f t="shared" si="17"/>
        <v>0.1165644171779141</v>
      </c>
      <c r="V14" s="358">
        <f t="shared" si="18"/>
        <v>10</v>
      </c>
      <c r="W14" s="147">
        <f t="shared" si="19"/>
        <v>0.10405827263267431</v>
      </c>
      <c r="X14" s="358">
        <f t="shared" si="20"/>
        <v>90</v>
      </c>
      <c r="Y14" s="148">
        <f t="shared" si="21"/>
        <v>0.12328767123287671</v>
      </c>
      <c r="Z14" s="359">
        <f t="shared" si="22"/>
        <v>90</v>
      </c>
      <c r="AA14" s="134">
        <f t="shared" si="23"/>
        <v>0.12328767123287671</v>
      </c>
      <c r="AB14" s="23"/>
      <c r="AC14" s="56">
        <v>80</v>
      </c>
      <c r="AD14" s="150">
        <v>1</v>
      </c>
      <c r="AG14" s="411" t="s">
        <v>85</v>
      </c>
      <c r="AH14" s="412" t="s">
        <v>86</v>
      </c>
      <c r="AQ14" s="103"/>
      <c r="AS14" s="103"/>
    </row>
    <row r="15" spans="1:45" ht="15" x14ac:dyDescent="0.3">
      <c r="A15" s="136" t="s">
        <v>17</v>
      </c>
      <c r="B15" s="298">
        <v>274.61</v>
      </c>
      <c r="C15" s="546">
        <f>(B7*AA24)+(C7*AA25)+(D7*AA26)+(E7*AA27)+(F7*AA28)+(G7*AA29)+(H7*AA30)+(I7*AA31)+(J7*AA32)</f>
        <v>273.96561184825987</v>
      </c>
      <c r="D15" s="413">
        <v>275.27921568627499</v>
      </c>
      <c r="E15" s="414">
        <f t="shared" si="8"/>
        <v>275.27999999999992</v>
      </c>
      <c r="F15" s="415">
        <f t="shared" si="9"/>
        <v>273.67000000000019</v>
      </c>
      <c r="G15" s="142">
        <v>273.67</v>
      </c>
      <c r="I15" s="309">
        <f t="shared" si="10"/>
        <v>274.70000000000005</v>
      </c>
      <c r="K15" s="227">
        <v>75</v>
      </c>
      <c r="L15" s="228" t="s">
        <v>48</v>
      </c>
      <c r="O15" s="143" t="str">
        <f t="shared" si="11"/>
        <v>PCE</v>
      </c>
      <c r="P15" s="356">
        <f t="shared" si="12"/>
        <v>95</v>
      </c>
      <c r="Q15" s="145">
        <f t="shared" si="13"/>
        <v>0.13194444444444445</v>
      </c>
      <c r="R15" s="357">
        <f t="shared" si="14"/>
        <v>95</v>
      </c>
      <c r="S15" s="147">
        <f t="shared" si="15"/>
        <v>0.11515151515151516</v>
      </c>
      <c r="T15" s="358">
        <f t="shared" si="16"/>
        <v>90</v>
      </c>
      <c r="U15" s="147">
        <f t="shared" si="17"/>
        <v>0.11042944785276074</v>
      </c>
      <c r="V15" s="358">
        <f t="shared" si="18"/>
        <v>1</v>
      </c>
      <c r="W15" s="147">
        <f t="shared" si="19"/>
        <v>1.040582726326743E-2</v>
      </c>
      <c r="X15" s="358">
        <f t="shared" si="20"/>
        <v>75</v>
      </c>
      <c r="Y15" s="148">
        <f t="shared" si="21"/>
        <v>0.10273972602739725</v>
      </c>
      <c r="Z15" s="359">
        <f t="shared" si="22"/>
        <v>75</v>
      </c>
      <c r="AA15" s="134">
        <f t="shared" si="23"/>
        <v>0.10273972602739725</v>
      </c>
      <c r="AB15" s="23"/>
      <c r="AC15" s="56">
        <v>82.5</v>
      </c>
      <c r="AD15" s="150">
        <v>2</v>
      </c>
      <c r="AG15" s="416" t="str">
        <f>P1</f>
        <v>TNX</v>
      </c>
      <c r="AH15" s="417" t="str">
        <f>R1</f>
        <v>DJI</v>
      </c>
      <c r="AI15" s="417" t="str">
        <f>T1</f>
        <v>SPX</v>
      </c>
      <c r="AJ15" s="417" t="str">
        <f>V1</f>
        <v>VIX</v>
      </c>
      <c r="AK15" s="417" t="str">
        <f>X1</f>
        <v>QQQ</v>
      </c>
      <c r="AL15" s="418" t="str">
        <f>Z1</f>
        <v>AAPL</v>
      </c>
      <c r="AQ15" s="103"/>
      <c r="AS15" s="103"/>
    </row>
    <row r="16" spans="1:45" ht="15" x14ac:dyDescent="0.25">
      <c r="G16" s="151"/>
      <c r="K16" s="8"/>
      <c r="O16" s="143" t="str">
        <f t="shared" si="11"/>
        <v>LSTM</v>
      </c>
      <c r="P16" s="356">
        <f t="shared" si="12"/>
        <v>80</v>
      </c>
      <c r="Q16" s="145">
        <f t="shared" si="13"/>
        <v>0.1111111111111111</v>
      </c>
      <c r="R16" s="357">
        <f t="shared" si="14"/>
        <v>90</v>
      </c>
      <c r="S16" s="147">
        <f t="shared" si="15"/>
        <v>0.10909090909090909</v>
      </c>
      <c r="T16" s="358">
        <f t="shared" si="16"/>
        <v>95</v>
      </c>
      <c r="U16" s="147">
        <f t="shared" si="17"/>
        <v>0.1165644171779141</v>
      </c>
      <c r="V16" s="358">
        <f t="shared" si="18"/>
        <v>5</v>
      </c>
      <c r="W16" s="147">
        <f t="shared" si="19"/>
        <v>5.2029136316337155E-2</v>
      </c>
      <c r="X16" s="358">
        <f t="shared" si="20"/>
        <v>75</v>
      </c>
      <c r="Y16" s="148">
        <f t="shared" si="21"/>
        <v>0.10273972602739725</v>
      </c>
      <c r="Z16" s="359">
        <f t="shared" si="22"/>
        <v>90</v>
      </c>
      <c r="AA16" s="134">
        <f t="shared" si="23"/>
        <v>0.12328767123287671</v>
      </c>
      <c r="AB16" s="23"/>
      <c r="AC16" s="56">
        <v>85</v>
      </c>
      <c r="AD16" s="150">
        <v>5</v>
      </c>
      <c r="AG16" s="419">
        <f>C18</f>
        <v>-1.0775633945367957E-3</v>
      </c>
      <c r="AH16" s="419">
        <f>C19</f>
        <v>-53.410248673695605</v>
      </c>
      <c r="AI16" s="419">
        <f>C20</f>
        <v>-2.1950314614214221</v>
      </c>
      <c r="AJ16" s="419">
        <f>C21</f>
        <v>0.71549957301823319</v>
      </c>
      <c r="AK16" s="419">
        <f>C22</f>
        <v>1.0848282643537459</v>
      </c>
      <c r="AL16" s="419">
        <f>C23</f>
        <v>1.3136038380151263</v>
      </c>
      <c r="AQ16" s="103"/>
      <c r="AS16" s="103"/>
    </row>
    <row r="17" spans="1:47" ht="15" x14ac:dyDescent="0.25">
      <c r="A17" s="420" t="s">
        <v>21</v>
      </c>
      <c r="B17" s="421" t="str">
        <f t="shared" ref="B17:B23" si="24">B9</f>
        <v>Close YF</v>
      </c>
      <c r="C17" s="422" t="s">
        <v>87</v>
      </c>
      <c r="D17" s="1391" t="s">
        <v>88</v>
      </c>
      <c r="E17" s="1391"/>
      <c r="F17" s="423" t="str">
        <f>E9</f>
        <v>PRED.</v>
      </c>
      <c r="G17" s="8"/>
      <c r="H17" s="1393" t="s">
        <v>99</v>
      </c>
      <c r="I17" s="1393"/>
      <c r="L17" s="547" t="s">
        <v>100</v>
      </c>
      <c r="M17" s="154"/>
      <c r="O17" s="143" t="str">
        <f t="shared" si="11"/>
        <v>GARCH</v>
      </c>
      <c r="P17" s="356">
        <f t="shared" si="12"/>
        <v>95</v>
      </c>
      <c r="Q17" s="145">
        <f t="shared" si="13"/>
        <v>0.13194444444444445</v>
      </c>
      <c r="R17" s="357">
        <f t="shared" si="14"/>
        <v>90</v>
      </c>
      <c r="S17" s="147">
        <f t="shared" si="15"/>
        <v>0.10909090909090909</v>
      </c>
      <c r="T17" s="358">
        <f t="shared" si="16"/>
        <v>95</v>
      </c>
      <c r="U17" s="147">
        <f t="shared" si="17"/>
        <v>0.1165644171779141</v>
      </c>
      <c r="V17" s="358">
        <f t="shared" si="18"/>
        <v>10</v>
      </c>
      <c r="W17" s="147">
        <f t="shared" si="19"/>
        <v>0.10405827263267431</v>
      </c>
      <c r="X17" s="358">
        <f t="shared" si="20"/>
        <v>90</v>
      </c>
      <c r="Y17" s="148">
        <f t="shared" si="21"/>
        <v>0.12328767123287671</v>
      </c>
      <c r="Z17" s="359">
        <f t="shared" si="22"/>
        <v>75</v>
      </c>
      <c r="AA17" s="134">
        <f t="shared" si="23"/>
        <v>0.10273972602739725</v>
      </c>
      <c r="AB17" s="23"/>
      <c r="AC17" s="56">
        <v>87.5</v>
      </c>
      <c r="AD17" s="150">
        <v>10</v>
      </c>
      <c r="AG17" s="425">
        <f>D18</f>
        <v>0</v>
      </c>
      <c r="AH17" s="425">
        <f>D19</f>
        <v>-1.9099330659031091</v>
      </c>
      <c r="AI17" s="425">
        <f>D20</f>
        <v>-5.9953582585452576</v>
      </c>
      <c r="AJ17" s="425">
        <f>D21</f>
        <v>0.11180998985440016</v>
      </c>
      <c r="AK17" s="425">
        <f>D22</f>
        <v>1.0047673312136949</v>
      </c>
      <c r="AL17" s="425">
        <f>D23</f>
        <v>0.51004723083961678</v>
      </c>
      <c r="AQ17" s="103"/>
    </row>
    <row r="18" spans="1:47" ht="15" x14ac:dyDescent="0.25">
      <c r="A18" s="426" t="s">
        <v>12</v>
      </c>
      <c r="B18" s="427">
        <f t="shared" si="24"/>
        <v>4.149</v>
      </c>
      <c r="C18" s="428">
        <f t="shared" ref="C18:C23" si="25">D10-C10</f>
        <v>-1.0775633945367957E-3</v>
      </c>
      <c r="D18" s="429">
        <f t="shared" ref="D18:D23" si="26">H18*I18</f>
        <v>0</v>
      </c>
      <c r="E18" s="430">
        <f t="shared" ref="E18:E23" si="27">C18*D18</f>
        <v>0</v>
      </c>
      <c r="F18" s="431">
        <f t="shared" ref="F18:F23" si="28">B18+C18*D18</f>
        <v>4.149</v>
      </c>
      <c r="G18" s="432" t="str">
        <f t="shared" ref="G18:G23" si="29">TEXT(J18,"0.00%") &amp; "" &amp; K18</f>
        <v>0.00%  ↑</v>
      </c>
      <c r="H18" s="305">
        <v>0</v>
      </c>
      <c r="I18" s="433">
        <v>1.5101224441274399</v>
      </c>
      <c r="J18" s="307">
        <f t="shared" ref="J18:J23" si="30">IF((E10-B10)&gt;0, (E10/B10-1), (1-E10/B10))</f>
        <v>0</v>
      </c>
      <c r="K18" s="160" t="str">
        <f t="shared" ref="K18:K23" si="31">IF(E10&lt;B10,"  ↓","  ↑")</f>
        <v xml:space="preserve">  ↑</v>
      </c>
      <c r="L18" s="161">
        <v>1</v>
      </c>
      <c r="M18" s="162"/>
      <c r="O18" s="143" t="str">
        <f t="shared" si="11"/>
        <v>VAR</v>
      </c>
      <c r="P18" s="356">
        <f t="shared" si="12"/>
        <v>0</v>
      </c>
      <c r="Q18" s="145">
        <f t="shared" si="13"/>
        <v>0</v>
      </c>
      <c r="R18" s="357">
        <f t="shared" si="14"/>
        <v>90</v>
      </c>
      <c r="S18" s="147">
        <f t="shared" si="15"/>
        <v>0.10909090909090909</v>
      </c>
      <c r="T18" s="358">
        <f t="shared" si="16"/>
        <v>90</v>
      </c>
      <c r="U18" s="147">
        <f t="shared" si="17"/>
        <v>0.11042944785276074</v>
      </c>
      <c r="V18" s="358">
        <f t="shared" si="18"/>
        <v>10</v>
      </c>
      <c r="W18" s="147">
        <f t="shared" si="19"/>
        <v>0.10405827263267431</v>
      </c>
      <c r="X18" s="358">
        <f t="shared" si="20"/>
        <v>90</v>
      </c>
      <c r="Y18" s="148">
        <f t="shared" si="21"/>
        <v>0.12328767123287671</v>
      </c>
      <c r="Z18" s="359">
        <f t="shared" si="22"/>
        <v>80</v>
      </c>
      <c r="AA18" s="134">
        <f t="shared" si="23"/>
        <v>0.1095890410958904</v>
      </c>
      <c r="AB18" s="23"/>
      <c r="AC18" s="56">
        <v>90</v>
      </c>
      <c r="AD18" s="150">
        <v>20</v>
      </c>
      <c r="AG18" s="434">
        <f>F18</f>
        <v>4.149</v>
      </c>
      <c r="AH18" s="435">
        <f>F19</f>
        <v>48216.270000000004</v>
      </c>
      <c r="AI18" s="435">
        <f>F20</f>
        <v>6813.42</v>
      </c>
      <c r="AJ18" s="435">
        <f>F21</f>
        <v>16.559999999999995</v>
      </c>
      <c r="AK18" s="435">
        <f>F22</f>
        <v>612.83999999999992</v>
      </c>
      <c r="AL18" s="436">
        <f>F23</f>
        <v>275.27999999999992</v>
      </c>
      <c r="AQ18" s="103"/>
    </row>
    <row r="19" spans="1:47" ht="15" x14ac:dyDescent="0.25">
      <c r="A19" s="437" t="s">
        <v>13</v>
      </c>
      <c r="B19" s="438">
        <f t="shared" si="24"/>
        <v>48114.26</v>
      </c>
      <c r="C19" s="439">
        <f t="shared" si="25"/>
        <v>-53.410248673695605</v>
      </c>
      <c r="D19" s="440">
        <f t="shared" si="26"/>
        <v>-1.9099330659031091</v>
      </c>
      <c r="E19" s="441">
        <f t="shared" si="27"/>
        <v>102.00999999999891</v>
      </c>
      <c r="F19" s="442">
        <f t="shared" si="28"/>
        <v>48216.270000000004</v>
      </c>
      <c r="G19" s="443" t="str">
        <f t="shared" si="29"/>
        <v>0.21%  ↑</v>
      </c>
      <c r="H19" s="305">
        <v>-1.4771330749444</v>
      </c>
      <c r="I19" s="433">
        <v>1.2929999999999999</v>
      </c>
      <c r="J19" s="307">
        <f t="shared" si="30"/>
        <v>2.1201614656445322E-3</v>
      </c>
      <c r="K19" s="160" t="str">
        <f t="shared" si="31"/>
        <v xml:space="preserve">  ↑</v>
      </c>
      <c r="L19" s="161">
        <v>0.99831218798136001</v>
      </c>
      <c r="M19" s="162"/>
      <c r="O19" s="143" t="str">
        <f t="shared" si="11"/>
        <v>RW</v>
      </c>
      <c r="P19" s="356">
        <f t="shared" si="12"/>
        <v>95</v>
      </c>
      <c r="Q19" s="145">
        <f t="shared" si="13"/>
        <v>0.13194444444444445</v>
      </c>
      <c r="R19" s="357">
        <f t="shared" si="14"/>
        <v>90</v>
      </c>
      <c r="S19" s="147">
        <f t="shared" si="15"/>
        <v>0.10909090909090909</v>
      </c>
      <c r="T19" s="358">
        <f t="shared" si="16"/>
        <v>95</v>
      </c>
      <c r="U19" s="147">
        <f t="shared" si="17"/>
        <v>0.1165644171779141</v>
      </c>
      <c r="V19" s="358">
        <f t="shared" si="18"/>
        <v>20</v>
      </c>
      <c r="W19" s="147">
        <f t="shared" si="19"/>
        <v>0.20811654526534862</v>
      </c>
      <c r="X19" s="358">
        <f t="shared" si="20"/>
        <v>90</v>
      </c>
      <c r="Y19" s="148">
        <f t="shared" si="21"/>
        <v>0.12328767123287671</v>
      </c>
      <c r="Z19" s="359">
        <f t="shared" si="22"/>
        <v>95</v>
      </c>
      <c r="AA19" s="134">
        <f t="shared" si="23"/>
        <v>0.13013698630136986</v>
      </c>
      <c r="AB19" s="23"/>
      <c r="AC19" s="56">
        <v>92.5</v>
      </c>
      <c r="AD19" s="150">
        <v>30</v>
      </c>
      <c r="AQ19" s="103"/>
    </row>
    <row r="20" spans="1:47" ht="14.4" x14ac:dyDescent="0.25">
      <c r="A20" s="444" t="s">
        <v>14</v>
      </c>
      <c r="B20" s="445">
        <f t="shared" si="24"/>
        <v>6800.26</v>
      </c>
      <c r="C20" s="446">
        <f t="shared" si="25"/>
        <v>-2.1950314614214221</v>
      </c>
      <c r="D20" s="447">
        <f t="shared" si="26"/>
        <v>-5.9953582585452576</v>
      </c>
      <c r="E20" s="448">
        <f t="shared" si="27"/>
        <v>13.15999999999959</v>
      </c>
      <c r="F20" s="449">
        <f t="shared" si="28"/>
        <v>6813.42</v>
      </c>
      <c r="G20" s="443" t="str">
        <f t="shared" si="29"/>
        <v>0.19%  ↑</v>
      </c>
      <c r="H20" s="305">
        <v>-3.44560819456624</v>
      </c>
      <c r="I20" s="433">
        <v>1.74</v>
      </c>
      <c r="J20" s="307">
        <f t="shared" si="30"/>
        <v>1.9352201239364319E-3</v>
      </c>
      <c r="K20" s="160" t="str">
        <f t="shared" si="31"/>
        <v xml:space="preserve">  ↑</v>
      </c>
      <c r="L20" s="161">
        <v>1.00309242641728</v>
      </c>
      <c r="M20" s="162"/>
      <c r="O20" s="143" t="str">
        <f t="shared" si="11"/>
        <v>ETS</v>
      </c>
      <c r="P20" s="356">
        <f t="shared" si="12"/>
        <v>95</v>
      </c>
      <c r="Q20" s="145">
        <f t="shared" si="13"/>
        <v>0.13194444444444445</v>
      </c>
      <c r="R20" s="357">
        <f t="shared" si="14"/>
        <v>90</v>
      </c>
      <c r="S20" s="147">
        <f t="shared" si="15"/>
        <v>0.10909090909090909</v>
      </c>
      <c r="T20" s="358">
        <f t="shared" si="16"/>
        <v>95</v>
      </c>
      <c r="U20" s="147">
        <f t="shared" si="17"/>
        <v>0.1165644171779141</v>
      </c>
      <c r="V20" s="358">
        <f t="shared" si="18"/>
        <v>20</v>
      </c>
      <c r="W20" s="147">
        <f t="shared" si="19"/>
        <v>0.20811654526534862</v>
      </c>
      <c r="X20" s="358">
        <f t="shared" si="20"/>
        <v>90</v>
      </c>
      <c r="Y20" s="148">
        <f t="shared" si="21"/>
        <v>0.12328767123287671</v>
      </c>
      <c r="Z20" s="359">
        <f t="shared" si="22"/>
        <v>95</v>
      </c>
      <c r="AA20" s="134">
        <f t="shared" si="23"/>
        <v>0.13013698630136986</v>
      </c>
      <c r="AC20" s="56">
        <v>95</v>
      </c>
      <c r="AD20" s="150">
        <v>40</v>
      </c>
    </row>
    <row r="21" spans="1:47" ht="15" x14ac:dyDescent="0.25">
      <c r="A21" s="444" t="s">
        <v>15</v>
      </c>
      <c r="B21" s="445">
        <f t="shared" si="24"/>
        <v>16.48</v>
      </c>
      <c r="C21" s="446">
        <f t="shared" si="25"/>
        <v>0.71549957301823319</v>
      </c>
      <c r="D21" s="447">
        <f t="shared" si="26"/>
        <v>0.11180998985440016</v>
      </c>
      <c r="E21" s="448">
        <f t="shared" si="27"/>
        <v>7.9999999999996296E-2</v>
      </c>
      <c r="F21" s="449">
        <f t="shared" si="28"/>
        <v>16.559999999999995</v>
      </c>
      <c r="G21" s="443" t="str">
        <f t="shared" si="29"/>
        <v>0.49%  ↑</v>
      </c>
      <c r="H21" s="305">
        <v>1.41980939497651E-2</v>
      </c>
      <c r="I21" s="433">
        <v>7.875</v>
      </c>
      <c r="J21" s="307">
        <f t="shared" si="30"/>
        <v>4.8543689320386108E-3</v>
      </c>
      <c r="K21" s="160" t="str">
        <f t="shared" si="31"/>
        <v xml:space="preserve">  ↑</v>
      </c>
      <c r="L21" s="161">
        <v>0.90036231884058004</v>
      </c>
      <c r="M21" s="162"/>
      <c r="O21" s="180" t="str">
        <f t="shared" si="11"/>
        <v>DynaMix</v>
      </c>
      <c r="P21" s="360">
        <f t="shared" si="12"/>
        <v>80</v>
      </c>
      <c r="Q21" s="182">
        <f t="shared" si="13"/>
        <v>0.1111111111111111</v>
      </c>
      <c r="R21" s="361">
        <f t="shared" si="14"/>
        <v>95</v>
      </c>
      <c r="S21" s="184">
        <f t="shared" si="15"/>
        <v>0.11515151515151516</v>
      </c>
      <c r="T21" s="362">
        <f t="shared" si="16"/>
        <v>90</v>
      </c>
      <c r="U21" s="184">
        <f t="shared" si="17"/>
        <v>0.11042944785276074</v>
      </c>
      <c r="V21" s="362">
        <f t="shared" si="18"/>
        <v>20</v>
      </c>
      <c r="W21" s="184">
        <f t="shared" si="19"/>
        <v>0.20811654526534862</v>
      </c>
      <c r="X21" s="362">
        <f t="shared" si="20"/>
        <v>70</v>
      </c>
      <c r="Y21" s="185">
        <f t="shared" si="21"/>
        <v>9.5890410958904104E-2</v>
      </c>
      <c r="Z21" s="363">
        <f t="shared" si="22"/>
        <v>90</v>
      </c>
      <c r="AA21" s="187">
        <f t="shared" si="23"/>
        <v>0.12328767123287671</v>
      </c>
      <c r="AB21" s="23"/>
      <c r="AC21" s="56">
        <v>96</v>
      </c>
      <c r="AD21" s="150">
        <v>50</v>
      </c>
      <c r="AG21" s="1" t="s">
        <v>0</v>
      </c>
      <c r="AH21" s="259" t="s">
        <v>23</v>
      </c>
      <c r="AI21" s="1392" t="s">
        <v>31</v>
      </c>
      <c r="AJ21" s="1392"/>
      <c r="AK21" s="1392">
        <v>85520</v>
      </c>
      <c r="AL21" s="1392"/>
      <c r="AM21" s="1389" t="s">
        <v>25</v>
      </c>
      <c r="AN21" s="1389"/>
      <c r="AP21" s="450">
        <f t="shared" ref="AP21:AP26" si="32">(AI22-AH22)/AH22</f>
        <v>2.4102193299598311E-4</v>
      </c>
      <c r="AQ21" s="451" t="str">
        <f t="shared" ref="AQ21:AQ26" si="33">IF(AI22-AH22&gt;0,"↑","↓")</f>
        <v>↑</v>
      </c>
      <c r="AR21" s="452">
        <f t="shared" ref="AR21:AR26" si="34">(AK22-AH22)/AH22</f>
        <v>2.4102193299598311E-4</v>
      </c>
      <c r="AS21" s="453" t="str">
        <f t="shared" ref="AS21:AS26" si="35">IF(AK22-AH22&gt;0,"↑","↓")</f>
        <v>↑</v>
      </c>
      <c r="AT21" s="450">
        <f t="shared" ref="AT21:AT26" si="36">(AM22-AH22)/AH22</f>
        <v>0</v>
      </c>
      <c r="AU21" s="451" t="str">
        <f t="shared" ref="AU21:AU26" si="37">IF(AM22-AH22&gt;0,"↑","↓")</f>
        <v>↓</v>
      </c>
    </row>
    <row r="22" spans="1:47" ht="15" x14ac:dyDescent="0.25">
      <c r="A22" s="454" t="s">
        <v>16</v>
      </c>
      <c r="B22" s="455">
        <f t="shared" si="24"/>
        <v>611.75</v>
      </c>
      <c r="C22" s="456">
        <f t="shared" si="25"/>
        <v>1.0848282643537459</v>
      </c>
      <c r="D22" s="457">
        <f t="shared" si="26"/>
        <v>1.0047673312136949</v>
      </c>
      <c r="E22" s="458">
        <f t="shared" si="27"/>
        <v>1.0899999999998979</v>
      </c>
      <c r="F22" s="459">
        <f t="shared" si="28"/>
        <v>612.83999999999992</v>
      </c>
      <c r="G22" s="443" t="str">
        <f t="shared" si="29"/>
        <v>0.18%  ↑</v>
      </c>
      <c r="H22" s="305">
        <v>0.55644200654244602</v>
      </c>
      <c r="I22" s="433">
        <v>1.8057000000000001</v>
      </c>
      <c r="J22" s="307">
        <f t="shared" si="30"/>
        <v>1.7817736003267193E-3</v>
      </c>
      <c r="K22" s="160" t="str">
        <f t="shared" si="31"/>
        <v xml:space="preserve">  ↑</v>
      </c>
      <c r="L22" s="161">
        <v>1.00686965602767</v>
      </c>
      <c r="M22" s="162"/>
      <c r="Q22" s="5"/>
      <c r="AC22" s="56">
        <v>97</v>
      </c>
      <c r="AD22" s="150">
        <v>60</v>
      </c>
      <c r="AG22" s="460" t="s">
        <v>12</v>
      </c>
      <c r="AH22" s="461">
        <f t="shared" ref="AH22:AH27" si="38">B10</f>
        <v>4.149</v>
      </c>
      <c r="AI22" s="462">
        <f t="shared" ref="AI22:AI27" si="39">B27</f>
        <v>4.1500000000000004</v>
      </c>
      <c r="AJ22" s="463" t="str">
        <f t="shared" ref="AJ22:AJ27" si="40">CONCATENATE(TEXT(AP21,"0.00%"),"  ",AQ21)</f>
        <v>0.02%  ↑</v>
      </c>
      <c r="AK22" s="462">
        <f t="shared" ref="AK22:AK27" si="41">D27</f>
        <v>4.1500000000000004</v>
      </c>
      <c r="AL22" s="463" t="str">
        <f t="shared" ref="AL22:AL27" si="42">CONCATENATE(TEXT(AR21,"0.00%"),"  ",AS21)</f>
        <v>0.02%  ↑</v>
      </c>
      <c r="AM22" s="464">
        <f t="shared" ref="AM22:AM27" si="43">G10</f>
        <v>4.149</v>
      </c>
      <c r="AN22" s="465" t="str">
        <f t="shared" ref="AN22:AN27" si="44">CONCATENATE(TEXT(AT21,"0.00%"),"  ",AU21)</f>
        <v>0.00%  ↓</v>
      </c>
      <c r="AP22" s="466">
        <f t="shared" si="32"/>
        <v>3.8396101280576268E-3</v>
      </c>
      <c r="AQ22" s="467" t="str">
        <f t="shared" si="33"/>
        <v>↑</v>
      </c>
      <c r="AR22" s="468">
        <f t="shared" si="34"/>
        <v>4.0682325780339954E-3</v>
      </c>
      <c r="AS22" s="469" t="str">
        <f t="shared" si="35"/>
        <v>↑</v>
      </c>
      <c r="AT22" s="466">
        <f t="shared" si="36"/>
        <v>4.2877101300108078E-4</v>
      </c>
      <c r="AU22" s="467" t="str">
        <f t="shared" si="37"/>
        <v>↑</v>
      </c>
    </row>
    <row r="23" spans="1:47" ht="15" x14ac:dyDescent="0.25">
      <c r="A23" s="470" t="s">
        <v>17</v>
      </c>
      <c r="B23" s="471">
        <f t="shared" si="24"/>
        <v>274.61</v>
      </c>
      <c r="C23" s="472">
        <f t="shared" si="25"/>
        <v>1.3136038380151263</v>
      </c>
      <c r="D23" s="473">
        <f t="shared" si="26"/>
        <v>0.51004723083961678</v>
      </c>
      <c r="E23" s="474">
        <f t="shared" si="27"/>
        <v>0.66999999999990767</v>
      </c>
      <c r="F23" s="475">
        <f t="shared" si="28"/>
        <v>275.27999999999992</v>
      </c>
      <c r="G23" s="432" t="str">
        <f t="shared" si="29"/>
        <v>0.24%  ↑</v>
      </c>
      <c r="H23" s="305">
        <v>0.23833982749514801</v>
      </c>
      <c r="I23" s="433">
        <v>2.14</v>
      </c>
      <c r="J23" s="307">
        <f t="shared" si="30"/>
        <v>2.4398237500451447E-3</v>
      </c>
      <c r="K23" s="160" t="str">
        <f t="shared" si="31"/>
        <v xml:space="preserve">  ↑</v>
      </c>
      <c r="L23" s="161">
        <v>0.99415140947399105</v>
      </c>
      <c r="M23" s="162"/>
      <c r="O23" s="13" t="s">
        <v>40</v>
      </c>
      <c r="P23" s="364" t="s">
        <v>12</v>
      </c>
      <c r="Q23" s="205">
        <f>SUM(P24:P32)</f>
        <v>588.75</v>
      </c>
      <c r="R23" s="365" t="s">
        <v>13</v>
      </c>
      <c r="S23" s="366">
        <f>SUM(R24:R32)</f>
        <v>666.25</v>
      </c>
      <c r="T23" s="367" t="s">
        <v>14</v>
      </c>
      <c r="U23" s="366">
        <f>SUM(T24:T32)</f>
        <v>732.5</v>
      </c>
      <c r="V23" s="367" t="s">
        <v>15</v>
      </c>
      <c r="W23" s="366">
        <f>SUM(V24:V32)</f>
        <v>310.55</v>
      </c>
      <c r="X23" s="367" t="s">
        <v>16</v>
      </c>
      <c r="Y23" s="209">
        <f>SUM(X24:X32)</f>
        <v>618.75</v>
      </c>
      <c r="Z23" s="368" t="s">
        <v>17</v>
      </c>
      <c r="AA23" s="22">
        <f>SUM(Z24:Z32)</f>
        <v>582.57499999999993</v>
      </c>
      <c r="AB23" s="23"/>
      <c r="AC23" s="56">
        <v>98</v>
      </c>
      <c r="AD23" s="150">
        <v>65</v>
      </c>
      <c r="AG23" s="163" t="s">
        <v>13</v>
      </c>
      <c r="AH23" s="476">
        <f t="shared" si="38"/>
        <v>48114.26</v>
      </c>
      <c r="AI23" s="477">
        <f t="shared" si="39"/>
        <v>48299</v>
      </c>
      <c r="AJ23" s="478" t="str">
        <f t="shared" si="40"/>
        <v>0.38%  ↑</v>
      </c>
      <c r="AK23" s="477">
        <f t="shared" si="41"/>
        <v>48310</v>
      </c>
      <c r="AL23" s="478" t="str">
        <f t="shared" si="42"/>
        <v>0.41%  ↑</v>
      </c>
      <c r="AM23" s="479">
        <f t="shared" si="43"/>
        <v>48134.89</v>
      </c>
      <c r="AN23" s="480" t="str">
        <f t="shared" si="44"/>
        <v>0.04%  ↑</v>
      </c>
      <c r="AP23" s="466">
        <f t="shared" si="32"/>
        <v>2.4616705831835518E-3</v>
      </c>
      <c r="AQ23" s="467" t="str">
        <f t="shared" si="33"/>
        <v>↑</v>
      </c>
      <c r="AR23" s="468">
        <f t="shared" si="34"/>
        <v>3.0498833868116484E-3</v>
      </c>
      <c r="AS23" s="469" t="str">
        <f t="shared" si="35"/>
        <v>↑</v>
      </c>
      <c r="AT23" s="466">
        <f t="shared" si="36"/>
        <v>5.0336310670473722E-3</v>
      </c>
      <c r="AU23" s="467" t="str">
        <f t="shared" si="37"/>
        <v>↑</v>
      </c>
    </row>
    <row r="24" spans="1:47" ht="15" x14ac:dyDescent="0.3">
      <c r="H24" s="310"/>
      <c r="I24" s="303" t="s">
        <v>101</v>
      </c>
      <c r="K24" s="200"/>
      <c r="L24" s="201" t="s">
        <v>91</v>
      </c>
      <c r="O24" s="127" t="str">
        <f t="shared" ref="O24:O31" si="45">O2</f>
        <v>PyCaret</v>
      </c>
      <c r="P24" s="369">
        <v>83.75</v>
      </c>
      <c r="Q24" s="370">
        <f t="shared" ref="Q24:Q32" si="46">P24/$Q$23</f>
        <v>0.14225053078556263</v>
      </c>
      <c r="R24" s="371">
        <v>72.5</v>
      </c>
      <c r="S24" s="372">
        <f t="shared" ref="S24:S32" si="47">R24/$S$23</f>
        <v>0.10881801125703565</v>
      </c>
      <c r="T24" s="372">
        <v>66.25</v>
      </c>
      <c r="U24" s="372">
        <f t="shared" ref="U24:U32" si="48">T24/$U$23</f>
        <v>9.0443686006825938E-2</v>
      </c>
      <c r="V24" s="372">
        <v>35</v>
      </c>
      <c r="W24" s="372">
        <f t="shared" ref="W24:W32" si="49">V24/$W$23</f>
        <v>0.11270326839478345</v>
      </c>
      <c r="X24" s="372">
        <v>73.75</v>
      </c>
      <c r="Y24" s="373">
        <f t="shared" ref="Y24:Y32" si="50">X24/$Y$23</f>
        <v>0.1191919191919192</v>
      </c>
      <c r="Z24" s="374">
        <v>66.25</v>
      </c>
      <c r="AA24" s="39">
        <f t="shared" ref="AA24:AA32" si="51">Z24/$AA$23</f>
        <v>0.11371926361412694</v>
      </c>
      <c r="AB24" s="23"/>
      <c r="AC24" s="56">
        <v>98.5</v>
      </c>
      <c r="AD24" s="150">
        <v>70</v>
      </c>
      <c r="AG24" s="43" t="s">
        <v>14</v>
      </c>
      <c r="AH24" s="481">
        <f t="shared" si="38"/>
        <v>6800.26</v>
      </c>
      <c r="AI24" s="482">
        <f t="shared" si="39"/>
        <v>6817</v>
      </c>
      <c r="AJ24" s="483" t="str">
        <f t="shared" si="40"/>
        <v>0.25%  ↑</v>
      </c>
      <c r="AK24" s="482">
        <f t="shared" si="41"/>
        <v>6821</v>
      </c>
      <c r="AL24" s="483" t="str">
        <f t="shared" si="42"/>
        <v>0.30%  ↑</v>
      </c>
      <c r="AM24" s="484">
        <f t="shared" si="43"/>
        <v>6834.49</v>
      </c>
      <c r="AN24" s="485" t="str">
        <f t="shared" si="44"/>
        <v>0.50%  ↑</v>
      </c>
      <c r="AP24" s="466">
        <f t="shared" si="32"/>
        <v>-2.9126213592233035E-2</v>
      </c>
      <c r="AQ24" s="467" t="str">
        <f t="shared" si="33"/>
        <v>↓</v>
      </c>
      <c r="AR24" s="468">
        <f t="shared" si="34"/>
        <v>-4.8543689320389473E-3</v>
      </c>
      <c r="AS24" s="469" t="str">
        <f t="shared" si="35"/>
        <v>↓</v>
      </c>
      <c r="AT24" s="466">
        <f t="shared" si="36"/>
        <v>-9.5266990291262149E-2</v>
      </c>
      <c r="AU24" s="467" t="str">
        <f t="shared" si="37"/>
        <v>↓</v>
      </c>
    </row>
    <row r="25" spans="1:47" ht="15" x14ac:dyDescent="0.3">
      <c r="O25" s="143" t="str">
        <f t="shared" si="45"/>
        <v>ARIMAX</v>
      </c>
      <c r="P25" s="375">
        <v>62.5</v>
      </c>
      <c r="Q25" s="376">
        <f t="shared" si="46"/>
        <v>0.10615711252653928</v>
      </c>
      <c r="R25" s="377">
        <v>68.75</v>
      </c>
      <c r="S25" s="378">
        <f t="shared" si="47"/>
        <v>0.10318949343339587</v>
      </c>
      <c r="T25" s="378">
        <v>77.5</v>
      </c>
      <c r="U25" s="378">
        <f t="shared" si="48"/>
        <v>0.10580204778156997</v>
      </c>
      <c r="V25" s="378">
        <v>35.024999999999999</v>
      </c>
      <c r="W25" s="378">
        <f t="shared" si="49"/>
        <v>0.11278377072935114</v>
      </c>
      <c r="X25" s="378">
        <v>61.25</v>
      </c>
      <c r="Y25" s="379">
        <f t="shared" si="50"/>
        <v>9.8989898989898989E-2</v>
      </c>
      <c r="Z25" s="380">
        <v>52.5</v>
      </c>
      <c r="AA25" s="39">
        <f t="shared" si="51"/>
        <v>9.0117152297987391E-2</v>
      </c>
      <c r="AB25" s="23"/>
      <c r="AC25" s="56">
        <v>99</v>
      </c>
      <c r="AD25" s="150">
        <v>75</v>
      </c>
      <c r="AG25" s="43" t="s">
        <v>15</v>
      </c>
      <c r="AH25" s="481">
        <f t="shared" si="38"/>
        <v>16.48</v>
      </c>
      <c r="AI25" s="486">
        <f t="shared" si="39"/>
        <v>16</v>
      </c>
      <c r="AJ25" s="483" t="str">
        <f t="shared" si="40"/>
        <v>-2.91%  ↓</v>
      </c>
      <c r="AK25" s="486">
        <f t="shared" si="41"/>
        <v>16.399999999999999</v>
      </c>
      <c r="AL25" s="483" t="str">
        <f t="shared" si="42"/>
        <v>-0.49%  ↓</v>
      </c>
      <c r="AM25" s="484">
        <f t="shared" si="43"/>
        <v>14.91</v>
      </c>
      <c r="AN25" s="485" t="str">
        <f t="shared" si="44"/>
        <v>-9.53%  ↓</v>
      </c>
      <c r="AP25" s="466">
        <f t="shared" si="32"/>
        <v>5.8030241111564438E-3</v>
      </c>
      <c r="AQ25" s="467" t="str">
        <f t="shared" si="33"/>
        <v>↑</v>
      </c>
      <c r="AR25" s="468">
        <f t="shared" si="34"/>
        <v>5.3126277073968125E-3</v>
      </c>
      <c r="AS25" s="469" t="str">
        <f t="shared" si="35"/>
        <v>↑</v>
      </c>
      <c r="AT25" s="466">
        <f t="shared" si="36"/>
        <v>8.6636697997547283E-3</v>
      </c>
      <c r="AU25" s="467" t="str">
        <f t="shared" si="37"/>
        <v>↑</v>
      </c>
    </row>
    <row r="26" spans="1:47" ht="15" x14ac:dyDescent="0.3">
      <c r="A26" s="12" t="str">
        <f>E9</f>
        <v>PRED.</v>
      </c>
      <c r="B26" s="1385" t="s">
        <v>31</v>
      </c>
      <c r="C26" s="1385"/>
      <c r="D26" s="1385">
        <v>85220</v>
      </c>
      <c r="E26" s="1385"/>
      <c r="F26" s="1385" t="s">
        <v>32</v>
      </c>
      <c r="G26" s="1385"/>
      <c r="H26" s="487" t="str">
        <f>E9</f>
        <v>PRED.</v>
      </c>
      <c r="O26" s="143" t="str">
        <f t="shared" si="45"/>
        <v>PCE</v>
      </c>
      <c r="P26" s="375">
        <v>43.75</v>
      </c>
      <c r="Q26" s="376">
        <f t="shared" si="46"/>
        <v>7.4309978768577492E-2</v>
      </c>
      <c r="R26" s="377">
        <v>61.25</v>
      </c>
      <c r="S26" s="378">
        <f t="shared" si="47"/>
        <v>9.193245778611632E-2</v>
      </c>
      <c r="T26" s="378">
        <v>85</v>
      </c>
      <c r="U26" s="378">
        <f t="shared" si="48"/>
        <v>0.11604095563139932</v>
      </c>
      <c r="V26" s="378">
        <v>12.525</v>
      </c>
      <c r="W26" s="378">
        <f t="shared" si="49"/>
        <v>4.0331669618418935E-2</v>
      </c>
      <c r="X26" s="378">
        <v>70</v>
      </c>
      <c r="Y26" s="379">
        <f t="shared" si="50"/>
        <v>0.11313131313131314</v>
      </c>
      <c r="Z26" s="380">
        <v>78.75</v>
      </c>
      <c r="AA26" s="39">
        <f t="shared" si="51"/>
        <v>0.13517572844698109</v>
      </c>
      <c r="AB26" s="23"/>
      <c r="AC26" s="56">
        <v>99.25</v>
      </c>
      <c r="AD26" s="150">
        <v>80</v>
      </c>
      <c r="AG26" s="174" t="s">
        <v>16</v>
      </c>
      <c r="AH26" s="488">
        <f t="shared" si="38"/>
        <v>611.75</v>
      </c>
      <c r="AI26" s="489">
        <f t="shared" si="39"/>
        <v>615.29999999999995</v>
      </c>
      <c r="AJ26" s="490" t="str">
        <f t="shared" si="40"/>
        <v>0.58%  ↑</v>
      </c>
      <c r="AK26" s="489">
        <f t="shared" si="41"/>
        <v>615</v>
      </c>
      <c r="AL26" s="490" t="str">
        <f t="shared" si="42"/>
        <v>0.53%  ↑</v>
      </c>
      <c r="AM26" s="491">
        <f t="shared" si="43"/>
        <v>617.04999999999995</v>
      </c>
      <c r="AN26" s="492" t="str">
        <f t="shared" si="44"/>
        <v>0.87%  ↑</v>
      </c>
      <c r="AP26" s="493">
        <f t="shared" si="32"/>
        <v>1.7843487127198903E-3</v>
      </c>
      <c r="AQ26" s="494" t="str">
        <f t="shared" si="33"/>
        <v>↑</v>
      </c>
      <c r="AR26" s="495">
        <f t="shared" si="34"/>
        <v>-1.1288736753942035E-3</v>
      </c>
      <c r="AS26" s="496" t="str">
        <f t="shared" si="35"/>
        <v>↓</v>
      </c>
      <c r="AT26" s="493">
        <f t="shared" si="36"/>
        <v>-3.4230363060340032E-3</v>
      </c>
      <c r="AU26" s="494" t="str">
        <f t="shared" si="37"/>
        <v>↓</v>
      </c>
    </row>
    <row r="27" spans="1:47" ht="14.4" x14ac:dyDescent="0.3">
      <c r="A27" s="76" t="s">
        <v>12</v>
      </c>
      <c r="B27" s="155">
        <v>4.1500000000000004</v>
      </c>
      <c r="C27" s="497">
        <f t="shared" ref="C27:C32" si="52">100-ABS(($E10-B27)/($E10))*100</f>
        <v>99.975897806700402</v>
      </c>
      <c r="D27" s="155">
        <v>4.1500000000000004</v>
      </c>
      <c r="E27" s="498">
        <f t="shared" ref="E27:E32" si="53">100-ABS(($E10-D27)/($E10))*100</f>
        <v>99.975897806700402</v>
      </c>
      <c r="F27" s="155">
        <v>4.1500000000000004</v>
      </c>
      <c r="G27" s="499">
        <f t="shared" ref="G27:G32" si="54">100-ABS(($E10-F27)/($E10))*100</f>
        <v>99.975897806700402</v>
      </c>
      <c r="H27" s="500">
        <f t="shared" ref="H27:H32" si="55">G10</f>
        <v>4.149</v>
      </c>
      <c r="O27" s="143" t="str">
        <f t="shared" si="45"/>
        <v>LSTM</v>
      </c>
      <c r="P27" s="381">
        <v>80</v>
      </c>
      <c r="Q27" s="376">
        <f t="shared" si="46"/>
        <v>0.13588110403397027</v>
      </c>
      <c r="R27" s="377">
        <v>72.5</v>
      </c>
      <c r="S27" s="378">
        <f t="shared" si="47"/>
        <v>0.10881801125703565</v>
      </c>
      <c r="T27" s="378">
        <v>76.25</v>
      </c>
      <c r="U27" s="378">
        <f t="shared" si="48"/>
        <v>0.10409556313993173</v>
      </c>
      <c r="V27" s="378">
        <v>6.75</v>
      </c>
      <c r="W27" s="378">
        <f t="shared" si="49"/>
        <v>2.1735630333279663E-2</v>
      </c>
      <c r="X27" s="378">
        <v>70</v>
      </c>
      <c r="Y27" s="379">
        <f t="shared" si="50"/>
        <v>0.11313131313131314</v>
      </c>
      <c r="Z27" s="380">
        <v>70</v>
      </c>
      <c r="AA27" s="39">
        <f t="shared" si="51"/>
        <v>0.1201562030639832</v>
      </c>
      <c r="AB27" s="23"/>
      <c r="AC27" s="56">
        <v>99.5</v>
      </c>
      <c r="AD27" s="150">
        <v>90</v>
      </c>
      <c r="AF27" s="2"/>
      <c r="AG27" s="501" t="s">
        <v>17</v>
      </c>
      <c r="AH27" s="502">
        <f t="shared" si="38"/>
        <v>274.61</v>
      </c>
      <c r="AI27" s="503">
        <f t="shared" si="39"/>
        <v>275.10000000000002</v>
      </c>
      <c r="AJ27" s="504" t="str">
        <f t="shared" si="40"/>
        <v>0.18%  ↑</v>
      </c>
      <c r="AK27" s="503">
        <f t="shared" si="41"/>
        <v>274.3</v>
      </c>
      <c r="AL27" s="504" t="str">
        <f t="shared" si="42"/>
        <v>-0.11%  ↓</v>
      </c>
      <c r="AM27" s="505">
        <f t="shared" si="43"/>
        <v>273.67</v>
      </c>
      <c r="AN27" s="506" t="str">
        <f t="shared" si="44"/>
        <v>-0.34%  ↓</v>
      </c>
    </row>
    <row r="28" spans="1:47" ht="14.25" customHeight="1" x14ac:dyDescent="0.3">
      <c r="A28" s="163" t="s">
        <v>13</v>
      </c>
      <c r="B28" s="164">
        <v>48299</v>
      </c>
      <c r="C28" s="507">
        <f t="shared" si="52"/>
        <v>99.828418913366804</v>
      </c>
      <c r="D28" s="164">
        <v>48310</v>
      </c>
      <c r="E28" s="508">
        <f t="shared" si="53"/>
        <v>99.805605037469732</v>
      </c>
      <c r="F28" s="164">
        <v>48321</v>
      </c>
      <c r="G28" s="509">
        <f t="shared" si="54"/>
        <v>99.782791161572646</v>
      </c>
      <c r="H28" s="510">
        <f t="shared" si="55"/>
        <v>48134.89</v>
      </c>
      <c r="O28" s="143" t="str">
        <f t="shared" si="45"/>
        <v>GARCH</v>
      </c>
      <c r="P28" s="375">
        <v>82.5</v>
      </c>
      <c r="Q28" s="376">
        <f t="shared" si="46"/>
        <v>0.14012738853503184</v>
      </c>
      <c r="R28" s="377">
        <v>80</v>
      </c>
      <c r="S28" s="378">
        <f t="shared" si="47"/>
        <v>0.1200750469043152</v>
      </c>
      <c r="T28" s="378">
        <v>78.75</v>
      </c>
      <c r="U28" s="378">
        <f t="shared" si="48"/>
        <v>0.10750853242320819</v>
      </c>
      <c r="V28" s="378">
        <v>42.5</v>
      </c>
      <c r="W28" s="378">
        <f t="shared" si="49"/>
        <v>0.13685396876509417</v>
      </c>
      <c r="X28" s="378">
        <v>65</v>
      </c>
      <c r="Y28" s="379">
        <f t="shared" si="50"/>
        <v>0.10505050505050505</v>
      </c>
      <c r="Z28" s="380">
        <v>73.75</v>
      </c>
      <c r="AA28" s="39">
        <f t="shared" si="51"/>
        <v>0.12659314251383944</v>
      </c>
      <c r="AB28" s="23"/>
      <c r="AC28" s="56">
        <v>99.75</v>
      </c>
      <c r="AD28" s="150">
        <v>95</v>
      </c>
      <c r="AK28" s="6"/>
    </row>
    <row r="29" spans="1:47" ht="14.25" customHeight="1" x14ac:dyDescent="0.3">
      <c r="A29" s="43" t="s">
        <v>14</v>
      </c>
      <c r="B29" s="169">
        <v>6817</v>
      </c>
      <c r="C29" s="511">
        <f t="shared" si="52"/>
        <v>99.947456637048646</v>
      </c>
      <c r="D29" s="169">
        <v>6821</v>
      </c>
      <c r="E29" s="512">
        <f t="shared" si="53"/>
        <v>99.888748968946587</v>
      </c>
      <c r="F29" s="169">
        <v>6825</v>
      </c>
      <c r="G29" s="513">
        <f t="shared" si="54"/>
        <v>99.830041300844513</v>
      </c>
      <c r="H29" s="514">
        <f t="shared" si="55"/>
        <v>6834.49</v>
      </c>
      <c r="O29" s="143" t="str">
        <f t="shared" si="45"/>
        <v>VAR</v>
      </c>
      <c r="P29" s="381">
        <v>0</v>
      </c>
      <c r="Q29" s="376">
        <f t="shared" si="46"/>
        <v>0</v>
      </c>
      <c r="R29" s="377">
        <v>77.5</v>
      </c>
      <c r="S29" s="378">
        <f t="shared" si="47"/>
        <v>0.11632270168855535</v>
      </c>
      <c r="T29" s="378">
        <v>93.75</v>
      </c>
      <c r="U29" s="378">
        <f t="shared" si="48"/>
        <v>0.12798634812286688</v>
      </c>
      <c r="V29" s="378">
        <v>31.25</v>
      </c>
      <c r="W29" s="378">
        <f t="shared" si="49"/>
        <v>0.10062791820962808</v>
      </c>
      <c r="X29" s="378">
        <v>71.25</v>
      </c>
      <c r="Y29" s="379">
        <f t="shared" si="50"/>
        <v>0.11515151515151516</v>
      </c>
      <c r="Z29" s="380">
        <v>70</v>
      </c>
      <c r="AA29" s="39">
        <f t="shared" si="51"/>
        <v>0.1201562030639832</v>
      </c>
      <c r="AB29" s="23"/>
      <c r="AC29" s="93">
        <v>99.99</v>
      </c>
      <c r="AD29" s="229">
        <v>100</v>
      </c>
    </row>
    <row r="30" spans="1:47" ht="14.25" customHeight="1" x14ac:dyDescent="0.3">
      <c r="A30" s="43" t="s">
        <v>15</v>
      </c>
      <c r="B30" s="169">
        <v>16</v>
      </c>
      <c r="C30" s="511">
        <f t="shared" si="52"/>
        <v>96.618357487922736</v>
      </c>
      <c r="D30" s="169">
        <v>16.399999999999999</v>
      </c>
      <c r="E30" s="512">
        <f t="shared" si="53"/>
        <v>99.03381642512079</v>
      </c>
      <c r="F30" s="169">
        <v>15.96</v>
      </c>
      <c r="G30" s="513">
        <f t="shared" si="54"/>
        <v>96.376811594202934</v>
      </c>
      <c r="H30" s="514">
        <f t="shared" si="55"/>
        <v>14.91</v>
      </c>
      <c r="M30" s="8"/>
      <c r="O30" s="143" t="str">
        <f t="shared" si="45"/>
        <v>RW</v>
      </c>
      <c r="P30" s="375">
        <v>83.75</v>
      </c>
      <c r="Q30" s="376">
        <f t="shared" si="46"/>
        <v>0.14225053078556263</v>
      </c>
      <c r="R30" s="377">
        <v>80</v>
      </c>
      <c r="S30" s="378">
        <f t="shared" si="47"/>
        <v>0.1200750469043152</v>
      </c>
      <c r="T30" s="378">
        <v>86.25</v>
      </c>
      <c r="U30" s="378">
        <f t="shared" si="48"/>
        <v>0.11774744027303755</v>
      </c>
      <c r="V30" s="378">
        <v>46.25</v>
      </c>
      <c r="W30" s="378">
        <f t="shared" si="49"/>
        <v>0.14892931895024955</v>
      </c>
      <c r="X30" s="378">
        <v>71.25</v>
      </c>
      <c r="Y30" s="379">
        <f t="shared" si="50"/>
        <v>0.11515151515151516</v>
      </c>
      <c r="Z30" s="380">
        <v>60.024999999999999</v>
      </c>
      <c r="AA30" s="39">
        <f t="shared" si="51"/>
        <v>0.10303394412736558</v>
      </c>
    </row>
    <row r="31" spans="1:47" ht="14.25" customHeight="1" x14ac:dyDescent="0.3">
      <c r="A31" s="174" t="s">
        <v>16</v>
      </c>
      <c r="B31" s="175">
        <v>615.29999999999995</v>
      </c>
      <c r="C31" s="515">
        <f t="shared" si="52"/>
        <v>99.598590170354413</v>
      </c>
      <c r="D31" s="175">
        <v>615</v>
      </c>
      <c r="E31" s="516">
        <f t="shared" si="53"/>
        <v>99.647542588603869</v>
      </c>
      <c r="F31" s="175">
        <v>614.9</v>
      </c>
      <c r="G31" s="517">
        <f t="shared" si="54"/>
        <v>99.663860061353688</v>
      </c>
      <c r="H31" s="518">
        <f t="shared" si="55"/>
        <v>617.04999999999995</v>
      </c>
      <c r="J31" s="8"/>
      <c r="O31" s="143" t="str">
        <f t="shared" si="45"/>
        <v>ETS</v>
      </c>
      <c r="P31" s="375">
        <v>83.75</v>
      </c>
      <c r="Q31" s="376">
        <f t="shared" si="46"/>
        <v>0.14225053078556263</v>
      </c>
      <c r="R31" s="377">
        <v>81.25</v>
      </c>
      <c r="S31" s="378">
        <f t="shared" si="47"/>
        <v>0.12195121951219512</v>
      </c>
      <c r="T31" s="378">
        <v>86.25</v>
      </c>
      <c r="U31" s="378">
        <f t="shared" si="48"/>
        <v>0.11774744027303755</v>
      </c>
      <c r="V31" s="378">
        <v>48.75</v>
      </c>
      <c r="W31" s="378">
        <f t="shared" si="49"/>
        <v>0.1569795524070198</v>
      </c>
      <c r="X31" s="378">
        <v>71.25</v>
      </c>
      <c r="Y31" s="379">
        <f t="shared" si="50"/>
        <v>0.11515151515151516</v>
      </c>
      <c r="Z31" s="380">
        <v>60.024999999999999</v>
      </c>
      <c r="AA31" s="39">
        <f t="shared" si="51"/>
        <v>0.10303394412736558</v>
      </c>
      <c r="AL31" s="230"/>
    </row>
    <row r="32" spans="1:47" ht="14.25" customHeight="1" x14ac:dyDescent="0.3">
      <c r="A32" s="136" t="s">
        <v>17</v>
      </c>
      <c r="B32" s="188">
        <v>275.10000000000002</v>
      </c>
      <c r="C32" s="519">
        <f t="shared" si="52"/>
        <v>99.934612031386266</v>
      </c>
      <c r="D32" s="188">
        <v>274.3</v>
      </c>
      <c r="E32" s="520">
        <f t="shared" si="53"/>
        <v>99.643998837547258</v>
      </c>
      <c r="F32" s="188">
        <v>274.89999999999998</v>
      </c>
      <c r="G32" s="521">
        <f t="shared" si="54"/>
        <v>99.861958732926496</v>
      </c>
      <c r="H32" s="522">
        <f t="shared" si="55"/>
        <v>273.67</v>
      </c>
      <c r="J32" s="8"/>
      <c r="O32" s="180" t="str">
        <f>O21</f>
        <v>DynaMix</v>
      </c>
      <c r="P32" s="382">
        <v>68.75</v>
      </c>
      <c r="Q32" s="383">
        <f t="shared" si="46"/>
        <v>0.11677282377919321</v>
      </c>
      <c r="R32" s="384">
        <v>72.5</v>
      </c>
      <c r="S32" s="385">
        <f t="shared" si="47"/>
        <v>0.10881801125703565</v>
      </c>
      <c r="T32" s="385">
        <v>82.5</v>
      </c>
      <c r="U32" s="385">
        <f t="shared" si="48"/>
        <v>0.11262798634812286</v>
      </c>
      <c r="V32" s="385">
        <v>52.5</v>
      </c>
      <c r="W32" s="385">
        <f t="shared" si="49"/>
        <v>0.16905490259217518</v>
      </c>
      <c r="X32" s="385">
        <v>65</v>
      </c>
      <c r="Y32" s="386">
        <f t="shared" si="50"/>
        <v>0.10505050505050505</v>
      </c>
      <c r="Z32" s="387">
        <v>51.274999999999999</v>
      </c>
      <c r="AA32" s="92">
        <f t="shared" si="51"/>
        <v>8.801441874436769E-2</v>
      </c>
      <c r="AK32" s="2"/>
      <c r="AL32" s="230"/>
    </row>
    <row r="34" spans="1:42" ht="14.25" customHeight="1" x14ac:dyDescent="0.3">
      <c r="A34" s="202" t="str">
        <f>AC1</f>
        <v>AVR-4</v>
      </c>
      <c r="B34" s="1390">
        <f t="array" ref="B34">SUM(C28:C31/4)</f>
        <v>98.998205802173146</v>
      </c>
      <c r="C34" s="1390"/>
      <c r="D34" s="1390">
        <f t="array" ref="D34">SUM(E28:E31/4)</f>
        <v>99.593928255035252</v>
      </c>
      <c r="E34" s="1390"/>
      <c r="F34" s="1390">
        <f t="array" ref="F34">SUM(G28:G31/4)</f>
        <v>98.913376029493435</v>
      </c>
      <c r="G34" s="1390"/>
      <c r="O34" s="225" t="s">
        <v>42</v>
      </c>
    </row>
    <row r="35" spans="1:42" ht="14.25" customHeight="1" x14ac:dyDescent="0.3">
      <c r="A35" s="211" t="str">
        <f>AD1</f>
        <v>AVR-6</v>
      </c>
      <c r="B35" s="1388">
        <f t="array" ref="B35">SUM(C27:C32/6)</f>
        <v>99.317222174463211</v>
      </c>
      <c r="C35" s="1388"/>
      <c r="D35" s="1388">
        <f t="array" ref="D35">SUM(E27:E32/6)</f>
        <v>99.665934944064773</v>
      </c>
      <c r="E35" s="1388"/>
      <c r="F35" s="1388">
        <f t="array" ref="F35">SUM(G27:G32/6)</f>
        <v>99.248560109600106</v>
      </c>
      <c r="G35" s="1388"/>
      <c r="AK35" s="2"/>
      <c r="AP35" s="2"/>
    </row>
    <row r="36" spans="1:42" ht="14.25" customHeight="1" x14ac:dyDescent="0.3">
      <c r="AK36" s="6"/>
      <c r="AP36" s="2"/>
    </row>
    <row r="37" spans="1:42" ht="14.25" customHeight="1" x14ac:dyDescent="0.3">
      <c r="Z37" s="6"/>
    </row>
    <row r="38" spans="1:42" ht="14.25" customHeight="1" x14ac:dyDescent="0.3">
      <c r="Z38" s="6"/>
    </row>
    <row r="39" spans="1:42" ht="14.25" customHeight="1" x14ac:dyDescent="0.3">
      <c r="Z39" s="6"/>
    </row>
    <row r="40" spans="1:42" ht="14.25" customHeight="1" x14ac:dyDescent="0.3">
      <c r="Z40" s="6"/>
    </row>
    <row r="41" spans="1:42" ht="14.25" customHeight="1" x14ac:dyDescent="0.3">
      <c r="Z41" s="6"/>
    </row>
    <row r="43" spans="1:42" ht="14.25" customHeight="1" x14ac:dyDescent="0.3">
      <c r="AD43" s="237"/>
    </row>
    <row r="44" spans="1:42" ht="14.25" customHeight="1" x14ac:dyDescent="0.3">
      <c r="AD44" s="237"/>
    </row>
    <row r="45" spans="1:42" ht="14.25" customHeight="1" x14ac:dyDescent="0.3">
      <c r="AD45" s="237"/>
    </row>
    <row r="46" spans="1:42" ht="14.25" customHeight="1" x14ac:dyDescent="0.3">
      <c r="AD46" s="237"/>
    </row>
  </sheetData>
  <mergeCells count="16">
    <mergeCell ref="AG10:AH10"/>
    <mergeCell ref="AG11:AH11"/>
    <mergeCell ref="D17:E17"/>
    <mergeCell ref="H17:I17"/>
    <mergeCell ref="AI21:AJ21"/>
    <mergeCell ref="AK21:AL21"/>
    <mergeCell ref="AM21:AN21"/>
    <mergeCell ref="B26:C26"/>
    <mergeCell ref="D26:E26"/>
    <mergeCell ref="F26:G26"/>
    <mergeCell ref="B34:C34"/>
    <mergeCell ref="D34:E34"/>
    <mergeCell ref="F34:G34"/>
    <mergeCell ref="B35:C35"/>
    <mergeCell ref="D35:E35"/>
    <mergeCell ref="F35:G35"/>
  </mergeCells>
  <hyperlinks>
    <hyperlink ref="O34" r:id="rId1" xr:uid="{00000000-0004-0000-08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46"/>
  <sheetViews>
    <sheetView zoomScale="120" zoomScaleNormal="120" workbookViewId="0">
      <selection activeCell="G13" sqref="G13"/>
    </sheetView>
  </sheetViews>
  <sheetFormatPr defaultColWidth="8.77734375" defaultRowHeight="14.25" customHeight="1" x14ac:dyDescent="0.3"/>
  <cols>
    <col min="1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1.77734375" style="2" customWidth="1"/>
    <col min="15" max="15" width="9" style="2" customWidth="1"/>
    <col min="16" max="16" width="6" style="3" customWidth="1"/>
    <col min="17" max="17" width="3.441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1.7773437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1.77734375" style="8" customWidth="1"/>
    <col min="33" max="35" width="6.88671875" style="8" customWidth="1"/>
    <col min="36" max="36" width="7.88671875" style="8" customWidth="1"/>
    <col min="37" max="37" width="6.88671875" style="8" customWidth="1"/>
    <col min="38" max="38" width="7.88671875" style="8" customWidth="1"/>
    <col min="39" max="39" width="7.5546875" style="8" customWidth="1"/>
    <col min="40" max="40" width="7.88671875" style="8" customWidth="1"/>
    <col min="41" max="41" width="3.5546875" style="8" customWidth="1"/>
    <col min="42" max="47" width="6.6640625" style="8" customWidth="1"/>
    <col min="48" max="16379" width="8.77734375" style="8"/>
    <col min="16380" max="16384" width="13.44140625" style="8" customWidth="1"/>
  </cols>
  <sheetData>
    <row r="1" spans="1:45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102</v>
      </c>
      <c r="O1" s="13" t="s">
        <v>11</v>
      </c>
      <c r="P1" s="316" t="s">
        <v>12</v>
      </c>
      <c r="Q1" s="15">
        <f>SUM(P2:P10)</f>
        <v>795.71127568084091</v>
      </c>
      <c r="R1" s="16" t="s">
        <v>13</v>
      </c>
      <c r="S1" s="17">
        <f>SUM(R2:R10)</f>
        <v>885.50536226695056</v>
      </c>
      <c r="T1" s="18" t="s">
        <v>14</v>
      </c>
      <c r="U1" s="17">
        <f>SUM(T2:T10)</f>
        <v>891.44743695275827</v>
      </c>
      <c r="V1" s="18" t="s">
        <v>15</v>
      </c>
      <c r="W1" s="17">
        <f>SUM(V2:V10)</f>
        <v>829.25730622617539</v>
      </c>
      <c r="X1" s="19" t="s">
        <v>16</v>
      </c>
      <c r="Y1" s="20">
        <f>SUM(X2:X10)</f>
        <v>882.79738274502142</v>
      </c>
      <c r="Z1" s="317" t="s">
        <v>17</v>
      </c>
      <c r="AA1" s="22">
        <f>SUM(Z2:Z10)</f>
        <v>892.40321955855882</v>
      </c>
      <c r="AB1" s="23"/>
      <c r="AC1" s="24" t="s">
        <v>18</v>
      </c>
      <c r="AD1" s="25" t="s">
        <v>19</v>
      </c>
    </row>
    <row r="2" spans="1:45" ht="14.4" x14ac:dyDescent="0.3">
      <c r="A2" s="26" t="s">
        <v>12</v>
      </c>
      <c r="B2" s="27">
        <v>4.2009999999999996</v>
      </c>
      <c r="C2" s="28">
        <v>4.2298999999999998</v>
      </c>
      <c r="D2" s="28">
        <v>4.2099000000000002</v>
      </c>
      <c r="E2" s="28">
        <v>4.17</v>
      </c>
      <c r="F2" s="28">
        <v>4.1844000000000001</v>
      </c>
      <c r="G2" s="28">
        <v>0</v>
      </c>
      <c r="H2" s="318">
        <v>4.1806000000000001</v>
      </c>
      <c r="I2" s="318">
        <v>4.1806000000000001</v>
      </c>
      <c r="J2" s="29">
        <v>4.2543259999999998</v>
      </c>
      <c r="K2" s="30"/>
      <c r="O2" s="319" t="str">
        <f>B1</f>
        <v>PyCaret</v>
      </c>
      <c r="P2" s="320">
        <f>100-ABS((($G10-B2)/($G10)))*100</f>
        <v>99.641662685140957</v>
      </c>
      <c r="Q2" s="321">
        <f t="shared" ref="Q2:Q10" si="0">P2/$Q$1</f>
        <v>0.12522338909912237</v>
      </c>
      <c r="R2" s="322">
        <f>100-ABS((($G11-B3)/($G11)))*100</f>
        <v>98.780782346792734</v>
      </c>
      <c r="S2" s="323">
        <f t="shared" ref="S2:S10" si="1">R2/$S$1</f>
        <v>0.11155300301503267</v>
      </c>
      <c r="T2" s="323">
        <f>100-ABS((($G12-B4)/($G12)))*100</f>
        <v>95.62248550697042</v>
      </c>
      <c r="U2" s="323">
        <f t="shared" ref="U2:U10" si="2">T2/$U$1</f>
        <v>0.10726654376150041</v>
      </c>
      <c r="V2" s="323">
        <f>100-ABS((($G13-B5)/($G13)))*100</f>
        <v>92.220457433290974</v>
      </c>
      <c r="W2" s="323">
        <f t="shared" ref="W2:W10" si="3">V2/$W$1</f>
        <v>0.11120849553074465</v>
      </c>
      <c r="X2" s="324">
        <f>100-ABS((($G14-B6)/($G14)))*100</f>
        <v>99.888106645806857</v>
      </c>
      <c r="Y2" s="325">
        <f t="shared" ref="Y2:Y10" si="4">X2/$Y$1</f>
        <v>0.11314952739801853</v>
      </c>
      <c r="Z2" s="326">
        <f>100-ABS((($G15-B7)/($G15)))*100</f>
        <v>98.286058297092325</v>
      </c>
      <c r="AA2" s="39">
        <f t="shared" ref="AA2:AA10" si="5">Z2/$AA$1</f>
        <v>0.11013637797688701</v>
      </c>
      <c r="AB2" s="23"/>
      <c r="AC2" s="40">
        <f t="shared" ref="AC2:AC10" si="6">(R2+T2+V2+X2)/4</f>
        <v>96.627957983215254</v>
      </c>
      <c r="AD2" s="41">
        <f t="shared" ref="AD2:AD10" si="7">(P2+R2+T2+V2+X2+Z2)/6</f>
        <v>97.406592152515714</v>
      </c>
      <c r="AE2" s="42" t="str">
        <f>IF($AC2=MAX(AC2:AC10),"TOP","")</f>
        <v/>
      </c>
      <c r="AG2" s="1" t="s">
        <v>33</v>
      </c>
      <c r="AH2" s="2"/>
      <c r="AI2" s="2"/>
    </row>
    <row r="3" spans="1:45" ht="14.4" x14ac:dyDescent="0.3">
      <c r="A3" s="43" t="s">
        <v>13</v>
      </c>
      <c r="B3" s="526">
        <v>47867.240899999997</v>
      </c>
      <c r="C3" s="527">
        <v>47922.683199999999</v>
      </c>
      <c r="D3" s="527">
        <v>47436.775500000003</v>
      </c>
      <c r="E3" s="527">
        <v>47054.73</v>
      </c>
      <c r="F3" s="527">
        <v>47745.566700000003</v>
      </c>
      <c r="G3" s="527">
        <v>47778.698600000003</v>
      </c>
      <c r="H3" s="527">
        <v>47716.992200000001</v>
      </c>
      <c r="I3" s="527">
        <v>47763.483200000002</v>
      </c>
      <c r="J3" s="528">
        <v>47812.460899999998</v>
      </c>
      <c r="K3" s="30"/>
      <c r="L3" s="47" t="s">
        <v>103</v>
      </c>
      <c r="O3" s="327" t="str">
        <f>C1</f>
        <v>ARIMAX</v>
      </c>
      <c r="P3" s="328">
        <f>100-ABS((($G10-C2)/($G10)))*100</f>
        <v>98.951266125179174</v>
      </c>
      <c r="Q3" s="329">
        <f t="shared" si="0"/>
        <v>0.12435574202528762</v>
      </c>
      <c r="R3" s="330">
        <f>100-ABS((($G11-C3)/($G11)))*100</f>
        <v>98.8951953287431</v>
      </c>
      <c r="S3" s="331">
        <f t="shared" si="1"/>
        <v>0.11168220943977691</v>
      </c>
      <c r="T3" s="331">
        <f>100-ABS((($G12-C4)/($G12)))*100</f>
        <v>98.977211010894308</v>
      </c>
      <c r="U3" s="331">
        <f t="shared" si="2"/>
        <v>0.11102977798582145</v>
      </c>
      <c r="V3" s="331">
        <f>100-ABS((($G13-C5)/($G13)))*100</f>
        <v>99.648030495552732</v>
      </c>
      <c r="W3" s="331">
        <f t="shared" si="3"/>
        <v>0.12016539347604406</v>
      </c>
      <c r="X3" s="332">
        <f>100-ABS((($G14-C6)/($G14)))*100</f>
        <v>97.298784263876669</v>
      </c>
      <c r="Y3" s="333">
        <f t="shared" si="4"/>
        <v>0.11021643942954405</v>
      </c>
      <c r="Z3" s="334">
        <f>100-ABS((($G15-C7)/($G15)))*100</f>
        <v>98.77403586960429</v>
      </c>
      <c r="AA3" s="39">
        <f t="shared" si="5"/>
        <v>0.11068319085453816</v>
      </c>
      <c r="AB3" s="23"/>
      <c r="AC3" s="56">
        <f t="shared" si="6"/>
        <v>98.704805274766699</v>
      </c>
      <c r="AD3" s="57">
        <f t="shared" si="7"/>
        <v>98.757420515641726</v>
      </c>
      <c r="AE3" s="42" t="str">
        <f>IF($AC3=MAX(AC2:AC10),"TOP","")</f>
        <v/>
      </c>
      <c r="AG3" s="76" t="s">
        <v>12</v>
      </c>
      <c r="AH3" s="270" t="s">
        <v>34</v>
      </c>
      <c r="AI3" s="388">
        <f>MAX(P2:P10)</f>
        <v>99.9617773530817</v>
      </c>
    </row>
    <row r="4" spans="1:45" ht="14.4" x14ac:dyDescent="0.3">
      <c r="A4" s="43" t="s">
        <v>14</v>
      </c>
      <c r="B4" s="529">
        <v>6528.5487000000003</v>
      </c>
      <c r="C4" s="530">
        <v>6897.2501000000002</v>
      </c>
      <c r="D4" s="530">
        <v>6825.2187000000004</v>
      </c>
      <c r="E4" s="530">
        <v>6863.1904000000004</v>
      </c>
      <c r="F4" s="530">
        <v>6888.9775</v>
      </c>
      <c r="G4" s="530">
        <v>6838.1683999999996</v>
      </c>
      <c r="H4" s="530">
        <v>6868.4946</v>
      </c>
      <c r="I4" s="530">
        <v>6869.6502</v>
      </c>
      <c r="J4" s="531">
        <v>6849.0555999999997</v>
      </c>
      <c r="K4" s="30"/>
      <c r="O4" s="327" t="str">
        <f>D1</f>
        <v>PCE</v>
      </c>
      <c r="P4" s="328">
        <f>100-ABS((($G10-D2)/($G10)))*100</f>
        <v>99.429049211657897</v>
      </c>
      <c r="Q4" s="329">
        <f t="shared" si="0"/>
        <v>0.12495618982724935</v>
      </c>
      <c r="R4" s="330">
        <f>100-ABS((($G11-D3)/($G11)))*100</f>
        <v>97.892456464921722</v>
      </c>
      <c r="S4" s="331">
        <f t="shared" si="1"/>
        <v>0.11054981780608392</v>
      </c>
      <c r="T4" s="331">
        <f>100-ABS((($G12-D4)/($G12)))*100</f>
        <v>99.967757952491581</v>
      </c>
      <c r="U4" s="331">
        <f t="shared" si="2"/>
        <v>0.11214094494927503</v>
      </c>
      <c r="V4" s="331">
        <f>100-ABS((($G13-D5)/($G13)))*100</f>
        <v>79.412960609911067</v>
      </c>
      <c r="W4" s="331">
        <f t="shared" si="3"/>
        <v>9.576395651104655E-2</v>
      </c>
      <c r="X4" s="332">
        <f>100-ABS((($G14-D6)/($G14)))*100</f>
        <v>98.869838010495101</v>
      </c>
      <c r="Y4" s="333">
        <f t="shared" si="4"/>
        <v>0.11199607060802955</v>
      </c>
      <c r="Z4" s="334">
        <f>100-ABS((($G15-D7)/($G15)))*100</f>
        <v>99.721345649282981</v>
      </c>
      <c r="AA4" s="39">
        <f t="shared" si="5"/>
        <v>0.11174471748164658</v>
      </c>
      <c r="AB4" s="23"/>
      <c r="AC4" s="56">
        <f t="shared" si="6"/>
        <v>94.035753259454879</v>
      </c>
      <c r="AD4" s="57">
        <f t="shared" si="7"/>
        <v>95.882234649793403</v>
      </c>
      <c r="AE4" s="42" t="str">
        <f>IF($AC4=MAX(AC2:AC10),"TOP","")</f>
        <v/>
      </c>
      <c r="AG4" s="163" t="s">
        <v>13</v>
      </c>
      <c r="AH4" s="272" t="s">
        <v>35</v>
      </c>
      <c r="AI4" s="389">
        <f>MAX(R2:R10)</f>
        <v>98.8951953287431</v>
      </c>
    </row>
    <row r="5" spans="1:45" ht="14.4" x14ac:dyDescent="0.3">
      <c r="A5" s="43" t="s">
        <v>15</v>
      </c>
      <c r="B5" s="532">
        <v>16.964500000000001</v>
      </c>
      <c r="C5" s="533">
        <v>15.6846</v>
      </c>
      <c r="D5" s="533">
        <v>18.980399999999999</v>
      </c>
      <c r="E5" s="533">
        <v>17.677299999999999</v>
      </c>
      <c r="F5" s="533">
        <v>16.822800000000001</v>
      </c>
      <c r="G5" s="533">
        <v>17.335100000000001</v>
      </c>
      <c r="H5" s="534">
        <v>16.7074</v>
      </c>
      <c r="I5" s="534">
        <v>16.605899999999998</v>
      </c>
      <c r="J5" s="535">
        <v>15.9061</v>
      </c>
      <c r="K5" s="30"/>
      <c r="L5" s="1" t="s">
        <v>21</v>
      </c>
      <c r="O5" s="327" t="str">
        <f>E1</f>
        <v>LSTM</v>
      </c>
      <c r="P5" s="328">
        <f>100-ABS((($G10-E2)/($G10)))*100</f>
        <v>99.617773530817004</v>
      </c>
      <c r="Q5" s="329">
        <f t="shared" si="0"/>
        <v>0.12519336670902426</v>
      </c>
      <c r="R5" s="330">
        <f>100-ABS((($G11-E3)/($G11)))*100</f>
        <v>97.104051855161316</v>
      </c>
      <c r="S5" s="331">
        <f t="shared" si="1"/>
        <v>0.1096594735536877</v>
      </c>
      <c r="T5" s="331">
        <f>100-ABS((($G12-E4)/($G12)))*100</f>
        <v>99.476077346933394</v>
      </c>
      <c r="U5" s="331">
        <f t="shared" si="2"/>
        <v>0.11158939184005424</v>
      </c>
      <c r="V5" s="331">
        <f>100-ABS((($G13-E5)/($G13)))*100</f>
        <v>87.691867852604844</v>
      </c>
      <c r="W5" s="331">
        <f t="shared" si="3"/>
        <v>0.10574747692206328</v>
      </c>
      <c r="X5" s="332">
        <f>100-ABS((($G14-E6)/($G14)))*100</f>
        <v>98.711189335419306</v>
      </c>
      <c r="Y5" s="333">
        <f t="shared" si="4"/>
        <v>0.11181635929694422</v>
      </c>
      <c r="Z5" s="334">
        <f>100-ABS((($G15-E7)/($G15)))*100</f>
        <v>99.514286741185373</v>
      </c>
      <c r="AA5" s="39">
        <f t="shared" si="5"/>
        <v>0.1115126935449781</v>
      </c>
      <c r="AB5" s="23"/>
      <c r="AC5" s="56">
        <f t="shared" si="6"/>
        <v>95.745796597529718</v>
      </c>
      <c r="AD5" s="57">
        <f t="shared" si="7"/>
        <v>97.019207777020199</v>
      </c>
      <c r="AE5" s="42" t="str">
        <f>IF($AC5=MAX(AC2:AC10),"TOP","")</f>
        <v/>
      </c>
      <c r="AG5" s="43" t="s">
        <v>14</v>
      </c>
      <c r="AH5" s="274" t="s">
        <v>36</v>
      </c>
      <c r="AI5" s="390">
        <f>MAX(T2:T10)</f>
        <v>99.967757952491581</v>
      </c>
    </row>
    <row r="6" spans="1:45" ht="14.4" x14ac:dyDescent="0.3">
      <c r="A6" s="43" t="s">
        <v>16</v>
      </c>
      <c r="B6" s="536">
        <v>614.3066</v>
      </c>
      <c r="C6" s="537">
        <v>630.1952</v>
      </c>
      <c r="D6" s="537">
        <v>620.55489999999998</v>
      </c>
      <c r="E6" s="537">
        <v>621.52840000000003</v>
      </c>
      <c r="F6" s="537">
        <v>631.72619999999995</v>
      </c>
      <c r="G6" s="537">
        <v>626.01959999999997</v>
      </c>
      <c r="H6" s="537">
        <v>628.33309999999994</v>
      </c>
      <c r="I6" s="537">
        <v>628.3546</v>
      </c>
      <c r="J6" s="538">
        <v>627.12009999999998</v>
      </c>
      <c r="K6" s="30"/>
      <c r="O6" s="327" t="str">
        <f>F1</f>
        <v>GARCH</v>
      </c>
      <c r="P6" s="328">
        <f>100-ABS((($G10-F2)/($G10)))*100</f>
        <v>99.9617773530817</v>
      </c>
      <c r="Q6" s="329">
        <f t="shared" si="0"/>
        <v>0.12562568912643671</v>
      </c>
      <c r="R6" s="330">
        <f>100-ABS((($G11-F3)/($G11)))*100</f>
        <v>98.529690526135496</v>
      </c>
      <c r="S6" s="331">
        <f t="shared" si="1"/>
        <v>0.11126944536382384</v>
      </c>
      <c r="T6" s="331">
        <f>100-ABS((($G12-F4)/($G12)))*100</f>
        <v>99.098378303956693</v>
      </c>
      <c r="U6" s="331">
        <f t="shared" si="2"/>
        <v>0.11116569995725767</v>
      </c>
      <c r="V6" s="331">
        <f>100-ABS((($G13-F5)/($G13)))*100</f>
        <v>93.120711562897071</v>
      </c>
      <c r="W6" s="331">
        <f t="shared" si="3"/>
        <v>0.1122941104814323</v>
      </c>
      <c r="X6" s="332">
        <f>100-ABS((($G14-F6)/($G14)))*100</f>
        <v>97.049281314168383</v>
      </c>
      <c r="Y6" s="333">
        <f t="shared" si="4"/>
        <v>0.10993381177954754</v>
      </c>
      <c r="Z6" s="334">
        <f>100-ABS((($G15-F7)/($G15)))*100</f>
        <v>99.904251877942713</v>
      </c>
      <c r="AA6" s="39">
        <f t="shared" si="5"/>
        <v>0.11194967665778023</v>
      </c>
      <c r="AB6" s="23"/>
      <c r="AC6" s="56">
        <f t="shared" si="6"/>
        <v>96.949515426789418</v>
      </c>
      <c r="AD6" s="57">
        <f t="shared" si="7"/>
        <v>97.944015156363676</v>
      </c>
      <c r="AE6" s="42" t="str">
        <f>IF($AC6=MAX(AC2:AC10),"TOP","")</f>
        <v/>
      </c>
      <c r="AG6" s="43" t="s">
        <v>15</v>
      </c>
      <c r="AH6" s="274" t="s">
        <v>37</v>
      </c>
      <c r="AI6" s="390">
        <f>MAX(V2:V10)</f>
        <v>99.648030495552732</v>
      </c>
    </row>
    <row r="7" spans="1:45" ht="14.4" x14ac:dyDescent="0.3">
      <c r="A7" s="67" t="s">
        <v>17</v>
      </c>
      <c r="B7" s="68">
        <v>273.46129999999999</v>
      </c>
      <c r="C7" s="69">
        <v>281.64100000000002</v>
      </c>
      <c r="D7" s="69">
        <v>279.00529999999998</v>
      </c>
      <c r="E7" s="69">
        <v>279.58139999999997</v>
      </c>
      <c r="F7" s="69">
        <v>278.49639999999999</v>
      </c>
      <c r="G7" s="69">
        <v>281.68340000000001</v>
      </c>
      <c r="H7" s="69">
        <v>278.43740000000003</v>
      </c>
      <c r="I7" s="69">
        <v>278.43740000000003</v>
      </c>
      <c r="J7" s="70">
        <v>275.67219999999998</v>
      </c>
      <c r="K7" s="30"/>
      <c r="O7" s="327" t="str">
        <f>G1</f>
        <v>VAR</v>
      </c>
      <c r="P7" s="328">
        <f>100-ABS((($G10-G2)/($G10)))*100</f>
        <v>0</v>
      </c>
      <c r="Q7" s="329">
        <f t="shared" si="0"/>
        <v>0</v>
      </c>
      <c r="R7" s="330">
        <f>100-ABS((($G11-G3)/($G11)))*100</f>
        <v>98.598062860556709</v>
      </c>
      <c r="S7" s="331">
        <f t="shared" si="1"/>
        <v>0.11134665814799737</v>
      </c>
      <c r="T7" s="331">
        <f>100-ABS((($G12-G4)/($G12)))*100</f>
        <v>99.842570107009678</v>
      </c>
      <c r="U7" s="331">
        <f t="shared" si="2"/>
        <v>0.112000512838202</v>
      </c>
      <c r="V7" s="331">
        <f>100-ABS((($G13-G5)/($G13)))*100</f>
        <v>89.865946632782723</v>
      </c>
      <c r="W7" s="331">
        <f t="shared" si="3"/>
        <v>0.10836919489048466</v>
      </c>
      <c r="X7" s="332">
        <f>100-ABS((($G14-G6)/($G14)))*100</f>
        <v>97.979270558326007</v>
      </c>
      <c r="Y7" s="333">
        <f t="shared" si="4"/>
        <v>0.11098726896274157</v>
      </c>
      <c r="Z7" s="334">
        <f>100-ABS((($G15-G7)/($G15)))*100</f>
        <v>98.758796679006579</v>
      </c>
      <c r="AA7" s="39">
        <f t="shared" si="5"/>
        <v>0.11066611427943879</v>
      </c>
      <c r="AB7" s="23"/>
      <c r="AC7" s="56">
        <f t="shared" si="6"/>
        <v>96.571462539668772</v>
      </c>
      <c r="AD7" s="57">
        <f t="shared" si="7"/>
        <v>80.840774472946947</v>
      </c>
      <c r="AE7" s="42" t="str">
        <f>IF($AC7=MAX(AC2:AC10),"TOP","")</f>
        <v/>
      </c>
      <c r="AG7" s="174" t="s">
        <v>16</v>
      </c>
      <c r="AH7" s="276" t="s">
        <v>36</v>
      </c>
      <c r="AI7" s="391">
        <f>MAX(X2:X10)</f>
        <v>99.888106645806857</v>
      </c>
    </row>
    <row r="8" spans="1:45" ht="14.4" x14ac:dyDescent="0.3">
      <c r="O8" s="327" t="str">
        <f>H1</f>
        <v>RW</v>
      </c>
      <c r="P8" s="328">
        <f>100-ABS((($G10-H2)/($G10)))*100</f>
        <v>99.870998566650741</v>
      </c>
      <c r="Q8" s="329">
        <f t="shared" si="0"/>
        <v>0.12551160404406397</v>
      </c>
      <c r="R8" s="330">
        <f>100-ABS((($G11-H3)/($G11)))*100</f>
        <v>98.470723027443313</v>
      </c>
      <c r="S8" s="331">
        <f t="shared" si="1"/>
        <v>0.11120285344783451</v>
      </c>
      <c r="T8" s="331">
        <f>100-ABS((($G12-H4)/($G12)))*100</f>
        <v>99.398387677922258</v>
      </c>
      <c r="U8" s="331">
        <f t="shared" si="2"/>
        <v>0.11150224181214378</v>
      </c>
      <c r="V8" s="331">
        <f>100-ABS((($G13-H5)/($G13)))*100</f>
        <v>93.853875476493016</v>
      </c>
      <c r="W8" s="331">
        <f t="shared" si="3"/>
        <v>0.11317823161981871</v>
      </c>
      <c r="X8" s="332">
        <f>100-ABS((($G14-H6)/($G14)))*100</f>
        <v>97.602245689514689</v>
      </c>
      <c r="Y8" s="333">
        <f t="shared" si="4"/>
        <v>0.11056018923167239</v>
      </c>
      <c r="Z8" s="334">
        <f>100-ABS((($E15-H7)/($E15)))*100</f>
        <v>99.477456234369441</v>
      </c>
      <c r="AA8" s="39">
        <f t="shared" si="5"/>
        <v>0.1114714223953355</v>
      </c>
      <c r="AB8" s="23"/>
      <c r="AC8" s="56">
        <f t="shared" si="6"/>
        <v>97.331307967843316</v>
      </c>
      <c r="AD8" s="57">
        <f t="shared" si="7"/>
        <v>98.112281112065588</v>
      </c>
      <c r="AE8" s="42" t="str">
        <f>IF($AC8=MAX(AC2:AC10),"TOP","")</f>
        <v/>
      </c>
      <c r="AG8" s="136" t="s">
        <v>17</v>
      </c>
      <c r="AH8" s="278" t="s">
        <v>38</v>
      </c>
      <c r="AI8" s="392">
        <f>MAX(Z2:Z10)</f>
        <v>99.904251877942713</v>
      </c>
    </row>
    <row r="9" spans="1:45" ht="15" x14ac:dyDescent="0.3">
      <c r="B9" s="258" t="s">
        <v>22</v>
      </c>
      <c r="C9" s="393" t="s">
        <v>21</v>
      </c>
      <c r="D9" s="394" t="s">
        <v>24</v>
      </c>
      <c r="E9" s="548" t="s">
        <v>97</v>
      </c>
      <c r="F9" s="540" t="s">
        <v>98</v>
      </c>
      <c r="G9" s="73" t="s">
        <v>82</v>
      </c>
      <c r="I9" s="304" t="s">
        <v>83</v>
      </c>
      <c r="K9" s="523"/>
      <c r="L9" s="524" t="str">
        <f>IF(M9&lt;25,L11,IF(M9&lt;45,L12,IF(M9&lt;55,L13,IF(M9&lt;75,L14,L15))))</f>
        <v>Fear</v>
      </c>
      <c r="M9" s="525">
        <v>32</v>
      </c>
      <c r="O9" s="327" t="str">
        <f>I1</f>
        <v>ETS</v>
      </c>
      <c r="P9" s="328">
        <f>100-ABS((($G10-I2)/($G10)))*100</f>
        <v>99.870998566650741</v>
      </c>
      <c r="Q9" s="329">
        <f t="shared" si="0"/>
        <v>0.12551160404406397</v>
      </c>
      <c r="R9" s="330">
        <f>100-ABS((($G11-I3)/($G11)))*100</f>
        <v>98.566663743175795</v>
      </c>
      <c r="S9" s="331">
        <f t="shared" si="1"/>
        <v>0.11131119916748873</v>
      </c>
      <c r="T9" s="331">
        <f>100-ABS((($G12-I4)/($G12)))*100</f>
        <v>99.381461811343087</v>
      </c>
      <c r="U9" s="331">
        <f t="shared" si="2"/>
        <v>0.11148325486364009</v>
      </c>
      <c r="V9" s="331">
        <f>100-ABS((($G13-I5)/($G13)))*100</f>
        <v>94.498729351969516</v>
      </c>
      <c r="W9" s="331">
        <f t="shared" si="3"/>
        <v>0.11395585983079118</v>
      </c>
      <c r="X9" s="332">
        <f>100-ABS((($G14-I6)/($G14)))*100</f>
        <v>97.598741892376395</v>
      </c>
      <c r="Y9" s="333">
        <f t="shared" si="4"/>
        <v>0.11055622026075475</v>
      </c>
      <c r="Z9" s="334">
        <f>100-ABS((($E15-I7)/($E15)))*100</f>
        <v>99.477456234369441</v>
      </c>
      <c r="AA9" s="39">
        <f t="shared" si="5"/>
        <v>0.1114714223953355</v>
      </c>
      <c r="AB9" s="23"/>
      <c r="AC9" s="56">
        <f t="shared" si="6"/>
        <v>97.511399199716195</v>
      </c>
      <c r="AD9" s="57">
        <f t="shared" si="7"/>
        <v>98.23234193331416</v>
      </c>
      <c r="AE9" s="42" t="str">
        <f>IF($AC9=MAX(AC2:AC10),"TOP","")</f>
        <v/>
      </c>
      <c r="AG9" s="2"/>
      <c r="AH9" s="2"/>
      <c r="AI9" s="2"/>
    </row>
    <row r="10" spans="1:45" ht="14.4" x14ac:dyDescent="0.3">
      <c r="A10" s="76" t="s">
        <v>12</v>
      </c>
      <c r="B10" s="260">
        <v>4.1859999999999999</v>
      </c>
      <c r="C10" s="541">
        <f>(B2*Q24)+(C2*Q25)+(D2*Q26)+(E2*Q27)+(F2*Q28)+(G2*Q29)+(H2*Q30)+(I2*Q31)+(J2*Q32)</f>
        <v>4.1993455787139684</v>
      </c>
      <c r="D10" s="397">
        <v>4.2064005260191601</v>
      </c>
      <c r="E10" s="549">
        <f t="shared" ref="E10:E15" si="8">F18</f>
        <v>4.2060000000000004</v>
      </c>
      <c r="F10" s="399">
        <f t="shared" ref="F10:F15" si="9">F18*L18</f>
        <v>4.1860000000000008</v>
      </c>
      <c r="G10" s="82">
        <v>4.1859999999999999</v>
      </c>
      <c r="I10" s="306">
        <f t="shared" ref="I10:I15" si="10">(AI22+AK22)/2</f>
        <v>4.2078568292902148</v>
      </c>
      <c r="O10" s="339" t="str">
        <f>J1</f>
        <v>DynaMix</v>
      </c>
      <c r="P10" s="340">
        <f>100-ABS((($G10-J2)/($G10)))*100</f>
        <v>98.367749641662684</v>
      </c>
      <c r="Q10" s="341">
        <f t="shared" si="0"/>
        <v>0.12362241512475174</v>
      </c>
      <c r="R10" s="342">
        <f>100-ABS((($G11-J3)/($G11)))*100</f>
        <v>98.667736114020258</v>
      </c>
      <c r="S10" s="343">
        <f t="shared" si="1"/>
        <v>0.1114253400582742</v>
      </c>
      <c r="T10" s="343">
        <f>100-ABS((($G12-J4)/($G12)))*100</f>
        <v>99.683107235236747</v>
      </c>
      <c r="U10" s="343">
        <f t="shared" si="2"/>
        <v>0.11182163199210521</v>
      </c>
      <c r="V10" s="343">
        <f>100-ABS((($G13-J5)/($G13)))*100</f>
        <v>98.944726810673444</v>
      </c>
      <c r="W10" s="343">
        <f t="shared" si="3"/>
        <v>0.11931728073757461</v>
      </c>
      <c r="X10" s="344">
        <f>100-ABS((($G14-J6)/($G14)))*100</f>
        <v>97.799925035037973</v>
      </c>
      <c r="Y10" s="345">
        <f t="shared" si="4"/>
        <v>0.11078411303274735</v>
      </c>
      <c r="Z10" s="346">
        <f>100-ABS((($E15-J7)/($E15)))*100</f>
        <v>98.489531975705603</v>
      </c>
      <c r="AA10" s="92">
        <f t="shared" si="5"/>
        <v>0.11036438441406003</v>
      </c>
      <c r="AC10" s="93">
        <f t="shared" si="6"/>
        <v>98.773873798742102</v>
      </c>
      <c r="AD10" s="94">
        <f t="shared" si="7"/>
        <v>98.658796135389437</v>
      </c>
      <c r="AE10" s="42" t="str">
        <f>IF($AC10=MAX(AC2:AC10),"TOP","")</f>
        <v>TOP</v>
      </c>
      <c r="AG10" s="1381" t="s">
        <v>39</v>
      </c>
      <c r="AH10" s="1381"/>
      <c r="AI10" s="400">
        <f>AVERAGE(AI4:AI7)</f>
        <v>99.599772605648582</v>
      </c>
    </row>
    <row r="11" spans="1:45" ht="15" customHeight="1" x14ac:dyDescent="0.3">
      <c r="A11" s="95" t="s">
        <v>13</v>
      </c>
      <c r="B11" s="261">
        <v>47560.29</v>
      </c>
      <c r="C11" s="542">
        <f>(B3*S24)+(C3*S25)+(D3*S26)+(E3*S27)+(F3*S28)+(G3*S29)+(H3*S30)+(I3*S31)+(J3*S32)</f>
        <v>47673.142210654209</v>
      </c>
      <c r="D11" s="401">
        <v>47744.176541798101</v>
      </c>
      <c r="E11" s="550">
        <f t="shared" si="8"/>
        <v>47744.18</v>
      </c>
      <c r="F11" s="403">
        <f t="shared" si="9"/>
        <v>48458.049999999872</v>
      </c>
      <c r="G11" s="101">
        <v>48458.05</v>
      </c>
      <c r="I11" s="308">
        <f t="shared" si="10"/>
        <v>47750.069265545149</v>
      </c>
      <c r="J11" s="226" t="s">
        <v>43</v>
      </c>
      <c r="K11" s="227">
        <v>0</v>
      </c>
      <c r="L11" s="228" t="s">
        <v>44</v>
      </c>
      <c r="Q11" s="5"/>
      <c r="AG11" s="1383" t="s">
        <v>41</v>
      </c>
      <c r="AH11" s="1383"/>
      <c r="AI11" s="404">
        <f>AVERAGE(AI3:AI8)</f>
        <v>99.7108532756031</v>
      </c>
      <c r="AQ11" s="103"/>
      <c r="AS11" s="104" t="s">
        <v>27</v>
      </c>
    </row>
    <row r="12" spans="1:45" ht="15" x14ac:dyDescent="0.3">
      <c r="A12" s="105" t="s">
        <v>14</v>
      </c>
      <c r="B12" s="262">
        <v>6840.51</v>
      </c>
      <c r="C12" s="543">
        <f>(B4*U24)+(C4*U25)+(D4*U26)+(E4*U27)+(F4*U28)+(G4*U29)+(H4*U30)+(I4*U31)+(J4*U32)</f>
        <v>6825.7996320284701</v>
      </c>
      <c r="D12" s="405">
        <v>6863.3534994068796</v>
      </c>
      <c r="E12" s="551">
        <f t="shared" si="8"/>
        <v>6863.65</v>
      </c>
      <c r="F12" s="407">
        <f t="shared" si="9"/>
        <v>6827.4199999999992</v>
      </c>
      <c r="G12" s="111">
        <v>6827.42</v>
      </c>
      <c r="I12" s="308">
        <f t="shared" si="10"/>
        <v>6870.0352727810005</v>
      </c>
      <c r="K12" s="227">
        <v>25</v>
      </c>
      <c r="L12" s="228" t="s">
        <v>45</v>
      </c>
      <c r="O12" s="13" t="s">
        <v>28</v>
      </c>
      <c r="P12" s="350" t="s">
        <v>12</v>
      </c>
      <c r="Q12" s="114">
        <f>SUM(P13:P21)</f>
        <v>680</v>
      </c>
      <c r="R12" s="115" t="s">
        <v>13</v>
      </c>
      <c r="S12" s="116">
        <f>SUM(R13:R21)</f>
        <v>605</v>
      </c>
      <c r="T12" s="117" t="s">
        <v>14</v>
      </c>
      <c r="U12" s="116">
        <f>SUM(T13:T21)</f>
        <v>705</v>
      </c>
      <c r="V12" s="117" t="s">
        <v>15</v>
      </c>
      <c r="W12" s="116">
        <f>SUM(V13:V21)</f>
        <v>290.10000000000002</v>
      </c>
      <c r="X12" s="117" t="s">
        <v>16</v>
      </c>
      <c r="Y12" s="20">
        <f>SUM(X13:X21)</f>
        <v>595</v>
      </c>
      <c r="Z12" s="351" t="s">
        <v>17</v>
      </c>
      <c r="AA12" s="22">
        <f>SUM(Z13:Z21)</f>
        <v>705</v>
      </c>
      <c r="AB12" s="23"/>
      <c r="AC12" s="24" t="s">
        <v>29</v>
      </c>
      <c r="AD12" s="119" t="s">
        <v>30</v>
      </c>
      <c r="AQ12" s="103"/>
      <c r="AS12" s="103"/>
    </row>
    <row r="13" spans="1:45" ht="15" x14ac:dyDescent="0.3">
      <c r="A13" s="105" t="s">
        <v>15</v>
      </c>
      <c r="B13" s="262">
        <v>16.940000000000001</v>
      </c>
      <c r="C13" s="544">
        <f>(B5*W24)+(C5*W25)+(D5*W26)+(E5*W27)+(F5*W28)+(G5*W29)+(H5*W30)+(I5*W31)+(J5*W32)</f>
        <v>16.749361842888316</v>
      </c>
      <c r="D13" s="405">
        <v>16.851145662847799</v>
      </c>
      <c r="E13" s="551">
        <f t="shared" si="8"/>
        <v>16.850000000000001</v>
      </c>
      <c r="F13" s="407">
        <f t="shared" si="9"/>
        <v>15.740000000000006</v>
      </c>
      <c r="G13" s="111">
        <v>15.74</v>
      </c>
      <c r="I13" s="306">
        <f t="shared" si="10"/>
        <v>16.936207583687999</v>
      </c>
      <c r="K13" s="227">
        <v>45</v>
      </c>
      <c r="L13" s="228" t="s">
        <v>46</v>
      </c>
      <c r="O13" s="127" t="str">
        <f t="shared" ref="O13:O21" si="11">O2</f>
        <v>PyCaret</v>
      </c>
      <c r="P13" s="352">
        <f t="shared" ref="P13:P21" si="12">IF(P2=0,0, LOOKUP(P2-0.000000000001,$AC$13:$AC$29,$AD$13:$AD$29))</f>
        <v>90</v>
      </c>
      <c r="Q13" s="129">
        <f t="shared" ref="Q13:Q21" si="13">P13/$Q$12</f>
        <v>0.13235294117647059</v>
      </c>
      <c r="R13" s="353">
        <f t="shared" ref="R13:R21" si="14">IF(R2=0,0, LOOKUP(R2-0.000000000001,$AC$13:$AC$29,$AD$13:$AD$29))</f>
        <v>70</v>
      </c>
      <c r="S13" s="131">
        <f t="shared" ref="S13:S21" si="15">R13/$S$12</f>
        <v>0.11570247933884298</v>
      </c>
      <c r="T13" s="354">
        <f t="shared" ref="T13:T21" si="16">IF(T2=0,0, LOOKUP(T2-0.000000000001,$AC$13:$AC$29,$AD$13:$AD$29))</f>
        <v>40</v>
      </c>
      <c r="U13" s="131">
        <f t="shared" ref="U13:U21" si="17">T13/$U$12</f>
        <v>5.6737588652482268E-2</v>
      </c>
      <c r="V13" s="354">
        <f t="shared" ref="V13:V21" si="18">IF(V2=0,0, LOOKUP(V2-0.000000000001,$AC$13:$AC$29,$AD$13:$AD$29))</f>
        <v>20</v>
      </c>
      <c r="W13" s="131">
        <f t="shared" ref="W13:W21" si="19">V13/$W$12</f>
        <v>6.894174422612892E-2</v>
      </c>
      <c r="X13" s="354">
        <f t="shared" ref="X13:X21" si="20">IF(X2=0,0, LOOKUP(X2-0.000000000001,$AC$13:$AC$29,$AD$13:$AD$29))</f>
        <v>95</v>
      </c>
      <c r="Y13" s="132">
        <f t="shared" ref="Y13:Y21" si="21">X13/$Y$12</f>
        <v>0.15966386554621848</v>
      </c>
      <c r="Z13" s="355">
        <f t="shared" ref="Z13:Z21" si="22">IF(Z2=0,0, LOOKUP(Z2-0.000000000001,$AC$13:$AC$29,$AD$13:$AD$29))</f>
        <v>65</v>
      </c>
      <c r="AA13" s="134">
        <f t="shared" ref="AA13:AA21" si="23">Z13/$AA$12</f>
        <v>9.2198581560283682E-2</v>
      </c>
      <c r="AB13" s="23"/>
      <c r="AC13" s="40">
        <v>1</v>
      </c>
      <c r="AD13" s="135">
        <v>0.1</v>
      </c>
      <c r="AG13" s="8" t="s">
        <v>84</v>
      </c>
      <c r="AQ13" s="103"/>
      <c r="AS13" s="103"/>
    </row>
    <row r="14" spans="1:45" ht="15" x14ac:dyDescent="0.3">
      <c r="A14" s="120" t="s">
        <v>16</v>
      </c>
      <c r="B14" s="293">
        <v>625.04999999999995</v>
      </c>
      <c r="C14" s="545">
        <f>(B6*Y24)+(C6*Y25)+(D6*Y26)+(E6*Y27)+(F6*Y28)+(G6*Y29)+(H6*Y30)+(I6*Y31)+(J6*Y32)</f>
        <v>625.29661670103076</v>
      </c>
      <c r="D14" s="408">
        <v>627.027156943303</v>
      </c>
      <c r="E14" s="552">
        <f t="shared" si="8"/>
        <v>627.03</v>
      </c>
      <c r="F14" s="410">
        <f t="shared" si="9"/>
        <v>613.61999999999978</v>
      </c>
      <c r="G14" s="126">
        <v>613.62</v>
      </c>
      <c r="I14" s="309">
        <f t="shared" si="10"/>
        <v>627.30707201876498</v>
      </c>
      <c r="K14" s="227">
        <v>55</v>
      </c>
      <c r="L14" s="228" t="s">
        <v>47</v>
      </c>
      <c r="O14" s="143" t="str">
        <f t="shared" si="11"/>
        <v>ARIMAX</v>
      </c>
      <c r="P14" s="356">
        <f t="shared" si="12"/>
        <v>70</v>
      </c>
      <c r="Q14" s="145">
        <f t="shared" si="13"/>
        <v>0.10294117647058823</v>
      </c>
      <c r="R14" s="357">
        <f t="shared" si="14"/>
        <v>70</v>
      </c>
      <c r="S14" s="147">
        <f t="shared" si="15"/>
        <v>0.11570247933884298</v>
      </c>
      <c r="T14" s="358">
        <f t="shared" si="16"/>
        <v>70</v>
      </c>
      <c r="U14" s="147">
        <f t="shared" si="17"/>
        <v>9.9290780141843976E-2</v>
      </c>
      <c r="V14" s="358">
        <f t="shared" si="18"/>
        <v>90</v>
      </c>
      <c r="W14" s="147">
        <f t="shared" si="19"/>
        <v>0.31023784901758011</v>
      </c>
      <c r="X14" s="358">
        <f t="shared" si="20"/>
        <v>60</v>
      </c>
      <c r="Y14" s="148">
        <f t="shared" si="21"/>
        <v>0.10084033613445378</v>
      </c>
      <c r="Z14" s="359">
        <f t="shared" si="22"/>
        <v>70</v>
      </c>
      <c r="AA14" s="134">
        <f t="shared" si="23"/>
        <v>9.9290780141843976E-2</v>
      </c>
      <c r="AB14" s="23"/>
      <c r="AC14" s="56">
        <v>80</v>
      </c>
      <c r="AD14" s="150">
        <v>1</v>
      </c>
      <c r="AG14" s="411" t="s">
        <v>85</v>
      </c>
      <c r="AH14" s="412" t="s">
        <v>86</v>
      </c>
      <c r="AQ14" s="103"/>
      <c r="AS14" s="103"/>
    </row>
    <row r="15" spans="1:45" ht="15" x14ac:dyDescent="0.3">
      <c r="A15" s="136" t="s">
        <v>17</v>
      </c>
      <c r="B15" s="298">
        <v>277.18</v>
      </c>
      <c r="C15" s="546">
        <f>(B7*AA24)+(C7*AA25)+(D7*AA26)+(E7*AA27)+(F7*AA28)+(G7*AA29)+(H7*AA30)+(I7*AA31)+(J7*AA32)</f>
        <v>278.38752126102958</v>
      </c>
      <c r="D15" s="413">
        <v>279.695892939548</v>
      </c>
      <c r="E15" s="553">
        <f t="shared" si="8"/>
        <v>279.89999999999998</v>
      </c>
      <c r="F15" s="415">
        <f t="shared" si="9"/>
        <v>278.23</v>
      </c>
      <c r="G15" s="142">
        <v>278.23</v>
      </c>
      <c r="I15" s="309">
        <f t="shared" si="10"/>
        <v>279.55787490772298</v>
      </c>
      <c r="K15" s="227">
        <v>75</v>
      </c>
      <c r="L15" s="228" t="s">
        <v>48</v>
      </c>
      <c r="O15" s="143" t="str">
        <f t="shared" si="11"/>
        <v>PCE</v>
      </c>
      <c r="P15" s="356">
        <f t="shared" si="12"/>
        <v>80</v>
      </c>
      <c r="Q15" s="145">
        <f t="shared" si="13"/>
        <v>0.11764705882352941</v>
      </c>
      <c r="R15" s="357">
        <f t="shared" si="14"/>
        <v>60</v>
      </c>
      <c r="S15" s="147">
        <f t="shared" si="15"/>
        <v>9.9173553719008267E-2</v>
      </c>
      <c r="T15" s="358">
        <f t="shared" si="16"/>
        <v>95</v>
      </c>
      <c r="U15" s="147">
        <f t="shared" si="17"/>
        <v>0.13475177304964539</v>
      </c>
      <c r="V15" s="358">
        <f t="shared" si="18"/>
        <v>0.1</v>
      </c>
      <c r="W15" s="147">
        <f t="shared" si="19"/>
        <v>3.4470872113064461E-4</v>
      </c>
      <c r="X15" s="358">
        <f t="shared" si="20"/>
        <v>70</v>
      </c>
      <c r="Y15" s="148">
        <f t="shared" si="21"/>
        <v>0.11764705882352941</v>
      </c>
      <c r="Z15" s="359">
        <f t="shared" si="22"/>
        <v>90</v>
      </c>
      <c r="AA15" s="134">
        <f t="shared" si="23"/>
        <v>0.1276595744680851</v>
      </c>
      <c r="AB15" s="23"/>
      <c r="AC15" s="56">
        <v>82.5</v>
      </c>
      <c r="AD15" s="150">
        <v>2</v>
      </c>
      <c r="AG15" s="416" t="str">
        <f>P1</f>
        <v>TNX</v>
      </c>
      <c r="AH15" s="417" t="str">
        <f>R1</f>
        <v>DJI</v>
      </c>
      <c r="AI15" s="417" t="str">
        <f>T1</f>
        <v>SPX</v>
      </c>
      <c r="AJ15" s="417" t="str">
        <f>V1</f>
        <v>VIX</v>
      </c>
      <c r="AK15" s="417" t="str">
        <f>X1</f>
        <v>QQQ</v>
      </c>
      <c r="AL15" s="418" t="str">
        <f>Z1</f>
        <v>AAPL</v>
      </c>
      <c r="AQ15" s="103"/>
      <c r="AS15" s="103"/>
    </row>
    <row r="16" spans="1:45" ht="15" x14ac:dyDescent="0.25">
      <c r="G16" s="151"/>
      <c r="K16" s="8"/>
      <c r="O16" s="143" t="str">
        <f t="shared" si="11"/>
        <v>LSTM</v>
      </c>
      <c r="P16" s="356">
        <f t="shared" si="12"/>
        <v>90</v>
      </c>
      <c r="Q16" s="145">
        <f t="shared" si="13"/>
        <v>0.13235294117647059</v>
      </c>
      <c r="R16" s="357">
        <f t="shared" si="14"/>
        <v>60</v>
      </c>
      <c r="S16" s="147">
        <f t="shared" si="15"/>
        <v>9.9173553719008267E-2</v>
      </c>
      <c r="T16" s="358">
        <f t="shared" si="16"/>
        <v>80</v>
      </c>
      <c r="U16" s="147">
        <f t="shared" si="17"/>
        <v>0.11347517730496454</v>
      </c>
      <c r="V16" s="358">
        <f t="shared" si="18"/>
        <v>10</v>
      </c>
      <c r="W16" s="147">
        <f t="shared" si="19"/>
        <v>3.447087211306446E-2</v>
      </c>
      <c r="X16" s="358">
        <f t="shared" si="20"/>
        <v>70</v>
      </c>
      <c r="Y16" s="148">
        <f t="shared" si="21"/>
        <v>0.11764705882352941</v>
      </c>
      <c r="Z16" s="359">
        <f t="shared" si="22"/>
        <v>90</v>
      </c>
      <c r="AA16" s="134">
        <f t="shared" si="23"/>
        <v>0.1276595744680851</v>
      </c>
      <c r="AB16" s="23"/>
      <c r="AC16" s="56">
        <v>85</v>
      </c>
      <c r="AD16" s="150">
        <v>5</v>
      </c>
      <c r="AG16" s="419">
        <f>C18</f>
        <v>7.0549473051917388E-3</v>
      </c>
      <c r="AH16" s="419">
        <f>C19</f>
        <v>71.034331143891905</v>
      </c>
      <c r="AI16" s="419">
        <f>C20</f>
        <v>37.55386737840945</v>
      </c>
      <c r="AJ16" s="419">
        <f>C21</f>
        <v>0.10178381995948271</v>
      </c>
      <c r="AK16" s="419">
        <f>C22</f>
        <v>1.7305402422722409</v>
      </c>
      <c r="AL16" s="419">
        <f>C23</f>
        <v>1.3083716785184265</v>
      </c>
      <c r="AQ16" s="103"/>
      <c r="AS16" s="103"/>
    </row>
    <row r="17" spans="1:47" ht="15" x14ac:dyDescent="0.25">
      <c r="A17" s="554" t="s">
        <v>21</v>
      </c>
      <c r="B17" s="421" t="str">
        <f t="shared" ref="B17:B23" si="24">B9</f>
        <v>Close YF</v>
      </c>
      <c r="C17" s="422" t="s">
        <v>87</v>
      </c>
      <c r="D17" s="1398" t="s">
        <v>88</v>
      </c>
      <c r="E17" s="1398"/>
      <c r="F17" s="555" t="str">
        <f>E9</f>
        <v>PRED.</v>
      </c>
      <c r="G17" s="8"/>
      <c r="H17" s="1399" t="s">
        <v>99</v>
      </c>
      <c r="I17" s="1399"/>
      <c r="L17" s="547" t="s">
        <v>100</v>
      </c>
      <c r="M17" s="154"/>
      <c r="O17" s="143" t="str">
        <f t="shared" si="11"/>
        <v>GARCH</v>
      </c>
      <c r="P17" s="356">
        <f t="shared" si="12"/>
        <v>95</v>
      </c>
      <c r="Q17" s="145">
        <f t="shared" si="13"/>
        <v>0.13970588235294118</v>
      </c>
      <c r="R17" s="357">
        <f t="shared" si="14"/>
        <v>70</v>
      </c>
      <c r="S17" s="147">
        <f t="shared" si="15"/>
        <v>0.11570247933884298</v>
      </c>
      <c r="T17" s="358">
        <f t="shared" si="16"/>
        <v>75</v>
      </c>
      <c r="U17" s="147">
        <f t="shared" si="17"/>
        <v>0.10638297872340426</v>
      </c>
      <c r="V17" s="358">
        <f t="shared" si="18"/>
        <v>30</v>
      </c>
      <c r="W17" s="147">
        <f t="shared" si="19"/>
        <v>0.10341261633919337</v>
      </c>
      <c r="X17" s="358">
        <f t="shared" si="20"/>
        <v>60</v>
      </c>
      <c r="Y17" s="148">
        <f t="shared" si="21"/>
        <v>0.10084033613445378</v>
      </c>
      <c r="Z17" s="359">
        <f t="shared" si="22"/>
        <v>95</v>
      </c>
      <c r="AA17" s="134">
        <f t="shared" si="23"/>
        <v>0.13475177304964539</v>
      </c>
      <c r="AB17" s="23"/>
      <c r="AC17" s="56">
        <v>87.5</v>
      </c>
      <c r="AD17" s="150">
        <v>10</v>
      </c>
      <c r="AG17" s="425">
        <f>D18</f>
        <v>2.8348900615150345</v>
      </c>
      <c r="AH17" s="425">
        <f>D19</f>
        <v>2.5887482438245106</v>
      </c>
      <c r="AI17" s="425">
        <f>D20</f>
        <v>0.61618154441539619</v>
      </c>
      <c r="AJ17" s="425">
        <f>D21</f>
        <v>-0.88422698259730703</v>
      </c>
      <c r="AK17" s="425">
        <f>D22</f>
        <v>1.1441513763356723</v>
      </c>
      <c r="AL17" s="425">
        <f>D23</f>
        <v>2.0789199618567396</v>
      </c>
      <c r="AQ17" s="103"/>
    </row>
    <row r="18" spans="1:47" ht="15" x14ac:dyDescent="0.25">
      <c r="A18" s="426" t="s">
        <v>12</v>
      </c>
      <c r="B18" s="427">
        <f t="shared" si="24"/>
        <v>4.1859999999999999</v>
      </c>
      <c r="C18" s="428">
        <f t="shared" ref="C18:C23" si="25">D10-C10</f>
        <v>7.0549473051917388E-3</v>
      </c>
      <c r="D18" s="429">
        <f t="shared" ref="D18:D23" si="26">H18*I18</f>
        <v>2.8348900615150345</v>
      </c>
      <c r="E18" s="430">
        <f t="shared" ref="E18:E23" si="27">C18*D18</f>
        <v>2.0000000000000337E-2</v>
      </c>
      <c r="F18" s="557">
        <f t="shared" ref="F18:F23" si="28">B18+C18*D18</f>
        <v>4.2060000000000004</v>
      </c>
      <c r="G18" s="432" t="str">
        <f t="shared" ref="G18:G23" si="29">TEXT(J18,"0.00%") &amp; "" &amp; K18</f>
        <v>0.48%  ↑</v>
      </c>
      <c r="H18" s="425">
        <v>2.8484346867492198</v>
      </c>
      <c r="I18" s="558">
        <v>0.99524488825487401</v>
      </c>
      <c r="J18" s="307">
        <f t="shared" ref="J18:J23" si="30">IF((E10-B10)&gt;0, (E10/B10-1), (1-E10/B10))</f>
        <v>4.7778308647874468E-3</v>
      </c>
      <c r="K18" s="160" t="str">
        <f t="shared" ref="K18:K23" si="31">IF(E10&lt;B10,"  ↓","  ↑")</f>
        <v xml:space="preserve">  ↑</v>
      </c>
      <c r="L18" s="161">
        <v>0.99524488825487401</v>
      </c>
      <c r="M18" s="162"/>
      <c r="O18" s="143" t="str">
        <f t="shared" si="11"/>
        <v>VAR</v>
      </c>
      <c r="P18" s="356">
        <f t="shared" si="12"/>
        <v>0</v>
      </c>
      <c r="Q18" s="145">
        <f t="shared" si="13"/>
        <v>0</v>
      </c>
      <c r="R18" s="357">
        <f t="shared" si="14"/>
        <v>70</v>
      </c>
      <c r="S18" s="147">
        <f t="shared" si="15"/>
        <v>0.11570247933884298</v>
      </c>
      <c r="T18" s="358">
        <f t="shared" si="16"/>
        <v>95</v>
      </c>
      <c r="U18" s="147">
        <f t="shared" si="17"/>
        <v>0.13475177304964539</v>
      </c>
      <c r="V18" s="358">
        <f t="shared" si="18"/>
        <v>10</v>
      </c>
      <c r="W18" s="147">
        <f t="shared" si="19"/>
        <v>3.447087211306446E-2</v>
      </c>
      <c r="X18" s="358">
        <f t="shared" si="20"/>
        <v>60</v>
      </c>
      <c r="Y18" s="148">
        <f t="shared" si="21"/>
        <v>0.10084033613445378</v>
      </c>
      <c r="Z18" s="359">
        <f t="shared" si="22"/>
        <v>70</v>
      </c>
      <c r="AA18" s="134">
        <f t="shared" si="23"/>
        <v>9.9290780141843976E-2</v>
      </c>
      <c r="AB18" s="23"/>
      <c r="AC18" s="56">
        <v>90</v>
      </c>
      <c r="AD18" s="150">
        <v>20</v>
      </c>
      <c r="AG18" s="434">
        <f>F18</f>
        <v>4.2060000000000004</v>
      </c>
      <c r="AH18" s="435">
        <f>F19</f>
        <v>47744.18</v>
      </c>
      <c r="AI18" s="435">
        <f>F20</f>
        <v>6863.65</v>
      </c>
      <c r="AJ18" s="435">
        <f>F21</f>
        <v>16.850000000000001</v>
      </c>
      <c r="AK18" s="435">
        <f>F22</f>
        <v>627.03</v>
      </c>
      <c r="AL18" s="436">
        <f>F23</f>
        <v>279.89999999999998</v>
      </c>
      <c r="AQ18" s="103"/>
    </row>
    <row r="19" spans="1:47" ht="15" x14ac:dyDescent="0.25">
      <c r="A19" s="437" t="s">
        <v>13</v>
      </c>
      <c r="B19" s="438">
        <f t="shared" si="24"/>
        <v>47560.29</v>
      </c>
      <c r="C19" s="439">
        <f t="shared" si="25"/>
        <v>71.034331143891905</v>
      </c>
      <c r="D19" s="440">
        <f t="shared" si="26"/>
        <v>2.5887482438245106</v>
      </c>
      <c r="E19" s="441">
        <f t="shared" si="27"/>
        <v>183.88999999999891</v>
      </c>
      <c r="F19" s="559">
        <f t="shared" si="28"/>
        <v>47744.18</v>
      </c>
      <c r="G19" s="443" t="str">
        <f t="shared" si="29"/>
        <v>0.39%  ↑</v>
      </c>
      <c r="H19" s="425">
        <v>2.5506115522156101</v>
      </c>
      <c r="I19" s="558">
        <v>1.0149519794873401</v>
      </c>
      <c r="J19" s="307">
        <f t="shared" si="30"/>
        <v>3.8664608647256404E-3</v>
      </c>
      <c r="K19" s="160" t="str">
        <f t="shared" si="31"/>
        <v xml:space="preserve">  ↑</v>
      </c>
      <c r="L19" s="161">
        <v>1.0149519794873401</v>
      </c>
      <c r="M19" s="162"/>
      <c r="O19" s="143" t="str">
        <f t="shared" si="11"/>
        <v>RW</v>
      </c>
      <c r="P19" s="356">
        <f t="shared" si="12"/>
        <v>95</v>
      </c>
      <c r="Q19" s="145">
        <f t="shared" si="13"/>
        <v>0.13970588235294118</v>
      </c>
      <c r="R19" s="357">
        <f t="shared" si="14"/>
        <v>65</v>
      </c>
      <c r="S19" s="147">
        <f t="shared" si="15"/>
        <v>0.10743801652892562</v>
      </c>
      <c r="T19" s="358">
        <f t="shared" si="16"/>
        <v>80</v>
      </c>
      <c r="U19" s="147">
        <f t="shared" si="17"/>
        <v>0.11347517730496454</v>
      </c>
      <c r="V19" s="358">
        <f t="shared" si="18"/>
        <v>30</v>
      </c>
      <c r="W19" s="147">
        <f t="shared" si="19"/>
        <v>0.10341261633919337</v>
      </c>
      <c r="X19" s="358">
        <f t="shared" si="20"/>
        <v>60</v>
      </c>
      <c r="Y19" s="148">
        <f t="shared" si="21"/>
        <v>0.10084033613445378</v>
      </c>
      <c r="Z19" s="359">
        <f t="shared" si="22"/>
        <v>80</v>
      </c>
      <c r="AA19" s="134">
        <f t="shared" si="23"/>
        <v>0.11347517730496454</v>
      </c>
      <c r="AB19" s="23"/>
      <c r="AC19" s="56">
        <v>92.5</v>
      </c>
      <c r="AD19" s="150">
        <v>30</v>
      </c>
      <c r="AQ19" s="103"/>
    </row>
    <row r="20" spans="1:47" ht="14.4" x14ac:dyDescent="0.25">
      <c r="A20" s="444" t="s">
        <v>14</v>
      </c>
      <c r="B20" s="445">
        <f t="shared" si="24"/>
        <v>6840.51</v>
      </c>
      <c r="C20" s="446">
        <f t="shared" si="25"/>
        <v>37.55386737840945</v>
      </c>
      <c r="D20" s="447">
        <f t="shared" si="26"/>
        <v>0.61618154441539619</v>
      </c>
      <c r="E20" s="448">
        <f t="shared" si="27"/>
        <v>23.139999999999301</v>
      </c>
      <c r="F20" s="560">
        <f t="shared" si="28"/>
        <v>6863.65</v>
      </c>
      <c r="G20" s="443" t="str">
        <f t="shared" si="29"/>
        <v>0.34%  ↑</v>
      </c>
      <c r="H20" s="425">
        <v>0.619424263171653</v>
      </c>
      <c r="I20" s="558">
        <v>0.99476494714680197</v>
      </c>
      <c r="J20" s="307">
        <f t="shared" si="30"/>
        <v>3.382788710198481E-3</v>
      </c>
      <c r="K20" s="160" t="str">
        <f t="shared" si="31"/>
        <v xml:space="preserve">  ↑</v>
      </c>
      <c r="L20" s="161">
        <v>0.99472146744079304</v>
      </c>
      <c r="M20" s="162"/>
      <c r="O20" s="143" t="str">
        <f t="shared" si="11"/>
        <v>ETS</v>
      </c>
      <c r="P20" s="356">
        <f t="shared" si="12"/>
        <v>95</v>
      </c>
      <c r="Q20" s="145">
        <f t="shared" si="13"/>
        <v>0.13970588235294118</v>
      </c>
      <c r="R20" s="357">
        <f t="shared" si="14"/>
        <v>70</v>
      </c>
      <c r="S20" s="147">
        <f t="shared" si="15"/>
        <v>0.11570247933884298</v>
      </c>
      <c r="T20" s="358">
        <f t="shared" si="16"/>
        <v>80</v>
      </c>
      <c r="U20" s="147">
        <f t="shared" si="17"/>
        <v>0.11347517730496454</v>
      </c>
      <c r="V20" s="358">
        <f t="shared" si="18"/>
        <v>30</v>
      </c>
      <c r="W20" s="147">
        <f t="shared" si="19"/>
        <v>0.10341261633919337</v>
      </c>
      <c r="X20" s="358">
        <f t="shared" si="20"/>
        <v>60</v>
      </c>
      <c r="Y20" s="148">
        <f t="shared" si="21"/>
        <v>0.10084033613445378</v>
      </c>
      <c r="Z20" s="359">
        <f t="shared" si="22"/>
        <v>80</v>
      </c>
      <c r="AA20" s="134">
        <f t="shared" si="23"/>
        <v>0.11347517730496454</v>
      </c>
      <c r="AC20" s="56">
        <v>95</v>
      </c>
      <c r="AD20" s="150">
        <v>40</v>
      </c>
    </row>
    <row r="21" spans="1:47" ht="15" x14ac:dyDescent="0.25">
      <c r="A21" s="444" t="s">
        <v>15</v>
      </c>
      <c r="B21" s="445">
        <f t="shared" si="24"/>
        <v>16.940000000000001</v>
      </c>
      <c r="C21" s="446">
        <f t="shared" si="25"/>
        <v>0.10178381995948271</v>
      </c>
      <c r="D21" s="447">
        <f t="shared" si="26"/>
        <v>-0.88422698259730703</v>
      </c>
      <c r="E21" s="448">
        <f t="shared" si="27"/>
        <v>-9.0000000000000954E-2</v>
      </c>
      <c r="F21" s="560">
        <f t="shared" si="28"/>
        <v>16.850000000000001</v>
      </c>
      <c r="G21" s="443" t="str">
        <f t="shared" si="29"/>
        <v>0.53%  ↓</v>
      </c>
      <c r="H21" s="425">
        <v>-0.94658352330143702</v>
      </c>
      <c r="I21" s="558">
        <v>0.93412462908011895</v>
      </c>
      <c r="J21" s="307">
        <f t="shared" si="30"/>
        <v>5.312868949232552E-3</v>
      </c>
      <c r="K21" s="160" t="str">
        <f t="shared" si="31"/>
        <v xml:space="preserve">  ↓</v>
      </c>
      <c r="L21" s="161">
        <v>0.93412462908011895</v>
      </c>
      <c r="M21" s="162"/>
      <c r="O21" s="180" t="str">
        <f t="shared" si="11"/>
        <v>DynaMix</v>
      </c>
      <c r="P21" s="360">
        <f t="shared" si="12"/>
        <v>65</v>
      </c>
      <c r="Q21" s="182">
        <f t="shared" si="13"/>
        <v>9.5588235294117641E-2</v>
      </c>
      <c r="R21" s="361">
        <f t="shared" si="14"/>
        <v>70</v>
      </c>
      <c r="S21" s="184">
        <f t="shared" si="15"/>
        <v>0.11570247933884298</v>
      </c>
      <c r="T21" s="362">
        <f t="shared" si="16"/>
        <v>90</v>
      </c>
      <c r="U21" s="184">
        <f t="shared" si="17"/>
        <v>0.1276595744680851</v>
      </c>
      <c r="V21" s="362">
        <f t="shared" si="18"/>
        <v>70</v>
      </c>
      <c r="W21" s="184">
        <f t="shared" si="19"/>
        <v>0.24129610479145119</v>
      </c>
      <c r="X21" s="362">
        <f t="shared" si="20"/>
        <v>60</v>
      </c>
      <c r="Y21" s="185">
        <f t="shared" si="21"/>
        <v>0.10084033613445378</v>
      </c>
      <c r="Z21" s="363">
        <f t="shared" si="22"/>
        <v>65</v>
      </c>
      <c r="AA21" s="187">
        <f t="shared" si="23"/>
        <v>9.2198581560283682E-2</v>
      </c>
      <c r="AB21" s="23"/>
      <c r="AC21" s="56">
        <v>96</v>
      </c>
      <c r="AD21" s="150">
        <v>50</v>
      </c>
      <c r="AG21" s="1" t="s">
        <v>0</v>
      </c>
      <c r="AH21" s="259" t="s">
        <v>23</v>
      </c>
      <c r="AI21" s="1392" t="s">
        <v>31</v>
      </c>
      <c r="AJ21" s="1392"/>
      <c r="AK21" s="1392">
        <v>85520</v>
      </c>
      <c r="AL21" s="1392"/>
      <c r="AM21" s="1389" t="s">
        <v>25</v>
      </c>
      <c r="AN21" s="1389"/>
      <c r="AP21" s="450">
        <f t="shared" ref="AP21:AP26" si="32">(AI22-AH22)/AH22</f>
        <v>6.391027472969539E-3</v>
      </c>
      <c r="AQ21" s="451" t="str">
        <f t="shared" ref="AQ21:AQ26" si="33">IF(AI22-AH22&gt;0,"↑","↓")</f>
        <v>↑</v>
      </c>
      <c r="AR21" s="452">
        <f t="shared" ref="AR21:AR26" si="34">(AK22-AH22)/AH22</f>
        <v>4.0517958859484079E-3</v>
      </c>
      <c r="AS21" s="453" t="str">
        <f t="shared" ref="AS21:AS26" si="35">IF(AK22-AH22&gt;0,"↑","↓")</f>
        <v>↑</v>
      </c>
      <c r="AT21" s="450">
        <f t="shared" ref="AT21:AT26" si="36">(AM22-AH22)/AH22</f>
        <v>0</v>
      </c>
      <c r="AU21" s="451" t="str">
        <f t="shared" ref="AU21:AU26" si="37">IF(AM22-AH22&gt;0,"↑","↓")</f>
        <v>↓</v>
      </c>
    </row>
    <row r="22" spans="1:47" ht="15" x14ac:dyDescent="0.25">
      <c r="A22" s="454" t="s">
        <v>16</v>
      </c>
      <c r="B22" s="455">
        <f t="shared" si="24"/>
        <v>625.04999999999995</v>
      </c>
      <c r="C22" s="456">
        <f t="shared" si="25"/>
        <v>1.7305402422722409</v>
      </c>
      <c r="D22" s="457">
        <f t="shared" si="26"/>
        <v>1.1441513763356723</v>
      </c>
      <c r="E22" s="458">
        <f t="shared" si="27"/>
        <v>1.9800000000000522</v>
      </c>
      <c r="F22" s="561">
        <f t="shared" si="28"/>
        <v>627.03</v>
      </c>
      <c r="G22" s="443" t="str">
        <f t="shared" si="29"/>
        <v>0.32%  ↑</v>
      </c>
      <c r="H22" s="425">
        <v>1.1691555645248799</v>
      </c>
      <c r="I22" s="558">
        <v>0.97861346347064704</v>
      </c>
      <c r="J22" s="307">
        <f t="shared" si="30"/>
        <v>3.1677465802735227E-3</v>
      </c>
      <c r="K22" s="160" t="str">
        <f t="shared" si="31"/>
        <v xml:space="preserve">  ↑</v>
      </c>
      <c r="L22" s="161">
        <v>0.97861346347064704</v>
      </c>
      <c r="M22" s="162"/>
      <c r="Q22" s="5"/>
      <c r="AC22" s="56">
        <v>97</v>
      </c>
      <c r="AD22" s="150">
        <v>60</v>
      </c>
      <c r="AG22" s="460" t="s">
        <v>12</v>
      </c>
      <c r="AH22" s="461">
        <f t="shared" ref="AH22:AH27" si="38">B10</f>
        <v>4.1859999999999999</v>
      </c>
      <c r="AI22" s="462">
        <f t="shared" ref="AI22:AI27" si="39">B26</f>
        <v>4.2127528410018504</v>
      </c>
      <c r="AJ22" s="463" t="str">
        <f t="shared" ref="AJ22:AJ27" si="40">CONCATENATE(TEXT(AP21,"0.00%"),"  ",AQ21)</f>
        <v>0.64%  ↑</v>
      </c>
      <c r="AK22" s="462">
        <f t="shared" ref="AK22:AK27" si="41">D26</f>
        <v>4.20296081757858</v>
      </c>
      <c r="AL22" s="463" t="str">
        <f t="shared" ref="AL22:AL27" si="42">CONCATENATE(TEXT(AR21,"0.00%"),"  ",AS21)</f>
        <v>0.41%  ↑</v>
      </c>
      <c r="AM22" s="464">
        <f t="shared" ref="AM22:AM27" si="43">G10</f>
        <v>4.1859999999999999</v>
      </c>
      <c r="AN22" s="465" t="str">
        <f t="shared" ref="AN22:AN27" si="44">CONCATENATE(TEXT(AT21,"0.00%"),"  ",AU21)</f>
        <v>0.00%  ↓</v>
      </c>
      <c r="AP22" s="466">
        <f t="shared" si="32"/>
        <v>3.7393533946533629E-3</v>
      </c>
      <c r="AQ22" s="467" t="str">
        <f t="shared" si="33"/>
        <v>↑</v>
      </c>
      <c r="AR22" s="468">
        <f t="shared" si="34"/>
        <v>4.241223071350041E-3</v>
      </c>
      <c r="AS22" s="469" t="str">
        <f t="shared" si="35"/>
        <v>↑</v>
      </c>
      <c r="AT22" s="466">
        <f t="shared" si="36"/>
        <v>1.8876251595606377E-2</v>
      </c>
      <c r="AU22" s="467" t="str">
        <f t="shared" si="37"/>
        <v>↑</v>
      </c>
    </row>
    <row r="23" spans="1:47" ht="15" x14ac:dyDescent="0.25">
      <c r="A23" s="470" t="s">
        <v>17</v>
      </c>
      <c r="B23" s="471">
        <f t="shared" si="24"/>
        <v>277.18</v>
      </c>
      <c r="C23" s="472">
        <f t="shared" si="25"/>
        <v>1.3083716785184265</v>
      </c>
      <c r="D23" s="473">
        <f t="shared" si="26"/>
        <v>2.0789199618567396</v>
      </c>
      <c r="E23" s="474">
        <f t="shared" si="27"/>
        <v>2.7199999999999656</v>
      </c>
      <c r="F23" s="562">
        <f t="shared" si="28"/>
        <v>279.89999999999998</v>
      </c>
      <c r="G23" s="432" t="str">
        <f t="shared" si="29"/>
        <v>0.98%  ↑</v>
      </c>
      <c r="H23" s="425">
        <v>2.0899037247289298</v>
      </c>
      <c r="I23" s="558">
        <v>0.99474436896675</v>
      </c>
      <c r="J23" s="307">
        <f t="shared" si="30"/>
        <v>9.8131178295690624E-3</v>
      </c>
      <c r="K23" s="160" t="str">
        <f t="shared" si="31"/>
        <v xml:space="preserve">  ↑</v>
      </c>
      <c r="L23" s="161">
        <v>0.99403358342265102</v>
      </c>
      <c r="M23" s="162"/>
      <c r="O23" s="13" t="s">
        <v>40</v>
      </c>
      <c r="P23" s="364" t="s">
        <v>12</v>
      </c>
      <c r="Q23" s="205">
        <f>SUM(P24:P32)</f>
        <v>563.75</v>
      </c>
      <c r="R23" s="365" t="s">
        <v>13</v>
      </c>
      <c r="S23" s="366">
        <f>SUM(R24:R32)</f>
        <v>668.75</v>
      </c>
      <c r="T23" s="367" t="s">
        <v>14</v>
      </c>
      <c r="U23" s="366">
        <f>SUM(T24:T32)</f>
        <v>702.5</v>
      </c>
      <c r="V23" s="367" t="s">
        <v>15</v>
      </c>
      <c r="W23" s="366">
        <f>SUM(V24:V32)</f>
        <v>252.05</v>
      </c>
      <c r="X23" s="367" t="s">
        <v>16</v>
      </c>
      <c r="Y23" s="209">
        <f>SUM(X24:X32)</f>
        <v>606.25</v>
      </c>
      <c r="Z23" s="368" t="s">
        <v>17</v>
      </c>
      <c r="AA23" s="22">
        <f>SUM(Z24:Z32)</f>
        <v>563.82499999999993</v>
      </c>
      <c r="AB23" s="23"/>
      <c r="AC23" s="56">
        <v>98</v>
      </c>
      <c r="AD23" s="150">
        <v>65</v>
      </c>
      <c r="AG23" s="163" t="s">
        <v>13</v>
      </c>
      <c r="AH23" s="476">
        <f t="shared" si="38"/>
        <v>47560.29</v>
      </c>
      <c r="AI23" s="477">
        <f t="shared" si="39"/>
        <v>47738.134731862199</v>
      </c>
      <c r="AJ23" s="478" t="str">
        <f t="shared" si="40"/>
        <v>0.37%  ↑</v>
      </c>
      <c r="AK23" s="477">
        <f t="shared" si="41"/>
        <v>47762.0037992281</v>
      </c>
      <c r="AL23" s="478" t="str">
        <f t="shared" si="42"/>
        <v>0.42%  ↑</v>
      </c>
      <c r="AM23" s="479">
        <f t="shared" si="43"/>
        <v>48458.05</v>
      </c>
      <c r="AN23" s="480" t="str">
        <f t="shared" si="44"/>
        <v>1.89%  ↑</v>
      </c>
      <c r="AP23" s="466">
        <f t="shared" si="32"/>
        <v>5.0700410540880352E-3</v>
      </c>
      <c r="AQ23" s="467" t="str">
        <f t="shared" si="33"/>
        <v>↑</v>
      </c>
      <c r="AR23" s="468">
        <f t="shared" si="34"/>
        <v>3.5624359925063805E-3</v>
      </c>
      <c r="AS23" s="469" t="str">
        <f t="shared" si="35"/>
        <v>↑</v>
      </c>
      <c r="AT23" s="466">
        <f t="shared" si="36"/>
        <v>-1.9136000093560488E-3</v>
      </c>
      <c r="AU23" s="467" t="str">
        <f t="shared" si="37"/>
        <v>↓</v>
      </c>
    </row>
    <row r="24" spans="1:47" ht="15" x14ac:dyDescent="0.3">
      <c r="H24" s="563"/>
      <c r="I24" s="556" t="s">
        <v>104</v>
      </c>
      <c r="K24" s="200"/>
      <c r="L24" s="201" t="s">
        <v>101</v>
      </c>
      <c r="O24" s="127" t="str">
        <f t="shared" ref="O24:O31" si="45">O2</f>
        <v>PyCaret</v>
      </c>
      <c r="P24" s="369">
        <v>73.75</v>
      </c>
      <c r="Q24" s="370">
        <f t="shared" ref="Q24:Q32" si="46">P24/$Q$23</f>
        <v>0.13082039911308205</v>
      </c>
      <c r="R24" s="371">
        <v>70</v>
      </c>
      <c r="S24" s="372">
        <f t="shared" ref="S24:S32" si="47">R24/$S$23</f>
        <v>0.10467289719626169</v>
      </c>
      <c r="T24" s="372">
        <v>76.25</v>
      </c>
      <c r="U24" s="372">
        <f t="shared" ref="U24:U32" si="48">T24/$U$23</f>
        <v>0.10854092526690391</v>
      </c>
      <c r="V24" s="372">
        <v>30.024999999999999</v>
      </c>
      <c r="W24" s="372">
        <f t="shared" ref="W24:W32" si="49">V24/$W$23</f>
        <v>0.11912318984328506</v>
      </c>
      <c r="X24" s="372">
        <v>66.25</v>
      </c>
      <c r="Y24" s="373">
        <f t="shared" ref="Y24:Y32" si="50">X24/$Y$23</f>
        <v>0.10927835051546392</v>
      </c>
      <c r="Z24" s="374">
        <v>73.75</v>
      </c>
      <c r="AA24" s="39">
        <f t="shared" ref="AA24:AA32" si="51">Z24/$AA$23</f>
        <v>0.13080299738394008</v>
      </c>
      <c r="AB24" s="23"/>
      <c r="AC24" s="56">
        <v>98.5</v>
      </c>
      <c r="AD24" s="150">
        <v>70</v>
      </c>
      <c r="AG24" s="43" t="s">
        <v>14</v>
      </c>
      <c r="AH24" s="481">
        <f t="shared" si="38"/>
        <v>6840.51</v>
      </c>
      <c r="AI24" s="482">
        <f t="shared" si="39"/>
        <v>6875.1916665309</v>
      </c>
      <c r="AJ24" s="483" t="str">
        <f t="shared" si="40"/>
        <v>0.51%  ↑</v>
      </c>
      <c r="AK24" s="482">
        <f t="shared" si="41"/>
        <v>6864.8788790311</v>
      </c>
      <c r="AL24" s="483" t="str">
        <f t="shared" si="42"/>
        <v>0.36%  ↑</v>
      </c>
      <c r="AM24" s="484">
        <f t="shared" si="43"/>
        <v>6827.42</v>
      </c>
      <c r="AN24" s="485" t="str">
        <f t="shared" si="44"/>
        <v>-0.19%  ↓</v>
      </c>
      <c r="AP24" s="466">
        <f t="shared" si="32"/>
        <v>-8.9805957947049694E-3</v>
      </c>
      <c r="AQ24" s="467" t="str">
        <f t="shared" si="33"/>
        <v>↓</v>
      </c>
      <c r="AR24" s="468">
        <f t="shared" si="34"/>
        <v>8.5328488865582825E-3</v>
      </c>
      <c r="AS24" s="469" t="str">
        <f t="shared" si="35"/>
        <v>↑</v>
      </c>
      <c r="AT24" s="466">
        <f t="shared" si="36"/>
        <v>-7.0838252656434536E-2</v>
      </c>
      <c r="AU24" s="467" t="str">
        <f t="shared" si="37"/>
        <v>↓</v>
      </c>
    </row>
    <row r="25" spans="1:47" ht="15" x14ac:dyDescent="0.3">
      <c r="A25" s="564" t="str">
        <f>E9</f>
        <v>PRED.</v>
      </c>
      <c r="B25" s="1385" t="s">
        <v>31</v>
      </c>
      <c r="C25" s="1385"/>
      <c r="D25" s="1385">
        <v>85220</v>
      </c>
      <c r="E25" s="1385"/>
      <c r="F25" s="1385" t="s">
        <v>32</v>
      </c>
      <c r="G25" s="1385"/>
      <c r="O25" s="143" t="str">
        <f t="shared" si="45"/>
        <v>ARIMAX</v>
      </c>
      <c r="P25" s="375">
        <v>65</v>
      </c>
      <c r="Q25" s="376">
        <f t="shared" si="46"/>
        <v>0.11529933481152993</v>
      </c>
      <c r="R25" s="377">
        <v>67.5</v>
      </c>
      <c r="S25" s="378">
        <f t="shared" si="47"/>
        <v>0.10093457943925234</v>
      </c>
      <c r="T25" s="378">
        <v>75</v>
      </c>
      <c r="U25" s="378">
        <f t="shared" si="48"/>
        <v>0.10676156583629894</v>
      </c>
      <c r="V25" s="378">
        <v>20.024999999999999</v>
      </c>
      <c r="W25" s="378">
        <f t="shared" si="49"/>
        <v>7.9448522118627241E-2</v>
      </c>
      <c r="X25" s="378">
        <v>61.25</v>
      </c>
      <c r="Y25" s="379">
        <f t="shared" si="50"/>
        <v>0.10103092783505155</v>
      </c>
      <c r="Z25" s="380">
        <v>50</v>
      </c>
      <c r="AA25" s="39">
        <f t="shared" si="51"/>
        <v>8.8679998226400047E-2</v>
      </c>
      <c r="AB25" s="23"/>
      <c r="AC25" s="56">
        <v>99</v>
      </c>
      <c r="AD25" s="150">
        <v>75</v>
      </c>
      <c r="AG25" s="43" t="s">
        <v>15</v>
      </c>
      <c r="AH25" s="481">
        <f t="shared" si="38"/>
        <v>16.940000000000001</v>
      </c>
      <c r="AI25" s="486">
        <f t="shared" si="39"/>
        <v>16.787868707237699</v>
      </c>
      <c r="AJ25" s="483" t="str">
        <f t="shared" si="40"/>
        <v>-0.90%  ↓</v>
      </c>
      <c r="AK25" s="486">
        <f t="shared" si="41"/>
        <v>17.084546460138299</v>
      </c>
      <c r="AL25" s="483" t="str">
        <f t="shared" si="42"/>
        <v>0.85%  ↑</v>
      </c>
      <c r="AM25" s="484">
        <f t="shared" si="43"/>
        <v>15.74</v>
      </c>
      <c r="AN25" s="485" t="str">
        <f t="shared" si="44"/>
        <v>-7.08%  ↓</v>
      </c>
      <c r="AP25" s="466">
        <f t="shared" si="32"/>
        <v>2.9605771273755474E-3</v>
      </c>
      <c r="AQ25" s="467" t="str">
        <f t="shared" si="33"/>
        <v>↑</v>
      </c>
      <c r="AR25" s="468">
        <f t="shared" si="34"/>
        <v>4.2614755684570634E-3</v>
      </c>
      <c r="AS25" s="469" t="str">
        <f t="shared" si="35"/>
        <v>↑</v>
      </c>
      <c r="AT25" s="466">
        <f t="shared" si="36"/>
        <v>-1.828653707703376E-2</v>
      </c>
      <c r="AU25" s="467" t="str">
        <f t="shared" si="37"/>
        <v>↓</v>
      </c>
    </row>
    <row r="26" spans="1:47" ht="15" x14ac:dyDescent="0.3">
      <c r="A26" s="76" t="s">
        <v>12</v>
      </c>
      <c r="B26" s="155">
        <v>4.2127528410018504</v>
      </c>
      <c r="C26" s="497">
        <f t="shared" ref="C26:C31" si="52">100-ABS(($E10-B26)/($E10))*100</f>
        <v>99.839447432195669</v>
      </c>
      <c r="D26" s="155">
        <v>4.20296081757858</v>
      </c>
      <c r="E26" s="498">
        <f t="shared" ref="E26:E31" si="53">100-ABS(($E10-D26)/($E10))*100</f>
        <v>99.927741739861617</v>
      </c>
      <c r="F26" s="155">
        <v>4.2</v>
      </c>
      <c r="G26" s="499">
        <f t="shared" ref="G26:G31" si="54">100-ABS(($E10-F26)/($E10))*100</f>
        <v>99.85734664764621</v>
      </c>
      <c r="O26" s="143" t="str">
        <f t="shared" si="45"/>
        <v>PCE</v>
      </c>
      <c r="P26" s="375">
        <v>40</v>
      </c>
      <c r="Q26" s="376">
        <f t="shared" si="46"/>
        <v>7.0953436807095344E-2</v>
      </c>
      <c r="R26" s="377">
        <v>62.5</v>
      </c>
      <c r="S26" s="378">
        <f t="shared" si="47"/>
        <v>9.3457943925233641E-2</v>
      </c>
      <c r="T26" s="378">
        <v>78.75</v>
      </c>
      <c r="U26" s="378">
        <f t="shared" si="48"/>
        <v>0.11209964412811388</v>
      </c>
      <c r="V26" s="378">
        <v>13</v>
      </c>
      <c r="W26" s="378">
        <f t="shared" si="49"/>
        <v>5.1577068042055148E-2</v>
      </c>
      <c r="X26" s="378">
        <v>68.75</v>
      </c>
      <c r="Y26" s="379">
        <f t="shared" si="50"/>
        <v>0.1134020618556701</v>
      </c>
      <c r="Z26" s="380">
        <v>73.75</v>
      </c>
      <c r="AA26" s="39">
        <f t="shared" si="51"/>
        <v>0.13080299738394008</v>
      </c>
      <c r="AB26" s="23"/>
      <c r="AC26" s="56">
        <v>99.25</v>
      </c>
      <c r="AD26" s="150">
        <v>80</v>
      </c>
      <c r="AG26" s="174" t="s">
        <v>16</v>
      </c>
      <c r="AH26" s="488">
        <f t="shared" si="38"/>
        <v>625.04999999999995</v>
      </c>
      <c r="AI26" s="489">
        <f t="shared" si="39"/>
        <v>626.90050873346604</v>
      </c>
      <c r="AJ26" s="490" t="str">
        <f t="shared" si="40"/>
        <v>0.30%  ↑</v>
      </c>
      <c r="AK26" s="489">
        <f t="shared" si="41"/>
        <v>627.71363530406404</v>
      </c>
      <c r="AL26" s="490" t="str">
        <f t="shared" si="42"/>
        <v>0.43%  ↑</v>
      </c>
      <c r="AM26" s="491">
        <f t="shared" si="43"/>
        <v>613.62</v>
      </c>
      <c r="AN26" s="492" t="str">
        <f t="shared" si="44"/>
        <v>-1.83%  ↓</v>
      </c>
      <c r="AP26" s="493">
        <f t="shared" si="32"/>
        <v>6.9927976134136387E-3</v>
      </c>
      <c r="AQ26" s="494" t="str">
        <f t="shared" si="33"/>
        <v>↑</v>
      </c>
      <c r="AR26" s="495">
        <f t="shared" si="34"/>
        <v>1.0164824925896538E-2</v>
      </c>
      <c r="AS26" s="496" t="str">
        <f t="shared" si="35"/>
        <v>↑</v>
      </c>
      <c r="AT26" s="493">
        <f t="shared" si="36"/>
        <v>3.7881521033263994E-3</v>
      </c>
      <c r="AU26" s="494" t="str">
        <f t="shared" si="37"/>
        <v>↑</v>
      </c>
    </row>
    <row r="27" spans="1:47" ht="14.4" x14ac:dyDescent="0.3">
      <c r="A27" s="163" t="s">
        <v>13</v>
      </c>
      <c r="B27" s="164">
        <v>47738.134731862199</v>
      </c>
      <c r="C27" s="507">
        <f t="shared" si="52"/>
        <v>99.987338209310948</v>
      </c>
      <c r="D27" s="164">
        <v>47762.0037992281</v>
      </c>
      <c r="E27" s="508">
        <f t="shared" si="53"/>
        <v>99.962668121584457</v>
      </c>
      <c r="F27" s="164">
        <v>47856</v>
      </c>
      <c r="G27" s="509">
        <f t="shared" si="54"/>
        <v>99.765793443305554</v>
      </c>
      <c r="O27" s="143" t="str">
        <f t="shared" si="45"/>
        <v>LSTM</v>
      </c>
      <c r="P27" s="381">
        <v>72.5</v>
      </c>
      <c r="Q27" s="376">
        <f t="shared" si="46"/>
        <v>0.12860310421286031</v>
      </c>
      <c r="R27" s="377">
        <v>81.25</v>
      </c>
      <c r="S27" s="378">
        <f t="shared" si="47"/>
        <v>0.12149532710280374</v>
      </c>
      <c r="T27" s="378">
        <v>73.75</v>
      </c>
      <c r="U27" s="378">
        <f t="shared" si="48"/>
        <v>0.10498220640569395</v>
      </c>
      <c r="V27" s="378">
        <v>4.75</v>
      </c>
      <c r="W27" s="378">
        <f t="shared" si="49"/>
        <v>1.8845467169212458E-2</v>
      </c>
      <c r="X27" s="378">
        <v>67.5</v>
      </c>
      <c r="Y27" s="379">
        <f t="shared" si="50"/>
        <v>0.11134020618556702</v>
      </c>
      <c r="Z27" s="380">
        <v>63.75</v>
      </c>
      <c r="AA27" s="39">
        <f t="shared" si="51"/>
        <v>0.11306699773866005</v>
      </c>
      <c r="AB27" s="23"/>
      <c r="AC27" s="56">
        <v>99.5</v>
      </c>
      <c r="AD27" s="150">
        <v>90</v>
      </c>
      <c r="AF27" s="2"/>
      <c r="AG27" s="501" t="s">
        <v>17</v>
      </c>
      <c r="AH27" s="502">
        <f t="shared" si="38"/>
        <v>277.18</v>
      </c>
      <c r="AI27" s="503">
        <f t="shared" si="39"/>
        <v>279.118263642486</v>
      </c>
      <c r="AJ27" s="504" t="str">
        <f t="shared" si="40"/>
        <v>0.70%  ↑</v>
      </c>
      <c r="AK27" s="503">
        <f t="shared" si="41"/>
        <v>279.99748617296001</v>
      </c>
      <c r="AL27" s="504" t="str">
        <f t="shared" si="42"/>
        <v>1.02%  ↑</v>
      </c>
      <c r="AM27" s="505">
        <f t="shared" si="43"/>
        <v>278.23</v>
      </c>
      <c r="AN27" s="506" t="str">
        <f t="shared" si="44"/>
        <v>0.38%  ↑</v>
      </c>
    </row>
    <row r="28" spans="1:47" ht="14.25" customHeight="1" x14ac:dyDescent="0.3">
      <c r="A28" s="43" t="s">
        <v>14</v>
      </c>
      <c r="B28" s="169">
        <v>6875.1916665309</v>
      </c>
      <c r="C28" s="511">
        <f t="shared" si="52"/>
        <v>99.831843603171777</v>
      </c>
      <c r="D28" s="169">
        <v>6864.8788790311</v>
      </c>
      <c r="E28" s="512">
        <f t="shared" si="53"/>
        <v>99.982095837767076</v>
      </c>
      <c r="F28" s="169">
        <v>6881</v>
      </c>
      <c r="G28" s="513">
        <f t="shared" si="54"/>
        <v>99.747219045260167</v>
      </c>
      <c r="O28" s="143" t="str">
        <f t="shared" si="45"/>
        <v>GARCH</v>
      </c>
      <c r="P28" s="375">
        <v>77.5</v>
      </c>
      <c r="Q28" s="376">
        <f t="shared" si="46"/>
        <v>0.13747228381374724</v>
      </c>
      <c r="R28" s="377">
        <v>78.75</v>
      </c>
      <c r="S28" s="378">
        <f t="shared" si="47"/>
        <v>0.11775700934579439</v>
      </c>
      <c r="T28" s="378">
        <v>75</v>
      </c>
      <c r="U28" s="378">
        <f t="shared" si="48"/>
        <v>0.10676156583629894</v>
      </c>
      <c r="V28" s="378">
        <v>36.25</v>
      </c>
      <c r="W28" s="378">
        <f t="shared" si="49"/>
        <v>0.14382067050188455</v>
      </c>
      <c r="X28" s="378">
        <v>62.5</v>
      </c>
      <c r="Y28" s="379">
        <f t="shared" si="50"/>
        <v>0.10309278350515463</v>
      </c>
      <c r="Z28" s="380">
        <v>65</v>
      </c>
      <c r="AA28" s="39">
        <f t="shared" si="51"/>
        <v>0.11528399769432006</v>
      </c>
      <c r="AB28" s="23"/>
      <c r="AC28" s="56">
        <v>99.75</v>
      </c>
      <c r="AD28" s="150">
        <v>95</v>
      </c>
      <c r="AK28" s="6"/>
    </row>
    <row r="29" spans="1:47" ht="14.25" customHeight="1" x14ac:dyDescent="0.3">
      <c r="A29" s="43" t="s">
        <v>15</v>
      </c>
      <c r="B29" s="169">
        <v>16.787868707237699</v>
      </c>
      <c r="C29" s="511">
        <f t="shared" si="52"/>
        <v>99.631268292211857</v>
      </c>
      <c r="D29" s="169">
        <v>17.084546460138299</v>
      </c>
      <c r="E29" s="512">
        <f t="shared" si="53"/>
        <v>98.60803287751753</v>
      </c>
      <c r="F29" s="169">
        <v>16.38</v>
      </c>
      <c r="G29" s="513">
        <f t="shared" si="54"/>
        <v>97.210682492581583</v>
      </c>
      <c r="O29" s="143" t="str">
        <f t="shared" si="45"/>
        <v>VAR</v>
      </c>
      <c r="P29" s="381">
        <v>0</v>
      </c>
      <c r="Q29" s="376">
        <f t="shared" si="46"/>
        <v>0</v>
      </c>
      <c r="R29" s="377">
        <v>76.25</v>
      </c>
      <c r="S29" s="378">
        <f t="shared" si="47"/>
        <v>0.11401869158878504</v>
      </c>
      <c r="T29" s="378">
        <v>85</v>
      </c>
      <c r="U29" s="378">
        <f t="shared" si="48"/>
        <v>0.12099644128113879</v>
      </c>
      <c r="V29" s="378">
        <v>29.25</v>
      </c>
      <c r="W29" s="378">
        <f t="shared" si="49"/>
        <v>0.11604840309462408</v>
      </c>
      <c r="X29" s="378">
        <v>71.25</v>
      </c>
      <c r="Y29" s="379">
        <f t="shared" si="50"/>
        <v>0.11752577319587629</v>
      </c>
      <c r="Z29" s="380">
        <v>67.5</v>
      </c>
      <c r="AA29" s="39">
        <f t="shared" si="51"/>
        <v>0.11971799760564006</v>
      </c>
      <c r="AB29" s="23"/>
      <c r="AC29" s="93">
        <v>99.99</v>
      </c>
      <c r="AD29" s="229">
        <v>100</v>
      </c>
    </row>
    <row r="30" spans="1:47" ht="14.25" customHeight="1" x14ac:dyDescent="0.3">
      <c r="A30" s="174" t="s">
        <v>16</v>
      </c>
      <c r="B30" s="175">
        <v>626.90050873346604</v>
      </c>
      <c r="C30" s="515">
        <f t="shared" si="52"/>
        <v>99.979348473512601</v>
      </c>
      <c r="D30" s="175">
        <v>627.71363530406404</v>
      </c>
      <c r="E30" s="516">
        <f t="shared" si="53"/>
        <v>99.890972472758236</v>
      </c>
      <c r="F30" s="175">
        <v>627.9</v>
      </c>
      <c r="G30" s="517">
        <f t="shared" si="54"/>
        <v>99.861250657863266</v>
      </c>
      <c r="M30" s="8"/>
      <c r="O30" s="143" t="str">
        <f t="shared" si="45"/>
        <v>RW</v>
      </c>
      <c r="P30" s="375">
        <v>82.5</v>
      </c>
      <c r="Q30" s="376">
        <f t="shared" si="46"/>
        <v>0.14634146341463414</v>
      </c>
      <c r="R30" s="377">
        <v>80</v>
      </c>
      <c r="S30" s="378">
        <f t="shared" si="47"/>
        <v>0.11962616822429907</v>
      </c>
      <c r="T30" s="378">
        <v>81.25</v>
      </c>
      <c r="U30" s="378">
        <f t="shared" si="48"/>
        <v>0.11565836298932385</v>
      </c>
      <c r="V30" s="378">
        <v>40</v>
      </c>
      <c r="W30" s="378">
        <f t="shared" si="49"/>
        <v>0.15869867089863121</v>
      </c>
      <c r="X30" s="378">
        <v>71.25</v>
      </c>
      <c r="Y30" s="379">
        <f t="shared" si="50"/>
        <v>0.11752577319587629</v>
      </c>
      <c r="Z30" s="380">
        <v>56.274999999999999</v>
      </c>
      <c r="AA30" s="39">
        <f t="shared" si="51"/>
        <v>9.9809338003813253E-2</v>
      </c>
    </row>
    <row r="31" spans="1:47" ht="14.25" customHeight="1" x14ac:dyDescent="0.3">
      <c r="A31" s="136" t="s">
        <v>17</v>
      </c>
      <c r="B31" s="188">
        <v>279.118263642486</v>
      </c>
      <c r="C31" s="519">
        <f t="shared" si="52"/>
        <v>99.72070869685102</v>
      </c>
      <c r="D31" s="188">
        <v>279.99748617296001</v>
      </c>
      <c r="E31" s="520">
        <f t="shared" si="53"/>
        <v>99.965171070753826</v>
      </c>
      <c r="F31" s="188">
        <v>278.60000000000002</v>
      </c>
      <c r="G31" s="521">
        <f t="shared" si="54"/>
        <v>99.535548410146504</v>
      </c>
      <c r="H31" s="8"/>
      <c r="J31" s="8"/>
      <c r="O31" s="143" t="str">
        <f t="shared" si="45"/>
        <v>ETS</v>
      </c>
      <c r="P31" s="375">
        <v>82.5</v>
      </c>
      <c r="Q31" s="376">
        <f t="shared" si="46"/>
        <v>0.14634146341463414</v>
      </c>
      <c r="R31" s="377">
        <v>80</v>
      </c>
      <c r="S31" s="378">
        <f t="shared" si="47"/>
        <v>0.11962616822429907</v>
      </c>
      <c r="T31" s="378">
        <v>81.25</v>
      </c>
      <c r="U31" s="378">
        <f t="shared" si="48"/>
        <v>0.11565836298932385</v>
      </c>
      <c r="V31" s="378">
        <v>42.5</v>
      </c>
      <c r="W31" s="378">
        <f t="shared" si="49"/>
        <v>0.16861733782979565</v>
      </c>
      <c r="X31" s="378">
        <v>71.25</v>
      </c>
      <c r="Y31" s="379">
        <f t="shared" si="50"/>
        <v>0.11752577319587629</v>
      </c>
      <c r="Z31" s="380">
        <v>56.274999999999999</v>
      </c>
      <c r="AA31" s="39">
        <f t="shared" si="51"/>
        <v>9.9809338003813253E-2</v>
      </c>
      <c r="AL31" s="230"/>
    </row>
    <row r="32" spans="1:47" ht="14.25" customHeight="1" x14ac:dyDescent="0.3">
      <c r="H32" s="8"/>
      <c r="J32" s="8"/>
      <c r="O32" s="180" t="str">
        <f>O21</f>
        <v>DynaMix</v>
      </c>
      <c r="P32" s="382">
        <v>70</v>
      </c>
      <c r="Q32" s="383">
        <f t="shared" si="46"/>
        <v>0.12416851441241686</v>
      </c>
      <c r="R32" s="384">
        <v>72.5</v>
      </c>
      <c r="S32" s="385">
        <f t="shared" si="47"/>
        <v>0.10841121495327102</v>
      </c>
      <c r="T32" s="385">
        <v>76.25</v>
      </c>
      <c r="U32" s="385">
        <f t="shared" si="48"/>
        <v>0.10854092526690391</v>
      </c>
      <c r="V32" s="385">
        <v>36.25</v>
      </c>
      <c r="W32" s="385">
        <f t="shared" si="49"/>
        <v>0.14382067050188455</v>
      </c>
      <c r="X32" s="385">
        <v>66.25</v>
      </c>
      <c r="Y32" s="386">
        <f t="shared" si="50"/>
        <v>0.10927835051546392</v>
      </c>
      <c r="Z32" s="387">
        <v>57.524999999999999</v>
      </c>
      <c r="AA32" s="92">
        <f t="shared" si="51"/>
        <v>0.10202633795947325</v>
      </c>
      <c r="AK32" s="2"/>
      <c r="AL32" s="230"/>
    </row>
    <row r="33" spans="1:42" ht="14.25" customHeight="1" x14ac:dyDescent="0.3">
      <c r="A33" s="202" t="str">
        <f>AC1</f>
        <v>AVR-4</v>
      </c>
      <c r="B33" s="1394">
        <f t="array" ref="B33">SUM(C27:C30/4)</f>
        <v>99.857449644551792</v>
      </c>
      <c r="C33" s="1394"/>
      <c r="D33" s="1390">
        <f t="array" ref="D33">SUM(E27:E30/4)</f>
        <v>99.610942327406818</v>
      </c>
      <c r="E33" s="1390"/>
      <c r="F33" s="1395">
        <f t="array" ref="F33">SUM(G27:G30/4)</f>
        <v>99.146236409752646</v>
      </c>
      <c r="G33" s="1395"/>
    </row>
    <row r="34" spans="1:42" ht="14.25" customHeight="1" x14ac:dyDescent="0.3">
      <c r="A34" s="211" t="str">
        <f>AD1</f>
        <v>AVR-6</v>
      </c>
      <c r="B34" s="1396">
        <f t="array" ref="B34">SUM(C26:C31/6)</f>
        <v>99.831659117875645</v>
      </c>
      <c r="C34" s="1396"/>
      <c r="D34" s="1388">
        <f t="array" ref="D34">SUM(E26:E31/6)</f>
        <v>99.722780353373778</v>
      </c>
      <c r="E34" s="1388"/>
      <c r="F34" s="1397">
        <f t="array" ref="F34">SUM(G26:G31/6)</f>
        <v>99.329640116133888</v>
      </c>
      <c r="G34" s="1397"/>
      <c r="O34" s="225" t="s">
        <v>42</v>
      </c>
    </row>
    <row r="35" spans="1:42" ht="14.25" customHeight="1" x14ac:dyDescent="0.3">
      <c r="AK35" s="2"/>
      <c r="AP35" s="2"/>
    </row>
    <row r="36" spans="1:42" ht="14.25" customHeight="1" x14ac:dyDescent="0.3">
      <c r="AK36" s="6"/>
      <c r="AP36" s="2"/>
    </row>
    <row r="37" spans="1:42" ht="14.25" customHeight="1" x14ac:dyDescent="0.3">
      <c r="Z37" s="6"/>
    </row>
    <row r="38" spans="1:42" ht="14.25" customHeight="1" x14ac:dyDescent="0.3">
      <c r="Z38" s="6"/>
    </row>
    <row r="39" spans="1:42" ht="14.25" customHeight="1" x14ac:dyDescent="0.3">
      <c r="Z39" s="6"/>
    </row>
    <row r="40" spans="1:42" ht="14.25" customHeight="1" x14ac:dyDescent="0.3">
      <c r="Z40" s="6"/>
    </row>
    <row r="41" spans="1:42" ht="14.25" customHeight="1" x14ac:dyDescent="0.3">
      <c r="Z41" s="6"/>
    </row>
    <row r="43" spans="1:42" ht="14.25" customHeight="1" x14ac:dyDescent="0.3">
      <c r="AD43" s="237"/>
    </row>
    <row r="44" spans="1:42" ht="14.25" customHeight="1" x14ac:dyDescent="0.3">
      <c r="AD44" s="237"/>
    </row>
    <row r="45" spans="1:42" ht="14.25" customHeight="1" x14ac:dyDescent="0.3">
      <c r="AD45" s="237"/>
    </row>
    <row r="46" spans="1:42" ht="14.25" customHeight="1" x14ac:dyDescent="0.3">
      <c r="AD46" s="237"/>
    </row>
  </sheetData>
  <mergeCells count="16">
    <mergeCell ref="AG10:AH10"/>
    <mergeCell ref="AG11:AH11"/>
    <mergeCell ref="D17:E17"/>
    <mergeCell ref="H17:I17"/>
    <mergeCell ref="AI21:AJ21"/>
    <mergeCell ref="AK21:AL21"/>
    <mergeCell ref="AM21:AN21"/>
    <mergeCell ref="B25:C25"/>
    <mergeCell ref="D25:E25"/>
    <mergeCell ref="F25:G25"/>
    <mergeCell ref="B33:C33"/>
    <mergeCell ref="D33:E33"/>
    <mergeCell ref="F33:G33"/>
    <mergeCell ref="B34:C34"/>
    <mergeCell ref="D34:E34"/>
    <mergeCell ref="F34:G34"/>
  </mergeCells>
  <hyperlinks>
    <hyperlink ref="O34" r:id="rId1" xr:uid="{00000000-0004-0000-09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46"/>
  <sheetViews>
    <sheetView zoomScale="120" zoomScaleNormal="120" workbookViewId="0">
      <selection activeCell="G13" sqref="G13"/>
    </sheetView>
  </sheetViews>
  <sheetFormatPr defaultColWidth="8.77734375" defaultRowHeight="14.25" customHeight="1" x14ac:dyDescent="0.3"/>
  <cols>
    <col min="1" max="10" width="7.6640625" style="2" customWidth="1"/>
    <col min="11" max="11" width="2.88671875" style="2" customWidth="1"/>
    <col min="12" max="12" width="9.5546875" style="2" customWidth="1"/>
    <col min="13" max="13" width="4.6640625" style="2" customWidth="1"/>
    <col min="14" max="14" width="2.33203125" style="2" customWidth="1"/>
    <col min="15" max="15" width="9" style="2" customWidth="1"/>
    <col min="16" max="16" width="5.44140625" style="3" customWidth="1"/>
    <col min="17" max="17" width="3.441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2.3320312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3.5546875" style="8" customWidth="1"/>
    <col min="33" max="37" width="6.88671875" style="8" customWidth="1"/>
    <col min="38" max="38" width="8.77734375" style="8"/>
    <col min="39" max="39" width="7.5546875" style="8" customWidth="1"/>
    <col min="40" max="41" width="3.88671875" style="8" customWidth="1"/>
    <col min="42" max="42" width="7.5546875" style="8" customWidth="1"/>
    <col min="43" max="16379" width="8.77734375" style="8"/>
    <col min="16380" max="16384" width="13.44140625" style="8" customWidth="1"/>
  </cols>
  <sheetData>
    <row r="1" spans="1:38" ht="14.4" x14ac:dyDescent="0.3">
      <c r="A1" s="1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105</v>
      </c>
      <c r="O1" s="13" t="s">
        <v>11</v>
      </c>
      <c r="P1" s="316" t="s">
        <v>12</v>
      </c>
      <c r="Q1" s="15">
        <f>SUM(P2:P10)</f>
        <v>781.45922121356921</v>
      </c>
      <c r="R1" s="16" t="s">
        <v>13</v>
      </c>
      <c r="S1" s="17">
        <f>SUM(R2:R10)</f>
        <v>883.64198724463733</v>
      </c>
      <c r="T1" s="18" t="s">
        <v>14</v>
      </c>
      <c r="U1" s="17">
        <f>SUM(T2:T10)</f>
        <v>896.78619156284515</v>
      </c>
      <c r="V1" s="18" t="s">
        <v>15</v>
      </c>
      <c r="W1" s="17">
        <f>SUM(V2:V10)</f>
        <v>837.02364675984745</v>
      </c>
      <c r="X1" s="19" t="s">
        <v>16</v>
      </c>
      <c r="Y1" s="20">
        <f>SUM(X2:X10)</f>
        <v>884.90497376226324</v>
      </c>
      <c r="Z1" s="317" t="s">
        <v>17</v>
      </c>
      <c r="AA1" s="22">
        <f>SUM(Z2:Z10)</f>
        <v>871.46563640314184</v>
      </c>
      <c r="AB1" s="23"/>
      <c r="AC1" s="24" t="s">
        <v>18</v>
      </c>
      <c r="AD1" s="25" t="s">
        <v>19</v>
      </c>
    </row>
    <row r="2" spans="1:38" ht="14.4" x14ac:dyDescent="0.3">
      <c r="A2" s="26" t="s">
        <v>12</v>
      </c>
      <c r="B2" s="27">
        <v>4.0911999999999997</v>
      </c>
      <c r="C2" s="28">
        <v>4.0860000000000003</v>
      </c>
      <c r="D2" s="28">
        <v>4.13</v>
      </c>
      <c r="E2" s="28">
        <v>4.0944000000000003</v>
      </c>
      <c r="F2" s="28">
        <v>4.0818000000000003</v>
      </c>
      <c r="G2" s="28">
        <v>0</v>
      </c>
      <c r="H2" s="318">
        <v>4.0787000000000004</v>
      </c>
      <c r="I2" s="318">
        <v>4.0787000000000004</v>
      </c>
      <c r="J2" s="29">
        <v>4.0710829999999998</v>
      </c>
      <c r="K2" s="30" t="s">
        <v>106</v>
      </c>
      <c r="O2" s="319" t="str">
        <f>B1</f>
        <v>PyCaret</v>
      </c>
      <c r="P2" s="565">
        <f>100-ABS((($G10-B2)/($G10)))*100</f>
        <v>97.735308170090775</v>
      </c>
      <c r="Q2" s="566">
        <f t="shared" ref="Q2:Q10" si="0">P2/$Q$1</f>
        <v>0.12506770093302177</v>
      </c>
      <c r="R2" s="567">
        <f>100-ABS((($G11-B3)/($G11)))*100</f>
        <v>96.968142754403019</v>
      </c>
      <c r="S2" s="568">
        <f t="shared" ref="S2:S10" si="1">R2/$S$1</f>
        <v>0.10973691172911329</v>
      </c>
      <c r="T2" s="569">
        <f>100-ABS((($G12-B4)/($G12)))*100</f>
        <v>99.980947414982523</v>
      </c>
      <c r="U2" s="568">
        <f t="shared" ref="U2:U10" si="2">T2/$U$1</f>
        <v>0.11148805407088612</v>
      </c>
      <c r="V2" s="569">
        <f>100-ABS((($G13-B5)/($G13)))*100</f>
        <v>94.32655654383737</v>
      </c>
      <c r="W2" s="568">
        <f t="shared" ref="W2:W10" si="3">V2/$W$1</f>
        <v>0.11269282165322246</v>
      </c>
      <c r="X2" s="570">
        <f>100-ABS((($G14-B6)/($G14)))*100</f>
        <v>98.041230729115739</v>
      </c>
      <c r="Y2" s="571">
        <f t="shared" ref="Y2:Y10" si="4">X2/$Y$1</f>
        <v>0.11079294798432819</v>
      </c>
      <c r="Z2" s="572">
        <f>100-ABS((($G15-B7)/($G15)))*100</f>
        <v>97.844121769758829</v>
      </c>
      <c r="AA2" s="39">
        <f t="shared" ref="AA2:AA10" si="5">Z2/$AA$1</f>
        <v>0.11227536426289554</v>
      </c>
      <c r="AB2" s="23"/>
      <c r="AC2" s="40">
        <f t="shared" ref="AC2:AC10" si="6">(R2+T2+V2+X2)/4</f>
        <v>97.329219360584673</v>
      </c>
      <c r="AD2" s="41">
        <f t="shared" ref="AD2:AD10" si="7">(P2+R2+T2+V2+X2+Z2)/6</f>
        <v>97.482717897031364</v>
      </c>
      <c r="AE2" s="42" t="str">
        <f>IF($AC2=MAX(AC2:AC10),"TOP","")</f>
        <v/>
      </c>
      <c r="AG2" s="1" t="s">
        <v>33</v>
      </c>
      <c r="AH2" s="2"/>
      <c r="AI2" s="2"/>
    </row>
    <row r="3" spans="1:38" ht="14.4" x14ac:dyDescent="0.3">
      <c r="A3" s="43" t="s">
        <v>13</v>
      </c>
      <c r="B3" s="526">
        <v>46988.871099999997</v>
      </c>
      <c r="C3" s="527">
        <v>47502.630100000002</v>
      </c>
      <c r="D3" s="527">
        <v>47469.367700000003</v>
      </c>
      <c r="E3" s="527">
        <v>48070.921900000001</v>
      </c>
      <c r="F3" s="527">
        <v>47607.034200000002</v>
      </c>
      <c r="G3" s="527">
        <v>47601.339599999999</v>
      </c>
      <c r="H3" s="527">
        <v>47634.220500000003</v>
      </c>
      <c r="I3" s="527">
        <v>47624.064400000003</v>
      </c>
      <c r="J3" s="528">
        <v>47697.226499999997</v>
      </c>
      <c r="K3" s="30" t="s">
        <v>106</v>
      </c>
      <c r="L3" s="47" t="s">
        <v>107</v>
      </c>
      <c r="O3" s="327" t="str">
        <f>C1</f>
        <v>ARIMAX</v>
      </c>
      <c r="P3" s="573">
        <f>100-ABS((($G10-C2)/($G10)))*100</f>
        <v>97.611084567606312</v>
      </c>
      <c r="Q3" s="574">
        <f t="shared" si="0"/>
        <v>0.12490873729280577</v>
      </c>
      <c r="R3" s="575">
        <f>100-ABS((($G11-C3)/($G11)))*100</f>
        <v>98.028356692025369</v>
      </c>
      <c r="S3" s="576">
        <f t="shared" si="1"/>
        <v>0.11093673468108539</v>
      </c>
      <c r="T3" s="577">
        <f>100-ABS((($G12-C4)/($G12)))*100</f>
        <v>99.551924445837528</v>
      </c>
      <c r="U3" s="576">
        <f t="shared" si="2"/>
        <v>0.11100965356340582</v>
      </c>
      <c r="V3" s="577">
        <f>100-ABS((($G13-C5)/($G13)))*100</f>
        <v>93.983481575603548</v>
      </c>
      <c r="W3" s="576">
        <f t="shared" si="3"/>
        <v>0.11228294677147703</v>
      </c>
      <c r="X3" s="578">
        <f>100-ABS((($G14-C6)/($G14)))*100</f>
        <v>98.091897265408562</v>
      </c>
      <c r="Y3" s="579">
        <f t="shared" si="4"/>
        <v>0.11085020445569529</v>
      </c>
      <c r="Z3" s="580">
        <f>100-ABS((($G15-C7)/($G15)))*100</f>
        <v>96.464939079179103</v>
      </c>
      <c r="AA3" s="39">
        <f t="shared" si="5"/>
        <v>0.11069276291527141</v>
      </c>
      <c r="AB3" s="23"/>
      <c r="AC3" s="56">
        <f t="shared" si="6"/>
        <v>97.413914994718738</v>
      </c>
      <c r="AD3" s="57">
        <f t="shared" si="7"/>
        <v>97.288613937610066</v>
      </c>
      <c r="AE3" s="42" t="str">
        <f>IF($AC3=MAX(AC2:AC10),"TOP","")</f>
        <v/>
      </c>
      <c r="AG3" s="581" t="s">
        <v>12</v>
      </c>
      <c r="AH3" s="582" t="s">
        <v>34</v>
      </c>
      <c r="AI3" s="388">
        <f>MAX(P2:P10)</f>
        <v>98.662207357859529</v>
      </c>
      <c r="AL3" s="8">
        <v>4.01</v>
      </c>
    </row>
    <row r="4" spans="1:38" ht="14.4" x14ac:dyDescent="0.3">
      <c r="A4" s="43" t="s">
        <v>14</v>
      </c>
      <c r="B4" s="529">
        <v>6826.1192000000001</v>
      </c>
      <c r="C4" s="530">
        <v>6858.0119999999997</v>
      </c>
      <c r="D4" s="530">
        <v>6819.1284999999998</v>
      </c>
      <c r="E4" s="530">
        <v>6766.7646000000004</v>
      </c>
      <c r="F4" s="530">
        <v>6858.1916000000001</v>
      </c>
      <c r="G4" s="530">
        <v>6843.3696</v>
      </c>
      <c r="H4" s="530">
        <v>6858.0119999999997</v>
      </c>
      <c r="I4" s="530">
        <v>6857.8792999999996</v>
      </c>
      <c r="J4" s="531">
        <v>6838.2280000000001</v>
      </c>
      <c r="K4" s="30" t="s">
        <v>108</v>
      </c>
      <c r="O4" s="327" t="str">
        <f>D1</f>
        <v>PCE</v>
      </c>
      <c r="P4" s="573">
        <f>100-ABS((($G10-D2)/($G10)))*100</f>
        <v>98.662207357859529</v>
      </c>
      <c r="Q4" s="574">
        <f t="shared" si="0"/>
        <v>0.12625381424847965</v>
      </c>
      <c r="R4" s="575">
        <f>100-ABS((($G11-D3)/($G11)))*100</f>
        <v>97.95971505250418</v>
      </c>
      <c r="S4" s="576">
        <f t="shared" si="1"/>
        <v>0.11085905430768526</v>
      </c>
      <c r="T4" s="577">
        <f>100-ABS((($G12-D4)/($G12)))*100</f>
        <v>99.878555882016926</v>
      </c>
      <c r="U4" s="576">
        <f t="shared" si="2"/>
        <v>0.11137387798975451</v>
      </c>
      <c r="V4" s="577">
        <f>100-ABS((($G13-D5)/($G13)))*100</f>
        <v>89.876111817026683</v>
      </c>
      <c r="W4" s="576">
        <f t="shared" si="3"/>
        <v>0.10737583360391402</v>
      </c>
      <c r="X4" s="578">
        <f>100-ABS((($G14-D6)/($G14)))*100</f>
        <v>98.981715067957381</v>
      </c>
      <c r="Y4" s="579">
        <f t="shared" si="4"/>
        <v>0.1118557562707853</v>
      </c>
      <c r="Z4" s="580">
        <f>100-ABS((($G15-D7)/($G15)))*100</f>
        <v>96.239082773245158</v>
      </c>
      <c r="AA4" s="39">
        <f t="shared" si="5"/>
        <v>0.11043359457116306</v>
      </c>
      <c r="AB4" s="23"/>
      <c r="AC4" s="56">
        <f t="shared" si="6"/>
        <v>96.674024454876303</v>
      </c>
      <c r="AD4" s="57">
        <f t="shared" si="7"/>
        <v>96.932897991768314</v>
      </c>
      <c r="AE4" s="42" t="str">
        <f>IF($AC4=MAX(AC2:AC10),"TOP","")</f>
        <v/>
      </c>
      <c r="AG4" s="583" t="s">
        <v>13</v>
      </c>
      <c r="AH4" s="584" t="s">
        <v>35</v>
      </c>
      <c r="AI4" s="389">
        <f>MAX(R2:R10)</f>
        <v>99.20110673046068</v>
      </c>
      <c r="AL4" s="8">
        <v>47446.94</v>
      </c>
    </row>
    <row r="5" spans="1:38" ht="14.4" x14ac:dyDescent="0.3">
      <c r="A5" s="43" t="s">
        <v>15</v>
      </c>
      <c r="B5" s="532">
        <v>16.632999999999999</v>
      </c>
      <c r="C5" s="533">
        <v>16.687000000000001</v>
      </c>
      <c r="D5" s="533">
        <v>17.333500000000001</v>
      </c>
      <c r="E5" s="533">
        <v>17.706800000000001</v>
      </c>
      <c r="F5" s="533">
        <v>16.622800000000002</v>
      </c>
      <c r="G5" s="533">
        <v>17.183399999999999</v>
      </c>
      <c r="H5" s="534">
        <v>16.344000000000001</v>
      </c>
      <c r="I5" s="534">
        <v>16.409600000000001</v>
      </c>
      <c r="J5" s="535">
        <v>16.652377999999999</v>
      </c>
      <c r="K5" s="30" t="s">
        <v>106</v>
      </c>
      <c r="L5" s="1" t="s">
        <v>21</v>
      </c>
      <c r="O5" s="327" t="str">
        <f>E1</f>
        <v>LSTM</v>
      </c>
      <c r="P5" s="573">
        <f>100-ABS((($G10-E2)/($G10)))*100</f>
        <v>97.811753463927388</v>
      </c>
      <c r="Q5" s="574">
        <f t="shared" si="0"/>
        <v>0.12516552471161627</v>
      </c>
      <c r="R5" s="575">
        <f>100-ABS((($G11-E3)/($G11)))*100</f>
        <v>99.20110673046068</v>
      </c>
      <c r="S5" s="576">
        <f t="shared" si="1"/>
        <v>0.11226391249219435</v>
      </c>
      <c r="T5" s="577">
        <f>100-ABS((($G12-E4)/($G12)))*100</f>
        <v>99.111591201361577</v>
      </c>
      <c r="U5" s="576">
        <f t="shared" si="2"/>
        <v>0.11051864104713528</v>
      </c>
      <c r="V5" s="577">
        <f>100-ABS((($G13-E5)/($G13)))*100</f>
        <v>87.50444726810673</v>
      </c>
      <c r="W5" s="576">
        <f t="shared" si="3"/>
        <v>0.1045423837269592</v>
      </c>
      <c r="X5" s="578">
        <f>100-ABS((($G14-E6)/($G14)))*100</f>
        <v>99.275333268146412</v>
      </c>
      <c r="Y5" s="579">
        <f t="shared" si="4"/>
        <v>0.11218756387600272</v>
      </c>
      <c r="Z5" s="580">
        <f>100-ABS((($G15-E7)/($G15)))*100</f>
        <v>96.742551126765633</v>
      </c>
      <c r="AA5" s="39">
        <f t="shared" si="5"/>
        <v>0.11101132056802332</v>
      </c>
      <c r="AB5" s="23"/>
      <c r="AC5" s="56">
        <f t="shared" si="6"/>
        <v>96.27311961701885</v>
      </c>
      <c r="AD5" s="57">
        <f t="shared" si="7"/>
        <v>96.607797176461403</v>
      </c>
      <c r="AE5" s="42" t="str">
        <f>IF($AC5=MAX(AC2:AC10),"TOP","")</f>
        <v/>
      </c>
      <c r="AG5" s="585" t="s">
        <v>14</v>
      </c>
      <c r="AH5" s="586" t="s">
        <v>36</v>
      </c>
      <c r="AI5" s="390">
        <f>MAX(T2:T10)</f>
        <v>99.980947414982523</v>
      </c>
      <c r="AL5" s="8">
        <v>6849.08</v>
      </c>
    </row>
    <row r="6" spans="1:38" ht="14.4" x14ac:dyDescent="0.3">
      <c r="A6" s="43" t="s">
        <v>16</v>
      </c>
      <c r="B6" s="536">
        <v>625.63940000000002</v>
      </c>
      <c r="C6" s="537">
        <v>625.32849999999996</v>
      </c>
      <c r="D6" s="537">
        <v>619.86839999999995</v>
      </c>
      <c r="E6" s="537">
        <v>618.06669999999997</v>
      </c>
      <c r="F6" s="537">
        <v>625.07309999999995</v>
      </c>
      <c r="G6" s="537">
        <v>624.84140000000002</v>
      </c>
      <c r="H6" s="587">
        <v>625.32849999999996</v>
      </c>
      <c r="I6" s="587">
        <v>625.32849999999996</v>
      </c>
      <c r="J6" s="588">
        <v>625.73159999999996</v>
      </c>
      <c r="K6" s="30" t="s">
        <v>108</v>
      </c>
      <c r="O6" s="327" t="str">
        <f>F1</f>
        <v>GARCH</v>
      </c>
      <c r="P6" s="573">
        <f>100-ABS((($G10-F2)/($G10)))*100</f>
        <v>97.510750119445774</v>
      </c>
      <c r="Q6" s="574">
        <f t="shared" si="0"/>
        <v>0.12478034358340054</v>
      </c>
      <c r="R6" s="575">
        <f>100-ABS((($G11-F3)/($G11)))*100</f>
        <v>98.243809232934467</v>
      </c>
      <c r="S6" s="576">
        <f t="shared" si="1"/>
        <v>0.11118055802132855</v>
      </c>
      <c r="T6" s="577">
        <f>100-ABS((($G12-F4)/($G12)))*100</f>
        <v>99.549293876749928</v>
      </c>
      <c r="U6" s="576">
        <f t="shared" si="2"/>
        <v>0.11100672023424403</v>
      </c>
      <c r="V6" s="577">
        <f>100-ABS((($G13-F5)/($G13)))*100</f>
        <v>94.391359593392622</v>
      </c>
      <c r="W6" s="576">
        <f t="shared" si="3"/>
        <v>0.1127702424642188</v>
      </c>
      <c r="X6" s="578">
        <f>100-ABS((($G14-F6)/($G14)))*100</f>
        <v>98.13351911606533</v>
      </c>
      <c r="Y6" s="579">
        <f t="shared" si="4"/>
        <v>0.1108972398458116</v>
      </c>
      <c r="Z6" s="580">
        <f>100-ABS((($G15-F7)/($G15)))*100</f>
        <v>96.188441217697587</v>
      </c>
      <c r="AA6" s="39">
        <f t="shared" si="5"/>
        <v>0.11037548378235836</v>
      </c>
      <c r="AB6" s="23"/>
      <c r="AC6" s="56">
        <f t="shared" si="6"/>
        <v>97.579495454785587</v>
      </c>
      <c r="AD6" s="57">
        <f t="shared" si="7"/>
        <v>97.336195526047618</v>
      </c>
      <c r="AE6" s="42" t="str">
        <f>IF($AC6=MAX(AC2:AC10),"TOP","")</f>
        <v/>
      </c>
      <c r="AG6" s="585" t="s">
        <v>15</v>
      </c>
      <c r="AH6" s="586" t="s">
        <v>37</v>
      </c>
      <c r="AI6" s="390">
        <f>MAX(V2:V10)</f>
        <v>96.162642947903421</v>
      </c>
      <c r="AL6" s="8">
        <v>16.350000000000001</v>
      </c>
    </row>
    <row r="7" spans="1:38" ht="14.4" x14ac:dyDescent="0.3">
      <c r="A7" s="67" t="s">
        <v>17</v>
      </c>
      <c r="B7" s="68">
        <v>272.23169999999999</v>
      </c>
      <c r="C7" s="69">
        <v>288.06560000000002</v>
      </c>
      <c r="D7" s="69">
        <v>288.69400000000002</v>
      </c>
      <c r="E7" s="69">
        <v>287.29320000000001</v>
      </c>
      <c r="F7" s="69">
        <v>288.8349</v>
      </c>
      <c r="G7" s="69">
        <v>287.61</v>
      </c>
      <c r="H7" s="589">
        <v>287.65960000000001</v>
      </c>
      <c r="I7" s="589">
        <v>287.65960000000001</v>
      </c>
      <c r="J7" s="590">
        <v>287.95299999999997</v>
      </c>
      <c r="K7" s="30" t="s">
        <v>106</v>
      </c>
      <c r="O7" s="327" t="str">
        <f>G1</f>
        <v>VAR</v>
      </c>
      <c r="P7" s="573">
        <f>100-ABS((($G10-G2)/($G10)))*100</f>
        <v>0</v>
      </c>
      <c r="Q7" s="574">
        <f t="shared" si="0"/>
        <v>0</v>
      </c>
      <c r="R7" s="575">
        <f>100-ABS((($G11-G3)/($G11)))*100</f>
        <v>98.232057625100467</v>
      </c>
      <c r="S7" s="576">
        <f t="shared" si="1"/>
        <v>0.11116725896129787</v>
      </c>
      <c r="T7" s="577">
        <f>100-ABS((($G12-G4)/($G12)))*100</f>
        <v>99.766389060582185</v>
      </c>
      <c r="U7" s="576">
        <f t="shared" si="2"/>
        <v>0.11124880155292928</v>
      </c>
      <c r="V7" s="577">
        <f>100-ABS((($G13-G5)/($G13)))*100</f>
        <v>90.829733163913602</v>
      </c>
      <c r="W7" s="576">
        <f t="shared" si="3"/>
        <v>0.1085151339696545</v>
      </c>
      <c r="X7" s="578">
        <f>100-ABS((($G14-G6)/($G14)))*100</f>
        <v>98.171278641504514</v>
      </c>
      <c r="Y7" s="579">
        <f t="shared" si="4"/>
        <v>0.11093991055798835</v>
      </c>
      <c r="Z7" s="580">
        <f>100-ABS((($G15-G7)/($G15)))*100</f>
        <v>96.628688495129936</v>
      </c>
      <c r="AA7" s="39">
        <f t="shared" si="5"/>
        <v>0.11088066408900753</v>
      </c>
      <c r="AB7" s="23"/>
      <c r="AC7" s="56">
        <f t="shared" si="6"/>
        <v>96.749864622775192</v>
      </c>
      <c r="AD7" s="57">
        <f t="shared" si="7"/>
        <v>80.604691164371786</v>
      </c>
      <c r="AE7" s="42" t="str">
        <f>IF($AC7=MAX(AC2:AC10),"TOP","")</f>
        <v/>
      </c>
      <c r="AG7" s="591" t="s">
        <v>16</v>
      </c>
      <c r="AH7" s="592" t="s">
        <v>36</v>
      </c>
      <c r="AI7" s="391">
        <f>MAX(X2:X10)</f>
        <v>99.275333268146412</v>
      </c>
      <c r="AL7" s="8">
        <v>619.25</v>
      </c>
    </row>
    <row r="8" spans="1:38" ht="14.4" x14ac:dyDescent="0.3">
      <c r="O8" s="327" t="str">
        <f>H1</f>
        <v>RW</v>
      </c>
      <c r="P8" s="573">
        <f>100-ABS((($G10-H2)/($G10)))*100</f>
        <v>97.43669374104158</v>
      </c>
      <c r="Q8" s="574">
        <f t="shared" si="0"/>
        <v>0.12468557679788717</v>
      </c>
      <c r="R8" s="575">
        <f>100-ABS((($G11-H3)/($G11)))*100</f>
        <v>98.29991198572786</v>
      </c>
      <c r="S8" s="576">
        <f t="shared" si="1"/>
        <v>0.11124404838688749</v>
      </c>
      <c r="T8" s="577">
        <f>100-ABS((($G12-H4)/($G12)))*100</f>
        <v>99.551924445837528</v>
      </c>
      <c r="U8" s="576">
        <f t="shared" si="2"/>
        <v>0.11100965356340582</v>
      </c>
      <c r="V8" s="577">
        <f>100-ABS((($G13-H5)/($G13)))*100</f>
        <v>96.162642947903421</v>
      </c>
      <c r="W8" s="576">
        <f t="shared" si="3"/>
        <v>0.11488641129811913</v>
      </c>
      <c r="X8" s="578">
        <f>100-ABS((($G14-H6)/($G14)))*100</f>
        <v>98.091897265408562</v>
      </c>
      <c r="Y8" s="579">
        <f t="shared" si="4"/>
        <v>0.11085020445569529</v>
      </c>
      <c r="Z8" s="580">
        <f>100-ABS((($E15-H7)/($E15)))*100</f>
        <v>97.15423668215945</v>
      </c>
      <c r="AA8" s="39">
        <f t="shared" si="5"/>
        <v>0.11148372652208136</v>
      </c>
      <c r="AB8" s="23"/>
      <c r="AC8" s="56">
        <f t="shared" si="6"/>
        <v>98.02659416121935</v>
      </c>
      <c r="AD8" s="57">
        <f t="shared" si="7"/>
        <v>97.782884511346381</v>
      </c>
      <c r="AE8" s="42" t="str">
        <f>IF($AC8=MAX(AC2:AC10),"TOP","")</f>
        <v>TOP</v>
      </c>
      <c r="AG8" s="593" t="s">
        <v>17</v>
      </c>
      <c r="AH8" s="594" t="s">
        <v>38</v>
      </c>
      <c r="AI8" s="392">
        <f>MAX(Z2:Z10)</f>
        <v>97.844121769758829</v>
      </c>
      <c r="AL8" s="8">
        <v>278.85000000000002</v>
      </c>
    </row>
    <row r="9" spans="1:38" ht="15" x14ac:dyDescent="0.3">
      <c r="B9" s="258" t="s">
        <v>22</v>
      </c>
      <c r="C9" s="393" t="s">
        <v>21</v>
      </c>
      <c r="D9" s="394" t="s">
        <v>24</v>
      </c>
      <c r="E9" s="595" t="s">
        <v>97</v>
      </c>
      <c r="F9" s="596" t="s">
        <v>98</v>
      </c>
      <c r="G9" s="597" t="s">
        <v>82</v>
      </c>
      <c r="I9" s="2" t="s">
        <v>83</v>
      </c>
      <c r="K9" s="523"/>
      <c r="L9" s="524" t="str">
        <f>IF(M9&lt;25,L11,IF(M9&lt;45,L12,IF(M9&lt;55,L13,IF(M9&lt;75,L14,L15))))</f>
        <v>Extreme Fear</v>
      </c>
      <c r="M9" s="525">
        <v>24</v>
      </c>
      <c r="O9" s="327" t="str">
        <f>I1</f>
        <v>ETS</v>
      </c>
      <c r="P9" s="573">
        <f>100-ABS((($G10-I2)/($G10)))*100</f>
        <v>97.43669374104158</v>
      </c>
      <c r="Q9" s="574">
        <f t="shared" si="0"/>
        <v>0.12468557679788717</v>
      </c>
      <c r="R9" s="575">
        <f>100-ABS((($G11-I3)/($G11)))*100</f>
        <v>98.278953445299592</v>
      </c>
      <c r="S9" s="576">
        <f t="shared" si="1"/>
        <v>0.11122033002500474</v>
      </c>
      <c r="T9" s="577">
        <f>100-ABS((($G12-I4)/($G12)))*100</f>
        <v>99.553868079010826</v>
      </c>
      <c r="U9" s="576">
        <f t="shared" si="2"/>
        <v>0.11101182089514172</v>
      </c>
      <c r="V9" s="577">
        <f>100-ABS((($G13-I5)/($G13)))*100</f>
        <v>95.745870393900887</v>
      </c>
      <c r="W9" s="576">
        <f t="shared" si="3"/>
        <v>0.11438848921955436</v>
      </c>
      <c r="X9" s="578">
        <f>100-ABS((($G14-I6)/($G14)))*100</f>
        <v>98.091897265408562</v>
      </c>
      <c r="Y9" s="579">
        <f t="shared" si="4"/>
        <v>0.11085020445569529</v>
      </c>
      <c r="Z9" s="580">
        <f>100-ABS((($E15-I7)/($E15)))*100</f>
        <v>97.15423668215945</v>
      </c>
      <c r="AA9" s="39">
        <f t="shared" si="5"/>
        <v>0.11148372652208136</v>
      </c>
      <c r="AB9" s="23"/>
      <c r="AC9" s="56">
        <f t="shared" si="6"/>
        <v>97.91764729590497</v>
      </c>
      <c r="AD9" s="57">
        <f t="shared" si="7"/>
        <v>97.710253267803481</v>
      </c>
      <c r="AE9" s="42" t="str">
        <f>IF($AC9=MAX(AC2:AC10),"TOP","")</f>
        <v/>
      </c>
      <c r="AG9" s="2"/>
      <c r="AH9" s="2"/>
      <c r="AI9" s="2"/>
    </row>
    <row r="10" spans="1:38" ht="14.4" x14ac:dyDescent="0.3">
      <c r="A10" s="76" t="s">
        <v>12</v>
      </c>
      <c r="B10" s="260">
        <v>4.1859999999999999</v>
      </c>
      <c r="C10" s="541">
        <f>(B2*Q24)+(C2*Q25)+(D2*Q26)+(E2*Q27)+(F2*Q28)+(G2*Q29)+(H2*Q30)+(I2*Q31)+(J2*Q32)</f>
        <v>4.0863982816901414</v>
      </c>
      <c r="D10" s="397">
        <v>4.2064005260191601</v>
      </c>
      <c r="E10" s="598">
        <f t="shared" ref="E10:E15" si="8">F18</f>
        <v>4.2059999999999995</v>
      </c>
      <c r="F10" s="599">
        <f t="shared" ref="F10:F15" si="9">F18*L18</f>
        <v>4.1859999999999999</v>
      </c>
      <c r="G10" s="600">
        <v>4.1859999999999999</v>
      </c>
      <c r="I10" s="2">
        <f t="shared" ref="I10:I15" si="10">(AI22+AK22)/2</f>
        <v>0.7434699717030141</v>
      </c>
      <c r="O10" s="339" t="str">
        <f>J1</f>
        <v>DynaMix</v>
      </c>
      <c r="P10" s="601">
        <f>100-ABS((($G10-J2)/($G10)))*100</f>
        <v>97.254730052556141</v>
      </c>
      <c r="Q10" s="602">
        <f t="shared" si="0"/>
        <v>0.12445272563490152</v>
      </c>
      <c r="R10" s="603">
        <f>100-ABS((($G11-J3)/($G11)))*100</f>
        <v>98.429933726181702</v>
      </c>
      <c r="S10" s="604">
        <f t="shared" si="1"/>
        <v>0.11139119139540306</v>
      </c>
      <c r="T10" s="605">
        <f>100-ABS((($G12-J4)/($G12)))*100</f>
        <v>99.841697156466125</v>
      </c>
      <c r="U10" s="604">
        <f t="shared" si="2"/>
        <v>0.1113327770830974</v>
      </c>
      <c r="V10" s="606">
        <f>100-ABS((($G13-J5)/($G13)))*100</f>
        <v>94.203443456162645</v>
      </c>
      <c r="W10" s="604">
        <f t="shared" si="3"/>
        <v>0.11254573729288056</v>
      </c>
      <c r="X10" s="607">
        <f>100-ABS((($G14-J6)/($G14)))*100</f>
        <v>98.026205143248276</v>
      </c>
      <c r="Y10" s="608">
        <f t="shared" si="4"/>
        <v>0.11077596809799806</v>
      </c>
      <c r="Z10" s="609">
        <f>100-ABS((($E15-J7)/($E15)))*100</f>
        <v>97.049338577046839</v>
      </c>
      <c r="AA10" s="92">
        <f t="shared" si="5"/>
        <v>0.11136335676711825</v>
      </c>
      <c r="AC10" s="93">
        <f t="shared" si="6"/>
        <v>97.625319870514687</v>
      </c>
      <c r="AD10" s="94">
        <f t="shared" si="7"/>
        <v>97.467558018610291</v>
      </c>
      <c r="AE10" s="42" t="str">
        <f>IF($AC10=MAX(AC2:AC10),"TOP","")</f>
        <v/>
      </c>
      <c r="AG10" s="1381" t="s">
        <v>39</v>
      </c>
      <c r="AH10" s="1381"/>
      <c r="AI10" s="400">
        <f>AVERAGE(AI4:AI7)</f>
        <v>98.655007590373259</v>
      </c>
    </row>
    <row r="11" spans="1:38" ht="14.4" x14ac:dyDescent="0.3">
      <c r="A11" s="95" t="s">
        <v>13</v>
      </c>
      <c r="B11" s="261">
        <v>47560.29</v>
      </c>
      <c r="C11" s="542">
        <f>(B3*S24)+(C3*S25)+(D3*S26)+(E3*S27)+(F3*S28)+(G3*S29)+(H3*S30)+(I3*S31)+(J3*S32)</f>
        <v>47583.786724226804</v>
      </c>
      <c r="D11" s="401">
        <v>47744.176541798101</v>
      </c>
      <c r="E11" s="610">
        <f t="shared" si="8"/>
        <v>47744.18</v>
      </c>
      <c r="F11" s="611">
        <f t="shared" si="9"/>
        <v>48458.049999999872</v>
      </c>
      <c r="G11" s="612">
        <v>48458.05</v>
      </c>
      <c r="I11" s="2">
        <f t="shared" si="10"/>
        <v>3745.1885784716515</v>
      </c>
      <c r="J11" s="226" t="s">
        <v>43</v>
      </c>
      <c r="K11" s="227">
        <v>0</v>
      </c>
      <c r="L11" s="228" t="s">
        <v>44</v>
      </c>
      <c r="Q11" s="5"/>
      <c r="AG11" s="1383" t="s">
        <v>41</v>
      </c>
      <c r="AH11" s="1383"/>
      <c r="AI11" s="404">
        <f>AVERAGE(AI3:AI8)</f>
        <v>98.52105991485189</v>
      </c>
    </row>
    <row r="12" spans="1:38" ht="14.4" x14ac:dyDescent="0.3">
      <c r="A12" s="105" t="s">
        <v>14</v>
      </c>
      <c r="B12" s="262">
        <v>6840.51</v>
      </c>
      <c r="C12" s="543">
        <f>(B4*U24)+(C4*U25)+(D4*U26)+(E4*U27)+(F4*U28)+(G4*U29)+(H4*U30)+(I4*U31)+(J4*U32)</f>
        <v>6836.3584989304809</v>
      </c>
      <c r="D12" s="405">
        <v>6863.3534994068796</v>
      </c>
      <c r="E12" s="613">
        <f t="shared" si="8"/>
        <v>6863.3499999999995</v>
      </c>
      <c r="F12" s="614">
        <f t="shared" si="9"/>
        <v>6827.4200000000028</v>
      </c>
      <c r="G12" s="615">
        <v>6827.42</v>
      </c>
      <c r="I12" s="2">
        <f t="shared" si="10"/>
        <v>0</v>
      </c>
      <c r="K12" s="227">
        <v>25</v>
      </c>
      <c r="L12" s="228" t="s">
        <v>45</v>
      </c>
      <c r="O12" s="13" t="s">
        <v>28</v>
      </c>
      <c r="P12" s="350" t="s">
        <v>12</v>
      </c>
      <c r="Q12" s="114">
        <f>SUM(P13:P21)</f>
        <v>490</v>
      </c>
      <c r="R12" s="115" t="s">
        <v>13</v>
      </c>
      <c r="S12" s="116">
        <f>SUM(R13:R21)</f>
        <v>575</v>
      </c>
      <c r="T12" s="117" t="s">
        <v>14</v>
      </c>
      <c r="U12" s="116">
        <f>SUM(T13:T21)</f>
        <v>815</v>
      </c>
      <c r="V12" s="117" t="s">
        <v>15</v>
      </c>
      <c r="W12" s="116">
        <f>SUM(V13:V21)</f>
        <v>250</v>
      </c>
      <c r="X12" s="117" t="s">
        <v>16</v>
      </c>
      <c r="Y12" s="20">
        <f>SUM(X13:X21)</f>
        <v>605</v>
      </c>
      <c r="Z12" s="351" t="s">
        <v>17</v>
      </c>
      <c r="AA12" s="22">
        <f>SUM(Z13:Z21)</f>
        <v>490</v>
      </c>
      <c r="AB12" s="23"/>
      <c r="AC12" s="24" t="s">
        <v>29</v>
      </c>
      <c r="AD12" s="119" t="s">
        <v>30</v>
      </c>
    </row>
    <row r="13" spans="1:38" ht="14.4" x14ac:dyDescent="0.3">
      <c r="A13" s="105" t="s">
        <v>15</v>
      </c>
      <c r="B13" s="262">
        <v>16.940000000000001</v>
      </c>
      <c r="C13" s="544">
        <f>(B5*W24)+(C5*W25)+(D5*W26)+(E5*W27)+(F5*W28)+(G5*W29)+(H5*W30)+(I5*W31)+(J5*W32)</f>
        <v>16.763210362198699</v>
      </c>
      <c r="D13" s="405">
        <v>16.851145662847799</v>
      </c>
      <c r="E13" s="613">
        <f t="shared" si="8"/>
        <v>16.850000000000001</v>
      </c>
      <c r="F13" s="614">
        <f t="shared" si="9"/>
        <v>15.740000000000006</v>
      </c>
      <c r="G13" s="615">
        <v>15.74</v>
      </c>
      <c r="I13" s="2">
        <f t="shared" si="10"/>
        <v>0</v>
      </c>
      <c r="K13" s="227">
        <v>45</v>
      </c>
      <c r="L13" s="228" t="s">
        <v>46</v>
      </c>
      <c r="O13" s="127" t="str">
        <f t="shared" ref="O13:O21" si="11">O2</f>
        <v>PyCaret</v>
      </c>
      <c r="P13" s="352">
        <f t="shared" ref="P13:P21" si="12">IF(P2=0,0, LOOKUP(P2-0.000000000001,$AC$13:$AC$29,$AD$13:$AD$29))</f>
        <v>60</v>
      </c>
      <c r="Q13" s="129">
        <f t="shared" ref="Q13:Q21" si="13">P13/$Q$12</f>
        <v>0.12244897959183673</v>
      </c>
      <c r="R13" s="353">
        <f t="shared" ref="R13:R21" si="14">IF(R2=0,0, LOOKUP(R2-0.000000000001,$AC$13:$AC$29,$AD$13:$AD$29))</f>
        <v>50</v>
      </c>
      <c r="S13" s="131">
        <f t="shared" ref="S13:S21" si="15">R13/$S$12</f>
        <v>8.6956521739130432E-2</v>
      </c>
      <c r="T13" s="354">
        <f t="shared" ref="T13:T21" si="16">IF(T2=0,0, LOOKUP(T2-0.000000000001,$AC$13:$AC$29,$AD$13:$AD$29))</f>
        <v>95</v>
      </c>
      <c r="U13" s="131">
        <f t="shared" ref="U13:U21" si="17">T13/$U$12</f>
        <v>0.1165644171779141</v>
      </c>
      <c r="V13" s="354">
        <f t="shared" ref="V13:V21" si="18">IF(V2=0,0, LOOKUP(V2-0.000000000001,$AC$13:$AC$29,$AD$13:$AD$29))</f>
        <v>30</v>
      </c>
      <c r="W13" s="131">
        <f t="shared" ref="W13:W21" si="19">V13/$W$12</f>
        <v>0.12</v>
      </c>
      <c r="X13" s="354">
        <f t="shared" ref="X13:X21" si="20">IF(X2=0,0, LOOKUP(X2-0.000000000001,$AC$13:$AC$29,$AD$13:$AD$29))</f>
        <v>65</v>
      </c>
      <c r="Y13" s="132">
        <f t="shared" ref="Y13:Y21" si="21">X13/$Y$12</f>
        <v>0.10743801652892562</v>
      </c>
      <c r="Z13" s="355">
        <f t="shared" ref="Z13:Z21" si="22">IF(Z2=0,0, LOOKUP(Z2-0.000000000001,$AC$13:$AC$29,$AD$13:$AD$29))</f>
        <v>60</v>
      </c>
      <c r="AA13" s="134">
        <f t="shared" ref="AA13:AA21" si="23">Z13/$AA$12</f>
        <v>0.12244897959183673</v>
      </c>
      <c r="AB13" s="23"/>
      <c r="AC13" s="40">
        <v>1</v>
      </c>
      <c r="AD13" s="135">
        <v>0.1</v>
      </c>
    </row>
    <row r="14" spans="1:38" ht="14.4" x14ac:dyDescent="0.3">
      <c r="A14" s="120" t="s">
        <v>16</v>
      </c>
      <c r="B14" s="293">
        <v>625.04999999999995</v>
      </c>
      <c r="C14" s="545">
        <f>(B6*Y24)+(C6*Y25)+(D6*Y26)+(E6*Y27)+(F6*Y28)+(G6*Y29)+(H6*Y30)+(I6*Y31)+(J6*Y32)</f>
        <v>623.93754581749056</v>
      </c>
      <c r="D14" s="408">
        <v>627.027156943303</v>
      </c>
      <c r="E14" s="616">
        <f t="shared" si="8"/>
        <v>627.02999999999986</v>
      </c>
      <c r="F14" s="617">
        <f t="shared" si="9"/>
        <v>613.61999999999966</v>
      </c>
      <c r="G14" s="618">
        <v>613.62</v>
      </c>
      <c r="I14" s="2">
        <f t="shared" si="10"/>
        <v>0</v>
      </c>
      <c r="K14" s="227">
        <v>55</v>
      </c>
      <c r="L14" s="228" t="s">
        <v>47</v>
      </c>
      <c r="O14" s="143" t="str">
        <f t="shared" si="11"/>
        <v>ARIMAX</v>
      </c>
      <c r="P14" s="356">
        <f t="shared" si="12"/>
        <v>60</v>
      </c>
      <c r="Q14" s="145">
        <f t="shared" si="13"/>
        <v>0.12244897959183673</v>
      </c>
      <c r="R14" s="357">
        <f t="shared" si="14"/>
        <v>65</v>
      </c>
      <c r="S14" s="147">
        <f t="shared" si="15"/>
        <v>0.11304347826086956</v>
      </c>
      <c r="T14" s="358">
        <f t="shared" si="16"/>
        <v>90</v>
      </c>
      <c r="U14" s="147">
        <f t="shared" si="17"/>
        <v>0.11042944785276074</v>
      </c>
      <c r="V14" s="358">
        <f t="shared" si="18"/>
        <v>30</v>
      </c>
      <c r="W14" s="147">
        <f t="shared" si="19"/>
        <v>0.12</v>
      </c>
      <c r="X14" s="358">
        <f t="shared" si="20"/>
        <v>65</v>
      </c>
      <c r="Y14" s="148">
        <f t="shared" si="21"/>
        <v>0.10743801652892562</v>
      </c>
      <c r="Z14" s="359">
        <f t="shared" si="22"/>
        <v>50</v>
      </c>
      <c r="AA14" s="134">
        <f t="shared" si="23"/>
        <v>0.10204081632653061</v>
      </c>
      <c r="AB14" s="23"/>
      <c r="AC14" s="56">
        <v>80</v>
      </c>
      <c r="AD14" s="150">
        <v>1</v>
      </c>
    </row>
    <row r="15" spans="1:38" ht="14.4" x14ac:dyDescent="0.3">
      <c r="A15" s="136" t="s">
        <v>17</v>
      </c>
      <c r="B15" s="298">
        <v>277.18</v>
      </c>
      <c r="C15" s="546">
        <f>(B7*AA24)+(C7*AA25)+(D7*AA26)+(E7*AA27)+(F7*AA28)+(G7*AA29)+(H7*AA30)+(I7*AA31)+(J7*AA32)</f>
        <v>286.11800671506353</v>
      </c>
      <c r="D15" s="413">
        <v>279.695892939548</v>
      </c>
      <c r="E15" s="619">
        <f t="shared" si="8"/>
        <v>279.7</v>
      </c>
      <c r="F15" s="620">
        <f t="shared" si="9"/>
        <v>278.22999999999996</v>
      </c>
      <c r="G15" s="621">
        <v>278.23</v>
      </c>
      <c r="I15" s="2">
        <f t="shared" si="10"/>
        <v>0</v>
      </c>
      <c r="K15" s="227">
        <v>75</v>
      </c>
      <c r="L15" s="228" t="s">
        <v>48</v>
      </c>
      <c r="O15" s="143" t="str">
        <f t="shared" si="11"/>
        <v>PCE</v>
      </c>
      <c r="P15" s="356">
        <f t="shared" si="12"/>
        <v>70</v>
      </c>
      <c r="Q15" s="145">
        <f t="shared" si="13"/>
        <v>0.14285714285714285</v>
      </c>
      <c r="R15" s="357">
        <f t="shared" si="14"/>
        <v>60</v>
      </c>
      <c r="S15" s="147">
        <f t="shared" si="15"/>
        <v>0.10434782608695652</v>
      </c>
      <c r="T15" s="358">
        <f t="shared" si="16"/>
        <v>95</v>
      </c>
      <c r="U15" s="147">
        <f t="shared" si="17"/>
        <v>0.1165644171779141</v>
      </c>
      <c r="V15" s="358">
        <f t="shared" si="18"/>
        <v>10</v>
      </c>
      <c r="W15" s="147">
        <f t="shared" si="19"/>
        <v>0.04</v>
      </c>
      <c r="X15" s="358">
        <f t="shared" si="20"/>
        <v>70</v>
      </c>
      <c r="Y15" s="148">
        <f t="shared" si="21"/>
        <v>0.11570247933884298</v>
      </c>
      <c r="Z15" s="359">
        <f t="shared" si="22"/>
        <v>50</v>
      </c>
      <c r="AA15" s="134">
        <f t="shared" si="23"/>
        <v>0.10204081632653061</v>
      </c>
      <c r="AB15" s="23"/>
      <c r="AC15" s="56">
        <v>82.5</v>
      </c>
      <c r="AD15" s="150">
        <v>2</v>
      </c>
    </row>
    <row r="16" spans="1:38" ht="14.4" x14ac:dyDescent="0.3">
      <c r="G16" s="151"/>
      <c r="K16" s="8"/>
      <c r="O16" s="143" t="str">
        <f t="shared" si="11"/>
        <v>LSTM</v>
      </c>
      <c r="P16" s="356">
        <f t="shared" si="12"/>
        <v>60</v>
      </c>
      <c r="Q16" s="145">
        <f t="shared" si="13"/>
        <v>0.12244897959183673</v>
      </c>
      <c r="R16" s="357">
        <f t="shared" si="14"/>
        <v>75</v>
      </c>
      <c r="S16" s="147">
        <f t="shared" si="15"/>
        <v>0.13043478260869565</v>
      </c>
      <c r="T16" s="358">
        <f t="shared" si="16"/>
        <v>75</v>
      </c>
      <c r="U16" s="147">
        <f t="shared" si="17"/>
        <v>9.202453987730061E-2</v>
      </c>
      <c r="V16" s="358">
        <f t="shared" si="18"/>
        <v>10</v>
      </c>
      <c r="W16" s="147">
        <f t="shared" si="19"/>
        <v>0.04</v>
      </c>
      <c r="X16" s="358">
        <f t="shared" si="20"/>
        <v>80</v>
      </c>
      <c r="Y16" s="148">
        <f t="shared" si="21"/>
        <v>0.13223140495867769</v>
      </c>
      <c r="Z16" s="359">
        <f t="shared" si="22"/>
        <v>50</v>
      </c>
      <c r="AA16" s="134">
        <f t="shared" si="23"/>
        <v>0.10204081632653061</v>
      </c>
      <c r="AB16" s="23"/>
      <c r="AC16" s="56">
        <v>85</v>
      </c>
      <c r="AD16" s="150">
        <v>5</v>
      </c>
    </row>
    <row r="17" spans="1:38" ht="14.4" x14ac:dyDescent="0.3">
      <c r="A17" s="554" t="s">
        <v>21</v>
      </c>
      <c r="B17" s="421" t="str">
        <f t="shared" ref="B17:B23" si="24">B9</f>
        <v>Close YF</v>
      </c>
      <c r="C17" s="422" t="s">
        <v>87</v>
      </c>
      <c r="D17" s="1398" t="s">
        <v>88</v>
      </c>
      <c r="E17" s="1398"/>
      <c r="F17" s="555" t="str">
        <f>E9</f>
        <v>PRED.</v>
      </c>
      <c r="G17" s="8"/>
      <c r="H17" s="1399" t="s">
        <v>99</v>
      </c>
      <c r="I17" s="1399"/>
      <c r="L17" s="547" t="s">
        <v>100</v>
      </c>
      <c r="M17" s="154"/>
      <c r="O17" s="143" t="str">
        <f t="shared" si="11"/>
        <v>GARCH</v>
      </c>
      <c r="P17" s="356">
        <f t="shared" si="12"/>
        <v>60</v>
      </c>
      <c r="Q17" s="145">
        <f t="shared" si="13"/>
        <v>0.12244897959183673</v>
      </c>
      <c r="R17" s="357">
        <f t="shared" si="14"/>
        <v>65</v>
      </c>
      <c r="S17" s="147">
        <f t="shared" si="15"/>
        <v>0.11304347826086956</v>
      </c>
      <c r="T17" s="358">
        <f t="shared" si="16"/>
        <v>90</v>
      </c>
      <c r="U17" s="147">
        <f t="shared" si="17"/>
        <v>0.11042944785276074</v>
      </c>
      <c r="V17" s="358">
        <f t="shared" si="18"/>
        <v>30</v>
      </c>
      <c r="W17" s="147">
        <f t="shared" si="19"/>
        <v>0.12</v>
      </c>
      <c r="X17" s="358">
        <f t="shared" si="20"/>
        <v>65</v>
      </c>
      <c r="Y17" s="148">
        <f t="shared" si="21"/>
        <v>0.10743801652892562</v>
      </c>
      <c r="Z17" s="359">
        <f t="shared" si="22"/>
        <v>50</v>
      </c>
      <c r="AA17" s="134">
        <f t="shared" si="23"/>
        <v>0.10204081632653061</v>
      </c>
      <c r="AB17" s="23"/>
      <c r="AC17" s="56">
        <v>87.5</v>
      </c>
      <c r="AD17" s="150">
        <v>10</v>
      </c>
    </row>
    <row r="18" spans="1:38" ht="14.4" x14ac:dyDescent="0.25">
      <c r="A18" s="426" t="s">
        <v>12</v>
      </c>
      <c r="B18" s="427">
        <f t="shared" si="24"/>
        <v>4.1859999999999999</v>
      </c>
      <c r="C18" s="428">
        <f t="shared" ref="C18:C23" si="25">D10-C10</f>
        <v>0.12000224432901874</v>
      </c>
      <c r="D18" s="429">
        <f t="shared" ref="D18:D23" si="26">H18*I18</f>
        <v>0.16666354960132343</v>
      </c>
      <c r="E18" s="430">
        <f t="shared" ref="E18:E23" si="27">C18*D18</f>
        <v>1.9999999999999546E-2</v>
      </c>
      <c r="F18" s="557">
        <f t="shared" ref="F18:F23" si="28">B18+C18*D18</f>
        <v>4.2059999999999995</v>
      </c>
      <c r="G18" s="432" t="str">
        <f t="shared" ref="G18:G23" si="29">TEXT(J18,"0.00%") &amp; "" &amp; K18</f>
        <v>0.48%  ↑</v>
      </c>
      <c r="H18" s="425">
        <v>8.7144339660822703E-2</v>
      </c>
      <c r="I18" s="558">
        <v>1.9125000000000001</v>
      </c>
      <c r="J18" s="307">
        <f t="shared" ref="J18:J23" si="30">IF((E10-B10)&gt;0, (E10/B10-1), (1-E10/B10))</f>
        <v>4.7778308647872247E-3</v>
      </c>
      <c r="K18" s="160" t="str">
        <f t="shared" ref="K18:K23" si="31">IF(E10&lt;B10,"  ↓","  ↑")</f>
        <v xml:space="preserve">  ↑</v>
      </c>
      <c r="L18" s="622">
        <v>0.99524488825487401</v>
      </c>
      <c r="M18" s="162"/>
      <c r="O18" s="143" t="str">
        <f t="shared" si="11"/>
        <v>VAR</v>
      </c>
      <c r="P18" s="356">
        <f t="shared" si="12"/>
        <v>0</v>
      </c>
      <c r="Q18" s="145">
        <f t="shared" si="13"/>
        <v>0</v>
      </c>
      <c r="R18" s="357">
        <f t="shared" si="14"/>
        <v>65</v>
      </c>
      <c r="S18" s="147">
        <f t="shared" si="15"/>
        <v>0.11304347826086956</v>
      </c>
      <c r="T18" s="358">
        <f t="shared" si="16"/>
        <v>95</v>
      </c>
      <c r="U18" s="147">
        <f t="shared" si="17"/>
        <v>0.1165644171779141</v>
      </c>
      <c r="V18" s="358">
        <f t="shared" si="18"/>
        <v>20</v>
      </c>
      <c r="W18" s="147">
        <f t="shared" si="19"/>
        <v>0.08</v>
      </c>
      <c r="X18" s="358">
        <f t="shared" si="20"/>
        <v>65</v>
      </c>
      <c r="Y18" s="148">
        <f t="shared" si="21"/>
        <v>0.10743801652892562</v>
      </c>
      <c r="Z18" s="359">
        <f t="shared" si="22"/>
        <v>50</v>
      </c>
      <c r="AA18" s="134">
        <f t="shared" si="23"/>
        <v>0.10204081632653061</v>
      </c>
      <c r="AB18" s="23"/>
      <c r="AC18" s="56">
        <v>90</v>
      </c>
      <c r="AD18" s="150">
        <v>20</v>
      </c>
      <c r="AG18" s="8" t="s">
        <v>84</v>
      </c>
    </row>
    <row r="19" spans="1:38" ht="14.4" x14ac:dyDescent="0.25">
      <c r="A19" s="437" t="s">
        <v>13</v>
      </c>
      <c r="B19" s="438">
        <f t="shared" si="24"/>
        <v>47560.29</v>
      </c>
      <c r="C19" s="439">
        <f t="shared" si="25"/>
        <v>160.38981757129659</v>
      </c>
      <c r="D19" s="440">
        <f t="shared" si="26"/>
        <v>1.1465191667685195</v>
      </c>
      <c r="E19" s="441">
        <f t="shared" si="27"/>
        <v>183.88999999999783</v>
      </c>
      <c r="F19" s="559">
        <f t="shared" si="28"/>
        <v>47744.18</v>
      </c>
      <c r="G19" s="443" t="str">
        <f t="shared" si="29"/>
        <v>0.39%  ↑</v>
      </c>
      <c r="H19" s="425">
        <v>0.88671242596173205</v>
      </c>
      <c r="I19" s="558">
        <v>1.2929999999999999</v>
      </c>
      <c r="J19" s="307">
        <f t="shared" si="30"/>
        <v>3.8664608647256404E-3</v>
      </c>
      <c r="K19" s="160" t="str">
        <f t="shared" si="31"/>
        <v xml:space="preserve">  ↑</v>
      </c>
      <c r="L19" s="161">
        <v>1.0149519794873401</v>
      </c>
      <c r="M19" s="162"/>
      <c r="O19" s="143" t="str">
        <f t="shared" si="11"/>
        <v>RW</v>
      </c>
      <c r="P19" s="356">
        <f t="shared" si="12"/>
        <v>60</v>
      </c>
      <c r="Q19" s="145">
        <f t="shared" si="13"/>
        <v>0.12244897959183673</v>
      </c>
      <c r="R19" s="357">
        <f t="shared" si="14"/>
        <v>65</v>
      </c>
      <c r="S19" s="147">
        <f t="shared" si="15"/>
        <v>0.11304347826086956</v>
      </c>
      <c r="T19" s="358">
        <f t="shared" si="16"/>
        <v>90</v>
      </c>
      <c r="U19" s="147">
        <f t="shared" si="17"/>
        <v>0.11042944785276074</v>
      </c>
      <c r="V19" s="358">
        <f t="shared" si="18"/>
        <v>50</v>
      </c>
      <c r="W19" s="147">
        <f t="shared" si="19"/>
        <v>0.2</v>
      </c>
      <c r="X19" s="358">
        <f t="shared" si="20"/>
        <v>65</v>
      </c>
      <c r="Y19" s="148">
        <f t="shared" si="21"/>
        <v>0.10743801652892562</v>
      </c>
      <c r="Z19" s="359">
        <f t="shared" si="22"/>
        <v>60</v>
      </c>
      <c r="AA19" s="134">
        <f t="shared" si="23"/>
        <v>0.12244897959183673</v>
      </c>
      <c r="AB19" s="23"/>
      <c r="AC19" s="56">
        <v>92.5</v>
      </c>
      <c r="AD19" s="150">
        <v>30</v>
      </c>
      <c r="AG19" s="411" t="s">
        <v>85</v>
      </c>
      <c r="AH19" s="412" t="s">
        <v>86</v>
      </c>
    </row>
    <row r="20" spans="1:38" ht="14.4" x14ac:dyDescent="0.25">
      <c r="A20" s="444" t="s">
        <v>14</v>
      </c>
      <c r="B20" s="445">
        <f t="shared" si="24"/>
        <v>6840.51</v>
      </c>
      <c r="C20" s="446">
        <f t="shared" si="25"/>
        <v>26.995000476398673</v>
      </c>
      <c r="D20" s="447">
        <f t="shared" si="26"/>
        <v>0.84608259295895427</v>
      </c>
      <c r="E20" s="448">
        <f t="shared" si="27"/>
        <v>22.839999999999595</v>
      </c>
      <c r="F20" s="560">
        <f t="shared" si="28"/>
        <v>6863.3499999999995</v>
      </c>
      <c r="G20" s="443" t="str">
        <f t="shared" si="29"/>
        <v>0.33%  ↑</v>
      </c>
      <c r="H20" s="425">
        <v>0.48625436376951398</v>
      </c>
      <c r="I20" s="558">
        <v>1.74</v>
      </c>
      <c r="J20" s="307">
        <f t="shared" si="30"/>
        <v>3.3389323310688557E-3</v>
      </c>
      <c r="K20" s="160" t="str">
        <f t="shared" si="31"/>
        <v xml:space="preserve">  ↑</v>
      </c>
      <c r="L20" s="161">
        <v>0.99476494714680197</v>
      </c>
      <c r="M20" s="162"/>
      <c r="O20" s="143" t="str">
        <f t="shared" si="11"/>
        <v>ETS</v>
      </c>
      <c r="P20" s="356">
        <f t="shared" si="12"/>
        <v>60</v>
      </c>
      <c r="Q20" s="145">
        <f t="shared" si="13"/>
        <v>0.12244897959183673</v>
      </c>
      <c r="R20" s="357">
        <f t="shared" si="14"/>
        <v>65</v>
      </c>
      <c r="S20" s="147">
        <f t="shared" si="15"/>
        <v>0.11304347826086956</v>
      </c>
      <c r="T20" s="358">
        <f t="shared" si="16"/>
        <v>90</v>
      </c>
      <c r="U20" s="147">
        <f t="shared" si="17"/>
        <v>0.11042944785276074</v>
      </c>
      <c r="V20" s="358">
        <f t="shared" si="18"/>
        <v>40</v>
      </c>
      <c r="W20" s="147">
        <f t="shared" si="19"/>
        <v>0.16</v>
      </c>
      <c r="X20" s="358">
        <f t="shared" si="20"/>
        <v>65</v>
      </c>
      <c r="Y20" s="148">
        <f t="shared" si="21"/>
        <v>0.10743801652892562</v>
      </c>
      <c r="Z20" s="359">
        <f t="shared" si="22"/>
        <v>60</v>
      </c>
      <c r="AA20" s="134">
        <f t="shared" si="23"/>
        <v>0.12244897959183673</v>
      </c>
      <c r="AC20" s="56">
        <v>95</v>
      </c>
      <c r="AD20" s="150">
        <v>40</v>
      </c>
      <c r="AG20" s="416" t="str">
        <f>P1</f>
        <v>TNX</v>
      </c>
      <c r="AH20" s="417" t="str">
        <f>R1</f>
        <v>DJI</v>
      </c>
      <c r="AI20" s="417" t="str">
        <f>T1</f>
        <v>SPX</v>
      </c>
      <c r="AJ20" s="417" t="str">
        <f>V1</f>
        <v>VIX</v>
      </c>
      <c r="AK20" s="417" t="str">
        <f>X1</f>
        <v>QQQ</v>
      </c>
      <c r="AL20" s="418" t="str">
        <f>Z1</f>
        <v>AAPL</v>
      </c>
    </row>
    <row r="21" spans="1:38" ht="14.4" x14ac:dyDescent="0.25">
      <c r="A21" s="444" t="s">
        <v>15</v>
      </c>
      <c r="B21" s="445">
        <f t="shared" si="24"/>
        <v>16.940000000000001</v>
      </c>
      <c r="C21" s="446">
        <f t="shared" si="25"/>
        <v>8.7935300649100157E-2</v>
      </c>
      <c r="D21" s="447">
        <f t="shared" si="26"/>
        <v>-1.023479755407207</v>
      </c>
      <c r="E21" s="448">
        <f t="shared" si="27"/>
        <v>-9.0000000000000246E-2</v>
      </c>
      <c r="F21" s="560">
        <f t="shared" si="28"/>
        <v>16.850000000000001</v>
      </c>
      <c r="G21" s="443" t="str">
        <f t="shared" si="29"/>
        <v>0.53%  ↓</v>
      </c>
      <c r="H21" s="425">
        <v>-0.129965683226312</v>
      </c>
      <c r="I21" s="558">
        <v>7.875</v>
      </c>
      <c r="J21" s="307">
        <f t="shared" si="30"/>
        <v>5.312868949232552E-3</v>
      </c>
      <c r="K21" s="160" t="str">
        <f t="shared" si="31"/>
        <v xml:space="preserve">  ↓</v>
      </c>
      <c r="L21" s="161">
        <v>0.93412462908011895</v>
      </c>
      <c r="M21" s="162"/>
      <c r="O21" s="180" t="str">
        <f t="shared" si="11"/>
        <v>DynaMix</v>
      </c>
      <c r="P21" s="360">
        <f t="shared" si="12"/>
        <v>60</v>
      </c>
      <c r="Q21" s="182">
        <f t="shared" si="13"/>
        <v>0.12244897959183673</v>
      </c>
      <c r="R21" s="361">
        <f t="shared" si="14"/>
        <v>65</v>
      </c>
      <c r="S21" s="184">
        <f t="shared" si="15"/>
        <v>0.11304347826086956</v>
      </c>
      <c r="T21" s="362">
        <f t="shared" si="16"/>
        <v>95</v>
      </c>
      <c r="U21" s="184">
        <f t="shared" si="17"/>
        <v>0.1165644171779141</v>
      </c>
      <c r="V21" s="362">
        <f t="shared" si="18"/>
        <v>30</v>
      </c>
      <c r="W21" s="184">
        <f t="shared" si="19"/>
        <v>0.12</v>
      </c>
      <c r="X21" s="362">
        <f t="shared" si="20"/>
        <v>65</v>
      </c>
      <c r="Y21" s="185">
        <f t="shared" si="21"/>
        <v>0.10743801652892562</v>
      </c>
      <c r="Z21" s="363">
        <f t="shared" si="22"/>
        <v>60</v>
      </c>
      <c r="AA21" s="187">
        <f t="shared" si="23"/>
        <v>0.12244897959183673</v>
      </c>
      <c r="AB21" s="23"/>
      <c r="AC21" s="56">
        <v>96</v>
      </c>
      <c r="AD21" s="150">
        <v>50</v>
      </c>
      <c r="AG21" s="419">
        <f>C18</f>
        <v>0.12000224432901874</v>
      </c>
      <c r="AH21" s="419">
        <f>C19</f>
        <v>160.38981757129659</v>
      </c>
      <c r="AI21" s="419">
        <f>C20</f>
        <v>26.995000476398673</v>
      </c>
      <c r="AJ21" s="419">
        <f>C21</f>
        <v>8.7935300649100157E-2</v>
      </c>
      <c r="AK21" s="419">
        <f>C22</f>
        <v>3.0896111258124392</v>
      </c>
      <c r="AL21" s="419">
        <f>C23</f>
        <v>-6.4221137755155269</v>
      </c>
    </row>
    <row r="22" spans="1:38" ht="14.4" x14ac:dyDescent="0.25">
      <c r="A22" s="454" t="s">
        <v>16</v>
      </c>
      <c r="B22" s="455">
        <f t="shared" si="24"/>
        <v>625.04999999999995</v>
      </c>
      <c r="C22" s="456">
        <f t="shared" si="25"/>
        <v>3.0896111258124392</v>
      </c>
      <c r="D22" s="457">
        <f t="shared" si="26"/>
        <v>0.64085735044707393</v>
      </c>
      <c r="E22" s="458">
        <f t="shared" si="27"/>
        <v>1.9799999999999609</v>
      </c>
      <c r="F22" s="561">
        <f t="shared" si="28"/>
        <v>627.02999999999986</v>
      </c>
      <c r="G22" s="443" t="str">
        <f t="shared" si="29"/>
        <v>0.32%  ↑</v>
      </c>
      <c r="H22" s="425">
        <v>0.35490798607026303</v>
      </c>
      <c r="I22" s="558">
        <v>1.8057000000000001</v>
      </c>
      <c r="J22" s="307">
        <f t="shared" si="30"/>
        <v>3.1677465802735227E-3</v>
      </c>
      <c r="K22" s="160" t="str">
        <f t="shared" si="31"/>
        <v xml:space="preserve">  ↑</v>
      </c>
      <c r="L22" s="161">
        <v>0.97861346347064704</v>
      </c>
      <c r="M22" s="162"/>
      <c r="Q22" s="5"/>
      <c r="AC22" s="56">
        <v>97</v>
      </c>
      <c r="AD22" s="150">
        <v>60</v>
      </c>
      <c r="AG22" s="425">
        <f>D18</f>
        <v>0.16666354960132343</v>
      </c>
      <c r="AH22" s="425">
        <f>D19</f>
        <v>1.1465191667685195</v>
      </c>
      <c r="AI22" s="425">
        <f>D20</f>
        <v>0.84608259295895427</v>
      </c>
      <c r="AJ22" s="425">
        <f>D21</f>
        <v>-1.023479755407207</v>
      </c>
      <c r="AK22" s="425">
        <f>D22</f>
        <v>0.64085735044707393</v>
      </c>
      <c r="AL22" s="425">
        <f>D23</f>
        <v>-0.39239416928543697</v>
      </c>
    </row>
    <row r="23" spans="1:38" ht="14.4" x14ac:dyDescent="0.25">
      <c r="A23" s="470" t="s">
        <v>17</v>
      </c>
      <c r="B23" s="471">
        <f t="shared" si="24"/>
        <v>277.18</v>
      </c>
      <c r="C23" s="472">
        <f t="shared" si="25"/>
        <v>-6.4221137755155269</v>
      </c>
      <c r="D23" s="473">
        <f t="shared" si="26"/>
        <v>-0.39239416928543697</v>
      </c>
      <c r="E23" s="474">
        <f t="shared" si="27"/>
        <v>2.5199999999999765</v>
      </c>
      <c r="F23" s="562">
        <f t="shared" si="28"/>
        <v>279.7</v>
      </c>
      <c r="G23" s="432" t="str">
        <f t="shared" si="29"/>
        <v>0.91%  ↑</v>
      </c>
      <c r="H23" s="425">
        <v>-0.18336176134833501</v>
      </c>
      <c r="I23" s="558">
        <v>2.14</v>
      </c>
      <c r="J23" s="307">
        <f t="shared" si="30"/>
        <v>9.0915650479832522E-3</v>
      </c>
      <c r="K23" s="160" t="str">
        <f t="shared" si="31"/>
        <v xml:space="preserve">  ↑</v>
      </c>
      <c r="L23" s="161">
        <v>0.99474436896675</v>
      </c>
      <c r="M23" s="162"/>
      <c r="O23" s="13" t="s">
        <v>40</v>
      </c>
      <c r="P23" s="364" t="s">
        <v>12</v>
      </c>
      <c r="Q23" s="205">
        <f>SUM(P24:P32)</f>
        <v>621.25</v>
      </c>
      <c r="R23" s="365" t="s">
        <v>13</v>
      </c>
      <c r="S23" s="366">
        <f>SUM(R24:R32)</f>
        <v>727.5</v>
      </c>
      <c r="T23" s="367" t="s">
        <v>14</v>
      </c>
      <c r="U23" s="366">
        <f>SUM(T24:T32)</f>
        <v>701.25</v>
      </c>
      <c r="V23" s="367" t="s">
        <v>15</v>
      </c>
      <c r="W23" s="366">
        <f>SUM(V24:V32)</f>
        <v>392.05</v>
      </c>
      <c r="X23" s="367" t="s">
        <v>16</v>
      </c>
      <c r="Y23" s="209">
        <f>SUM(X24:X32)</f>
        <v>657.5</v>
      </c>
      <c r="Z23" s="368" t="s">
        <v>17</v>
      </c>
      <c r="AA23" s="22">
        <f>SUM(Z24:Z32)</f>
        <v>688.75</v>
      </c>
      <c r="AB23" s="23"/>
      <c r="AC23" s="56">
        <v>98</v>
      </c>
      <c r="AD23" s="150">
        <v>65</v>
      </c>
      <c r="AG23" s="623">
        <f>E10</f>
        <v>4.2059999999999995</v>
      </c>
      <c r="AH23" s="624">
        <f>E11</f>
        <v>47744.18</v>
      </c>
      <c r="AI23" s="624">
        <f>E12</f>
        <v>6863.3499999999995</v>
      </c>
      <c r="AJ23" s="624">
        <f>D13</f>
        <v>16.851145662847799</v>
      </c>
      <c r="AK23" s="624">
        <f>D14</f>
        <v>627.027156943303</v>
      </c>
      <c r="AL23" s="625">
        <f>E15</f>
        <v>279.7</v>
      </c>
    </row>
    <row r="24" spans="1:38" ht="14.4" x14ac:dyDescent="0.3">
      <c r="H24" s="563"/>
      <c r="I24" s="563" t="s">
        <v>109</v>
      </c>
      <c r="K24" s="200"/>
      <c r="L24" s="626" t="s">
        <v>110</v>
      </c>
      <c r="O24" s="127" t="str">
        <f t="shared" ref="O24:O31" si="32">O2</f>
        <v>PyCaret</v>
      </c>
      <c r="P24" s="369">
        <v>81.25</v>
      </c>
      <c r="Q24" s="370">
        <f t="shared" ref="Q24:Q32" si="33">P24/$Q$23</f>
        <v>0.13078470824949698</v>
      </c>
      <c r="R24" s="371">
        <v>80</v>
      </c>
      <c r="S24" s="372">
        <f t="shared" ref="S24:S32" si="34">R24/$S$23</f>
        <v>0.10996563573883161</v>
      </c>
      <c r="T24" s="372">
        <v>75</v>
      </c>
      <c r="U24" s="372">
        <f t="shared" ref="U24:U32" si="35">T24/$U$23</f>
        <v>0.10695187165775401</v>
      </c>
      <c r="V24" s="372">
        <v>45.024999999999999</v>
      </c>
      <c r="W24" s="372">
        <f t="shared" ref="W24:W32" si="36">V24/$W$23</f>
        <v>0.11484504527483738</v>
      </c>
      <c r="X24" s="372">
        <v>72.5</v>
      </c>
      <c r="Y24" s="373">
        <f t="shared" ref="Y24:Y32" si="37">X24/$Y$23</f>
        <v>0.11026615969581749</v>
      </c>
      <c r="Z24" s="374">
        <v>81.25</v>
      </c>
      <c r="AA24" s="39">
        <f t="shared" ref="AA24:AA32" si="38">Z24/$AA$23</f>
        <v>0.11796733212341198</v>
      </c>
      <c r="AB24" s="23"/>
      <c r="AC24" s="56">
        <v>98.5</v>
      </c>
      <c r="AD24" s="150">
        <v>70</v>
      </c>
    </row>
    <row r="25" spans="1:38" ht="14.4" x14ac:dyDescent="0.3">
      <c r="A25" s="564" t="str">
        <f>E9</f>
        <v>PRED.</v>
      </c>
      <c r="B25" s="1385" t="s">
        <v>31</v>
      </c>
      <c r="C25" s="1385"/>
      <c r="D25" s="1385">
        <v>85220</v>
      </c>
      <c r="E25" s="1385"/>
      <c r="F25" s="1385" t="s">
        <v>32</v>
      </c>
      <c r="G25" s="1385"/>
      <c r="O25" s="143" t="str">
        <f t="shared" si="32"/>
        <v>ARIMAX</v>
      </c>
      <c r="P25" s="375">
        <v>72.5</v>
      </c>
      <c r="Q25" s="376">
        <f t="shared" si="33"/>
        <v>0.11670020120724346</v>
      </c>
      <c r="R25" s="377">
        <v>73.75</v>
      </c>
      <c r="S25" s="378">
        <f t="shared" si="34"/>
        <v>0.1013745704467354</v>
      </c>
      <c r="T25" s="378">
        <v>75</v>
      </c>
      <c r="U25" s="378">
        <f t="shared" si="35"/>
        <v>0.10695187165775401</v>
      </c>
      <c r="V25" s="378">
        <v>35.024999999999999</v>
      </c>
      <c r="W25" s="378">
        <f t="shared" si="36"/>
        <v>8.9338094630786888E-2</v>
      </c>
      <c r="X25" s="378">
        <v>67.5</v>
      </c>
      <c r="Y25" s="379">
        <f t="shared" si="37"/>
        <v>0.10266159695817491</v>
      </c>
      <c r="Z25" s="380">
        <v>60</v>
      </c>
      <c r="AA25" s="39">
        <f t="shared" si="38"/>
        <v>8.7114337568058073E-2</v>
      </c>
      <c r="AB25" s="23"/>
      <c r="AC25" s="56">
        <v>99</v>
      </c>
      <c r="AD25" s="150">
        <v>75</v>
      </c>
    </row>
    <row r="26" spans="1:38" ht="14.4" x14ac:dyDescent="0.3">
      <c r="A26" s="76" t="s">
        <v>12</v>
      </c>
      <c r="B26" s="155">
        <v>4.09</v>
      </c>
      <c r="C26" s="497">
        <f t="shared" ref="C26:C31" si="39">100-ABS(($E10-B26)/($E10))*100</f>
        <v>97.242035187826929</v>
      </c>
      <c r="D26" s="155">
        <v>4.08</v>
      </c>
      <c r="E26" s="498">
        <f t="shared" ref="E26:E31" si="40">100-ABS(($E10-D26)/($E10))*100</f>
        <v>97.004279600570626</v>
      </c>
      <c r="F26" s="155">
        <v>4.08</v>
      </c>
      <c r="G26" s="499">
        <f t="shared" ref="G26:G31" si="41">100-ABS(($E10-F26)/($E10))*100</f>
        <v>97.004279600570626</v>
      </c>
      <c r="O26" s="143" t="str">
        <f t="shared" si="32"/>
        <v>PCE</v>
      </c>
      <c r="P26" s="375">
        <v>45</v>
      </c>
      <c r="Q26" s="376">
        <f t="shared" si="33"/>
        <v>7.2434607645875254E-2</v>
      </c>
      <c r="R26" s="377">
        <v>70</v>
      </c>
      <c r="S26" s="378">
        <f t="shared" si="34"/>
        <v>9.6219931271477668E-2</v>
      </c>
      <c r="T26" s="378">
        <v>77.5</v>
      </c>
      <c r="U26" s="378">
        <f t="shared" si="35"/>
        <v>0.11051693404634581</v>
      </c>
      <c r="V26" s="378">
        <v>33</v>
      </c>
      <c r="W26" s="378">
        <f t="shared" si="36"/>
        <v>8.4172937125366665E-2</v>
      </c>
      <c r="X26" s="378">
        <v>73.75</v>
      </c>
      <c r="Y26" s="379">
        <f t="shared" si="37"/>
        <v>0.11216730038022814</v>
      </c>
      <c r="Z26" s="380">
        <v>83.75</v>
      </c>
      <c r="AA26" s="39">
        <f t="shared" si="38"/>
        <v>0.12159709618874773</v>
      </c>
      <c r="AB26" s="23"/>
      <c r="AC26" s="56">
        <v>99.25</v>
      </c>
      <c r="AD26" s="150">
        <v>80</v>
      </c>
    </row>
    <row r="27" spans="1:38" ht="14.4" x14ac:dyDescent="0.3">
      <c r="A27" s="163" t="s">
        <v>13</v>
      </c>
      <c r="B27" s="164">
        <v>47767</v>
      </c>
      <c r="C27" s="507">
        <f t="shared" si="39"/>
        <v>99.952203598428127</v>
      </c>
      <c r="D27" s="164">
        <v>47724</v>
      </c>
      <c r="E27" s="508">
        <f t="shared" si="40"/>
        <v>99.957733068198053</v>
      </c>
      <c r="F27" s="164">
        <v>47642</v>
      </c>
      <c r="G27" s="509">
        <f t="shared" si="41"/>
        <v>99.785984385950286</v>
      </c>
      <c r="O27" s="143" t="str">
        <f t="shared" si="32"/>
        <v>LSTM</v>
      </c>
      <c r="P27" s="381">
        <v>80</v>
      </c>
      <c r="Q27" s="376">
        <f t="shared" si="33"/>
        <v>0.12877263581488935</v>
      </c>
      <c r="R27" s="377">
        <v>85</v>
      </c>
      <c r="S27" s="378">
        <f t="shared" si="34"/>
        <v>0.11683848797250859</v>
      </c>
      <c r="T27" s="378">
        <v>77.5</v>
      </c>
      <c r="U27" s="378">
        <f t="shared" si="35"/>
        <v>0.11051693404634581</v>
      </c>
      <c r="V27" s="378">
        <v>24.75</v>
      </c>
      <c r="W27" s="378">
        <f t="shared" si="36"/>
        <v>6.3129702844024999E-2</v>
      </c>
      <c r="X27" s="378">
        <v>70</v>
      </c>
      <c r="Y27" s="379">
        <f t="shared" si="37"/>
        <v>0.10646387832699619</v>
      </c>
      <c r="Z27" s="380">
        <v>73.75</v>
      </c>
      <c r="AA27" s="39">
        <f t="shared" si="38"/>
        <v>0.10707803992740472</v>
      </c>
      <c r="AB27" s="23"/>
      <c r="AC27" s="56">
        <v>99.5</v>
      </c>
      <c r="AD27" s="150">
        <v>90</v>
      </c>
      <c r="AF27" s="2"/>
      <c r="AH27" s="627"/>
      <c r="AI27" s="627"/>
      <c r="AJ27" s="627"/>
    </row>
    <row r="28" spans="1:38" ht="14.25" customHeight="1" x14ac:dyDescent="0.3">
      <c r="A28" s="43" t="s">
        <v>14</v>
      </c>
      <c r="B28" s="169">
        <v>6861</v>
      </c>
      <c r="C28" s="511">
        <f t="shared" si="39"/>
        <v>99.965760160854401</v>
      </c>
      <c r="D28" s="169">
        <v>6868</v>
      </c>
      <c r="E28" s="512">
        <f t="shared" si="40"/>
        <v>99.932248828924642</v>
      </c>
      <c r="F28" s="169">
        <v>6855</v>
      </c>
      <c r="G28" s="513">
        <f t="shared" si="41"/>
        <v>99.87833929495072</v>
      </c>
      <c r="O28" s="143" t="str">
        <f t="shared" si="32"/>
        <v>GARCH</v>
      </c>
      <c r="P28" s="375">
        <v>85</v>
      </c>
      <c r="Q28" s="376">
        <f t="shared" si="33"/>
        <v>0.13682092555331993</v>
      </c>
      <c r="R28" s="377">
        <v>85</v>
      </c>
      <c r="S28" s="378">
        <f t="shared" si="34"/>
        <v>0.11683848797250859</v>
      </c>
      <c r="T28" s="378">
        <v>75</v>
      </c>
      <c r="U28" s="378">
        <f t="shared" si="35"/>
        <v>0.10695187165775401</v>
      </c>
      <c r="V28" s="378">
        <v>51.25</v>
      </c>
      <c r="W28" s="378">
        <f t="shared" si="36"/>
        <v>0.13072312205075884</v>
      </c>
      <c r="X28" s="378">
        <v>68.75</v>
      </c>
      <c r="Y28" s="379">
        <f t="shared" si="37"/>
        <v>0.10456273764258556</v>
      </c>
      <c r="Z28" s="380">
        <v>75</v>
      </c>
      <c r="AA28" s="39">
        <f t="shared" si="38"/>
        <v>0.10889292196007259</v>
      </c>
      <c r="AB28" s="23"/>
      <c r="AC28" s="56">
        <v>99.75</v>
      </c>
      <c r="AD28" s="150">
        <v>95</v>
      </c>
      <c r="AK28" s="6"/>
    </row>
    <row r="29" spans="1:38" ht="14.25" customHeight="1" x14ac:dyDescent="0.3">
      <c r="A29" s="43" t="s">
        <v>15</v>
      </c>
      <c r="B29" s="169">
        <v>16.41</v>
      </c>
      <c r="C29" s="511">
        <f t="shared" si="39"/>
        <v>97.388724035608305</v>
      </c>
      <c r="D29" s="169">
        <v>16.7</v>
      </c>
      <c r="E29" s="512">
        <f t="shared" si="40"/>
        <v>99.109792284866458</v>
      </c>
      <c r="F29" s="169">
        <v>16.739999999999998</v>
      </c>
      <c r="G29" s="513">
        <f t="shared" si="41"/>
        <v>99.347181008902055</v>
      </c>
      <c r="O29" s="143" t="str">
        <f t="shared" si="32"/>
        <v>VAR</v>
      </c>
      <c r="P29" s="381">
        <v>0</v>
      </c>
      <c r="Q29" s="376">
        <f t="shared" si="33"/>
        <v>0</v>
      </c>
      <c r="R29" s="377">
        <v>82.5</v>
      </c>
      <c r="S29" s="378">
        <f t="shared" si="34"/>
        <v>0.1134020618556701</v>
      </c>
      <c r="T29" s="378">
        <v>83.75</v>
      </c>
      <c r="U29" s="378">
        <f t="shared" si="35"/>
        <v>0.11942959001782531</v>
      </c>
      <c r="V29" s="378">
        <v>46.75</v>
      </c>
      <c r="W29" s="378">
        <f t="shared" si="36"/>
        <v>0.1192449942609361</v>
      </c>
      <c r="X29" s="378">
        <v>77.5</v>
      </c>
      <c r="Y29" s="379">
        <f t="shared" si="37"/>
        <v>0.11787072243346007</v>
      </c>
      <c r="Z29" s="380">
        <v>77.5</v>
      </c>
      <c r="AA29" s="39">
        <f t="shared" si="38"/>
        <v>0.11252268602540835</v>
      </c>
      <c r="AB29" s="23"/>
      <c r="AC29" s="93">
        <v>99.99</v>
      </c>
      <c r="AD29" s="229">
        <v>100</v>
      </c>
    </row>
    <row r="30" spans="1:38" ht="14.25" customHeight="1" x14ac:dyDescent="0.3">
      <c r="A30" s="174" t="s">
        <v>16</v>
      </c>
      <c r="B30" s="175">
        <v>624.5</v>
      </c>
      <c r="C30" s="515">
        <f t="shared" si="39"/>
        <v>99.596510533786287</v>
      </c>
      <c r="D30" s="175">
        <v>625.29999999999995</v>
      </c>
      <c r="E30" s="516">
        <f t="shared" si="40"/>
        <v>99.724096135751097</v>
      </c>
      <c r="F30" s="175">
        <v>625.70000000000005</v>
      </c>
      <c r="G30" s="517">
        <f t="shared" si="41"/>
        <v>99.787888936733523</v>
      </c>
      <c r="M30" s="8"/>
      <c r="O30" s="143" t="str">
        <f t="shared" si="32"/>
        <v>RW</v>
      </c>
      <c r="P30" s="375">
        <v>90</v>
      </c>
      <c r="Q30" s="376">
        <f t="shared" si="33"/>
        <v>0.14486921529175051</v>
      </c>
      <c r="R30" s="377">
        <v>86.25</v>
      </c>
      <c r="S30" s="378">
        <f t="shared" si="34"/>
        <v>0.11855670103092783</v>
      </c>
      <c r="T30" s="378">
        <v>81.25</v>
      </c>
      <c r="U30" s="378">
        <f t="shared" si="35"/>
        <v>0.11586452762923351</v>
      </c>
      <c r="V30" s="378">
        <v>50</v>
      </c>
      <c r="W30" s="378">
        <f t="shared" si="36"/>
        <v>0.12753475322025251</v>
      </c>
      <c r="X30" s="378">
        <v>77.5</v>
      </c>
      <c r="Y30" s="379">
        <f t="shared" si="37"/>
        <v>0.11787072243346007</v>
      </c>
      <c r="Z30" s="380">
        <v>78.75</v>
      </c>
      <c r="AA30" s="39">
        <f t="shared" si="38"/>
        <v>0.11433756805807622</v>
      </c>
    </row>
    <row r="31" spans="1:38" ht="14.25" customHeight="1" x14ac:dyDescent="0.3">
      <c r="A31" s="136" t="s">
        <v>17</v>
      </c>
      <c r="B31" s="188">
        <v>287.5</v>
      </c>
      <c r="C31" s="519">
        <f t="shared" si="39"/>
        <v>97.211297819091882</v>
      </c>
      <c r="D31" s="188">
        <v>287.5</v>
      </c>
      <c r="E31" s="520">
        <f t="shared" si="40"/>
        <v>97.211297819091882</v>
      </c>
      <c r="F31" s="188">
        <v>288.10000000000002</v>
      </c>
      <c r="G31" s="521">
        <f t="shared" si="41"/>
        <v>96.99678226671432</v>
      </c>
      <c r="H31" s="8"/>
      <c r="J31" s="8"/>
      <c r="O31" s="143" t="str">
        <f t="shared" si="32"/>
        <v>ETS</v>
      </c>
      <c r="P31" s="375">
        <v>90</v>
      </c>
      <c r="Q31" s="376">
        <f t="shared" si="33"/>
        <v>0.14486921529175051</v>
      </c>
      <c r="R31" s="377">
        <v>86.25</v>
      </c>
      <c r="S31" s="378">
        <f t="shared" si="34"/>
        <v>0.11855670103092783</v>
      </c>
      <c r="T31" s="378">
        <v>81.25</v>
      </c>
      <c r="U31" s="378">
        <f t="shared" si="35"/>
        <v>0.11586452762923351</v>
      </c>
      <c r="V31" s="378">
        <v>55</v>
      </c>
      <c r="W31" s="378">
        <f t="shared" si="36"/>
        <v>0.14028822854227777</v>
      </c>
      <c r="X31" s="378">
        <v>77.5</v>
      </c>
      <c r="Y31" s="379">
        <f t="shared" si="37"/>
        <v>0.11787072243346007</v>
      </c>
      <c r="Z31" s="380">
        <v>78.75</v>
      </c>
      <c r="AA31" s="39">
        <f t="shared" si="38"/>
        <v>0.11433756805807622</v>
      </c>
      <c r="AL31" s="230"/>
    </row>
    <row r="32" spans="1:38" ht="14.25" customHeight="1" x14ac:dyDescent="0.3">
      <c r="H32" s="8"/>
      <c r="J32" s="8"/>
      <c r="O32" s="180" t="str">
        <f>O21</f>
        <v>DynaMix</v>
      </c>
      <c r="P32" s="382">
        <v>77.5</v>
      </c>
      <c r="Q32" s="383">
        <f t="shared" si="33"/>
        <v>0.12474849094567404</v>
      </c>
      <c r="R32" s="384">
        <v>78.75</v>
      </c>
      <c r="S32" s="385">
        <f t="shared" si="34"/>
        <v>0.10824742268041238</v>
      </c>
      <c r="T32" s="385">
        <v>75</v>
      </c>
      <c r="U32" s="385">
        <f t="shared" si="35"/>
        <v>0.10695187165775401</v>
      </c>
      <c r="V32" s="385">
        <v>51.25</v>
      </c>
      <c r="W32" s="385">
        <f t="shared" si="36"/>
        <v>0.13072312205075884</v>
      </c>
      <c r="X32" s="385">
        <v>72.5</v>
      </c>
      <c r="Y32" s="386">
        <f t="shared" si="37"/>
        <v>0.11026615969581749</v>
      </c>
      <c r="Z32" s="387">
        <v>80</v>
      </c>
      <c r="AA32" s="92">
        <f t="shared" si="38"/>
        <v>0.1161524500907441</v>
      </c>
      <c r="AK32" s="2"/>
      <c r="AL32" s="230"/>
    </row>
    <row r="33" spans="1:42" ht="14.25" customHeight="1" x14ac:dyDescent="0.3">
      <c r="A33" s="202" t="str">
        <f>AC1</f>
        <v>AVR-4</v>
      </c>
      <c r="B33" s="1400">
        <f t="array" ref="B33">SUM(C27:C30/4)</f>
        <v>99.225799582169287</v>
      </c>
      <c r="C33" s="1400"/>
      <c r="D33" s="1401">
        <f t="array" ref="D33">SUM(E27:E30/4)</f>
        <v>99.680967579435062</v>
      </c>
      <c r="E33" s="1401"/>
      <c r="F33" s="1402">
        <f t="array" ref="F33">SUM(G27:G30/4)</f>
        <v>99.699848406634146</v>
      </c>
      <c r="G33" s="1402"/>
    </row>
    <row r="34" spans="1:42" ht="14.25" customHeight="1" x14ac:dyDescent="0.3">
      <c r="A34" s="211" t="str">
        <f>AD1</f>
        <v>AVR-6</v>
      </c>
      <c r="B34" s="1403">
        <f t="array" ref="B34">SUM(C26:C31/6)</f>
        <v>98.559421889265991</v>
      </c>
      <c r="C34" s="1403"/>
      <c r="D34" s="1404">
        <f t="array" ref="D34">SUM(E26:E31/6)</f>
        <v>98.823241289567136</v>
      </c>
      <c r="E34" s="1404"/>
      <c r="F34" s="1405">
        <f t="array" ref="F34">SUM(G26:G31/6)</f>
        <v>98.800075915636924</v>
      </c>
      <c r="G34" s="1405"/>
      <c r="O34" s="225" t="s">
        <v>42</v>
      </c>
    </row>
    <row r="35" spans="1:42" ht="14.25" customHeight="1" x14ac:dyDescent="0.3">
      <c r="AK35" s="2"/>
      <c r="AP35" s="2"/>
    </row>
    <row r="36" spans="1:42" ht="14.25" customHeight="1" x14ac:dyDescent="0.3">
      <c r="AK36" s="6"/>
      <c r="AP36" s="2"/>
    </row>
    <row r="37" spans="1:42" ht="14.25" customHeight="1" x14ac:dyDescent="0.3">
      <c r="Z37" s="6"/>
    </row>
    <row r="38" spans="1:42" ht="14.25" customHeight="1" x14ac:dyDescent="0.3">
      <c r="Z38" s="6"/>
    </row>
    <row r="39" spans="1:42" ht="14.25" customHeight="1" x14ac:dyDescent="0.3">
      <c r="Z39" s="6"/>
    </row>
    <row r="40" spans="1:42" ht="14.25" customHeight="1" x14ac:dyDescent="0.3">
      <c r="Z40" s="6"/>
    </row>
    <row r="41" spans="1:42" ht="14.25" customHeight="1" x14ac:dyDescent="0.3">
      <c r="Z41" s="6"/>
    </row>
    <row r="43" spans="1:42" ht="14.25" customHeight="1" x14ac:dyDescent="0.3">
      <c r="AD43" s="237"/>
    </row>
    <row r="44" spans="1:42" ht="14.25" customHeight="1" x14ac:dyDescent="0.3">
      <c r="AD44" s="237"/>
    </row>
    <row r="45" spans="1:42" ht="14.25" customHeight="1" x14ac:dyDescent="0.3">
      <c r="AD45" s="237"/>
    </row>
    <row r="46" spans="1:42" ht="14.25" customHeight="1" x14ac:dyDescent="0.3">
      <c r="AD46" s="237"/>
    </row>
  </sheetData>
  <mergeCells count="13">
    <mergeCell ref="AG10:AH10"/>
    <mergeCell ref="AG11:AH11"/>
    <mergeCell ref="D17:E17"/>
    <mergeCell ref="H17:I17"/>
    <mergeCell ref="B25:C25"/>
    <mergeCell ref="D25:E25"/>
    <mergeCell ref="F25:G25"/>
    <mergeCell ref="B33:C33"/>
    <mergeCell ref="D33:E33"/>
    <mergeCell ref="F33:G33"/>
    <mergeCell ref="B34:C34"/>
    <mergeCell ref="D34:E34"/>
    <mergeCell ref="F34:G34"/>
  </mergeCells>
  <hyperlinks>
    <hyperlink ref="O34" r:id="rId1" xr:uid="{00000000-0004-0000-0A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P46"/>
  <sheetViews>
    <sheetView zoomScale="120" zoomScaleNormal="120" workbookViewId="0">
      <selection activeCell="F13" sqref="F13"/>
    </sheetView>
  </sheetViews>
  <sheetFormatPr defaultColWidth="8.77734375" defaultRowHeight="14.25" customHeight="1" x14ac:dyDescent="0.3"/>
  <cols>
    <col min="1" max="6" width="7.6640625" style="2" customWidth="1"/>
    <col min="7" max="7" width="8.44140625" style="2" customWidth="1"/>
    <col min="8" max="10" width="7.6640625" style="2" customWidth="1"/>
    <col min="11" max="11" width="2.88671875" style="2" customWidth="1"/>
    <col min="12" max="12" width="9.6640625" style="2" customWidth="1"/>
    <col min="13" max="13" width="4.6640625" style="2" customWidth="1"/>
    <col min="14" max="14" width="2.33203125" style="2" customWidth="1"/>
    <col min="15" max="15" width="9" style="2" customWidth="1"/>
    <col min="16" max="16" width="5.44140625" style="3" customWidth="1"/>
    <col min="17" max="17" width="3.44140625" style="4" hidden="1" customWidth="1"/>
    <col min="18" max="18" width="5.44140625" style="3" customWidth="1"/>
    <col min="19" max="19" width="3.44140625" style="5" hidden="1" customWidth="1"/>
    <col min="20" max="20" width="5.44140625" style="3" customWidth="1"/>
    <col min="21" max="21" width="3.44140625" style="5" hidden="1" customWidth="1"/>
    <col min="22" max="22" width="5.44140625" style="3" customWidth="1"/>
    <col min="23" max="23" width="3.44140625" style="5" hidden="1" customWidth="1"/>
    <col min="24" max="24" width="5.44140625" style="3" customWidth="1"/>
    <col min="25" max="25" width="3.44140625" style="5" hidden="1" customWidth="1"/>
    <col min="26" max="26" width="5.44140625" style="3" customWidth="1"/>
    <col min="27" max="27" width="3.44140625" style="5" hidden="1" customWidth="1"/>
    <col min="28" max="28" width="2.33203125" style="2" customWidth="1"/>
    <col min="29" max="29" width="7.88671875" style="6" customWidth="1"/>
    <col min="30" max="30" width="7.88671875" style="7" customWidth="1"/>
    <col min="31" max="31" width="4.5546875" style="6" customWidth="1"/>
    <col min="32" max="32" width="3.5546875" style="8" customWidth="1"/>
    <col min="33" max="37" width="6.88671875" style="8" customWidth="1"/>
    <col min="38" max="38" width="8.77734375" style="8"/>
    <col min="39" max="39" width="7.5546875" style="8" customWidth="1"/>
    <col min="40" max="41" width="3.88671875" style="8" customWidth="1"/>
    <col min="42" max="42" width="7.5546875" style="8" customWidth="1"/>
    <col min="43" max="16379" width="8.77734375" style="8"/>
    <col min="16380" max="16384" width="13.44140625" style="8" customWidth="1"/>
  </cols>
  <sheetData>
    <row r="1" spans="1:35" ht="14.4" x14ac:dyDescent="0.3">
      <c r="A1" s="1" t="s">
        <v>0</v>
      </c>
      <c r="B1" s="9" t="s">
        <v>1</v>
      </c>
      <c r="C1" s="10" t="s">
        <v>2</v>
      </c>
      <c r="D1" s="628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L1" s="12" t="s">
        <v>111</v>
      </c>
      <c r="O1" s="13" t="s">
        <v>11</v>
      </c>
      <c r="P1" s="316" t="s">
        <v>12</v>
      </c>
      <c r="Q1" s="15">
        <f>SUM(P2:P10)</f>
        <v>780.75944097233503</v>
      </c>
      <c r="R1" s="16" t="s">
        <v>13</v>
      </c>
      <c r="S1" s="17">
        <f>SUM(R2:R10)</f>
        <v>894.12481778060737</v>
      </c>
      <c r="T1" s="18" t="s">
        <v>14</v>
      </c>
      <c r="U1" s="17">
        <f>SUM(T2:T10)</f>
        <v>890.99021157084121</v>
      </c>
      <c r="V1" s="18" t="s">
        <v>15</v>
      </c>
      <c r="W1" s="17">
        <f>SUM(V2:V10)</f>
        <v>834.16489555895771</v>
      </c>
      <c r="X1" s="19" t="s">
        <v>16</v>
      </c>
      <c r="Y1" s="20">
        <f>SUM(X2:X10)</f>
        <v>888.3339510663335</v>
      </c>
      <c r="Z1" s="317" t="s">
        <v>17</v>
      </c>
      <c r="AA1" s="22">
        <f>SUM(Z2:Z10)</f>
        <v>888.48808286146732</v>
      </c>
      <c r="AB1" s="23"/>
      <c r="AC1" s="24" t="s">
        <v>18</v>
      </c>
      <c r="AD1" s="25" t="s">
        <v>19</v>
      </c>
    </row>
    <row r="2" spans="1:35" ht="14.4" x14ac:dyDescent="0.3">
      <c r="A2" s="26" t="s">
        <v>12</v>
      </c>
      <c r="B2" s="27">
        <v>4.01</v>
      </c>
      <c r="C2" s="629">
        <v>4.1723999999999997</v>
      </c>
      <c r="D2" s="630">
        <v>3.5007999999999999</v>
      </c>
      <c r="E2" s="28">
        <v>3.9981</v>
      </c>
      <c r="F2" s="629">
        <v>3.9855</v>
      </c>
      <c r="G2" s="28">
        <v>0</v>
      </c>
      <c r="H2" s="318">
        <v>3.9929000000000001</v>
      </c>
      <c r="I2" s="318">
        <v>3.9933999999999998</v>
      </c>
      <c r="J2" s="29">
        <v>3.9788999999999999</v>
      </c>
      <c r="K2" s="30" t="s">
        <v>108</v>
      </c>
      <c r="O2" s="319" t="str">
        <f>B1</f>
        <v>PyCaret</v>
      </c>
      <c r="P2" s="565">
        <f>100-ABS((($E10-B2)/($E10)))*100</f>
        <v>99.991789044548881</v>
      </c>
      <c r="Q2" s="566">
        <f t="shared" ref="Q2:Q10" si="0">P2/$Q$1</f>
        <v>0.12806990706384802</v>
      </c>
      <c r="R2" s="567">
        <f>100-ABS((($E11-B3)/($E11)))*100</f>
        <v>99.97637758781002</v>
      </c>
      <c r="S2" s="568">
        <f t="shared" ref="S2:S10" si="1">R2/$S$1</f>
        <v>0.11181478871816905</v>
      </c>
      <c r="T2" s="569">
        <f>100-ABS((($E12-B4)/($E12)))*100</f>
        <v>97.694643436561194</v>
      </c>
      <c r="U2" s="568">
        <f t="shared" ref="U2:U10" si="2">T2/$U$1</f>
        <v>0.10964726903601191</v>
      </c>
      <c r="V2" s="569">
        <f>100-ABS((($E13-B5)/($E13)))*100</f>
        <v>97.634799474921564</v>
      </c>
      <c r="W2" s="568">
        <f t="shared" ref="W2:W10" si="3">V2/$W$1</f>
        <v>0.11704496316582393</v>
      </c>
      <c r="X2" s="570">
        <f>100-ABS((($E14-B6)/($E14)))*100</f>
        <v>97.897616334091467</v>
      </c>
      <c r="Y2" s="571">
        <f t="shared" ref="Y2:Y10" si="4">X2/$Y$1</f>
        <v>0.11020361905179651</v>
      </c>
      <c r="Z2" s="572">
        <f>100-ABS((($E15-B7)/($E15)))*100</f>
        <v>99.215852576545132</v>
      </c>
      <c r="AA2" s="39">
        <f t="shared" ref="AA2:AA10" si="5">Z2/$AA$1</f>
        <v>0.11166818609092681</v>
      </c>
      <c r="AB2" s="23"/>
      <c r="AC2" s="40">
        <f t="shared" ref="AC2:AC10" si="6">(R2+T2+V2+X2)/4</f>
        <v>98.300859208346068</v>
      </c>
      <c r="AD2" s="41">
        <f t="shared" ref="AD2:AD10" si="7">(P2+R2+T2+V2+X2+Z2)/6</f>
        <v>98.735179742413038</v>
      </c>
      <c r="AE2" s="42" t="str">
        <f>IF($AC2=MAX(AC2:AC10),"TOP","")</f>
        <v/>
      </c>
      <c r="AG2" s="1" t="s">
        <v>33</v>
      </c>
      <c r="AH2" s="2"/>
      <c r="AI2" s="2"/>
    </row>
    <row r="3" spans="1:35" ht="14.4" x14ac:dyDescent="0.3">
      <c r="A3" s="43" t="s">
        <v>13</v>
      </c>
      <c r="B3" s="526">
        <v>47243.95</v>
      </c>
      <c r="C3" s="527">
        <v>46064.56</v>
      </c>
      <c r="D3" s="631">
        <v>46076.105000000003</v>
      </c>
      <c r="E3" s="527">
        <v>47129.839800000002</v>
      </c>
      <c r="F3" s="527">
        <v>47307.1</v>
      </c>
      <c r="G3" s="527">
        <v>47212.44</v>
      </c>
      <c r="H3" s="527">
        <v>47270.43</v>
      </c>
      <c r="I3" s="527">
        <v>47155.6</v>
      </c>
      <c r="J3" s="528">
        <v>47106.3</v>
      </c>
      <c r="K3" s="30" t="s">
        <v>106</v>
      </c>
      <c r="L3" s="47" t="s">
        <v>112</v>
      </c>
      <c r="O3" s="327" t="str">
        <f>C1</f>
        <v>ARIMAX</v>
      </c>
      <c r="P3" s="573">
        <f>100-ABS((($E10-C2)/($E10)))*100</f>
        <v>95.941581199370518</v>
      </c>
      <c r="Q3" s="574">
        <f t="shared" si="0"/>
        <v>0.12288238369540261</v>
      </c>
      <c r="R3" s="575">
        <f>100-ABS((($E11-C3)/($E11)))*100</f>
        <v>97.526649571504294</v>
      </c>
      <c r="S3" s="576">
        <f t="shared" si="1"/>
        <v>0.10907498330443897</v>
      </c>
      <c r="T3" s="577">
        <f>100-ABS((($E12-C4)/($E12)))*100</f>
        <v>97.055239888712336</v>
      </c>
      <c r="U3" s="576">
        <f t="shared" si="2"/>
        <v>0.10892963651935207</v>
      </c>
      <c r="V3" s="577">
        <f>100-ABS((($E13-C5)/($E13)))*100</f>
        <v>66.323922598783525</v>
      </c>
      <c r="W3" s="576">
        <f t="shared" si="3"/>
        <v>7.9509366735387679E-2</v>
      </c>
      <c r="X3" s="578">
        <f>100-ABS((($E14-C6)/($E14)))*100</f>
        <v>95.420746432438321</v>
      </c>
      <c r="Y3" s="579">
        <f t="shared" si="4"/>
        <v>0.10741539971302198</v>
      </c>
      <c r="Z3" s="580">
        <f>100-ABS((($E15-C7)/($E15)))*100</f>
        <v>95.07142280299496</v>
      </c>
      <c r="AA3" s="39">
        <f t="shared" si="5"/>
        <v>0.10700359930186983</v>
      </c>
      <c r="AB3" s="23"/>
      <c r="AC3" s="56">
        <f t="shared" si="6"/>
        <v>89.081639622859612</v>
      </c>
      <c r="AD3" s="57">
        <f t="shared" si="7"/>
        <v>91.223260415633987</v>
      </c>
      <c r="AE3" s="42" t="str">
        <f>IF($AC3=MAX(AC2:AC10),"TOP","")</f>
        <v/>
      </c>
      <c r="AG3" s="581" t="s">
        <v>12</v>
      </c>
      <c r="AH3" s="582" t="s">
        <v>34</v>
      </c>
      <c r="AI3" s="388">
        <f>MAX(P2:P10)</f>
        <v>99.991789044548881</v>
      </c>
    </row>
    <row r="4" spans="1:35" ht="14.4" x14ac:dyDescent="0.3">
      <c r="A4" s="43" t="s">
        <v>14</v>
      </c>
      <c r="B4" s="529">
        <v>6629.57</v>
      </c>
      <c r="C4" s="530">
        <v>6586.18</v>
      </c>
      <c r="D4" s="632">
        <v>6712.99</v>
      </c>
      <c r="E4" s="530">
        <v>6752.63</v>
      </c>
      <c r="F4" s="530">
        <v>6830</v>
      </c>
      <c r="G4" s="530">
        <v>6774.5</v>
      </c>
      <c r="H4" s="530">
        <v>6798.54</v>
      </c>
      <c r="I4" s="530">
        <v>6794.85</v>
      </c>
      <c r="J4" s="531">
        <v>6714.15</v>
      </c>
      <c r="K4" s="30" t="s">
        <v>108</v>
      </c>
      <c r="O4" s="327" t="str">
        <f>D1</f>
        <v>PCE</v>
      </c>
      <c r="P4" s="573">
        <f>100-ABS((($E10-D2)/($E10)))*100</f>
        <v>87.308913943352437</v>
      </c>
      <c r="Q4" s="574">
        <f t="shared" si="0"/>
        <v>0.11182562689811405</v>
      </c>
      <c r="R4" s="575">
        <f>100-ABS((($E11-D3)/($E11)))*100</f>
        <v>97.551092335514269</v>
      </c>
      <c r="S4" s="576">
        <f t="shared" si="1"/>
        <v>0.10910232038705195</v>
      </c>
      <c r="T4" s="577">
        <f>100-ABS((($E12-D4)/($E12)))*100</f>
        <v>98.923936913434943</v>
      </c>
      <c r="U4" s="576">
        <f t="shared" si="2"/>
        <v>0.11102696261839871</v>
      </c>
      <c r="V4" s="577">
        <f>100-ABS((($E13-D5)/($E13)))*100</f>
        <v>89.316736468344416</v>
      </c>
      <c r="W4" s="576">
        <f t="shared" si="3"/>
        <v>0.10707323808980837</v>
      </c>
      <c r="X4" s="578">
        <f>100-ABS((($E14-D6)/($E14)))*100</f>
        <v>98.611906161768886</v>
      </c>
      <c r="Y4" s="579">
        <f t="shared" si="4"/>
        <v>0.1110076970979187</v>
      </c>
      <c r="Z4" s="580">
        <f>100-ABS((($E15-D7)/($E15)))*100</f>
        <v>99.843386720459293</v>
      </c>
      <c r="AA4" s="39">
        <f t="shared" si="5"/>
        <v>0.11237448047575764</v>
      </c>
      <c r="AB4" s="23"/>
      <c r="AC4" s="56">
        <f t="shared" si="6"/>
        <v>96.100917969765632</v>
      </c>
      <c r="AD4" s="57">
        <f t="shared" si="7"/>
        <v>95.259328757145695</v>
      </c>
      <c r="AE4" s="42" t="str">
        <f>IF($AC4=MAX(AC2:AC10),"TOP","")</f>
        <v/>
      </c>
      <c r="AG4" s="583" t="s">
        <v>13</v>
      </c>
      <c r="AH4" s="584" t="s">
        <v>35</v>
      </c>
      <c r="AI4" s="389">
        <f>MAX(R2:R10)</f>
        <v>99.97637758781002</v>
      </c>
    </row>
    <row r="5" spans="1:35" ht="14.4" x14ac:dyDescent="0.3">
      <c r="A5" s="43" t="s">
        <v>15</v>
      </c>
      <c r="B5" s="532">
        <v>18.827999999999999</v>
      </c>
      <c r="C5" s="533">
        <v>24.587</v>
      </c>
      <c r="D5" s="633">
        <v>16.428000000000001</v>
      </c>
      <c r="E5" s="533">
        <v>15.945</v>
      </c>
      <c r="F5" s="533">
        <v>18.62</v>
      </c>
      <c r="G5" s="533">
        <v>18.71</v>
      </c>
      <c r="H5" s="534">
        <v>18.25</v>
      </c>
      <c r="I5" s="534">
        <v>18.71</v>
      </c>
      <c r="J5" s="535">
        <v>18.329999999999998</v>
      </c>
      <c r="K5" s="30" t="s">
        <v>106</v>
      </c>
      <c r="L5" s="1" t="s">
        <v>21</v>
      </c>
      <c r="O5" s="327" t="str">
        <f>E1</f>
        <v>LSTM</v>
      </c>
      <c r="P5" s="573">
        <f>100-ABS((($E10-E2)/($E10)))*100</f>
        <v>99.711428484037185</v>
      </c>
      <c r="Q5" s="574">
        <f t="shared" si="0"/>
        <v>0.12771082007008391</v>
      </c>
      <c r="R5" s="575">
        <f>100-ABS((($E11-E3)/($E11)))*100</f>
        <v>99.782031360675887</v>
      </c>
      <c r="S5" s="576">
        <f t="shared" si="1"/>
        <v>0.11159742954943852</v>
      </c>
      <c r="T5" s="577">
        <f>100-ABS((($E12-E4)/($E12)))*100</f>
        <v>99.508079725989205</v>
      </c>
      <c r="U5" s="576">
        <f t="shared" si="2"/>
        <v>0.11168257342642812</v>
      </c>
      <c r="V5" s="577">
        <f>100-ABS((($E13-E5)/($E13)))*100</f>
        <v>86.690733076926691</v>
      </c>
      <c r="W5" s="576">
        <f t="shared" si="3"/>
        <v>0.10392517539213504</v>
      </c>
      <c r="X5" s="578">
        <f>100-ABS((($E14-E6)/($E14)))*100</f>
        <v>99.513151169898649</v>
      </c>
      <c r="Y5" s="579">
        <f t="shared" si="4"/>
        <v>0.1120222311107727</v>
      </c>
      <c r="Z5" s="580">
        <f>100-ABS((($E15-E7)/($E15)))*100</f>
        <v>98.299796987153186</v>
      </c>
      <c r="AA5" s="39">
        <f t="shared" si="5"/>
        <v>0.11063715865559905</v>
      </c>
      <c r="AB5" s="23"/>
      <c r="AC5" s="56">
        <f t="shared" si="6"/>
        <v>96.373498833372608</v>
      </c>
      <c r="AD5" s="57">
        <f t="shared" si="7"/>
        <v>97.25087013411347</v>
      </c>
      <c r="AE5" s="42" t="str">
        <f>IF($AC5=MAX(AC2:AC10),"TOP","")</f>
        <v/>
      </c>
      <c r="AG5" s="585" t="s">
        <v>14</v>
      </c>
      <c r="AH5" s="586" t="s">
        <v>36</v>
      </c>
      <c r="AI5" s="390">
        <f>MAX(T2:T10)</f>
        <v>99.869758075573856</v>
      </c>
    </row>
    <row r="6" spans="1:35" ht="14.4" x14ac:dyDescent="0.3">
      <c r="A6" s="43" t="s">
        <v>16</v>
      </c>
      <c r="B6" s="536">
        <v>598.52300000000002</v>
      </c>
      <c r="C6" s="537">
        <v>583.38</v>
      </c>
      <c r="D6" s="634">
        <v>602.89</v>
      </c>
      <c r="E6" s="537">
        <v>608.4</v>
      </c>
      <c r="F6" s="537">
        <v>616.48</v>
      </c>
      <c r="G6" s="537">
        <v>612.97</v>
      </c>
      <c r="H6" s="587">
        <v>612.07000000000005</v>
      </c>
      <c r="I6" s="587">
        <v>611.79999999999995</v>
      </c>
      <c r="J6" s="635">
        <v>600.17999999999995</v>
      </c>
      <c r="K6" s="30" t="s">
        <v>108</v>
      </c>
      <c r="O6" s="327" t="str">
        <f>F1</f>
        <v>GARCH</v>
      </c>
      <c r="P6" s="573">
        <f>100-ABS((($E10-F2)/($E10)))*100</f>
        <v>99.397188220187147</v>
      </c>
      <c r="Q6" s="574">
        <f t="shared" si="0"/>
        <v>0.12730833980873901</v>
      </c>
      <c r="R6" s="575">
        <f>100-ABS((($E11-F3)/($E11)))*100</f>
        <v>99.842678103424603</v>
      </c>
      <c r="S6" s="576">
        <f t="shared" si="1"/>
        <v>0.11166525759932898</v>
      </c>
      <c r="T6" s="577">
        <f>100-ABS((($E12-F4)/($E12)))*100</f>
        <v>99.351780783412352</v>
      </c>
      <c r="U6" s="576">
        <f t="shared" si="2"/>
        <v>0.11150715181062688</v>
      </c>
      <c r="V6" s="577">
        <f>100-ABS((($E13-F5)/($E13)))*100</f>
        <v>98.765666359838505</v>
      </c>
      <c r="W6" s="576">
        <f t="shared" si="3"/>
        <v>0.11840065062155072</v>
      </c>
      <c r="X6" s="578">
        <f>100-ABS((($E14-F6)/($E14)))*100</f>
        <v>99.165240905294013</v>
      </c>
      <c r="Y6" s="579">
        <f t="shared" si="4"/>
        <v>0.11163058755804456</v>
      </c>
      <c r="Z6" s="580">
        <f>100-ABS((($E15-F7)/($E15)))*100</f>
        <v>99.432243660653455</v>
      </c>
      <c r="AA6" s="39">
        <f t="shared" si="5"/>
        <v>0.1119117358787995</v>
      </c>
      <c r="AB6" s="23"/>
      <c r="AC6" s="56">
        <f t="shared" si="6"/>
        <v>99.281341537992375</v>
      </c>
      <c r="AD6" s="57">
        <f t="shared" si="7"/>
        <v>99.325799672135005</v>
      </c>
      <c r="AE6" s="42" t="str">
        <f>IF($AC6=MAX(AC2:AC10),"TOP","")</f>
        <v/>
      </c>
      <c r="AG6" s="585" t="s">
        <v>15</v>
      </c>
      <c r="AH6" s="586" t="s">
        <v>37</v>
      </c>
      <c r="AI6" s="390">
        <f>MAX(V2:V10)</f>
        <v>99.657644233306129</v>
      </c>
    </row>
    <row r="7" spans="1:35" ht="14.4" x14ac:dyDescent="0.3">
      <c r="A7" s="67" t="s">
        <v>17</v>
      </c>
      <c r="B7" s="68">
        <v>279.45</v>
      </c>
      <c r="C7" s="69">
        <v>263.61</v>
      </c>
      <c r="D7" s="636">
        <v>277.70999999999998</v>
      </c>
      <c r="E7" s="69">
        <v>281.99</v>
      </c>
      <c r="F7" s="69">
        <v>278.85000000000002</v>
      </c>
      <c r="G7" s="69">
        <v>282.55</v>
      </c>
      <c r="H7" s="589">
        <v>278.3</v>
      </c>
      <c r="I7" s="589">
        <v>278.3</v>
      </c>
      <c r="J7" s="637">
        <v>279.31</v>
      </c>
      <c r="K7" s="30" t="s">
        <v>106</v>
      </c>
      <c r="O7" s="327" t="str">
        <f>G1</f>
        <v>VAR</v>
      </c>
      <c r="P7" s="573">
        <f>100-ABS((($E10-G2)/($E10)))*100</f>
        <v>0</v>
      </c>
      <c r="Q7" s="574">
        <f t="shared" si="0"/>
        <v>0</v>
      </c>
      <c r="R7" s="575">
        <f>100-ABS((($E11-G3)/($E11)))*100</f>
        <v>99.956910286252011</v>
      </c>
      <c r="S7" s="576">
        <f t="shared" si="1"/>
        <v>0.11179301625288135</v>
      </c>
      <c r="T7" s="577">
        <f>100-ABS((($E12-G4)/($E12)))*100</f>
        <v>99.830360334227379</v>
      </c>
      <c r="U7" s="576">
        <f t="shared" si="2"/>
        <v>0.11204428403116079</v>
      </c>
      <c r="V7" s="577">
        <f>100-ABS((($E13-G5)/($E13)))*100</f>
        <v>98.276348957710979</v>
      </c>
      <c r="W7" s="576">
        <f t="shared" si="3"/>
        <v>0.11781405508782278</v>
      </c>
      <c r="X7" s="578">
        <f>100-ABS((($E14-G6)/($E14)))*100</f>
        <v>99.73935523896651</v>
      </c>
      <c r="Y7" s="579">
        <f t="shared" si="4"/>
        <v>0.11227686966060671</v>
      </c>
      <c r="Z7" s="580">
        <f>100-ABS((($E15-G7)/($E15)))*100</f>
        <v>98.097831975318755</v>
      </c>
      <c r="AA7" s="39">
        <f t="shared" si="5"/>
        <v>0.1104098455202512</v>
      </c>
      <c r="AB7" s="23"/>
      <c r="AC7" s="56">
        <f t="shared" si="6"/>
        <v>99.450743704289209</v>
      </c>
      <c r="AD7" s="57">
        <f t="shared" si="7"/>
        <v>82.650134465412592</v>
      </c>
      <c r="AE7" s="42" t="str">
        <f>IF($AC7=MAX(AC2:AC10),"TOP","")</f>
        <v/>
      </c>
      <c r="AG7" s="591" t="s">
        <v>16</v>
      </c>
      <c r="AH7" s="592" t="s">
        <v>36</v>
      </c>
      <c r="AI7" s="391">
        <f>MAX(X2:X10)</f>
        <v>99.930726683524014</v>
      </c>
    </row>
    <row r="8" spans="1:35" ht="14.4" x14ac:dyDescent="0.3">
      <c r="O8" s="327" t="str">
        <f>H1</f>
        <v>RW</v>
      </c>
      <c r="P8" s="573">
        <f>100-ABS((($E10-H2)/($E10)))*100</f>
        <v>99.581742025940343</v>
      </c>
      <c r="Q8" s="574">
        <f t="shared" si="0"/>
        <v>0.12754471710508444</v>
      </c>
      <c r="R8" s="575">
        <f>100-ABS((($E11-H3)/($E11)))*100</f>
        <v>99.920314842813568</v>
      </c>
      <c r="S8" s="576">
        <f t="shared" si="1"/>
        <v>0.11175208746675361</v>
      </c>
      <c r="T8" s="577">
        <f>100-ABS((($E12-H4)/($E12)))*100</f>
        <v>99.815381512043956</v>
      </c>
      <c r="U8" s="576">
        <f t="shared" si="2"/>
        <v>0.11202747259823044</v>
      </c>
      <c r="V8" s="577">
        <f>100-ABS((($E13-H5)/($E13)))*100</f>
        <v>99.222695431415005</v>
      </c>
      <c r="W8" s="576">
        <f t="shared" si="3"/>
        <v>0.11894853878372309</v>
      </c>
      <c r="X8" s="578">
        <f>100-ABS((($E14-H6)/($E14)))*100</f>
        <v>99.886564042472273</v>
      </c>
      <c r="Y8" s="579">
        <f t="shared" si="4"/>
        <v>0.11244258302023803</v>
      </c>
      <c r="Z8" s="580">
        <f>100-ABS((($E15-H7)/($E15)))*100</f>
        <v>99.630602154419421</v>
      </c>
      <c r="AA8" s="39">
        <f t="shared" si="5"/>
        <v>0.11213498985101614</v>
      </c>
      <c r="AB8" s="23"/>
      <c r="AC8" s="56">
        <f t="shared" si="6"/>
        <v>99.711238957186197</v>
      </c>
      <c r="AD8" s="57">
        <f t="shared" si="7"/>
        <v>99.676216668184097</v>
      </c>
      <c r="AE8" s="42" t="str">
        <f>IF($AC8=MAX(AC2:AC10),"TOP","")</f>
        <v>TOP</v>
      </c>
      <c r="AG8" s="593" t="s">
        <v>17</v>
      </c>
      <c r="AH8" s="594" t="s">
        <v>38</v>
      </c>
      <c r="AI8" s="392">
        <f>MAX(Z2:Z10)</f>
        <v>99.843386720459293</v>
      </c>
    </row>
    <row r="9" spans="1:35" ht="15" x14ac:dyDescent="0.3">
      <c r="B9" s="258" t="s">
        <v>22</v>
      </c>
      <c r="C9" s="393" t="s">
        <v>21</v>
      </c>
      <c r="D9" s="394" t="s">
        <v>24</v>
      </c>
      <c r="E9" s="487" t="s">
        <v>97</v>
      </c>
      <c r="F9" s="596" t="s">
        <v>82</v>
      </c>
      <c r="G9" s="597" t="s">
        <v>98</v>
      </c>
      <c r="K9" s="523"/>
      <c r="L9" s="524" t="str">
        <f>IF(M9&lt;25,L11,IF(M9&lt;45,L12,IF(M9&lt;55,L13,IF(M9&lt;75,L14,L15))))</f>
        <v>Extreme Fear</v>
      </c>
      <c r="M9" s="525">
        <v>15</v>
      </c>
      <c r="O9" s="327" t="str">
        <f>I1</f>
        <v>ETS</v>
      </c>
      <c r="P9" s="573">
        <f>100-ABS((($E10-I2)/($E10)))*100</f>
        <v>99.594211877680422</v>
      </c>
      <c r="Q9" s="574">
        <f t="shared" si="0"/>
        <v>0.12756068854402669</v>
      </c>
      <c r="R9" s="575">
        <f>100-ABS((($E11-I3)/($E11)))*100</f>
        <v>99.836570164439379</v>
      </c>
      <c r="S9" s="576">
        <f t="shared" si="1"/>
        <v>0.11165842640656511</v>
      </c>
      <c r="T9" s="577">
        <f>100-ABS((($E12-I4)/($E12)))*100</f>
        <v>99.869758075573856</v>
      </c>
      <c r="U9" s="576">
        <f t="shared" si="2"/>
        <v>0.11208850195952279</v>
      </c>
      <c r="V9" s="577">
        <f>100-ABS((($E13-I5)/($E13)))*100</f>
        <v>98.276348957710979</v>
      </c>
      <c r="W9" s="576">
        <f t="shared" si="3"/>
        <v>0.11781405508782278</v>
      </c>
      <c r="X9" s="578">
        <f>100-ABS((($E14-I6)/($E14)))*100</f>
        <v>99.930726683524014</v>
      </c>
      <c r="Y9" s="579">
        <f t="shared" si="4"/>
        <v>0.11249229702812744</v>
      </c>
      <c r="Z9" s="580">
        <f>100-ABS((($E15-I7)/($E15)))*100</f>
        <v>99.630602154419421</v>
      </c>
      <c r="AA9" s="39">
        <f t="shared" si="5"/>
        <v>0.11213498985101614</v>
      </c>
      <c r="AB9" s="23"/>
      <c r="AC9" s="56">
        <f t="shared" si="6"/>
        <v>99.478350970312064</v>
      </c>
      <c r="AD9" s="57">
        <f t="shared" si="7"/>
        <v>99.523036318891357</v>
      </c>
      <c r="AE9" s="42" t="str">
        <f>IF($AC9=MAX(AC2:AC10),"TOP","")</f>
        <v/>
      </c>
      <c r="AG9" s="2"/>
      <c r="AH9" s="2"/>
      <c r="AI9" s="2"/>
    </row>
    <row r="10" spans="1:35" ht="14.4" x14ac:dyDescent="0.3">
      <c r="A10" s="76" t="s">
        <v>12</v>
      </c>
      <c r="B10" s="260">
        <v>4.0019999999999998</v>
      </c>
      <c r="C10" s="541">
        <f>(B2*Q24)+(C2*Q25)+(D2*Q26)+(E2*Q27)+(F2*Q28)+(G2*Q29)+(H2*Q30)+(I2*Q31)+(J2*Q32)</f>
        <v>4.0101580912863071</v>
      </c>
      <c r="D10" s="397">
        <v>4.0137093726379396</v>
      </c>
      <c r="E10" s="638">
        <f t="shared" ref="E10:E15" si="8">F18</f>
        <v>4.009670767719526</v>
      </c>
      <c r="F10" s="599">
        <v>4.01</v>
      </c>
      <c r="G10" s="600">
        <f t="shared" ref="G10:G15" si="9">B18+C18*L18</f>
        <v>4.0099903830411732</v>
      </c>
      <c r="O10" s="339" t="str">
        <f>J1</f>
        <v>DynaMix</v>
      </c>
      <c r="P10" s="601">
        <f>100-ABS((($E10-J2)/($E10)))*100</f>
        <v>99.232586177218067</v>
      </c>
      <c r="Q10" s="602">
        <f t="shared" si="0"/>
        <v>0.12709751681470122</v>
      </c>
      <c r="R10" s="603">
        <f>100-ABS((($E11-J3)/($E11)))*100</f>
        <v>99.732193528173354</v>
      </c>
      <c r="S10" s="604">
        <f t="shared" si="1"/>
        <v>0.11154169031537248</v>
      </c>
      <c r="T10" s="605">
        <f>100-ABS((($E12-J4)/($E12)))*100</f>
        <v>98.941030900886076</v>
      </c>
      <c r="U10" s="604">
        <f t="shared" si="2"/>
        <v>0.11104614800026839</v>
      </c>
      <c r="V10" s="606">
        <f>100-ABS((($E13-J5)/($E13)))*100</f>
        <v>99.657644233306129</v>
      </c>
      <c r="W10" s="604">
        <f t="shared" si="3"/>
        <v>0.11946995703592571</v>
      </c>
      <c r="X10" s="607">
        <f>100-ABS((($E14-J6)/($E14)))*100</f>
        <v>98.168644097879294</v>
      </c>
      <c r="Y10" s="608">
        <f t="shared" si="4"/>
        <v>0.11050871575947328</v>
      </c>
      <c r="Z10" s="609">
        <f>100-ABS((($E15-J7)/($E15)))*100</f>
        <v>99.266343829503739</v>
      </c>
      <c r="AA10" s="92">
        <f t="shared" si="5"/>
        <v>0.11172501437476377</v>
      </c>
      <c r="AC10" s="93">
        <f t="shared" si="6"/>
        <v>99.12487819006121</v>
      </c>
      <c r="AD10" s="94">
        <f t="shared" si="7"/>
        <v>99.166407127827782</v>
      </c>
      <c r="AE10" s="42" t="str">
        <f>IF($AC10=MAX(AC2:AC10),"TOP","")</f>
        <v/>
      </c>
      <c r="AG10" s="1381" t="s">
        <v>39</v>
      </c>
      <c r="AH10" s="1381"/>
      <c r="AI10" s="400">
        <f>AVERAGE(AI4:AI7)</f>
        <v>99.858626645053505</v>
      </c>
    </row>
    <row r="11" spans="1:35" ht="14.4" x14ac:dyDescent="0.3">
      <c r="A11" s="95" t="s">
        <v>13</v>
      </c>
      <c r="B11" s="261">
        <v>47112.45</v>
      </c>
      <c r="C11" s="542">
        <f>(B3*S24)+(C3*S25)+(D3*S26)+(E3*S27)+(F3*S28)+(G3*S29)+(H3*S30)+(I3*S31)+(J3*S32)</f>
        <v>46959.241949999996</v>
      </c>
      <c r="D11" s="401">
        <v>47217.776097702801</v>
      </c>
      <c r="E11" s="639">
        <f t="shared" si="8"/>
        <v>47232.792475072696</v>
      </c>
      <c r="F11" s="611">
        <v>47446.94</v>
      </c>
      <c r="G11" s="612">
        <f t="shared" si="9"/>
        <v>47446.940187627151</v>
      </c>
      <c r="J11" s="226" t="s">
        <v>43</v>
      </c>
      <c r="K11" s="227">
        <v>0</v>
      </c>
      <c r="L11" s="228" t="s">
        <v>44</v>
      </c>
      <c r="Q11" s="5"/>
      <c r="AG11" s="1383" t="s">
        <v>41</v>
      </c>
      <c r="AH11" s="1383"/>
      <c r="AI11" s="404">
        <f>AVERAGE(AI3:AI8)</f>
        <v>99.878280390870373</v>
      </c>
    </row>
    <row r="12" spans="1:35" ht="14.4" x14ac:dyDescent="0.3">
      <c r="A12" s="105" t="s">
        <v>14</v>
      </c>
      <c r="B12" s="262">
        <v>6765.88</v>
      </c>
      <c r="C12" s="543">
        <f>(B4*U24)+(C4*U25)+(D4*U26)+(E4*U27)+(F4*U28)+(G4*U29)+(H4*U30)+(I4*U31)+(J4*U32)</f>
        <v>6731.4128620689653</v>
      </c>
      <c r="D12" s="405">
        <v>6779.6211180124201</v>
      </c>
      <c r="E12" s="640">
        <f t="shared" si="8"/>
        <v>6786.0117676819864</v>
      </c>
      <c r="F12" s="614">
        <v>6849.08</v>
      </c>
      <c r="G12" s="615">
        <f t="shared" si="9"/>
        <v>6849.0802185200118</v>
      </c>
      <c r="K12" s="227">
        <v>25</v>
      </c>
      <c r="L12" s="228" t="s">
        <v>45</v>
      </c>
      <c r="O12" s="13" t="s">
        <v>28</v>
      </c>
      <c r="P12" s="350" t="s">
        <v>12</v>
      </c>
      <c r="Q12" s="114">
        <f>SUM(P13:P21)</f>
        <v>570</v>
      </c>
      <c r="R12" s="115" t="s">
        <v>13</v>
      </c>
      <c r="S12" s="116">
        <f>SUM(R13:R21)</f>
        <v>780</v>
      </c>
      <c r="T12" s="117" t="s">
        <v>14</v>
      </c>
      <c r="U12" s="116">
        <f>SUM(T13:T21)</f>
        <v>715</v>
      </c>
      <c r="V12" s="117" t="s">
        <v>15</v>
      </c>
      <c r="W12" s="116">
        <f>SUM(V13:V21)</f>
        <v>440.1</v>
      </c>
      <c r="X12" s="117" t="s">
        <v>16</v>
      </c>
      <c r="Y12" s="20">
        <f>SUM(X13:X21)</f>
        <v>680</v>
      </c>
      <c r="Z12" s="351" t="s">
        <v>17</v>
      </c>
      <c r="AA12" s="22">
        <f>SUM(Z13:Z21)</f>
        <v>680</v>
      </c>
      <c r="AB12" s="23"/>
      <c r="AC12" s="24" t="s">
        <v>29</v>
      </c>
      <c r="AD12" s="119" t="s">
        <v>30</v>
      </c>
    </row>
    <row r="13" spans="1:35" ht="14.4" x14ac:dyDescent="0.3">
      <c r="A13" s="105" t="s">
        <v>15</v>
      </c>
      <c r="B13" s="262">
        <v>18.59</v>
      </c>
      <c r="C13" s="544">
        <f>(B5*W24)+(C5*W25)+(D5*W26)+(E5*W27)+(F5*W28)+(G5*W29)+(H5*W30)+(I5*W31)+(J5*W32)</f>
        <v>18.80643867705485</v>
      </c>
      <c r="D13" s="405">
        <v>18.5221232244973</v>
      </c>
      <c r="E13" s="640">
        <f t="shared" si="8"/>
        <v>18.392969391377619</v>
      </c>
      <c r="F13" s="614">
        <v>16.350000000000001</v>
      </c>
      <c r="G13" s="615">
        <f t="shared" si="9"/>
        <v>16.350447180204178</v>
      </c>
      <c r="K13" s="227">
        <v>45</v>
      </c>
      <c r="L13" s="228" t="s">
        <v>46</v>
      </c>
      <c r="O13" s="127" t="str">
        <f t="shared" ref="O13:O21" si="10">O2</f>
        <v>PyCaret</v>
      </c>
      <c r="P13" s="352">
        <f t="shared" ref="P13:P21" si="11">IF(P2=0,0, LOOKUP(P2-0.000000000001,$AC$13:$AC$29,$AD$13:$AD$29))</f>
        <v>100</v>
      </c>
      <c r="Q13" s="129">
        <f t="shared" ref="Q13:Q21" si="12">P13/$Q$12</f>
        <v>0.17543859649122806</v>
      </c>
      <c r="R13" s="353">
        <f t="shared" ref="R13:R21" si="13">IF(R2=0,0, LOOKUP(R2-0.000000000001,$AC$13:$AC$29,$AD$13:$AD$29))</f>
        <v>95</v>
      </c>
      <c r="S13" s="131">
        <f t="shared" ref="S13:S21" si="14">R13/$S$12</f>
        <v>0.12179487179487179</v>
      </c>
      <c r="T13" s="354">
        <f t="shared" ref="T13:T21" si="15">IF(T2=0,0, LOOKUP(T2-0.000000000001,$AC$13:$AC$29,$AD$13:$AD$29))</f>
        <v>60</v>
      </c>
      <c r="U13" s="131">
        <f t="shared" ref="U13:U21" si="16">T13/$U$12</f>
        <v>8.3916083916083919E-2</v>
      </c>
      <c r="V13" s="354">
        <f t="shared" ref="V13:V21" si="17">IF(V2=0,0, LOOKUP(V2-0.000000000001,$AC$13:$AC$29,$AD$13:$AD$29))</f>
        <v>60</v>
      </c>
      <c r="W13" s="131">
        <f t="shared" ref="W13:W21" si="18">V13/$W$12</f>
        <v>0.13633265167007497</v>
      </c>
      <c r="X13" s="354">
        <f t="shared" ref="X13:X21" si="19">IF(X2=0,0, LOOKUP(X2-0.000000000001,$AC$13:$AC$29,$AD$13:$AD$29))</f>
        <v>60</v>
      </c>
      <c r="Y13" s="132">
        <f t="shared" ref="Y13:Y21" si="20">X13/$Y$12</f>
        <v>8.8235294117647065E-2</v>
      </c>
      <c r="Z13" s="355">
        <f t="shared" ref="Z13:Z21" si="21">IF(Z2=0,0, LOOKUP(Z2-0.000000000001,$AC$13:$AC$29,$AD$13:$AD$29))</f>
        <v>75</v>
      </c>
      <c r="AA13" s="134">
        <f t="shared" ref="AA13:AA21" si="22">Z13/$AA$12</f>
        <v>0.11029411764705882</v>
      </c>
      <c r="AB13" s="23"/>
      <c r="AC13" s="40">
        <v>1</v>
      </c>
      <c r="AD13" s="135">
        <v>0.1</v>
      </c>
    </row>
    <row r="14" spans="1:35" ht="14.4" x14ac:dyDescent="0.3">
      <c r="A14" s="120" t="s">
        <v>16</v>
      </c>
      <c r="B14" s="293">
        <v>608.89</v>
      </c>
      <c r="C14" s="545">
        <f>(B6*Y24)+(C6*Y25)+(D6*Y26)+(E6*Y27)+(F6*Y28)+(G6*Y29)+(H6*Y30)+(I6*Y31)+(J6*Y32)</f>
        <v>604.93052898550729</v>
      </c>
      <c r="D14" s="408">
        <v>610.66809898762699</v>
      </c>
      <c r="E14" s="641">
        <f t="shared" si="8"/>
        <v>611.37647923667862</v>
      </c>
      <c r="F14" s="617">
        <v>619.25</v>
      </c>
      <c r="G14" s="618">
        <f t="shared" si="9"/>
        <v>619.25033015282747</v>
      </c>
      <c r="K14" s="227">
        <v>55</v>
      </c>
      <c r="L14" s="228" t="s">
        <v>47</v>
      </c>
      <c r="O14" s="143" t="str">
        <f t="shared" si="10"/>
        <v>ARIMAX</v>
      </c>
      <c r="P14" s="356">
        <f t="shared" si="11"/>
        <v>40</v>
      </c>
      <c r="Q14" s="145">
        <f t="shared" si="12"/>
        <v>7.0175438596491224E-2</v>
      </c>
      <c r="R14" s="357">
        <f t="shared" si="13"/>
        <v>60</v>
      </c>
      <c r="S14" s="147">
        <f t="shared" si="14"/>
        <v>7.6923076923076927E-2</v>
      </c>
      <c r="T14" s="358">
        <f t="shared" si="15"/>
        <v>60</v>
      </c>
      <c r="U14" s="147">
        <f t="shared" si="16"/>
        <v>8.3916083916083919E-2</v>
      </c>
      <c r="V14" s="358">
        <f t="shared" si="17"/>
        <v>0.1</v>
      </c>
      <c r="W14" s="147">
        <f t="shared" si="18"/>
        <v>2.2722108611679165E-4</v>
      </c>
      <c r="X14" s="358">
        <f t="shared" si="19"/>
        <v>40</v>
      </c>
      <c r="Y14" s="148">
        <f t="shared" si="20"/>
        <v>5.8823529411764705E-2</v>
      </c>
      <c r="Z14" s="359">
        <f t="shared" si="21"/>
        <v>40</v>
      </c>
      <c r="AA14" s="134">
        <f t="shared" si="22"/>
        <v>5.8823529411764705E-2</v>
      </c>
      <c r="AB14" s="23"/>
      <c r="AC14" s="56">
        <v>80</v>
      </c>
      <c r="AD14" s="150">
        <v>1</v>
      </c>
    </row>
    <row r="15" spans="1:35" ht="14.4" x14ac:dyDescent="0.3">
      <c r="A15" s="136" t="s">
        <v>17</v>
      </c>
      <c r="B15" s="298">
        <v>276.97000000000003</v>
      </c>
      <c r="C15" s="546">
        <f>(B7*AA24)+(C7*AA25)+(D7*AA26)+(E7*AA27)+(F7*AA28)+(G7*AA29)+(H7*AA30)+(I7*AA31)+(J7*AA32)</f>
        <v>277.96882149046792</v>
      </c>
      <c r="D15" s="413">
        <v>278.564127868122</v>
      </c>
      <c r="E15" s="642">
        <f t="shared" si="8"/>
        <v>277.27574935556316</v>
      </c>
      <c r="F15" s="620">
        <v>278.85000000000002</v>
      </c>
      <c r="G15" s="621">
        <f t="shared" si="9"/>
        <v>278.84997754063164</v>
      </c>
      <c r="K15" s="227">
        <v>75</v>
      </c>
      <c r="L15" s="228" t="s">
        <v>48</v>
      </c>
      <c r="O15" s="143" t="str">
        <f t="shared" si="10"/>
        <v>PCE</v>
      </c>
      <c r="P15" s="356">
        <f t="shared" si="11"/>
        <v>5</v>
      </c>
      <c r="Q15" s="145">
        <f t="shared" si="12"/>
        <v>8.771929824561403E-3</v>
      </c>
      <c r="R15" s="357">
        <f t="shared" si="13"/>
        <v>60</v>
      </c>
      <c r="S15" s="147">
        <f t="shared" si="14"/>
        <v>7.6923076923076927E-2</v>
      </c>
      <c r="T15" s="358">
        <f t="shared" si="15"/>
        <v>70</v>
      </c>
      <c r="U15" s="147">
        <f t="shared" si="16"/>
        <v>9.7902097902097904E-2</v>
      </c>
      <c r="V15" s="358">
        <f t="shared" si="17"/>
        <v>10</v>
      </c>
      <c r="W15" s="147">
        <f t="shared" si="18"/>
        <v>2.2722108611679163E-2</v>
      </c>
      <c r="X15" s="358">
        <f t="shared" si="19"/>
        <v>70</v>
      </c>
      <c r="Y15" s="148">
        <f t="shared" si="20"/>
        <v>0.10294117647058823</v>
      </c>
      <c r="Z15" s="359">
        <f t="shared" si="21"/>
        <v>95</v>
      </c>
      <c r="AA15" s="134">
        <f t="shared" si="22"/>
        <v>0.13970588235294118</v>
      </c>
      <c r="AB15" s="23"/>
      <c r="AC15" s="56">
        <v>82.5</v>
      </c>
      <c r="AD15" s="150">
        <v>2</v>
      </c>
    </row>
    <row r="16" spans="1:35" ht="14.4" x14ac:dyDescent="0.3">
      <c r="G16" s="151"/>
      <c r="K16" s="8"/>
      <c r="O16" s="143" t="str">
        <f t="shared" si="10"/>
        <v>LSTM</v>
      </c>
      <c r="P16" s="356">
        <f t="shared" si="11"/>
        <v>90</v>
      </c>
      <c r="Q16" s="145">
        <f t="shared" si="12"/>
        <v>0.15789473684210525</v>
      </c>
      <c r="R16" s="357">
        <f t="shared" si="13"/>
        <v>95</v>
      </c>
      <c r="S16" s="147">
        <f t="shared" si="14"/>
        <v>0.12179487179487179</v>
      </c>
      <c r="T16" s="358">
        <f t="shared" si="15"/>
        <v>90</v>
      </c>
      <c r="U16" s="147">
        <f t="shared" si="16"/>
        <v>0.12587412587412589</v>
      </c>
      <c r="V16" s="358">
        <f t="shared" si="17"/>
        <v>5</v>
      </c>
      <c r="W16" s="147">
        <f t="shared" si="18"/>
        <v>1.1361054305839582E-2</v>
      </c>
      <c r="X16" s="358">
        <f t="shared" si="19"/>
        <v>90</v>
      </c>
      <c r="Y16" s="148">
        <f t="shared" si="20"/>
        <v>0.13235294117647059</v>
      </c>
      <c r="Z16" s="359">
        <f t="shared" si="21"/>
        <v>65</v>
      </c>
      <c r="AA16" s="134">
        <f t="shared" si="22"/>
        <v>9.5588235294117641E-2</v>
      </c>
      <c r="AB16" s="23"/>
      <c r="AC16" s="56">
        <v>85</v>
      </c>
      <c r="AD16" s="150">
        <v>5</v>
      </c>
    </row>
    <row r="17" spans="1:38" ht="14.4" x14ac:dyDescent="0.3">
      <c r="A17" s="554" t="s">
        <v>21</v>
      </c>
      <c r="B17" s="421" t="str">
        <f t="shared" ref="B17:B23" si="23">B9</f>
        <v>Close YF</v>
      </c>
      <c r="C17" s="422" t="s">
        <v>87</v>
      </c>
      <c r="D17" s="1406" t="s">
        <v>88</v>
      </c>
      <c r="E17" s="1406"/>
      <c r="F17" s="555" t="str">
        <f>E9</f>
        <v>PRED.</v>
      </c>
      <c r="G17" s="8"/>
      <c r="H17" s="1407" t="s">
        <v>113</v>
      </c>
      <c r="I17" s="1407"/>
      <c r="L17" s="154" t="s">
        <v>100</v>
      </c>
      <c r="M17" s="154"/>
      <c r="O17" s="143" t="str">
        <f t="shared" si="10"/>
        <v>GARCH</v>
      </c>
      <c r="P17" s="356">
        <f t="shared" si="11"/>
        <v>80</v>
      </c>
      <c r="Q17" s="145">
        <f t="shared" si="12"/>
        <v>0.14035087719298245</v>
      </c>
      <c r="R17" s="357">
        <f t="shared" si="13"/>
        <v>95</v>
      </c>
      <c r="S17" s="147">
        <f t="shared" si="14"/>
        <v>0.12179487179487179</v>
      </c>
      <c r="T17" s="358">
        <f t="shared" si="15"/>
        <v>80</v>
      </c>
      <c r="U17" s="147">
        <f t="shared" si="16"/>
        <v>0.11188811188811189</v>
      </c>
      <c r="V17" s="358">
        <f t="shared" si="17"/>
        <v>70</v>
      </c>
      <c r="W17" s="147">
        <f t="shared" si="18"/>
        <v>0.15905476028175414</v>
      </c>
      <c r="X17" s="358">
        <f t="shared" si="19"/>
        <v>75</v>
      </c>
      <c r="Y17" s="148">
        <f t="shared" si="20"/>
        <v>0.11029411764705882</v>
      </c>
      <c r="Z17" s="359">
        <f t="shared" si="21"/>
        <v>80</v>
      </c>
      <c r="AA17" s="134">
        <f t="shared" si="22"/>
        <v>0.11764705882352941</v>
      </c>
      <c r="AB17" s="23"/>
      <c r="AC17" s="56">
        <v>87.5</v>
      </c>
      <c r="AD17" s="150">
        <v>10</v>
      </c>
    </row>
    <row r="18" spans="1:38" ht="14.4" x14ac:dyDescent="0.25">
      <c r="A18" s="426" t="s">
        <v>12</v>
      </c>
      <c r="B18" s="427">
        <f t="shared" si="23"/>
        <v>4.0019999999999998</v>
      </c>
      <c r="C18" s="428">
        <f t="shared" ref="C18:C23" si="24">D10-C10</f>
        <v>3.5512813516325181E-3</v>
      </c>
      <c r="D18" s="429">
        <f t="shared" ref="D18:D23" si="25">H18*I18</f>
        <v>2.16</v>
      </c>
      <c r="E18" s="430">
        <f t="shared" ref="E18:E23" si="26">C18*D18</f>
        <v>7.67076771952624E-3</v>
      </c>
      <c r="F18" s="643">
        <f t="shared" ref="F18:F23" si="27">B18+C18*D18</f>
        <v>4.009670767719526</v>
      </c>
      <c r="G18" s="432" t="str">
        <f t="shared" ref="G18:G23" si="28">TEXT(J18,"0.00%") &amp; "" &amp; K18</f>
        <v>0.19%  ↑</v>
      </c>
      <c r="H18" s="644">
        <v>1.2</v>
      </c>
      <c r="I18" s="645">
        <v>1.8</v>
      </c>
      <c r="J18" s="307">
        <f t="shared" ref="J18:J23" si="29">IF((E10-B10)&gt;0, (E10/B10-1), (1-E10/B10))</f>
        <v>1.9167335631000704E-3</v>
      </c>
      <c r="K18" s="160" t="str">
        <f t="shared" ref="K18:K23" si="30">IF(E10&lt;B10,"  ↓","  ↑")</f>
        <v xml:space="preserve">  ↑</v>
      </c>
      <c r="L18" s="646">
        <v>2.25</v>
      </c>
      <c r="M18" s="646"/>
      <c r="O18" s="143" t="str">
        <f t="shared" si="10"/>
        <v>VAR</v>
      </c>
      <c r="P18" s="356">
        <f t="shared" si="11"/>
        <v>0</v>
      </c>
      <c r="Q18" s="145">
        <f t="shared" si="12"/>
        <v>0</v>
      </c>
      <c r="R18" s="357">
        <f t="shared" si="13"/>
        <v>95</v>
      </c>
      <c r="S18" s="147">
        <f t="shared" si="14"/>
        <v>0.12179487179487179</v>
      </c>
      <c r="T18" s="358">
        <f t="shared" si="15"/>
        <v>95</v>
      </c>
      <c r="U18" s="147">
        <f t="shared" si="16"/>
        <v>0.13286713286713286</v>
      </c>
      <c r="V18" s="358">
        <f t="shared" si="17"/>
        <v>65</v>
      </c>
      <c r="W18" s="147">
        <f t="shared" si="18"/>
        <v>0.14769370597591455</v>
      </c>
      <c r="X18" s="358">
        <f t="shared" si="19"/>
        <v>90</v>
      </c>
      <c r="Y18" s="148">
        <f t="shared" si="20"/>
        <v>0.13235294117647059</v>
      </c>
      <c r="Z18" s="359">
        <f t="shared" si="21"/>
        <v>65</v>
      </c>
      <c r="AA18" s="134">
        <f t="shared" si="22"/>
        <v>9.5588235294117641E-2</v>
      </c>
      <c r="AB18" s="23"/>
      <c r="AC18" s="56">
        <v>90</v>
      </c>
      <c r="AD18" s="150">
        <v>20</v>
      </c>
    </row>
    <row r="19" spans="1:38" ht="14.4" x14ac:dyDescent="0.25">
      <c r="A19" s="437" t="s">
        <v>13</v>
      </c>
      <c r="B19" s="438">
        <f t="shared" si="23"/>
        <v>47112.45</v>
      </c>
      <c r="C19" s="439">
        <f t="shared" si="24"/>
        <v>258.53414770280506</v>
      </c>
      <c r="D19" s="440">
        <f t="shared" si="25"/>
        <v>0.46548</v>
      </c>
      <c r="E19" s="441">
        <f t="shared" si="26"/>
        <v>120.3424750727017</v>
      </c>
      <c r="F19" s="559">
        <f t="shared" si="27"/>
        <v>47232.792475072696</v>
      </c>
      <c r="G19" s="443" t="str">
        <f t="shared" si="28"/>
        <v>0.26%  ↑</v>
      </c>
      <c r="H19" s="644">
        <v>0.45</v>
      </c>
      <c r="I19" s="645">
        <v>1.0344</v>
      </c>
      <c r="J19" s="307">
        <f t="shared" si="29"/>
        <v>2.5543667347527332E-3</v>
      </c>
      <c r="K19" s="160" t="str">
        <f t="shared" si="30"/>
        <v xml:space="preserve">  ↑</v>
      </c>
      <c r="L19" s="646">
        <v>1.293795</v>
      </c>
      <c r="M19" s="646"/>
      <c r="O19" s="143" t="str">
        <f t="shared" si="10"/>
        <v>RW</v>
      </c>
      <c r="P19" s="356">
        <f t="shared" si="11"/>
        <v>90</v>
      </c>
      <c r="Q19" s="145">
        <f t="shared" si="12"/>
        <v>0.15789473684210525</v>
      </c>
      <c r="R19" s="357">
        <f t="shared" si="13"/>
        <v>95</v>
      </c>
      <c r="S19" s="147">
        <f t="shared" si="14"/>
        <v>0.12179487179487179</v>
      </c>
      <c r="T19" s="358">
        <f t="shared" si="15"/>
        <v>95</v>
      </c>
      <c r="U19" s="147">
        <f t="shared" si="16"/>
        <v>0.13286713286713286</v>
      </c>
      <c r="V19" s="358">
        <f t="shared" si="17"/>
        <v>75</v>
      </c>
      <c r="W19" s="147">
        <f t="shared" si="18"/>
        <v>0.17041581458759372</v>
      </c>
      <c r="X19" s="358">
        <f t="shared" si="19"/>
        <v>95</v>
      </c>
      <c r="Y19" s="148">
        <f t="shared" si="20"/>
        <v>0.13970588235294118</v>
      </c>
      <c r="Z19" s="359">
        <f t="shared" si="21"/>
        <v>90</v>
      </c>
      <c r="AA19" s="134">
        <f t="shared" si="22"/>
        <v>0.13235294117647059</v>
      </c>
      <c r="AB19" s="23"/>
      <c r="AC19" s="56">
        <v>92.5</v>
      </c>
      <c r="AD19" s="150">
        <v>30</v>
      </c>
      <c r="AG19" s="647" t="s">
        <v>85</v>
      </c>
      <c r="AH19" s="8" t="s">
        <v>86</v>
      </c>
    </row>
    <row r="20" spans="1:38" ht="14.4" x14ac:dyDescent="0.25">
      <c r="A20" s="444" t="s">
        <v>14</v>
      </c>
      <c r="B20" s="445">
        <f t="shared" si="23"/>
        <v>6765.88</v>
      </c>
      <c r="C20" s="446">
        <f t="shared" si="24"/>
        <v>48.208255943454787</v>
      </c>
      <c r="D20" s="447">
        <f t="shared" si="25"/>
        <v>0.41759999999999997</v>
      </c>
      <c r="E20" s="448">
        <f t="shared" si="26"/>
        <v>20.13176768198672</v>
      </c>
      <c r="F20" s="560">
        <f t="shared" si="27"/>
        <v>6786.0117676819864</v>
      </c>
      <c r="G20" s="443" t="str">
        <f t="shared" si="28"/>
        <v>0.30%  ↑</v>
      </c>
      <c r="H20" s="644">
        <v>0.3</v>
      </c>
      <c r="I20" s="645">
        <v>1.3919999999999999</v>
      </c>
      <c r="J20" s="307">
        <f t="shared" si="29"/>
        <v>2.9754839994184934E-3</v>
      </c>
      <c r="K20" s="160" t="str">
        <f t="shared" si="30"/>
        <v xml:space="preserve">  ↑</v>
      </c>
      <c r="L20" s="646">
        <v>1.7258500000000001</v>
      </c>
      <c r="M20" s="646"/>
      <c r="O20" s="143" t="str">
        <f t="shared" si="10"/>
        <v>ETS</v>
      </c>
      <c r="P20" s="356">
        <f t="shared" si="11"/>
        <v>90</v>
      </c>
      <c r="Q20" s="145">
        <f t="shared" si="12"/>
        <v>0.15789473684210525</v>
      </c>
      <c r="R20" s="357">
        <f t="shared" si="13"/>
        <v>95</v>
      </c>
      <c r="S20" s="147">
        <f t="shared" si="14"/>
        <v>0.12179487179487179</v>
      </c>
      <c r="T20" s="358">
        <f t="shared" si="15"/>
        <v>95</v>
      </c>
      <c r="U20" s="147">
        <f t="shared" si="16"/>
        <v>0.13286713286713286</v>
      </c>
      <c r="V20" s="358">
        <f t="shared" si="17"/>
        <v>65</v>
      </c>
      <c r="W20" s="147">
        <f t="shared" si="18"/>
        <v>0.14769370597591455</v>
      </c>
      <c r="X20" s="358">
        <f t="shared" si="19"/>
        <v>95</v>
      </c>
      <c r="Y20" s="148">
        <f t="shared" si="20"/>
        <v>0.13970588235294118</v>
      </c>
      <c r="Z20" s="359">
        <f t="shared" si="21"/>
        <v>90</v>
      </c>
      <c r="AA20" s="134">
        <f t="shared" si="22"/>
        <v>0.13235294117647059</v>
      </c>
      <c r="AC20" s="56">
        <v>95</v>
      </c>
      <c r="AD20" s="150">
        <v>40</v>
      </c>
      <c r="AG20" s="416" t="str">
        <f>P1</f>
        <v>TNX</v>
      </c>
      <c r="AH20" s="417" t="str">
        <f>R1</f>
        <v>DJI</v>
      </c>
      <c r="AI20" s="417" t="str">
        <f>T1</f>
        <v>SPX</v>
      </c>
      <c r="AJ20" s="417" t="str">
        <f>V1</f>
        <v>VIX</v>
      </c>
      <c r="AK20" s="417" t="str">
        <f>X1</f>
        <v>QQQ</v>
      </c>
      <c r="AL20" s="418" t="str">
        <f>Z1</f>
        <v>AAPL</v>
      </c>
    </row>
    <row r="21" spans="1:38" ht="14.4" x14ac:dyDescent="0.25">
      <c r="A21" s="444" t="s">
        <v>15</v>
      </c>
      <c r="B21" s="445">
        <f t="shared" si="23"/>
        <v>18.59</v>
      </c>
      <c r="C21" s="446">
        <f t="shared" si="24"/>
        <v>-0.28431545255754997</v>
      </c>
      <c r="D21" s="447">
        <f t="shared" si="25"/>
        <v>0.69299999999999995</v>
      </c>
      <c r="E21" s="448">
        <f t="shared" si="26"/>
        <v>-0.19703060862238211</v>
      </c>
      <c r="F21" s="560">
        <f t="shared" si="27"/>
        <v>18.392969391377619</v>
      </c>
      <c r="G21" s="443" t="str">
        <f t="shared" si="28"/>
        <v>1.06%  ↓</v>
      </c>
      <c r="H21" s="644">
        <v>0.11</v>
      </c>
      <c r="I21" s="645">
        <v>6.3</v>
      </c>
      <c r="J21" s="307">
        <f t="shared" si="29"/>
        <v>1.0598741722559479E-2</v>
      </c>
      <c r="K21" s="160" t="str">
        <f t="shared" si="30"/>
        <v xml:space="preserve">  ↓</v>
      </c>
      <c r="L21" s="646">
        <v>7.8769999999999998</v>
      </c>
      <c r="M21" s="646"/>
      <c r="O21" s="180" t="str">
        <f t="shared" si="10"/>
        <v>DynaMix</v>
      </c>
      <c r="P21" s="360">
        <f t="shared" si="11"/>
        <v>75</v>
      </c>
      <c r="Q21" s="182">
        <f t="shared" si="12"/>
        <v>0.13157894736842105</v>
      </c>
      <c r="R21" s="361">
        <f t="shared" si="13"/>
        <v>90</v>
      </c>
      <c r="S21" s="184">
        <f t="shared" si="14"/>
        <v>0.11538461538461539</v>
      </c>
      <c r="T21" s="362">
        <f t="shared" si="15"/>
        <v>70</v>
      </c>
      <c r="U21" s="184">
        <f t="shared" si="16"/>
        <v>9.7902097902097904E-2</v>
      </c>
      <c r="V21" s="362">
        <f t="shared" si="17"/>
        <v>90</v>
      </c>
      <c r="W21" s="184">
        <f t="shared" si="18"/>
        <v>0.20449897750511245</v>
      </c>
      <c r="X21" s="362">
        <f t="shared" si="19"/>
        <v>65</v>
      </c>
      <c r="Y21" s="185">
        <f t="shared" si="20"/>
        <v>9.5588235294117641E-2</v>
      </c>
      <c r="Z21" s="363">
        <f t="shared" si="21"/>
        <v>80</v>
      </c>
      <c r="AA21" s="187">
        <f t="shared" si="22"/>
        <v>0.11764705882352941</v>
      </c>
      <c r="AB21" s="23"/>
      <c r="AC21" s="56">
        <v>96</v>
      </c>
      <c r="AD21" s="150">
        <v>50</v>
      </c>
      <c r="AG21" s="648">
        <f>C18</f>
        <v>3.5512813516325181E-3</v>
      </c>
      <c r="AH21" s="649">
        <f>C19</f>
        <v>258.53414770280506</v>
      </c>
      <c r="AI21" s="649">
        <f>C20</f>
        <v>48.208255943454787</v>
      </c>
      <c r="AJ21" s="649">
        <f>C21</f>
        <v>-0.28431545255754997</v>
      </c>
      <c r="AK21" s="649">
        <f>C22</f>
        <v>5.7375700021196963</v>
      </c>
      <c r="AL21" s="650">
        <f>C23</f>
        <v>0.59530637765408301</v>
      </c>
    </row>
    <row r="22" spans="1:38" ht="14.4" x14ac:dyDescent="0.25">
      <c r="A22" s="454" t="s">
        <v>16</v>
      </c>
      <c r="B22" s="455">
        <f t="shared" si="23"/>
        <v>608.89</v>
      </c>
      <c r="C22" s="456">
        <f t="shared" si="24"/>
        <v>5.7375700021196963</v>
      </c>
      <c r="D22" s="457">
        <f t="shared" si="25"/>
        <v>0.43336800000000003</v>
      </c>
      <c r="E22" s="458">
        <f t="shared" si="26"/>
        <v>2.4864792366786088</v>
      </c>
      <c r="F22" s="561">
        <f t="shared" si="27"/>
        <v>611.37647923667862</v>
      </c>
      <c r="G22" s="443" t="str">
        <f t="shared" si="28"/>
        <v>0.41%  ↑</v>
      </c>
      <c r="H22" s="644">
        <v>0.3</v>
      </c>
      <c r="I22" s="645">
        <v>1.4445600000000001</v>
      </c>
      <c r="J22" s="307">
        <f t="shared" si="29"/>
        <v>4.0836263309935728E-3</v>
      </c>
      <c r="K22" s="160" t="str">
        <f t="shared" si="30"/>
        <v xml:space="preserve">  ↑</v>
      </c>
      <c r="L22" s="646">
        <v>1.8057000000000001</v>
      </c>
      <c r="M22" s="646"/>
      <c r="Q22" s="5"/>
      <c r="AC22" s="56">
        <v>97</v>
      </c>
      <c r="AD22" s="150">
        <v>60</v>
      </c>
      <c r="AG22" s="651">
        <f>D18</f>
        <v>2.16</v>
      </c>
      <c r="AH22" s="652">
        <f>D19</f>
        <v>0.46548</v>
      </c>
      <c r="AI22" s="652">
        <f>D20</f>
        <v>0.41759999999999997</v>
      </c>
      <c r="AJ22" s="652">
        <f>D21</f>
        <v>0.69299999999999995</v>
      </c>
      <c r="AK22" s="652">
        <f>D22</f>
        <v>0.43336800000000003</v>
      </c>
      <c r="AL22" s="653">
        <f>D23</f>
        <v>0.51359999999999995</v>
      </c>
    </row>
    <row r="23" spans="1:38" ht="14.4" x14ac:dyDescent="0.25">
      <c r="A23" s="470" t="s">
        <v>17</v>
      </c>
      <c r="B23" s="471">
        <f t="shared" si="23"/>
        <v>276.97000000000003</v>
      </c>
      <c r="C23" s="472">
        <f t="shared" si="24"/>
        <v>0.59530637765408301</v>
      </c>
      <c r="D23" s="473">
        <f t="shared" si="25"/>
        <v>0.51359999999999995</v>
      </c>
      <c r="E23" s="474">
        <f t="shared" si="26"/>
        <v>0.30574935556313698</v>
      </c>
      <c r="F23" s="562">
        <f t="shared" si="27"/>
        <v>277.27574935556316</v>
      </c>
      <c r="G23" s="432" t="str">
        <f t="shared" si="28"/>
        <v>0.11%  ↑</v>
      </c>
      <c r="H23" s="644">
        <f>H22</f>
        <v>0.3</v>
      </c>
      <c r="I23" s="645">
        <v>1.712</v>
      </c>
      <c r="J23" s="307">
        <f t="shared" si="29"/>
        <v>1.1039078440377992E-3</v>
      </c>
      <c r="K23" s="160" t="str">
        <f t="shared" si="30"/>
        <v xml:space="preserve">  ↑</v>
      </c>
      <c r="L23" s="646">
        <v>3.1579999999999999</v>
      </c>
      <c r="M23" s="646"/>
      <c r="O23" s="13" t="s">
        <v>40</v>
      </c>
      <c r="P23" s="364" t="s">
        <v>12</v>
      </c>
      <c r="Q23" s="205">
        <f>SUM(P24:P32)</f>
        <v>602.5</v>
      </c>
      <c r="R23" s="365" t="s">
        <v>13</v>
      </c>
      <c r="S23" s="366">
        <f>SUM(R24:R32)</f>
        <v>735</v>
      </c>
      <c r="T23" s="367" t="s">
        <v>14</v>
      </c>
      <c r="U23" s="366">
        <f>SUM(T24:T32)</f>
        <v>725</v>
      </c>
      <c r="V23" s="367" t="s">
        <v>15</v>
      </c>
      <c r="W23" s="366">
        <f>SUM(V24:V32)</f>
        <v>484.52499999999998</v>
      </c>
      <c r="X23" s="367" t="s">
        <v>16</v>
      </c>
      <c r="Y23" s="209">
        <f>SUM(X24:X32)</f>
        <v>690</v>
      </c>
      <c r="Z23" s="368" t="s">
        <v>17</v>
      </c>
      <c r="AA23" s="22">
        <f>SUM(Z24:Z32)</f>
        <v>721.25</v>
      </c>
      <c r="AB23" s="23"/>
      <c r="AC23" s="56">
        <v>98</v>
      </c>
      <c r="AD23" s="150">
        <v>65</v>
      </c>
      <c r="AG23" s="623">
        <f>E10</f>
        <v>4.009670767719526</v>
      </c>
      <c r="AH23" s="624">
        <f>E11</f>
        <v>47232.792475072696</v>
      </c>
      <c r="AI23" s="624">
        <f>E12</f>
        <v>6786.0117676819864</v>
      </c>
      <c r="AJ23" s="624">
        <f>D13</f>
        <v>18.5221232244973</v>
      </c>
      <c r="AK23" s="624">
        <f>D14</f>
        <v>610.66809898762699</v>
      </c>
      <c r="AL23" s="625">
        <f>E15</f>
        <v>277.27574935556316</v>
      </c>
    </row>
    <row r="24" spans="1:38" ht="14.4" x14ac:dyDescent="0.3">
      <c r="I24" s="2">
        <v>8</v>
      </c>
      <c r="K24" s="200"/>
      <c r="L24" s="2">
        <v>9</v>
      </c>
      <c r="O24" s="127" t="str">
        <f t="shared" ref="O24:O31" si="31">O2</f>
        <v>PyCaret</v>
      </c>
      <c r="P24" s="369">
        <v>80</v>
      </c>
      <c r="Q24" s="370">
        <f t="shared" ref="Q24:Q32" si="32">P24/$Q$23</f>
        <v>0.13278008298755187</v>
      </c>
      <c r="R24" s="371">
        <v>78.75</v>
      </c>
      <c r="S24" s="372">
        <f t="shared" ref="S24:S32" si="33">R24/$S$23</f>
        <v>0.10714285714285714</v>
      </c>
      <c r="T24" s="372">
        <v>82.5</v>
      </c>
      <c r="U24" s="372">
        <f t="shared" ref="U24:U32" si="34">T24/$U$23</f>
        <v>0.11379310344827587</v>
      </c>
      <c r="V24" s="372">
        <v>52.524999999999999</v>
      </c>
      <c r="W24" s="372">
        <f t="shared" ref="W24:W32" si="35">V24/$W$23</f>
        <v>0.10840513905371241</v>
      </c>
      <c r="X24" s="372">
        <v>80</v>
      </c>
      <c r="Y24" s="373">
        <f t="shared" ref="Y24:Y32" si="36">X24/$Y$23</f>
        <v>0.11594202898550725</v>
      </c>
      <c r="Z24" s="374">
        <v>85</v>
      </c>
      <c r="AA24" s="39">
        <f t="shared" ref="AA24:AA32" si="37">Z24/$AA$23</f>
        <v>0.11785095320623917</v>
      </c>
      <c r="AB24" s="23"/>
      <c r="AC24" s="56">
        <v>98.5</v>
      </c>
      <c r="AD24" s="150">
        <v>70</v>
      </c>
    </row>
    <row r="25" spans="1:38" ht="14.4" x14ac:dyDescent="0.3">
      <c r="A25" s="564" t="str">
        <f>E9</f>
        <v>PRED.</v>
      </c>
      <c r="B25" s="1385" t="s">
        <v>31</v>
      </c>
      <c r="C25" s="1385"/>
      <c r="D25" s="1385">
        <v>85220</v>
      </c>
      <c r="E25" s="1385"/>
      <c r="F25" s="1385" t="s">
        <v>32</v>
      </c>
      <c r="G25" s="1385"/>
      <c r="O25" s="143" t="str">
        <f t="shared" si="31"/>
        <v>ARIMAX</v>
      </c>
      <c r="P25" s="375">
        <v>85</v>
      </c>
      <c r="Q25" s="376">
        <f t="shared" si="32"/>
        <v>0.14107883817427386</v>
      </c>
      <c r="R25" s="377">
        <v>81.25</v>
      </c>
      <c r="S25" s="378">
        <f t="shared" si="33"/>
        <v>0.11054421768707483</v>
      </c>
      <c r="T25" s="378">
        <v>82.5</v>
      </c>
      <c r="U25" s="378">
        <f t="shared" si="34"/>
        <v>0.11379310344827587</v>
      </c>
      <c r="V25" s="378">
        <v>57.5</v>
      </c>
      <c r="W25" s="378">
        <f t="shared" si="35"/>
        <v>0.11867292709354522</v>
      </c>
      <c r="X25" s="378">
        <v>80</v>
      </c>
      <c r="Y25" s="379">
        <f t="shared" si="36"/>
        <v>0.11594202898550725</v>
      </c>
      <c r="Z25" s="380">
        <v>72.5</v>
      </c>
      <c r="AA25" s="39">
        <f t="shared" si="37"/>
        <v>0.10051993067590988</v>
      </c>
      <c r="AB25" s="23"/>
      <c r="AC25" s="56">
        <v>99</v>
      </c>
      <c r="AD25" s="150">
        <v>75</v>
      </c>
    </row>
    <row r="26" spans="1:38" ht="14.4" x14ac:dyDescent="0.3">
      <c r="A26" s="76" t="s">
        <v>12</v>
      </c>
      <c r="B26" s="155">
        <v>4.01</v>
      </c>
      <c r="C26" s="497">
        <f t="shared" ref="C26:C31" si="38">100-ABS(($E10-B26)/($E10))*100</f>
        <v>99.991789044548881</v>
      </c>
      <c r="D26" s="155">
        <v>4.01</v>
      </c>
      <c r="E26" s="498">
        <f t="shared" ref="E26:E31" si="39">100-ABS(($E10-D26)/($E10))*100</f>
        <v>99.991789044548881</v>
      </c>
      <c r="F26" s="155">
        <v>4.01</v>
      </c>
      <c r="G26" s="499">
        <f t="shared" ref="G26:G31" si="40">100-ABS(($E10-F26)/($E10))*100</f>
        <v>99.991789044548881</v>
      </c>
      <c r="O26" s="143" t="str">
        <f t="shared" si="31"/>
        <v>PCE</v>
      </c>
      <c r="P26" s="375">
        <v>10</v>
      </c>
      <c r="Q26" s="376">
        <f t="shared" si="32"/>
        <v>1.6597510373443983E-2</v>
      </c>
      <c r="R26" s="377">
        <v>77.5</v>
      </c>
      <c r="S26" s="378">
        <f t="shared" si="33"/>
        <v>0.10544217687074831</v>
      </c>
      <c r="T26" s="378">
        <v>82.5</v>
      </c>
      <c r="U26" s="378">
        <f t="shared" si="34"/>
        <v>0.11379310344827587</v>
      </c>
      <c r="V26" s="378">
        <v>53</v>
      </c>
      <c r="W26" s="378">
        <f t="shared" si="35"/>
        <v>0.10938548062535473</v>
      </c>
      <c r="X26" s="378">
        <v>78.75</v>
      </c>
      <c r="Y26" s="379">
        <f t="shared" si="36"/>
        <v>0.11413043478260869</v>
      </c>
      <c r="Z26" s="380">
        <v>82.5</v>
      </c>
      <c r="AA26" s="39">
        <f t="shared" si="37"/>
        <v>0.11438474870017332</v>
      </c>
      <c r="AB26" s="23"/>
      <c r="AC26" s="56">
        <v>99.25</v>
      </c>
      <c r="AD26" s="150">
        <v>80</v>
      </c>
    </row>
    <row r="27" spans="1:38" ht="14.4" x14ac:dyDescent="0.3">
      <c r="A27" s="163" t="s">
        <v>13</v>
      </c>
      <c r="B27" s="164">
        <v>47220</v>
      </c>
      <c r="C27" s="507">
        <f t="shared" si="38"/>
        <v>99.972916115261555</v>
      </c>
      <c r="D27" s="164">
        <v>47243</v>
      </c>
      <c r="E27" s="508">
        <f t="shared" si="39"/>
        <v>99.978388902301958</v>
      </c>
      <c r="F27" s="164">
        <v>47211</v>
      </c>
      <c r="G27" s="509">
        <f t="shared" si="40"/>
        <v>99.953861556916848</v>
      </c>
      <c r="O27" s="143" t="str">
        <f t="shared" si="31"/>
        <v>LSTM</v>
      </c>
      <c r="P27" s="381">
        <v>80</v>
      </c>
      <c r="Q27" s="376">
        <f t="shared" si="32"/>
        <v>0.13278008298755187</v>
      </c>
      <c r="R27" s="377">
        <v>83.75</v>
      </c>
      <c r="S27" s="378">
        <f t="shared" si="33"/>
        <v>0.11394557823129252</v>
      </c>
      <c r="T27" s="378">
        <v>77.5</v>
      </c>
      <c r="U27" s="378">
        <f t="shared" si="34"/>
        <v>0.10689655172413794</v>
      </c>
      <c r="V27" s="378">
        <v>46</v>
      </c>
      <c r="W27" s="378">
        <f t="shared" si="35"/>
        <v>9.4938341674836182E-2</v>
      </c>
      <c r="X27" s="378">
        <v>70</v>
      </c>
      <c r="Y27" s="379">
        <f t="shared" si="36"/>
        <v>0.10144927536231885</v>
      </c>
      <c r="Z27" s="380">
        <v>80</v>
      </c>
      <c r="AA27" s="39">
        <f t="shared" si="37"/>
        <v>0.11091854419410745</v>
      </c>
      <c r="AB27" s="23"/>
      <c r="AC27" s="56">
        <v>99.5</v>
      </c>
      <c r="AD27" s="150">
        <v>90</v>
      </c>
      <c r="AF27" s="2"/>
      <c r="AH27" s="627"/>
      <c r="AI27" s="627"/>
      <c r="AJ27" s="627"/>
    </row>
    <row r="28" spans="1:38" ht="14.25" customHeight="1" x14ac:dyDescent="0.3">
      <c r="A28" s="43" t="s">
        <v>14</v>
      </c>
      <c r="B28" s="169">
        <v>6784</v>
      </c>
      <c r="C28" s="511">
        <f t="shared" si="38"/>
        <v>99.97035419697373</v>
      </c>
      <c r="D28" s="169">
        <v>6788</v>
      </c>
      <c r="E28" s="512">
        <f t="shared" si="39"/>
        <v>99.97070101871202</v>
      </c>
      <c r="F28" s="169">
        <v>6777</v>
      </c>
      <c r="G28" s="513">
        <f t="shared" si="40"/>
        <v>99.86720082442379</v>
      </c>
      <c r="O28" s="143" t="str">
        <f t="shared" si="31"/>
        <v>GARCH</v>
      </c>
      <c r="P28" s="375">
        <v>87.5</v>
      </c>
      <c r="Q28" s="376">
        <f t="shared" si="32"/>
        <v>0.14522821576763487</v>
      </c>
      <c r="R28" s="377">
        <v>83.75</v>
      </c>
      <c r="S28" s="378">
        <f t="shared" si="33"/>
        <v>0.11394557823129252</v>
      </c>
      <c r="T28" s="378">
        <v>77.5</v>
      </c>
      <c r="U28" s="378">
        <f t="shared" si="34"/>
        <v>0.10689655172413794</v>
      </c>
      <c r="V28" s="378">
        <v>56.25</v>
      </c>
      <c r="W28" s="378">
        <f t="shared" si="35"/>
        <v>0.11609308085238121</v>
      </c>
      <c r="X28" s="378">
        <v>72.5</v>
      </c>
      <c r="Y28" s="379">
        <f t="shared" si="36"/>
        <v>0.10507246376811594</v>
      </c>
      <c r="Z28" s="380">
        <v>77.5</v>
      </c>
      <c r="AA28" s="39">
        <f t="shared" si="37"/>
        <v>0.10745233968804159</v>
      </c>
      <c r="AB28" s="23"/>
      <c r="AC28" s="56">
        <v>99.75</v>
      </c>
      <c r="AD28" s="150">
        <v>95</v>
      </c>
      <c r="AK28" s="6"/>
    </row>
    <row r="29" spans="1:38" ht="14.25" customHeight="1" x14ac:dyDescent="0.3">
      <c r="A29" s="43" t="s">
        <v>15</v>
      </c>
      <c r="B29" s="169">
        <v>18.239999999999998</v>
      </c>
      <c r="C29" s="511">
        <f t="shared" si="38"/>
        <v>99.168326831178604</v>
      </c>
      <c r="D29" s="169">
        <v>18.52</v>
      </c>
      <c r="E29" s="512">
        <f t="shared" si="39"/>
        <v>99.309352362202432</v>
      </c>
      <c r="F29" s="169">
        <v>18.7</v>
      </c>
      <c r="G29" s="513">
        <f t="shared" si="40"/>
        <v>98.330717557947381</v>
      </c>
      <c r="O29" s="143" t="str">
        <f t="shared" si="31"/>
        <v>VAR</v>
      </c>
      <c r="P29" s="381">
        <v>0</v>
      </c>
      <c r="Q29" s="376">
        <f t="shared" si="32"/>
        <v>0</v>
      </c>
      <c r="R29" s="377">
        <v>81.25</v>
      </c>
      <c r="S29" s="378">
        <f t="shared" si="33"/>
        <v>0.11054421768707483</v>
      </c>
      <c r="T29" s="378">
        <v>82.5</v>
      </c>
      <c r="U29" s="378">
        <f t="shared" si="34"/>
        <v>0.11379310344827587</v>
      </c>
      <c r="V29" s="378">
        <v>53</v>
      </c>
      <c r="W29" s="378">
        <f t="shared" si="35"/>
        <v>0.10938548062535473</v>
      </c>
      <c r="X29" s="378">
        <v>77.5</v>
      </c>
      <c r="Y29" s="379">
        <f t="shared" si="36"/>
        <v>0.11231884057971014</v>
      </c>
      <c r="Z29" s="380">
        <v>83.75</v>
      </c>
      <c r="AA29" s="39">
        <f t="shared" si="37"/>
        <v>0.11611785095320624</v>
      </c>
      <c r="AB29" s="23"/>
      <c r="AC29" s="93">
        <v>99.99</v>
      </c>
      <c r="AD29" s="229">
        <v>100</v>
      </c>
    </row>
    <row r="30" spans="1:38" ht="14.25" customHeight="1" x14ac:dyDescent="0.3">
      <c r="A30" s="174" t="s">
        <v>16</v>
      </c>
      <c r="B30" s="175">
        <v>611.79999999999995</v>
      </c>
      <c r="C30" s="515">
        <f t="shared" si="38"/>
        <v>99.930726683524014</v>
      </c>
      <c r="D30" s="175">
        <v>610.70000000000005</v>
      </c>
      <c r="E30" s="516">
        <f t="shared" si="39"/>
        <v>99.889351445524497</v>
      </c>
      <c r="F30" s="175">
        <v>611.5</v>
      </c>
      <c r="G30" s="517">
        <f t="shared" si="40"/>
        <v>99.979796284692597</v>
      </c>
      <c r="M30" s="8"/>
      <c r="O30" s="143" t="str">
        <f t="shared" si="31"/>
        <v>RW</v>
      </c>
      <c r="P30" s="375">
        <v>90</v>
      </c>
      <c r="Q30" s="376">
        <f t="shared" si="32"/>
        <v>0.14937759336099585</v>
      </c>
      <c r="R30" s="377">
        <v>85</v>
      </c>
      <c r="S30" s="378">
        <f t="shared" si="33"/>
        <v>0.11564625850340136</v>
      </c>
      <c r="T30" s="378">
        <v>80</v>
      </c>
      <c r="U30" s="378">
        <f t="shared" si="34"/>
        <v>0.1103448275862069</v>
      </c>
      <c r="V30" s="378">
        <v>53.75</v>
      </c>
      <c r="W30" s="378">
        <f t="shared" si="35"/>
        <v>0.11093338837005315</v>
      </c>
      <c r="X30" s="378">
        <v>76.25</v>
      </c>
      <c r="Y30" s="379">
        <f t="shared" si="36"/>
        <v>0.1105072463768116</v>
      </c>
      <c r="Z30" s="380">
        <v>78.75</v>
      </c>
      <c r="AA30" s="39">
        <f t="shared" si="37"/>
        <v>0.10918544194107452</v>
      </c>
    </row>
    <row r="31" spans="1:38" ht="14.25" customHeight="1" x14ac:dyDescent="0.3">
      <c r="A31" s="136" t="s">
        <v>17</v>
      </c>
      <c r="B31" s="188">
        <v>278.89999999999998</v>
      </c>
      <c r="C31" s="519">
        <f t="shared" si="38"/>
        <v>99.414211070311111</v>
      </c>
      <c r="D31" s="188">
        <v>287.5</v>
      </c>
      <c r="E31" s="520">
        <f t="shared" si="39"/>
        <v>96.312605531425035</v>
      </c>
      <c r="F31" s="188">
        <v>277.89999999999998</v>
      </c>
      <c r="G31" s="521">
        <f t="shared" si="40"/>
        <v>99.774862877158327</v>
      </c>
      <c r="H31" s="8"/>
      <c r="J31" s="8"/>
      <c r="O31" s="143" t="str">
        <f t="shared" si="31"/>
        <v>ETS</v>
      </c>
      <c r="P31" s="375">
        <v>90</v>
      </c>
      <c r="Q31" s="376">
        <f t="shared" si="32"/>
        <v>0.14937759336099585</v>
      </c>
      <c r="R31" s="377">
        <v>85</v>
      </c>
      <c r="S31" s="378">
        <f t="shared" si="33"/>
        <v>0.11564625850340136</v>
      </c>
      <c r="T31" s="378">
        <v>80</v>
      </c>
      <c r="U31" s="378">
        <f t="shared" si="34"/>
        <v>0.1103448275862069</v>
      </c>
      <c r="V31" s="378">
        <v>61.25</v>
      </c>
      <c r="W31" s="378">
        <f t="shared" si="35"/>
        <v>0.1264124658170373</v>
      </c>
      <c r="X31" s="378">
        <v>76.25</v>
      </c>
      <c r="Y31" s="379">
        <f t="shared" si="36"/>
        <v>0.1105072463768116</v>
      </c>
      <c r="Z31" s="380">
        <v>78.75</v>
      </c>
      <c r="AA31" s="39">
        <f t="shared" si="37"/>
        <v>0.10918544194107452</v>
      </c>
      <c r="AL31" s="230"/>
    </row>
    <row r="32" spans="1:38" ht="14.25" customHeight="1" x14ac:dyDescent="0.3">
      <c r="H32" s="8"/>
      <c r="J32" s="8"/>
      <c r="O32" s="180" t="str">
        <f>O21</f>
        <v>DynaMix</v>
      </c>
      <c r="P32" s="382">
        <v>80</v>
      </c>
      <c r="Q32" s="383">
        <f t="shared" si="32"/>
        <v>0.13278008298755187</v>
      </c>
      <c r="R32" s="384">
        <v>78.75</v>
      </c>
      <c r="S32" s="385">
        <f t="shared" si="33"/>
        <v>0.10714285714285714</v>
      </c>
      <c r="T32" s="385">
        <v>80</v>
      </c>
      <c r="U32" s="385">
        <f t="shared" si="34"/>
        <v>0.1103448275862069</v>
      </c>
      <c r="V32" s="385">
        <v>51.25</v>
      </c>
      <c r="W32" s="385">
        <f t="shared" si="35"/>
        <v>0.1057736958877251</v>
      </c>
      <c r="X32" s="385">
        <v>78.75</v>
      </c>
      <c r="Y32" s="386">
        <f t="shared" si="36"/>
        <v>0.11413043478260869</v>
      </c>
      <c r="Z32" s="387">
        <v>82.5</v>
      </c>
      <c r="AA32" s="92">
        <f t="shared" si="37"/>
        <v>0.11438474870017332</v>
      </c>
      <c r="AK32" s="2"/>
      <c r="AL32" s="230"/>
    </row>
    <row r="33" spans="1:42" ht="14.25" customHeight="1" x14ac:dyDescent="0.3">
      <c r="A33" s="202" t="str">
        <f>AC1</f>
        <v>AVR-4</v>
      </c>
      <c r="B33" s="1400">
        <f t="array" ref="B33">SUM(C27:C30/4)</f>
        <v>99.760580956734472</v>
      </c>
      <c r="C33" s="1400"/>
      <c r="D33" s="1401">
        <f t="array" ref="D33">SUM(E27:E30/4)</f>
        <v>99.786948432185227</v>
      </c>
      <c r="E33" s="1401"/>
      <c r="F33" s="1402">
        <f t="array" ref="F33">SUM(G27:G30/4)</f>
        <v>99.532894055995158</v>
      </c>
      <c r="G33" s="1402"/>
    </row>
    <row r="34" spans="1:42" ht="14.25" customHeight="1" x14ac:dyDescent="0.3">
      <c r="A34" s="211" t="str">
        <f>AD1</f>
        <v>AVR-6</v>
      </c>
      <c r="B34" s="1403">
        <f t="array" ref="B34">SUM(C26:C31/6)</f>
        <v>99.741387323632978</v>
      </c>
      <c r="C34" s="1403"/>
      <c r="D34" s="1404">
        <f t="array" ref="D34">SUM(E26:E31/6)</f>
        <v>99.24203138411913</v>
      </c>
      <c r="E34" s="1404"/>
      <c r="F34" s="1405">
        <f t="array" ref="F34">SUM(G26:G31/6)</f>
        <v>99.649704690947971</v>
      </c>
      <c r="G34" s="1405"/>
      <c r="O34" s="225" t="s">
        <v>42</v>
      </c>
    </row>
    <row r="35" spans="1:42" ht="14.25" customHeight="1" x14ac:dyDescent="0.3">
      <c r="AK35" s="2"/>
      <c r="AP35" s="2"/>
    </row>
    <row r="36" spans="1:42" ht="14.25" customHeight="1" x14ac:dyDescent="0.3">
      <c r="AK36" s="6"/>
      <c r="AP36" s="2"/>
    </row>
    <row r="37" spans="1:42" ht="14.25" customHeight="1" x14ac:dyDescent="0.3">
      <c r="Z37" s="6"/>
    </row>
    <row r="38" spans="1:42" ht="14.25" customHeight="1" x14ac:dyDescent="0.3">
      <c r="Z38" s="6"/>
    </row>
    <row r="39" spans="1:42" ht="14.25" customHeight="1" x14ac:dyDescent="0.3">
      <c r="Z39" s="6"/>
    </row>
    <row r="40" spans="1:42" ht="14.25" customHeight="1" x14ac:dyDescent="0.3">
      <c r="Z40" s="6"/>
    </row>
    <row r="41" spans="1:42" ht="14.25" customHeight="1" x14ac:dyDescent="0.3">
      <c r="Z41" s="6"/>
    </row>
    <row r="43" spans="1:42" ht="14.25" customHeight="1" x14ac:dyDescent="0.3">
      <c r="AD43" s="237"/>
    </row>
    <row r="44" spans="1:42" ht="14.25" customHeight="1" x14ac:dyDescent="0.3">
      <c r="AD44" s="237"/>
    </row>
    <row r="45" spans="1:42" ht="14.25" customHeight="1" x14ac:dyDescent="0.3">
      <c r="AD45" s="237"/>
    </row>
    <row r="46" spans="1:42" ht="14.25" customHeight="1" x14ac:dyDescent="0.3">
      <c r="AD46" s="237"/>
    </row>
  </sheetData>
  <mergeCells count="13">
    <mergeCell ref="AG10:AH10"/>
    <mergeCell ref="AG11:AH11"/>
    <mergeCell ref="D17:E17"/>
    <mergeCell ref="H17:I17"/>
    <mergeCell ref="B25:C25"/>
    <mergeCell ref="D25:E25"/>
    <mergeCell ref="F25:G25"/>
    <mergeCell ref="B33:C33"/>
    <mergeCell ref="D33:E33"/>
    <mergeCell ref="F33:G33"/>
    <mergeCell ref="B34:C34"/>
    <mergeCell ref="D34:E34"/>
    <mergeCell ref="F34:G34"/>
  </mergeCells>
  <hyperlinks>
    <hyperlink ref="O34" r:id="rId1" xr:uid="{00000000-0004-0000-0B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46"/>
  <sheetViews>
    <sheetView zoomScale="120" zoomScaleNormal="120" workbookViewId="0">
      <selection activeCell="M5" sqref="M5"/>
    </sheetView>
  </sheetViews>
  <sheetFormatPr defaultColWidth="8.77734375" defaultRowHeight="14.25" customHeight="1" x14ac:dyDescent="0.3"/>
  <cols>
    <col min="1" max="10" width="7.6640625" style="654" customWidth="1"/>
    <col min="11" max="12" width="2.33203125" style="654" customWidth="1"/>
    <col min="13" max="13" width="10.5546875" style="654" customWidth="1"/>
    <col min="14" max="14" width="2.33203125" style="654" customWidth="1"/>
    <col min="15" max="15" width="9" style="654" customWidth="1"/>
    <col min="16" max="16" width="5.44140625" style="655" customWidth="1"/>
    <col min="17" max="17" width="3.44140625" style="656" hidden="1" customWidth="1"/>
    <col min="18" max="18" width="5.44140625" style="655" customWidth="1"/>
    <col min="19" max="19" width="3.44140625" style="657" hidden="1" customWidth="1"/>
    <col min="20" max="20" width="5.44140625" style="655" customWidth="1"/>
    <col min="21" max="21" width="3.44140625" style="657" hidden="1" customWidth="1"/>
    <col min="22" max="22" width="5.44140625" style="655" customWidth="1"/>
    <col min="23" max="23" width="3.44140625" style="657" hidden="1" customWidth="1"/>
    <col min="24" max="24" width="5.44140625" style="655" customWidth="1"/>
    <col min="25" max="25" width="3.44140625" style="657" hidden="1" customWidth="1"/>
    <col min="26" max="26" width="5.44140625" style="655" customWidth="1"/>
    <col min="27" max="27" width="3.44140625" style="657" hidden="1" customWidth="1"/>
    <col min="28" max="28" width="2.33203125" style="654" customWidth="1"/>
    <col min="29" max="29" width="7.88671875" style="658" customWidth="1"/>
    <col min="30" max="30" width="7.88671875" style="659" customWidth="1"/>
    <col min="31" max="31" width="4.5546875" style="658" customWidth="1"/>
    <col min="32" max="32" width="2.33203125" style="658" customWidth="1"/>
    <col min="33" max="33" width="6.88671875" customWidth="1"/>
    <col min="34" max="34" width="7.88671875" customWidth="1"/>
    <col min="35" max="38" width="6.88671875" customWidth="1"/>
    <col min="16381" max="16384" width="13.44140625" customWidth="1"/>
  </cols>
  <sheetData>
    <row r="1" spans="1:38" ht="14.4" x14ac:dyDescent="0.3">
      <c r="A1" s="1" t="s">
        <v>0</v>
      </c>
      <c r="B1" s="9" t="s">
        <v>1</v>
      </c>
      <c r="C1" s="10" t="s">
        <v>2</v>
      </c>
      <c r="D1" s="628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O1" s="13" t="s">
        <v>11</v>
      </c>
      <c r="P1" s="316" t="s">
        <v>12</v>
      </c>
      <c r="Q1" s="660">
        <f>SUM(P2:P10)</f>
        <v>788.39912280701742</v>
      </c>
      <c r="R1" s="16" t="s">
        <v>13</v>
      </c>
      <c r="S1" s="661">
        <f>SUM(R2:R10)</f>
        <v>891.10486856965906</v>
      </c>
      <c r="T1" s="18" t="s">
        <v>14</v>
      </c>
      <c r="U1" s="661">
        <f>SUM(T2:T10)</f>
        <v>891.91062217362457</v>
      </c>
      <c r="V1" s="662" t="s">
        <v>15</v>
      </c>
      <c r="W1" s="661">
        <f>SUM(V2:V10)</f>
        <v>837.58591065292092</v>
      </c>
      <c r="X1" s="663" t="s">
        <v>16</v>
      </c>
      <c r="Y1" s="664">
        <f>SUM(X2:X10)</f>
        <v>884.7543511786738</v>
      </c>
      <c r="Z1" s="665" t="s">
        <v>17</v>
      </c>
      <c r="AA1" s="666">
        <f>SUM(Z2:Z10)</f>
        <v>888.31632840988607</v>
      </c>
      <c r="AB1" s="667"/>
      <c r="AC1" s="668" t="s">
        <v>18</v>
      </c>
      <c r="AD1" s="669" t="s">
        <v>19</v>
      </c>
    </row>
    <row r="2" spans="1:38" ht="14.4" x14ac:dyDescent="0.3">
      <c r="A2" s="26" t="s">
        <v>12</v>
      </c>
      <c r="B2" s="27">
        <v>4.12</v>
      </c>
      <c r="C2" s="629">
        <v>4.13</v>
      </c>
      <c r="D2" s="630">
        <v>3.77</v>
      </c>
      <c r="E2" s="28">
        <v>4.08</v>
      </c>
      <c r="F2" s="629">
        <v>4.1100000000000003</v>
      </c>
      <c r="G2" s="28">
        <v>0</v>
      </c>
      <c r="H2" s="318">
        <v>4.1158999999999999</v>
      </c>
      <c r="I2" s="318">
        <v>4.1162000000000001</v>
      </c>
      <c r="J2" s="29">
        <v>4.1500000000000004</v>
      </c>
      <c r="K2" s="654" t="s">
        <v>108</v>
      </c>
      <c r="M2" s="670" t="s">
        <v>114</v>
      </c>
      <c r="O2" s="319" t="str">
        <f>B1</f>
        <v>PyCaret</v>
      </c>
      <c r="P2" s="565">
        <f>100-ABS((($J13-B2)/($J13)))*100</f>
        <v>99.610136452241719</v>
      </c>
      <c r="Q2" s="671">
        <f t="shared" ref="Q2:Q10" si="0">P2/$Q$1</f>
        <v>0.12634480882930163</v>
      </c>
      <c r="R2" s="567">
        <f>100-ABS((($J14-B3)/($J14)))*100</f>
        <v>99.183897385708107</v>
      </c>
      <c r="S2" s="672">
        <f t="shared" ref="S2:S10" si="1">R2/$S$1</f>
        <v>0.11130440522102786</v>
      </c>
      <c r="T2" s="569">
        <f>100-ABS((($J15-B4)/($J15)))*100</f>
        <v>98.757833584230141</v>
      </c>
      <c r="U2" s="672">
        <f t="shared" ref="U2:U10" si="2">T2/$U$1</f>
        <v>0.11072615476150856</v>
      </c>
      <c r="V2" s="569">
        <f>100-ABS((($J16-B5)/($J16)))*100</f>
        <v>94.802405498281786</v>
      </c>
      <c r="W2" s="672">
        <f t="shared" ref="W2:W10" si="3">V2/$W$1</f>
        <v>0.113185291553413</v>
      </c>
      <c r="X2" s="570">
        <f>100-ABS((($J17-B6)/($J17)))*100</f>
        <v>99.03570762790855</v>
      </c>
      <c r="Y2" s="673">
        <f t="shared" ref="Y2:Y10" si="4">X2/$Y$1</f>
        <v>0.1119358243290612</v>
      </c>
      <c r="Z2" s="572">
        <f>100-ABS((($J18-B7)/($J18)))*100</f>
        <v>98.464031824376576</v>
      </c>
      <c r="AA2" s="674">
        <f t="shared" ref="AA2:AA10" si="5">Z2/$AA$1</f>
        <v>0.11084343344293836</v>
      </c>
      <c r="AB2" s="667"/>
      <c r="AC2" s="675">
        <f t="shared" ref="AC2:AC10" si="6">(R2+T2+V2+X2)/4</f>
        <v>97.944961024032153</v>
      </c>
      <c r="AD2" s="676">
        <f t="shared" ref="AD2:AD10" si="7">(P2+R2+T2+V2+X2+Z2)/6</f>
        <v>98.309002062124478</v>
      </c>
      <c r="AE2" s="677" t="str">
        <f>IF($AC2=MAX(AC2:AC10),"TOP","")</f>
        <v/>
      </c>
      <c r="AF2" s="678"/>
    </row>
    <row r="3" spans="1:38" ht="14.4" x14ac:dyDescent="0.3">
      <c r="A3" s="43" t="s">
        <v>13</v>
      </c>
      <c r="B3" s="526">
        <v>45868</v>
      </c>
      <c r="C3" s="527">
        <v>45972</v>
      </c>
      <c r="D3" s="631">
        <v>45433</v>
      </c>
      <c r="E3" s="527">
        <v>47449</v>
      </c>
      <c r="F3" s="527">
        <v>46362</v>
      </c>
      <c r="G3" s="527">
        <v>46545.18</v>
      </c>
      <c r="H3" s="527">
        <v>46235</v>
      </c>
      <c r="I3" s="527">
        <v>46361</v>
      </c>
      <c r="J3" s="528">
        <v>45341</v>
      </c>
      <c r="K3" s="654" t="s">
        <v>106</v>
      </c>
      <c r="O3" s="679" t="str">
        <f>C1</f>
        <v>ARIMAX</v>
      </c>
      <c r="P3" s="680">
        <f>100-ABS((($J13-C2)/($J13)))*100</f>
        <v>99.366471734892798</v>
      </c>
      <c r="Q3" s="681">
        <f t="shared" si="0"/>
        <v>0.12603574618539434</v>
      </c>
      <c r="R3" s="682">
        <f>100-ABS((($J14-C3)/($J14)))*100</f>
        <v>99.408784569106416</v>
      </c>
      <c r="S3" s="683">
        <f t="shared" si="1"/>
        <v>0.11155677415237406</v>
      </c>
      <c r="T3" s="684">
        <f>100-ABS((($J15-C4)/($J15)))*100</f>
        <v>99.727092918651877</v>
      </c>
      <c r="U3" s="683">
        <f t="shared" si="2"/>
        <v>0.11181287725401527</v>
      </c>
      <c r="V3" s="684">
        <f>100-ABS((($J16-C5)/($J16)))*100</f>
        <v>92.139175257731964</v>
      </c>
      <c r="W3" s="683">
        <f t="shared" si="3"/>
        <v>0.11000564131493924</v>
      </c>
      <c r="X3" s="685">
        <f>100-ABS((($J17-C6)/($J17)))*100</f>
        <v>99.371261036826127</v>
      </c>
      <c r="Y3" s="686">
        <f t="shared" si="4"/>
        <v>0.11231508599470946</v>
      </c>
      <c r="Z3" s="687">
        <f>100-ABS((($J18-C7)/($J18)))*100</f>
        <v>96.769678441194898</v>
      </c>
      <c r="AA3" s="674">
        <f t="shared" si="5"/>
        <v>0.1089360572876282</v>
      </c>
      <c r="AB3" s="667"/>
      <c r="AC3" s="688">
        <f t="shared" si="6"/>
        <v>97.661578445579096</v>
      </c>
      <c r="AD3" s="689">
        <f t="shared" si="7"/>
        <v>97.797077326400668</v>
      </c>
      <c r="AE3" s="677" t="str">
        <f>IF($AC3=MAX(AC2:AC10),"TOP","")</f>
        <v/>
      </c>
      <c r="AF3" s="678"/>
    </row>
    <row r="4" spans="1:38" ht="14.4" x14ac:dyDescent="0.3">
      <c r="A4" s="43" t="s">
        <v>14</v>
      </c>
      <c r="B4" s="529">
        <v>6685</v>
      </c>
      <c r="C4" s="530">
        <v>6621</v>
      </c>
      <c r="D4" s="632">
        <v>6647</v>
      </c>
      <c r="E4" s="530">
        <v>6736</v>
      </c>
      <c r="F4" s="530">
        <v>6683</v>
      </c>
      <c r="G4" s="530">
        <v>6629</v>
      </c>
      <c r="H4" s="530">
        <v>6644</v>
      </c>
      <c r="I4" s="530">
        <v>6649</v>
      </c>
      <c r="J4" s="531">
        <v>6539</v>
      </c>
      <c r="K4" s="654" t="s">
        <v>108</v>
      </c>
      <c r="O4" s="679" t="str">
        <f>D1</f>
        <v>PCE</v>
      </c>
      <c r="P4" s="680">
        <f>100-ABS((($J13-D2)/($J13)))*100</f>
        <v>91.861598440545805</v>
      </c>
      <c r="Q4" s="681">
        <f t="shared" si="0"/>
        <v>0.1165166167530497</v>
      </c>
      <c r="R4" s="682">
        <f>100-ABS((($J14-D3)/($J14)))*100</f>
        <v>98.243263493609419</v>
      </c>
      <c r="S4" s="683">
        <f t="shared" si="1"/>
        <v>0.11024882363318565</v>
      </c>
      <c r="T4" s="684">
        <f>100-ABS((($J15-D4)/($J15)))*100</f>
        <v>99.33333131404305</v>
      </c>
      <c r="U4" s="683">
        <f t="shared" si="2"/>
        <v>0.11137139624143443</v>
      </c>
      <c r="V4" s="684">
        <f>100-ABS((($J16-D5)/($J16)))*100</f>
        <v>93.771477663230243</v>
      </c>
      <c r="W4" s="683">
        <f t="shared" si="3"/>
        <v>0.11195445920303607</v>
      </c>
      <c r="X4" s="685">
        <f>100-ABS((($J17-D6)/($J17)))*100</f>
        <v>98.861152066703966</v>
      </c>
      <c r="Y4" s="686">
        <f t="shared" si="4"/>
        <v>0.11173853164440579</v>
      </c>
      <c r="Z4" s="687">
        <f>100-ABS((($J18-D7)/($J18)))*100</f>
        <v>99.429076577406164</v>
      </c>
      <c r="AA4" s="674">
        <f t="shared" si="5"/>
        <v>0.11192980855748459</v>
      </c>
      <c r="AB4" s="667"/>
      <c r="AC4" s="688">
        <f t="shared" si="6"/>
        <v>97.552306134396673</v>
      </c>
      <c r="AD4" s="689">
        <f t="shared" si="7"/>
        <v>96.916649925923096</v>
      </c>
      <c r="AE4" s="677" t="str">
        <f>IF($AC4=MAX(AC2:AC10),"TOP","")</f>
        <v/>
      </c>
      <c r="AF4" s="678"/>
    </row>
    <row r="5" spans="1:38" ht="14.4" x14ac:dyDescent="0.3">
      <c r="A5" s="43" t="s">
        <v>15</v>
      </c>
      <c r="B5" s="532">
        <v>22.07</v>
      </c>
      <c r="C5" s="533">
        <v>25.11</v>
      </c>
      <c r="D5" s="633">
        <v>24.73</v>
      </c>
      <c r="E5" s="533">
        <v>19.7</v>
      </c>
      <c r="F5" s="533">
        <v>24.23</v>
      </c>
      <c r="G5" s="533">
        <v>25</v>
      </c>
      <c r="H5" s="534">
        <v>24.58</v>
      </c>
      <c r="I5" s="534">
        <v>23.97</v>
      </c>
      <c r="J5" s="535">
        <v>25.08</v>
      </c>
      <c r="K5" s="654" t="s">
        <v>106</v>
      </c>
      <c r="M5" s="690" t="s">
        <v>115</v>
      </c>
      <c r="O5" s="679" t="str">
        <f>E1</f>
        <v>LSTM</v>
      </c>
      <c r="P5" s="680">
        <f>100-ABS((($J13-E2)/($J13)))*100</f>
        <v>99.415204678362571</v>
      </c>
      <c r="Q5" s="681">
        <f t="shared" si="0"/>
        <v>0.1260975587141758</v>
      </c>
      <c r="R5" s="682">
        <f>100-ABS((($J14-E3)/($J14)))*100</f>
        <v>97.397384951284906</v>
      </c>
      <c r="S5" s="683">
        <f t="shared" si="1"/>
        <v>0.10929957672391642</v>
      </c>
      <c r="T5" s="684">
        <f>100-ABS((($J15-E4)/($J15)))*100</f>
        <v>97.985455052112826</v>
      </c>
      <c r="U5" s="683">
        <f t="shared" si="2"/>
        <v>0.10986017277529228</v>
      </c>
      <c r="V5" s="684">
        <f>100-ABS((($J16-E5)/($J16)))*100</f>
        <v>84.621993127147761</v>
      </c>
      <c r="W5" s="683">
        <f t="shared" si="3"/>
        <v>0.10103082209344069</v>
      </c>
      <c r="X5" s="685">
        <f>100-ABS((($J17-E6)/($J17)))*100</f>
        <v>95.832697815513427</v>
      </c>
      <c r="Y5" s="686">
        <f t="shared" si="4"/>
        <v>0.1083155993387822</v>
      </c>
      <c r="Z5" s="687">
        <f>100-ABS((($J18-E7)/($J18)))*100</f>
        <v>99.145456554569236</v>
      </c>
      <c r="AA5" s="674">
        <f t="shared" si="5"/>
        <v>0.11161053037496529</v>
      </c>
      <c r="AB5" s="667"/>
      <c r="AC5" s="688">
        <f t="shared" si="6"/>
        <v>93.95938273651474</v>
      </c>
      <c r="AD5" s="689">
        <f t="shared" si="7"/>
        <v>95.73303202983179</v>
      </c>
      <c r="AE5" s="677" t="str">
        <f>IF($AC5=MAX(AC2:AC10),"TOP","")</f>
        <v/>
      </c>
      <c r="AF5" s="678"/>
    </row>
    <row r="6" spans="1:38" ht="14.4" x14ac:dyDescent="0.3">
      <c r="A6" s="43" t="s">
        <v>16</v>
      </c>
      <c r="B6" s="536">
        <v>584.38</v>
      </c>
      <c r="C6" s="537">
        <v>586.36</v>
      </c>
      <c r="D6" s="634">
        <v>596.79</v>
      </c>
      <c r="E6" s="537">
        <v>614.66</v>
      </c>
      <c r="F6" s="537">
        <v>604.35</v>
      </c>
      <c r="G6" s="537">
        <v>598.01</v>
      </c>
      <c r="H6" s="587">
        <v>599.35</v>
      </c>
      <c r="I6" s="587">
        <v>599.96</v>
      </c>
      <c r="J6" s="635">
        <v>582.21</v>
      </c>
      <c r="K6" s="654" t="s">
        <v>108</v>
      </c>
      <c r="O6" s="679" t="str">
        <f>F1</f>
        <v>GARCH</v>
      </c>
      <c r="P6" s="680">
        <f>100-ABS((($J13-F2)/($J13)))*100</f>
        <v>99.853801169590639</v>
      </c>
      <c r="Q6" s="681">
        <f t="shared" si="0"/>
        <v>0.12665387147320892</v>
      </c>
      <c r="R6" s="682">
        <f>100-ABS((($J14-F3)/($J14)))*100</f>
        <v>99.747888493149929</v>
      </c>
      <c r="S6" s="683">
        <f t="shared" si="1"/>
        <v>0.11193731738135204</v>
      </c>
      <c r="T6" s="684">
        <f>100-ABS((($J15-F4)/($J15)))*100</f>
        <v>98.788122938430817</v>
      </c>
      <c r="U6" s="683">
        <f t="shared" si="2"/>
        <v>0.11076011483939939</v>
      </c>
      <c r="V6" s="684">
        <f>100-ABS((($J16-F5)/($J16)))*100</f>
        <v>95.919243986254301</v>
      </c>
      <c r="W6" s="683">
        <f t="shared" si="3"/>
        <v>0.11451869326632136</v>
      </c>
      <c r="X6" s="685">
        <f>100-ABS((($J17-F6)/($J17)))*100</f>
        <v>97.579948141745902</v>
      </c>
      <c r="Y6" s="686">
        <f t="shared" si="4"/>
        <v>0.11029044164829419</v>
      </c>
      <c r="Z6" s="687">
        <f>100-ABS((($J18-F7)/($J18)))*100</f>
        <v>98.994438100850857</v>
      </c>
      <c r="AA6" s="674">
        <f t="shared" si="5"/>
        <v>0.1114405251089485</v>
      </c>
      <c r="AB6" s="667"/>
      <c r="AC6" s="688">
        <f t="shared" si="6"/>
        <v>98.008800889895227</v>
      </c>
      <c r="AD6" s="689">
        <f t="shared" si="7"/>
        <v>98.480573805003743</v>
      </c>
      <c r="AE6" s="677" t="str">
        <f>IF($AC6=MAX(AC2:AC10),"TOP","")</f>
        <v/>
      </c>
      <c r="AF6" s="678"/>
    </row>
    <row r="7" spans="1:38" ht="14.4" x14ac:dyDescent="0.3">
      <c r="A7" s="67" t="s">
        <v>17</v>
      </c>
      <c r="B7" s="68">
        <v>267.32</v>
      </c>
      <c r="C7" s="69">
        <v>262.72000000000003</v>
      </c>
      <c r="D7" s="636">
        <v>269.94</v>
      </c>
      <c r="E7" s="69">
        <v>269.17</v>
      </c>
      <c r="F7" s="69">
        <v>268.76</v>
      </c>
      <c r="G7" s="69">
        <v>271.33999999999997</v>
      </c>
      <c r="H7" s="589">
        <v>268.63</v>
      </c>
      <c r="I7" s="589">
        <v>268.63</v>
      </c>
      <c r="J7" s="637">
        <v>265.18</v>
      </c>
      <c r="K7" s="654" t="s">
        <v>106</v>
      </c>
      <c r="O7" s="679" t="str">
        <f>G1</f>
        <v>VAR</v>
      </c>
      <c r="P7" s="680">
        <f>100-ABS((($J13-G2)/($J13)))*100</f>
        <v>0</v>
      </c>
      <c r="Q7" s="681">
        <f t="shared" si="0"/>
        <v>0</v>
      </c>
      <c r="R7" s="682">
        <f>100-ABS((($J14-G3)/($J14)))*100</f>
        <v>99.35178431762202</v>
      </c>
      <c r="S7" s="683">
        <f t="shared" si="1"/>
        <v>0.11149280833477518</v>
      </c>
      <c r="T7" s="684">
        <f>100-ABS((($J15-G4)/($J15)))*100</f>
        <v>99.60593550184916</v>
      </c>
      <c r="U7" s="683">
        <f t="shared" si="2"/>
        <v>0.11167703694245193</v>
      </c>
      <c r="V7" s="684">
        <f>100-ABS((($J16-G5)/($J16)))*100</f>
        <v>92.611683848797256</v>
      </c>
      <c r="W7" s="683">
        <f t="shared" si="3"/>
        <v>0.110569772808862</v>
      </c>
      <c r="X7" s="685">
        <f>100-ABS((($J17-G6)/($J17)))*100</f>
        <v>98.654396935956754</v>
      </c>
      <c r="Y7" s="686">
        <f t="shared" si="4"/>
        <v>0.1115048451635518</v>
      </c>
      <c r="Z7" s="687">
        <f>100-ABS((($J18-G7)/($J18)))*100</f>
        <v>99.944749346200581</v>
      </c>
      <c r="AA7" s="674">
        <f t="shared" si="5"/>
        <v>0.11251031434388334</v>
      </c>
      <c r="AB7" s="667"/>
      <c r="AC7" s="688">
        <f t="shared" si="6"/>
        <v>97.555950151056294</v>
      </c>
      <c r="AD7" s="689">
        <f t="shared" si="7"/>
        <v>81.694758325070964</v>
      </c>
      <c r="AE7" s="677" t="str">
        <f>IF($AC7=MAX(AC2:AC10),"TOP","")</f>
        <v/>
      </c>
      <c r="AF7" s="678"/>
    </row>
    <row r="8" spans="1:38" ht="15" x14ac:dyDescent="0.3">
      <c r="M8" s="691" t="str">
        <f>IF(M10&lt;25,M24,IF(M10&lt;45,M25,IF(M10&lt;55,M26,IF(M10&lt;75,M27,M28))))</f>
        <v>Extreme Fear</v>
      </c>
      <c r="O8" s="679" t="str">
        <f>H1</f>
        <v>RW</v>
      </c>
      <c r="P8" s="680">
        <f>100-ABS((($J13-H2)/($J13)))*100</f>
        <v>99.710038986354775</v>
      </c>
      <c r="Q8" s="681">
        <f t="shared" si="0"/>
        <v>0.12647152451330362</v>
      </c>
      <c r="R8" s="682">
        <f>100-ABS((($J14-H3)/($J14)))*100</f>
        <v>99.977489657892534</v>
      </c>
      <c r="S8" s="683">
        <f t="shared" si="1"/>
        <v>0.11219497635375912</v>
      </c>
      <c r="T8" s="684">
        <f>100-ABS((($J15-H4)/($J15)))*100</f>
        <v>99.378765345344064</v>
      </c>
      <c r="U8" s="683">
        <f t="shared" si="2"/>
        <v>0.11142233635827067</v>
      </c>
      <c r="V8" s="684">
        <f>100-ABS((($J16-H5)/($J16)))*100</f>
        <v>94.415807560137466</v>
      </c>
      <c r="W8" s="683">
        <f t="shared" si="3"/>
        <v>0.11272372942202166</v>
      </c>
      <c r="X8" s="685">
        <f>100-ABS((($J17-H6)/($J17)))*100</f>
        <v>98.427305234972124</v>
      </c>
      <c r="Y8" s="686">
        <f t="shared" si="4"/>
        <v>0.11124817312720398</v>
      </c>
      <c r="Z8" s="687">
        <f>100-ABS((($J18-H7)/($J18)))*100</f>
        <v>98.94655420089137</v>
      </c>
      <c r="AA8" s="674">
        <f t="shared" si="5"/>
        <v>0.11138662100021147</v>
      </c>
      <c r="AB8" s="667"/>
      <c r="AC8" s="688">
        <f t="shared" si="6"/>
        <v>98.049841949586551</v>
      </c>
      <c r="AD8" s="689">
        <f t="shared" si="7"/>
        <v>98.475993497598722</v>
      </c>
      <c r="AE8" s="677" t="str">
        <f>IF($AC8=MAX(AC2:AC10),"TOP","")</f>
        <v/>
      </c>
      <c r="AF8" s="678"/>
      <c r="AG8" s="692"/>
      <c r="AH8" s="692"/>
      <c r="AI8" s="692"/>
      <c r="AJ8" s="692"/>
      <c r="AK8" s="692"/>
      <c r="AL8" s="692"/>
    </row>
    <row r="9" spans="1:38" ht="14.4" x14ac:dyDescent="0.3">
      <c r="B9" s="693" t="s">
        <v>42</v>
      </c>
      <c r="O9" s="679" t="str">
        <f>I1</f>
        <v>ETS</v>
      </c>
      <c r="P9" s="680">
        <f>100-ABS((($J13-I2)/($J13)))*100</f>
        <v>99.702729044834314</v>
      </c>
      <c r="Q9" s="681">
        <f t="shared" si="0"/>
        <v>0.12646225263398642</v>
      </c>
      <c r="R9" s="682">
        <f>100-ABS((($J14-I3)/($J14)))*100</f>
        <v>99.750050869913366</v>
      </c>
      <c r="S9" s="683">
        <f t="shared" si="1"/>
        <v>0.1119397440056919</v>
      </c>
      <c r="T9" s="684">
        <f>100-ABS((($J15-I4)/($J15)))*100</f>
        <v>99.303041959842361</v>
      </c>
      <c r="U9" s="683">
        <f t="shared" si="2"/>
        <v>0.11133743616354358</v>
      </c>
      <c r="V9" s="684">
        <f>100-ABS((($J16-I5)/($J16)))*100</f>
        <v>97.036082474226816</v>
      </c>
      <c r="W9" s="683">
        <f t="shared" si="3"/>
        <v>0.11585209497922973</v>
      </c>
      <c r="X9" s="685">
        <f>100-ABS((($J17-I6)/($J17)))*100</f>
        <v>98.323927669598518</v>
      </c>
      <c r="Y9" s="686">
        <f t="shared" si="4"/>
        <v>0.11113132988677697</v>
      </c>
      <c r="Z9" s="687">
        <f>100-ABS((($J18-I7)/($J18)))*100</f>
        <v>98.94655420089137</v>
      </c>
      <c r="AA9" s="674">
        <f t="shared" si="5"/>
        <v>0.11138662100021147</v>
      </c>
      <c r="AB9" s="667"/>
      <c r="AC9" s="688">
        <f t="shared" si="6"/>
        <v>98.603275743395258</v>
      </c>
      <c r="AD9" s="689">
        <f t="shared" si="7"/>
        <v>98.843731036551119</v>
      </c>
      <c r="AE9" s="677" t="str">
        <f>IF($AC9=MAX(AC2:AC10),"TOP","")</f>
        <v>TOP</v>
      </c>
      <c r="AF9" s="678"/>
    </row>
    <row r="10" spans="1:38" ht="14.4" x14ac:dyDescent="0.3">
      <c r="E10" s="694"/>
      <c r="M10" s="695">
        <v>11</v>
      </c>
      <c r="O10" s="696" t="str">
        <f>J1</f>
        <v>DynaMix</v>
      </c>
      <c r="P10" s="697">
        <f>100-ABS((($J13-J2)/($J13)))*100</f>
        <v>98.879142300194928</v>
      </c>
      <c r="Q10" s="698">
        <f t="shared" si="0"/>
        <v>0.12541762089757974</v>
      </c>
      <c r="R10" s="699">
        <f>100-ABS((($J14-J3)/($J14)))*100</f>
        <v>98.04432483137245</v>
      </c>
      <c r="S10" s="700">
        <f t="shared" si="1"/>
        <v>0.11002557419391787</v>
      </c>
      <c r="T10" s="701">
        <f>100-ABS((($J15-J4)/($J15)))*100</f>
        <v>99.031043559120278</v>
      </c>
      <c r="U10" s="700">
        <f t="shared" si="2"/>
        <v>0.1110324746640839</v>
      </c>
      <c r="V10" s="702">
        <f>100-ABS((($J16-J5)/($J16)))*100</f>
        <v>92.268041237113408</v>
      </c>
      <c r="W10" s="700">
        <f t="shared" si="3"/>
        <v>0.11015949535873636</v>
      </c>
      <c r="X10" s="703">
        <f>100-ABS((($J17-J6)/($J17)))*100</f>
        <v>98.667954649448362</v>
      </c>
      <c r="Y10" s="704">
        <f t="shared" si="4"/>
        <v>0.11152016886721434</v>
      </c>
      <c r="Z10" s="705">
        <f>100-ABS((($J18-J7)/($J18)))*100</f>
        <v>97.675789163505101</v>
      </c>
      <c r="AA10" s="706">
        <f t="shared" si="5"/>
        <v>0.10995608888372885</v>
      </c>
      <c r="AC10" s="707">
        <f t="shared" si="6"/>
        <v>97.00284106926361</v>
      </c>
      <c r="AD10" s="708">
        <f t="shared" si="7"/>
        <v>97.427715956792426</v>
      </c>
      <c r="AE10" s="677" t="str">
        <f>IF($AC10=MAX(AC2:AC10),"TOP","")</f>
        <v/>
      </c>
    </row>
    <row r="11" spans="1:38" ht="14.4" x14ac:dyDescent="0.3">
      <c r="Q11" s="657"/>
    </row>
    <row r="12" spans="1:38" ht="14.4" x14ac:dyDescent="0.3">
      <c r="B12" s="258" t="s">
        <v>22</v>
      </c>
      <c r="C12" s="709" t="s">
        <v>31</v>
      </c>
      <c r="D12" s="710"/>
      <c r="E12" s="711">
        <v>85220</v>
      </c>
      <c r="F12" s="712"/>
      <c r="G12" s="711" t="s">
        <v>32</v>
      </c>
      <c r="H12" s="713"/>
      <c r="I12" s="714" t="s">
        <v>116</v>
      </c>
      <c r="J12" s="596" t="s">
        <v>25</v>
      </c>
      <c r="O12" s="715" t="s">
        <v>28</v>
      </c>
      <c r="P12" s="716" t="s">
        <v>12</v>
      </c>
      <c r="Q12" s="717">
        <f>SUM(P13:P21)</f>
        <v>615</v>
      </c>
      <c r="R12" s="718" t="s">
        <v>13</v>
      </c>
      <c r="S12" s="719">
        <f>SUM(R13:R21)</f>
        <v>705</v>
      </c>
      <c r="T12" s="720" t="s">
        <v>14</v>
      </c>
      <c r="U12" s="719">
        <f>SUM(T13:T21)</f>
        <v>695</v>
      </c>
      <c r="V12" s="720" t="s">
        <v>15</v>
      </c>
      <c r="W12" s="719">
        <f>SUM(V13:V21)</f>
        <v>262</v>
      </c>
      <c r="X12" s="720" t="s">
        <v>16</v>
      </c>
      <c r="Y12" s="664">
        <f>SUM(X13:X21)</f>
        <v>595</v>
      </c>
      <c r="Z12" s="721" t="s">
        <v>17</v>
      </c>
      <c r="AA12" s="666">
        <f>SUM(Z13:Z21)</f>
        <v>635</v>
      </c>
      <c r="AB12" s="667"/>
      <c r="AC12" s="668" t="s">
        <v>29</v>
      </c>
      <c r="AD12" s="722" t="s">
        <v>30</v>
      </c>
      <c r="AG12" s="723" t="str">
        <f>P1</f>
        <v>TNX</v>
      </c>
      <c r="AH12" s="724" t="str">
        <f>R1</f>
        <v>DJI</v>
      </c>
      <c r="AI12" s="725" t="str">
        <f>T1</f>
        <v>SPX</v>
      </c>
      <c r="AJ12" s="724" t="str">
        <f>V1</f>
        <v>VIX</v>
      </c>
      <c r="AK12" s="725" t="str">
        <f>X1</f>
        <v>QQQ</v>
      </c>
      <c r="AL12" s="722" t="str">
        <f>Z1</f>
        <v>AAPL</v>
      </c>
    </row>
    <row r="13" spans="1:38" ht="14.4" x14ac:dyDescent="0.3">
      <c r="A13" s="76" t="s">
        <v>12</v>
      </c>
      <c r="B13" s="726">
        <v>4.1230000000000002</v>
      </c>
      <c r="C13" s="727">
        <v>4.1399999999999997</v>
      </c>
      <c r="D13" s="728" t="str">
        <f t="shared" ref="D13:D18" si="8">IF(ABS(J13-I13)&lt;ABS(C13-J13),$I$12,$C$12)</f>
        <v>Comb</v>
      </c>
      <c r="E13" s="727">
        <v>4.1500000000000004</v>
      </c>
      <c r="F13" s="728" t="str">
        <f t="shared" ref="F13:F18" si="9">IF(ABS(J13-I13)&lt;ABS(J13-E13),$I$12,$E$12)</f>
        <v>Comb</v>
      </c>
      <c r="G13" s="727">
        <v>4.12</v>
      </c>
      <c r="H13" s="729" t="str">
        <f t="shared" ref="H13:H18" si="10">IF(ABS(I13-J13)&lt;ABS(J13-G13),$I$12,$G$12)</f>
        <v>Comb</v>
      </c>
      <c r="I13" s="730">
        <f>(B2*Q24)+(C2*Q25)+(D2*Q26)+(E2*Q27)+(F2*Q28)+(G2*Q29)+(H2*Q30)+(I2*Q31)+(J2*Q32)</f>
        <v>4.113111304347826</v>
      </c>
      <c r="J13" s="461">
        <v>4.1040000000000001</v>
      </c>
      <c r="O13" s="127" t="str">
        <f t="shared" ref="O13:O21" si="11">O2</f>
        <v>PyCaret</v>
      </c>
      <c r="P13" s="731">
        <f t="shared" ref="P13:P21" si="12">IF(P2=0,0, LOOKUP(P2-0.000000000001,$AC$13:$AC$29,$AD$13:$AD$29))</f>
        <v>90</v>
      </c>
      <c r="Q13" s="732">
        <f t="shared" ref="Q13:Q21" si="13">P13/$Q$12</f>
        <v>0.14634146341463414</v>
      </c>
      <c r="R13" s="733">
        <f t="shared" ref="R13:R21" si="14">IF(R2=0,0, LOOKUP(R2-0.000000000001,$AC$13:$AC$29,$AD$13:$AD$29))</f>
        <v>75</v>
      </c>
      <c r="S13" s="734">
        <f t="shared" ref="S13:S21" si="15">R13/$S$12</f>
        <v>0.10638297872340426</v>
      </c>
      <c r="T13" s="735">
        <f t="shared" ref="T13:T21" si="16">IF(T2=0,0, LOOKUP(T2-0.000000000001,$AC$13:$AC$29,$AD$13:$AD$29))</f>
        <v>70</v>
      </c>
      <c r="U13" s="734">
        <f t="shared" ref="U13:U21" si="17">T13/$U$12</f>
        <v>0.10071942446043165</v>
      </c>
      <c r="V13" s="735">
        <f t="shared" ref="V13:V21" si="18">IF(V2=0,0, LOOKUP(V2-0.000000000001,$AC$13:$AC$29,$AD$13:$AD$29))</f>
        <v>30</v>
      </c>
      <c r="W13" s="734">
        <f t="shared" ref="W13:W21" si="19">V13/$W$12</f>
        <v>0.11450381679389313</v>
      </c>
      <c r="X13" s="735">
        <f t="shared" ref="X13:X21" si="20">IF(X2=0,0, LOOKUP(X2-0.000000000001,$AC$13:$AC$29,$AD$13:$AD$29))</f>
        <v>75</v>
      </c>
      <c r="Y13" s="736">
        <f t="shared" ref="Y13:Y21" si="21">X13/$Y$12</f>
        <v>0.12605042016806722</v>
      </c>
      <c r="Z13" s="737">
        <f t="shared" ref="Z13:Z21" si="22">IF(Z2=0,0, LOOKUP(Z2-0.000000000001,$AC$13:$AC$29,$AD$13:$AD$29))</f>
        <v>65</v>
      </c>
      <c r="AA13" s="738">
        <f t="shared" ref="AA13:AA21" si="23">Z13/$AA$12</f>
        <v>0.10236220472440945</v>
      </c>
      <c r="AB13" s="667"/>
      <c r="AC13" s="675">
        <v>1</v>
      </c>
      <c r="AD13" s="739">
        <v>0.1</v>
      </c>
      <c r="AG13" s="740">
        <f>(B2*Q24)+(C2*Q25)+(D2*Q26)+(E2*Q27)+(F2*Q28)+(G2*Q29)+(H2*Q30)+(I2*Q31)+(J2*Q32)</f>
        <v>4.113111304347826</v>
      </c>
      <c r="AH13" s="741">
        <f>(B3*S24)+(C3*S25)+(D3*S26)+(E3*S27)+(F3*S28)+(G3*S29)+(H3*S30)+(I3*S31)+(J3*S32)</f>
        <v>46179.883921568617</v>
      </c>
      <c r="AI13" s="742">
        <f>(B4*U24)+(C4*U25)+(D4*U26)+(E4*U27)+(F4*U28)+(G4*U29)+(H4*U30)+(I4*U31)+(J4*U32)</f>
        <v>6648.5192307692314</v>
      </c>
      <c r="AJ13" s="743">
        <f>(B5*W24)+(C5*W25)+(D5*W26)+(E5*W27)+(F5*W28)+(G5*W29)+(H5*W30)+(I5*W31)+(J5*W32)</f>
        <v>24.297924528301884</v>
      </c>
      <c r="AK13" s="742">
        <f>(B6*Y24)+(C6*Y25)+(D6*Y26)+(E6*Y27)+(F6*Y28)+(G6*Y29)+(H6*Y30)+(I6*Y31)+(J6*Y32)</f>
        <v>595.2725974025974</v>
      </c>
      <c r="AL13" s="744">
        <f>(B7*AA24)+(C7*AA25)+(D7*AA26)+(E7*AA27)+(F7*AA28)+(G7*AA29)+(H7*AA30)+(I7*AA31)+(J7*AA32)</f>
        <v>267.92546666666669</v>
      </c>
    </row>
    <row r="14" spans="1:38" ht="14.4" x14ac:dyDescent="0.3">
      <c r="A14" s="163" t="s">
        <v>13</v>
      </c>
      <c r="B14" s="745">
        <v>46091.74</v>
      </c>
      <c r="C14" s="746">
        <v>45433</v>
      </c>
      <c r="D14" s="747" t="str">
        <f t="shared" si="8"/>
        <v>Comb</v>
      </c>
      <c r="E14" s="746">
        <v>45341</v>
      </c>
      <c r="F14" s="747" t="str">
        <f t="shared" si="9"/>
        <v>Comb</v>
      </c>
      <c r="G14" s="746">
        <v>45970</v>
      </c>
      <c r="H14" s="748" t="str">
        <f t="shared" si="10"/>
        <v>Comb</v>
      </c>
      <c r="I14" s="749">
        <f>(B3*S24)+(C3*S25)+(D3*S26)+(E3*S27)+(F3*S28)+(G3*S29)+(H3*S30)+(I3*S31)+(J3*S32)</f>
        <v>46179.883921568617</v>
      </c>
      <c r="J14" s="750">
        <v>46245.41</v>
      </c>
      <c r="O14" s="143" t="str">
        <f t="shared" si="11"/>
        <v>ARIMAX</v>
      </c>
      <c r="P14" s="751">
        <f t="shared" si="12"/>
        <v>80</v>
      </c>
      <c r="Q14" s="752">
        <f t="shared" si="13"/>
        <v>0.13008130081300814</v>
      </c>
      <c r="R14" s="753">
        <f t="shared" si="14"/>
        <v>80</v>
      </c>
      <c r="S14" s="754">
        <f t="shared" si="15"/>
        <v>0.11347517730496454</v>
      </c>
      <c r="T14" s="755">
        <f t="shared" si="16"/>
        <v>90</v>
      </c>
      <c r="U14" s="754">
        <f t="shared" si="17"/>
        <v>0.12949640287769784</v>
      </c>
      <c r="V14" s="755">
        <f t="shared" si="18"/>
        <v>20</v>
      </c>
      <c r="W14" s="754">
        <f t="shared" si="19"/>
        <v>7.6335877862595422E-2</v>
      </c>
      <c r="X14" s="755">
        <f t="shared" si="20"/>
        <v>80</v>
      </c>
      <c r="Y14" s="756">
        <f t="shared" si="21"/>
        <v>0.13445378151260504</v>
      </c>
      <c r="Z14" s="757">
        <f t="shared" si="22"/>
        <v>50</v>
      </c>
      <c r="AA14" s="738">
        <f t="shared" si="23"/>
        <v>7.874015748031496E-2</v>
      </c>
      <c r="AB14" s="667"/>
      <c r="AC14" s="688">
        <v>80</v>
      </c>
      <c r="AD14" s="758">
        <v>1</v>
      </c>
      <c r="AG14" s="759">
        <f>J13-I13</f>
        <v>-9.1113043478259215E-3</v>
      </c>
      <c r="AH14" s="760">
        <f>J14-I14</f>
        <v>65.52607843138685</v>
      </c>
      <c r="AI14" s="761">
        <f>J15-I15</f>
        <v>-45.539230769231835</v>
      </c>
      <c r="AJ14" s="760">
        <f>J16-I16</f>
        <v>-1.017924528301883</v>
      </c>
      <c r="AK14" s="761">
        <f>J17-I17</f>
        <v>-5.2025974025973483</v>
      </c>
      <c r="AL14" s="762">
        <f>J18-I18</f>
        <v>3.5645333333333156</v>
      </c>
    </row>
    <row r="15" spans="1:38" ht="14.4" x14ac:dyDescent="0.3">
      <c r="A15" s="43" t="s">
        <v>14</v>
      </c>
      <c r="B15" s="763">
        <v>6617.32</v>
      </c>
      <c r="C15" s="764">
        <v>6539</v>
      </c>
      <c r="D15" s="765" t="str">
        <f t="shared" si="8"/>
        <v>Comb</v>
      </c>
      <c r="E15" s="764">
        <v>6573</v>
      </c>
      <c r="F15" s="765">
        <f t="shared" si="9"/>
        <v>85220</v>
      </c>
      <c r="G15" s="764">
        <v>6579</v>
      </c>
      <c r="H15" s="766" t="str">
        <f t="shared" si="10"/>
        <v>MICH</v>
      </c>
      <c r="I15" s="767">
        <f>(B4*U24)+(C4*U25)+(D4*U26)+(E4*U27)+(F4*U28)+(G4*U29)+(H4*U30)+(I4*U31)+(J4*U32)</f>
        <v>6648.5192307692314</v>
      </c>
      <c r="J15" s="768">
        <v>6602.98</v>
      </c>
      <c r="O15" s="143" t="str">
        <f t="shared" si="11"/>
        <v>PCE</v>
      </c>
      <c r="P15" s="751">
        <f t="shared" si="12"/>
        <v>20</v>
      </c>
      <c r="Q15" s="752">
        <f t="shared" si="13"/>
        <v>3.2520325203252036E-2</v>
      </c>
      <c r="R15" s="753">
        <f t="shared" si="14"/>
        <v>65</v>
      </c>
      <c r="S15" s="754">
        <f t="shared" si="15"/>
        <v>9.2198581560283682E-2</v>
      </c>
      <c r="T15" s="755">
        <f t="shared" si="16"/>
        <v>80</v>
      </c>
      <c r="U15" s="754">
        <f t="shared" si="17"/>
        <v>0.11510791366906475</v>
      </c>
      <c r="V15" s="755">
        <f t="shared" si="18"/>
        <v>30</v>
      </c>
      <c r="W15" s="754">
        <f t="shared" si="19"/>
        <v>0.11450381679389313</v>
      </c>
      <c r="X15" s="755">
        <f t="shared" si="20"/>
        <v>70</v>
      </c>
      <c r="Y15" s="756">
        <f t="shared" si="21"/>
        <v>0.11764705882352941</v>
      </c>
      <c r="Z15" s="757">
        <f t="shared" si="22"/>
        <v>80</v>
      </c>
      <c r="AA15" s="738">
        <f t="shared" si="23"/>
        <v>0.12598425196850394</v>
      </c>
      <c r="AB15" s="667"/>
      <c r="AC15" s="688">
        <v>82.5</v>
      </c>
      <c r="AD15" s="758">
        <v>2</v>
      </c>
      <c r="AG15" s="769">
        <f t="shared" ref="AG15:AL15" si="24">ABS(AG14/AG13)</f>
        <v>2.2151854578296194E-3</v>
      </c>
      <c r="AH15" s="770">
        <f t="shared" si="24"/>
        <v>1.4189312069877783E-3</v>
      </c>
      <c r="AI15" s="771">
        <f t="shared" si="24"/>
        <v>6.8495298259012424E-3</v>
      </c>
      <c r="AJ15" s="770">
        <f t="shared" si="24"/>
        <v>4.1893476420844858E-2</v>
      </c>
      <c r="AK15" s="771">
        <f t="shared" si="24"/>
        <v>8.7398570424680657E-3</v>
      </c>
      <c r="AL15" s="772">
        <f t="shared" si="24"/>
        <v>1.3304197535533446E-2</v>
      </c>
    </row>
    <row r="16" spans="1:38" ht="15.6" x14ac:dyDescent="0.3">
      <c r="A16" s="43" t="s">
        <v>15</v>
      </c>
      <c r="B16" s="763">
        <v>24.69</v>
      </c>
      <c r="C16" s="764">
        <v>25.11</v>
      </c>
      <c r="D16" s="765" t="str">
        <f t="shared" si="8"/>
        <v>Comb</v>
      </c>
      <c r="E16" s="764">
        <v>25.66</v>
      </c>
      <c r="F16" s="765" t="str">
        <f t="shared" si="9"/>
        <v>Comb</v>
      </c>
      <c r="G16" s="764">
        <v>24.24</v>
      </c>
      <c r="H16" s="766" t="str">
        <f t="shared" si="10"/>
        <v>MICH</v>
      </c>
      <c r="I16" s="773">
        <f>(B5*W24)+(C5*W25)+(D5*W26)+(E5*W27)+(F5*W28)+(G5*W29)+(H5*W30)+(I5*W31)+(J5*W32)</f>
        <v>24.297924528301884</v>
      </c>
      <c r="J16" s="768">
        <v>23.28</v>
      </c>
      <c r="O16" s="143" t="str">
        <f t="shared" si="11"/>
        <v>LSTM</v>
      </c>
      <c r="P16" s="751">
        <f t="shared" si="12"/>
        <v>80</v>
      </c>
      <c r="Q16" s="752">
        <f t="shared" si="13"/>
        <v>0.13008130081300814</v>
      </c>
      <c r="R16" s="753">
        <f t="shared" si="14"/>
        <v>60</v>
      </c>
      <c r="S16" s="754">
        <f t="shared" si="15"/>
        <v>8.5106382978723402E-2</v>
      </c>
      <c r="T16" s="755">
        <f t="shared" si="16"/>
        <v>60</v>
      </c>
      <c r="U16" s="754">
        <f t="shared" si="17"/>
        <v>8.6330935251798566E-2</v>
      </c>
      <c r="V16" s="755">
        <f t="shared" si="18"/>
        <v>2</v>
      </c>
      <c r="W16" s="754">
        <f t="shared" si="19"/>
        <v>7.6335877862595417E-3</v>
      </c>
      <c r="X16" s="755">
        <f t="shared" si="20"/>
        <v>40</v>
      </c>
      <c r="Y16" s="756">
        <f t="shared" si="21"/>
        <v>6.7226890756302518E-2</v>
      </c>
      <c r="Z16" s="757">
        <f t="shared" si="22"/>
        <v>75</v>
      </c>
      <c r="AA16" s="738">
        <f t="shared" si="23"/>
        <v>0.11811023622047244</v>
      </c>
      <c r="AB16" s="667"/>
      <c r="AC16" s="688">
        <v>85</v>
      </c>
      <c r="AD16" s="758">
        <v>5</v>
      </c>
      <c r="AG16" s="774" t="str">
        <f>IF(J13&lt;B13,"↓","↑")</f>
        <v>↓</v>
      </c>
      <c r="AH16" s="774" t="str">
        <f>IF(J14&lt;B14,"↓","↑")</f>
        <v>↑</v>
      </c>
      <c r="AI16" s="774" t="str">
        <f>IF(J15&lt;B15,"↓","↑")</f>
        <v>↓</v>
      </c>
      <c r="AJ16" s="774" t="str">
        <f>IF(J16&lt;B16,"↓","↑")</f>
        <v>↓</v>
      </c>
      <c r="AK16" s="774" t="str">
        <f>IF(J17&lt;B17,"↓","↑")</f>
        <v>↓</v>
      </c>
      <c r="AL16" s="774" t="str">
        <f>IF(J18&lt;B18,"↓","↑")</f>
        <v>↑</v>
      </c>
    </row>
    <row r="17" spans="1:38" ht="14.4" x14ac:dyDescent="0.3">
      <c r="A17" s="174" t="s">
        <v>16</v>
      </c>
      <c r="B17" s="775">
        <v>596.30999999999995</v>
      </c>
      <c r="C17" s="776">
        <v>587.20000000000005</v>
      </c>
      <c r="D17" s="777" t="str">
        <f t="shared" si="8"/>
        <v>RD</v>
      </c>
      <c r="E17" s="776">
        <v>588.5</v>
      </c>
      <c r="F17" s="777">
        <f t="shared" si="9"/>
        <v>85220</v>
      </c>
      <c r="G17" s="776">
        <v>596.1</v>
      </c>
      <c r="H17" s="778" t="str">
        <f t="shared" si="10"/>
        <v>Comb</v>
      </c>
      <c r="I17" s="779">
        <f>(B6*Y24)+(C6*Y25)+(D6*Y26)+(E6*Y27)+(F6*Y28)+(G6*Y29)+(H6*Y30)+(I6*Y31)+(J6*Y32)</f>
        <v>595.2725974025974</v>
      </c>
      <c r="J17" s="780">
        <v>590.07000000000005</v>
      </c>
      <c r="O17" s="143" t="str">
        <f t="shared" si="11"/>
        <v>GARCH</v>
      </c>
      <c r="P17" s="751">
        <f t="shared" si="12"/>
        <v>95</v>
      </c>
      <c r="Q17" s="752">
        <f t="shared" si="13"/>
        <v>0.15447154471544716</v>
      </c>
      <c r="R17" s="753">
        <f t="shared" si="14"/>
        <v>90</v>
      </c>
      <c r="S17" s="754">
        <f t="shared" si="15"/>
        <v>0.1276595744680851</v>
      </c>
      <c r="T17" s="755">
        <f t="shared" si="16"/>
        <v>70</v>
      </c>
      <c r="U17" s="754">
        <f t="shared" si="17"/>
        <v>0.10071942446043165</v>
      </c>
      <c r="V17" s="755">
        <f t="shared" si="18"/>
        <v>40</v>
      </c>
      <c r="W17" s="754">
        <f t="shared" si="19"/>
        <v>0.15267175572519084</v>
      </c>
      <c r="X17" s="755">
        <f t="shared" si="20"/>
        <v>60</v>
      </c>
      <c r="Y17" s="756">
        <f t="shared" si="21"/>
        <v>0.10084033613445378</v>
      </c>
      <c r="Z17" s="757">
        <f t="shared" si="22"/>
        <v>70</v>
      </c>
      <c r="AA17" s="738">
        <f t="shared" si="23"/>
        <v>0.11023622047244094</v>
      </c>
      <c r="AB17" s="667"/>
      <c r="AC17" s="688">
        <v>87.5</v>
      </c>
      <c r="AD17" s="758">
        <v>10</v>
      </c>
      <c r="AG17" s="239"/>
      <c r="AH17" s="658"/>
      <c r="AI17" s="239"/>
      <c r="AJ17" s="658"/>
      <c r="AK17" s="658"/>
      <c r="AL17" s="658"/>
    </row>
    <row r="18" spans="1:38" ht="14.4" x14ac:dyDescent="0.3">
      <c r="A18" s="136" t="s">
        <v>17</v>
      </c>
      <c r="B18" s="781">
        <v>267.44</v>
      </c>
      <c r="C18" s="782">
        <v>265.5</v>
      </c>
      <c r="D18" s="783" t="str">
        <f t="shared" si="8"/>
        <v>Comb</v>
      </c>
      <c r="E18" s="782">
        <v>265.2</v>
      </c>
      <c r="F18" s="783" t="str">
        <f t="shared" si="9"/>
        <v>Comb</v>
      </c>
      <c r="G18" s="782">
        <v>268.8</v>
      </c>
      <c r="H18" s="784" t="str">
        <f t="shared" si="10"/>
        <v>MICH</v>
      </c>
      <c r="I18" s="785">
        <f>(B7*AA24)+(C7*AA25)+(D7*AA26)+(E7*AA27)+(F7*AA28)+(G7*AA29)+(H7*AA30)+(I7*AA31)+(J7*AA32)</f>
        <v>267.92546666666669</v>
      </c>
      <c r="J18" s="786">
        <v>271.49</v>
      </c>
      <c r="O18" s="143" t="str">
        <f t="shared" si="11"/>
        <v>VAR</v>
      </c>
      <c r="P18" s="751">
        <f t="shared" si="12"/>
        <v>0</v>
      </c>
      <c r="Q18" s="752">
        <f t="shared" si="13"/>
        <v>0</v>
      </c>
      <c r="R18" s="753">
        <f t="shared" si="14"/>
        <v>80</v>
      </c>
      <c r="S18" s="754">
        <f t="shared" si="15"/>
        <v>0.11347517730496454</v>
      </c>
      <c r="T18" s="755">
        <f t="shared" si="16"/>
        <v>90</v>
      </c>
      <c r="U18" s="754">
        <f t="shared" si="17"/>
        <v>0.12949640287769784</v>
      </c>
      <c r="V18" s="755">
        <f t="shared" si="18"/>
        <v>30</v>
      </c>
      <c r="W18" s="754">
        <f t="shared" si="19"/>
        <v>0.11450381679389313</v>
      </c>
      <c r="X18" s="755">
        <f t="shared" si="20"/>
        <v>70</v>
      </c>
      <c r="Y18" s="756">
        <f t="shared" si="21"/>
        <v>0.11764705882352941</v>
      </c>
      <c r="Z18" s="757">
        <f t="shared" si="22"/>
        <v>95</v>
      </c>
      <c r="AA18" s="738">
        <f t="shared" si="23"/>
        <v>0.14960629921259844</v>
      </c>
      <c r="AB18" s="667"/>
      <c r="AC18" s="688">
        <v>90</v>
      </c>
      <c r="AD18" s="758">
        <v>20</v>
      </c>
      <c r="AF18" s="658">
        <v>7</v>
      </c>
      <c r="AG18" s="787">
        <f>B13</f>
        <v>4.1230000000000002</v>
      </c>
      <c r="AH18" s="788">
        <f>B14</f>
        <v>46091.74</v>
      </c>
      <c r="AI18" s="788">
        <f>B15</f>
        <v>6617.32</v>
      </c>
      <c r="AJ18" s="789">
        <f>B16</f>
        <v>24.69</v>
      </c>
      <c r="AK18" s="788">
        <f>B17</f>
        <v>596.30999999999995</v>
      </c>
      <c r="AL18" s="790">
        <f>B18</f>
        <v>267.44</v>
      </c>
    </row>
    <row r="19" spans="1:38" ht="14.4" x14ac:dyDescent="0.3">
      <c r="O19" s="143" t="str">
        <f t="shared" si="11"/>
        <v>RW</v>
      </c>
      <c r="P19" s="751">
        <f t="shared" si="12"/>
        <v>90</v>
      </c>
      <c r="Q19" s="752">
        <f t="shared" si="13"/>
        <v>0.14634146341463414</v>
      </c>
      <c r="R19" s="753">
        <f t="shared" si="14"/>
        <v>95</v>
      </c>
      <c r="S19" s="754">
        <f t="shared" si="15"/>
        <v>0.13475177304964539</v>
      </c>
      <c r="T19" s="755">
        <f t="shared" si="16"/>
        <v>80</v>
      </c>
      <c r="U19" s="754">
        <f t="shared" si="17"/>
        <v>0.11510791366906475</v>
      </c>
      <c r="V19" s="755">
        <f t="shared" si="18"/>
        <v>30</v>
      </c>
      <c r="W19" s="754">
        <f t="shared" si="19"/>
        <v>0.11450381679389313</v>
      </c>
      <c r="X19" s="755">
        <f t="shared" si="20"/>
        <v>65</v>
      </c>
      <c r="Y19" s="756">
        <f t="shared" si="21"/>
        <v>0.1092436974789916</v>
      </c>
      <c r="Z19" s="757">
        <f t="shared" si="22"/>
        <v>70</v>
      </c>
      <c r="AA19" s="738">
        <f t="shared" si="23"/>
        <v>0.11023622047244094</v>
      </c>
      <c r="AB19" s="667"/>
      <c r="AC19" s="688">
        <v>92.5</v>
      </c>
      <c r="AD19" s="758">
        <v>30</v>
      </c>
      <c r="AG19" s="791" t="str">
        <f t="shared" ref="AG19:AL19" si="25">AG16</f>
        <v>↓</v>
      </c>
      <c r="AH19" s="792" t="str">
        <f t="shared" si="25"/>
        <v>↑</v>
      </c>
      <c r="AI19" s="792" t="str">
        <f t="shared" si="25"/>
        <v>↓</v>
      </c>
      <c r="AJ19" s="792" t="str">
        <f t="shared" si="25"/>
        <v>↓</v>
      </c>
      <c r="AK19" s="792" t="str">
        <f t="shared" si="25"/>
        <v>↓</v>
      </c>
      <c r="AL19" s="793" t="str">
        <f t="shared" si="25"/>
        <v>↑</v>
      </c>
    </row>
    <row r="20" spans="1:38" ht="14.4" x14ac:dyDescent="0.3">
      <c r="O20" s="143" t="str">
        <f t="shared" si="11"/>
        <v>ETS</v>
      </c>
      <c r="P20" s="751">
        <f t="shared" si="12"/>
        <v>90</v>
      </c>
      <c r="Q20" s="752">
        <f t="shared" si="13"/>
        <v>0.14634146341463414</v>
      </c>
      <c r="R20" s="753">
        <f t="shared" si="14"/>
        <v>95</v>
      </c>
      <c r="S20" s="754">
        <f t="shared" si="15"/>
        <v>0.13475177304964539</v>
      </c>
      <c r="T20" s="755">
        <f t="shared" si="16"/>
        <v>80</v>
      </c>
      <c r="U20" s="754">
        <f t="shared" si="17"/>
        <v>0.11510791366906475</v>
      </c>
      <c r="V20" s="755">
        <f t="shared" si="18"/>
        <v>60</v>
      </c>
      <c r="W20" s="754">
        <f t="shared" si="19"/>
        <v>0.22900763358778625</v>
      </c>
      <c r="X20" s="755">
        <f t="shared" si="20"/>
        <v>65</v>
      </c>
      <c r="Y20" s="756">
        <f t="shared" si="21"/>
        <v>0.1092436974789916</v>
      </c>
      <c r="Z20" s="757">
        <f t="shared" si="22"/>
        <v>70</v>
      </c>
      <c r="AA20" s="738">
        <f t="shared" si="23"/>
        <v>0.11023622047244094</v>
      </c>
      <c r="AC20" s="688">
        <v>95</v>
      </c>
      <c r="AD20" s="758">
        <v>40</v>
      </c>
      <c r="AF20" s="658">
        <v>8</v>
      </c>
      <c r="AG20" s="794">
        <f>J13</f>
        <v>4.1040000000000001</v>
      </c>
      <c r="AH20" s="795">
        <f>J14</f>
        <v>46245.41</v>
      </c>
      <c r="AI20" s="795">
        <f>J15</f>
        <v>6602.98</v>
      </c>
      <c r="AJ20" s="796">
        <f>J16</f>
        <v>23.28</v>
      </c>
      <c r="AK20" s="795">
        <f>J17</f>
        <v>590.07000000000005</v>
      </c>
      <c r="AL20" s="797">
        <f>J18</f>
        <v>271.49</v>
      </c>
    </row>
    <row r="21" spans="1:38" ht="14.4" x14ac:dyDescent="0.3">
      <c r="O21" s="180" t="str">
        <f t="shared" si="11"/>
        <v>DynaMix</v>
      </c>
      <c r="P21" s="798">
        <f t="shared" si="12"/>
        <v>70</v>
      </c>
      <c r="Q21" s="799">
        <f t="shared" si="13"/>
        <v>0.11382113821138211</v>
      </c>
      <c r="R21" s="800">
        <f t="shared" si="14"/>
        <v>65</v>
      </c>
      <c r="S21" s="801">
        <f t="shared" si="15"/>
        <v>9.2198581560283682E-2</v>
      </c>
      <c r="T21" s="802">
        <f t="shared" si="16"/>
        <v>75</v>
      </c>
      <c r="U21" s="801">
        <f t="shared" si="17"/>
        <v>0.1079136690647482</v>
      </c>
      <c r="V21" s="802">
        <f t="shared" si="18"/>
        <v>20</v>
      </c>
      <c r="W21" s="801">
        <f t="shared" si="19"/>
        <v>7.6335877862595422E-2</v>
      </c>
      <c r="X21" s="802">
        <f t="shared" si="20"/>
        <v>70</v>
      </c>
      <c r="Y21" s="803">
        <f t="shared" si="21"/>
        <v>0.11764705882352941</v>
      </c>
      <c r="Z21" s="804">
        <f t="shared" si="22"/>
        <v>60</v>
      </c>
      <c r="AA21" s="805">
        <f t="shared" si="23"/>
        <v>9.4488188976377951E-2</v>
      </c>
      <c r="AB21" s="667"/>
      <c r="AC21" s="688">
        <v>96</v>
      </c>
      <c r="AD21" s="758">
        <v>50</v>
      </c>
    </row>
    <row r="22" spans="1:38" ht="14.4" x14ac:dyDescent="0.3">
      <c r="J22" s="806"/>
      <c r="Q22" s="657"/>
      <c r="AC22" s="688">
        <v>97</v>
      </c>
      <c r="AD22" s="758">
        <v>60</v>
      </c>
    </row>
    <row r="23" spans="1:38" ht="14.4" x14ac:dyDescent="0.3">
      <c r="B23" s="24" t="s">
        <v>31</v>
      </c>
      <c r="C23" s="725">
        <v>85220</v>
      </c>
      <c r="D23" s="725" t="s">
        <v>32</v>
      </c>
      <c r="E23" s="807" t="s">
        <v>116</v>
      </c>
      <c r="G23" s="808" t="s">
        <v>33</v>
      </c>
      <c r="J23" s="809"/>
      <c r="L23" s="810" t="s">
        <v>43</v>
      </c>
      <c r="O23" s="715" t="s">
        <v>40</v>
      </c>
      <c r="P23" s="811" t="s">
        <v>12</v>
      </c>
      <c r="Q23" s="812">
        <f>SUM(P24:P32)</f>
        <v>575</v>
      </c>
      <c r="R23" s="813" t="s">
        <v>13</v>
      </c>
      <c r="S23" s="814">
        <f>SUM(R24:R32)</f>
        <v>765</v>
      </c>
      <c r="T23" s="815" t="s">
        <v>14</v>
      </c>
      <c r="U23" s="814">
        <f>SUM(T24:T32)</f>
        <v>780</v>
      </c>
      <c r="V23" s="815" t="s">
        <v>15</v>
      </c>
      <c r="W23" s="814">
        <f>SUM(V24:V32)</f>
        <v>530</v>
      </c>
      <c r="X23" s="815" t="s">
        <v>16</v>
      </c>
      <c r="Y23" s="816">
        <f>SUM(X24:X32)</f>
        <v>770</v>
      </c>
      <c r="Z23" s="817" t="s">
        <v>17</v>
      </c>
      <c r="AA23" s="666">
        <f>SUM(Z24:Z32)</f>
        <v>750</v>
      </c>
      <c r="AB23" s="667"/>
      <c r="AC23" s="688">
        <v>98</v>
      </c>
      <c r="AD23" s="758">
        <v>65</v>
      </c>
    </row>
    <row r="24" spans="1:38" ht="14.4" x14ac:dyDescent="0.3">
      <c r="A24" s="76" t="s">
        <v>12</v>
      </c>
      <c r="B24" s="818">
        <f t="shared" ref="B24:B29" si="26">100-ABS(($J13-C13)/($J13))*100</f>
        <v>99.122807017543863</v>
      </c>
      <c r="C24" s="819">
        <f t="shared" ref="C24:C29" si="27">100-ABS(($J13-E13)/($J13))*100</f>
        <v>98.879142300194928</v>
      </c>
      <c r="D24" s="819">
        <f t="shared" ref="D24:D29" si="28">100-ABS(($J13-G13)/($J13))*100</f>
        <v>99.610136452241719</v>
      </c>
      <c r="E24" s="820">
        <f t="shared" ref="E24:E29" si="29">100-ABS((($J13-I13)/($J13)))*100</f>
        <v>99.77798966014069</v>
      </c>
      <c r="G24" s="581" t="s">
        <v>12</v>
      </c>
      <c r="H24" s="821" t="s">
        <v>34</v>
      </c>
      <c r="I24" s="822">
        <f>MAX(P2:P10)</f>
        <v>99.853801169590639</v>
      </c>
      <c r="J24" s="809"/>
      <c r="L24" s="823">
        <v>0</v>
      </c>
      <c r="M24" s="824" t="s">
        <v>44</v>
      </c>
      <c r="O24" s="127" t="str">
        <f t="shared" ref="O24:O31" si="30">O2</f>
        <v>PyCaret</v>
      </c>
      <c r="P24" s="369">
        <v>50</v>
      </c>
      <c r="Q24" s="825">
        <f t="shared" ref="Q24:Q32" si="31">P24/$Q$23</f>
        <v>8.6956521739130432E-2</v>
      </c>
      <c r="R24" s="826">
        <v>90</v>
      </c>
      <c r="S24" s="827">
        <f t="shared" ref="S24:S32" si="32">R24/$S$23</f>
        <v>0.11764705882352941</v>
      </c>
      <c r="T24" s="827">
        <v>90</v>
      </c>
      <c r="U24" s="827">
        <f t="shared" ref="U24:U32" si="33">T24/$U$23</f>
        <v>0.11538461538461539</v>
      </c>
      <c r="V24" s="827">
        <v>50</v>
      </c>
      <c r="W24" s="827">
        <f t="shared" ref="W24:W32" si="34">V24/$W$23</f>
        <v>9.4339622641509441E-2</v>
      </c>
      <c r="X24" s="827">
        <v>90</v>
      </c>
      <c r="Y24" s="828">
        <f t="shared" ref="Y24:Y32" si="35">X24/$Y$23</f>
        <v>0.11688311688311688</v>
      </c>
      <c r="Z24" s="374">
        <v>90</v>
      </c>
      <c r="AA24" s="674">
        <f t="shared" ref="AA24:AA32" si="36">Z24/$AA$23</f>
        <v>0.12</v>
      </c>
      <c r="AB24" s="667"/>
      <c r="AC24" s="688">
        <v>98.5</v>
      </c>
      <c r="AD24" s="758">
        <v>70</v>
      </c>
    </row>
    <row r="25" spans="1:38" ht="14.4" x14ac:dyDescent="0.3">
      <c r="A25" s="163" t="s">
        <v>13</v>
      </c>
      <c r="B25" s="829">
        <f t="shared" si="26"/>
        <v>98.243263493609419</v>
      </c>
      <c r="C25" s="830">
        <f t="shared" si="27"/>
        <v>98.04432483137245</v>
      </c>
      <c r="D25" s="830">
        <f t="shared" si="28"/>
        <v>99.404459815579528</v>
      </c>
      <c r="E25" s="831">
        <f t="shared" si="29"/>
        <v>99.858307930600276</v>
      </c>
      <c r="G25" s="583" t="s">
        <v>13</v>
      </c>
      <c r="H25" s="832" t="s">
        <v>35</v>
      </c>
      <c r="I25" s="833">
        <f>MAX(R2:R10)</f>
        <v>99.977489657892534</v>
      </c>
      <c r="J25" s="809"/>
      <c r="L25" s="823">
        <v>25</v>
      </c>
      <c r="M25" s="824" t="s">
        <v>45</v>
      </c>
      <c r="O25" s="143" t="str">
        <f t="shared" si="30"/>
        <v>ARIMAX</v>
      </c>
      <c r="P25" s="375">
        <v>90</v>
      </c>
      <c r="Q25" s="834">
        <f t="shared" si="31"/>
        <v>0.15652173913043479</v>
      </c>
      <c r="R25" s="835">
        <v>90</v>
      </c>
      <c r="S25" s="836">
        <f t="shared" si="32"/>
        <v>0.11764705882352941</v>
      </c>
      <c r="T25" s="836">
        <v>90</v>
      </c>
      <c r="U25" s="836">
        <f t="shared" si="33"/>
        <v>0.11538461538461539</v>
      </c>
      <c r="V25" s="836">
        <v>50</v>
      </c>
      <c r="W25" s="836">
        <f t="shared" si="34"/>
        <v>9.4339622641509441E-2</v>
      </c>
      <c r="X25" s="836">
        <v>90</v>
      </c>
      <c r="Y25" s="837">
        <f t="shared" si="35"/>
        <v>0.11688311688311688</v>
      </c>
      <c r="Z25" s="380">
        <v>70</v>
      </c>
      <c r="AA25" s="674">
        <f t="shared" si="36"/>
        <v>9.3333333333333338E-2</v>
      </c>
      <c r="AB25" s="667"/>
      <c r="AC25" s="688">
        <v>99</v>
      </c>
      <c r="AD25" s="758">
        <v>75</v>
      </c>
    </row>
    <row r="26" spans="1:38" ht="14.4" x14ac:dyDescent="0.3">
      <c r="A26" s="43" t="s">
        <v>14</v>
      </c>
      <c r="B26" s="838">
        <f t="shared" si="26"/>
        <v>99.031043559120278</v>
      </c>
      <c r="C26" s="839">
        <f t="shared" si="27"/>
        <v>99.545962580531821</v>
      </c>
      <c r="D26" s="839">
        <f t="shared" si="28"/>
        <v>99.636830643133862</v>
      </c>
      <c r="E26" s="840">
        <f t="shared" si="29"/>
        <v>99.310323054602136</v>
      </c>
      <c r="G26" s="585" t="s">
        <v>14</v>
      </c>
      <c r="H26" s="841" t="s">
        <v>36</v>
      </c>
      <c r="I26" s="842">
        <f>MAX(T2:T10)</f>
        <v>99.727092918651877</v>
      </c>
      <c r="J26" s="809"/>
      <c r="L26" s="823">
        <v>45</v>
      </c>
      <c r="M26" s="824" t="s">
        <v>46</v>
      </c>
      <c r="O26" s="143" t="str">
        <f t="shared" si="30"/>
        <v>PCE</v>
      </c>
      <c r="P26" s="375">
        <v>5</v>
      </c>
      <c r="Q26" s="834">
        <f t="shared" si="31"/>
        <v>8.6956521739130436E-3</v>
      </c>
      <c r="R26" s="835">
        <v>75</v>
      </c>
      <c r="S26" s="836">
        <f t="shared" si="32"/>
        <v>9.8039215686274508E-2</v>
      </c>
      <c r="T26" s="836">
        <v>90</v>
      </c>
      <c r="U26" s="836">
        <f t="shared" si="33"/>
        <v>0.11538461538461539</v>
      </c>
      <c r="V26" s="836">
        <v>75</v>
      </c>
      <c r="W26" s="836">
        <f t="shared" si="34"/>
        <v>0.14150943396226415</v>
      </c>
      <c r="X26" s="836">
        <v>90</v>
      </c>
      <c r="Y26" s="837">
        <f t="shared" si="35"/>
        <v>0.11688311688311688</v>
      </c>
      <c r="Z26" s="380">
        <v>90</v>
      </c>
      <c r="AA26" s="674">
        <f t="shared" si="36"/>
        <v>0.12</v>
      </c>
      <c r="AB26" s="667"/>
      <c r="AC26" s="688">
        <v>99.25</v>
      </c>
      <c r="AD26" s="758">
        <v>80</v>
      </c>
    </row>
    <row r="27" spans="1:38" ht="14.4" x14ac:dyDescent="0.3">
      <c r="A27" s="43" t="s">
        <v>15</v>
      </c>
      <c r="B27" s="838">
        <f t="shared" si="26"/>
        <v>92.139175257731964</v>
      </c>
      <c r="C27" s="839">
        <f t="shared" si="27"/>
        <v>89.776632302405503</v>
      </c>
      <c r="D27" s="839">
        <f t="shared" si="28"/>
        <v>95.876288659793829</v>
      </c>
      <c r="E27" s="840">
        <f t="shared" si="29"/>
        <v>95.627471957466142</v>
      </c>
      <c r="G27" s="585" t="s">
        <v>15</v>
      </c>
      <c r="H27" s="841" t="s">
        <v>37</v>
      </c>
      <c r="I27" s="842">
        <f>MAX(V2:V10)</f>
        <v>97.036082474226816</v>
      </c>
      <c r="J27" s="806"/>
      <c r="L27" s="823">
        <v>55</v>
      </c>
      <c r="M27" s="824" t="s">
        <v>47</v>
      </c>
      <c r="O27" s="143" t="str">
        <f t="shared" si="30"/>
        <v>LSTM</v>
      </c>
      <c r="P27" s="381">
        <v>90</v>
      </c>
      <c r="Q27" s="834">
        <f t="shared" si="31"/>
        <v>0.15652173913043479</v>
      </c>
      <c r="R27" s="835">
        <v>75</v>
      </c>
      <c r="S27" s="836">
        <f t="shared" si="32"/>
        <v>9.8039215686274508E-2</v>
      </c>
      <c r="T27" s="836">
        <v>75</v>
      </c>
      <c r="U27" s="836">
        <f t="shared" si="33"/>
        <v>9.6153846153846159E-2</v>
      </c>
      <c r="V27" s="836">
        <v>5</v>
      </c>
      <c r="W27" s="836">
        <f t="shared" si="34"/>
        <v>9.433962264150943E-3</v>
      </c>
      <c r="X27" s="836">
        <v>50</v>
      </c>
      <c r="Y27" s="837">
        <f t="shared" si="35"/>
        <v>6.4935064935064929E-2</v>
      </c>
      <c r="Z27" s="380">
        <v>90</v>
      </c>
      <c r="AA27" s="674">
        <f t="shared" si="36"/>
        <v>0.12</v>
      </c>
      <c r="AB27" s="667"/>
      <c r="AC27" s="688">
        <v>99.5</v>
      </c>
      <c r="AD27" s="758">
        <v>90</v>
      </c>
      <c r="AG27" s="654"/>
    </row>
    <row r="28" spans="1:38" ht="14.25" customHeight="1" x14ac:dyDescent="0.3">
      <c r="A28" s="174" t="s">
        <v>16</v>
      </c>
      <c r="B28" s="843">
        <f t="shared" si="26"/>
        <v>99.513617028488142</v>
      </c>
      <c r="C28" s="844">
        <f t="shared" si="27"/>
        <v>99.733929872726961</v>
      </c>
      <c r="D28" s="844">
        <f t="shared" si="28"/>
        <v>98.978087345569179</v>
      </c>
      <c r="E28" s="845">
        <f t="shared" si="29"/>
        <v>99.118308437541756</v>
      </c>
      <c r="G28" s="591" t="s">
        <v>16</v>
      </c>
      <c r="H28" s="846" t="s">
        <v>36</v>
      </c>
      <c r="I28" s="847">
        <f>MAX(X2:X10)</f>
        <v>99.371261036826127</v>
      </c>
      <c r="L28" s="823">
        <v>75</v>
      </c>
      <c r="M28" s="824" t="s">
        <v>48</v>
      </c>
      <c r="O28" s="143" t="str">
        <f t="shared" si="30"/>
        <v>GARCH</v>
      </c>
      <c r="P28" s="375">
        <v>90</v>
      </c>
      <c r="Q28" s="834">
        <f t="shared" si="31"/>
        <v>0.15652173913043479</v>
      </c>
      <c r="R28" s="835">
        <v>90</v>
      </c>
      <c r="S28" s="836">
        <f t="shared" si="32"/>
        <v>0.11764705882352941</v>
      </c>
      <c r="T28" s="836">
        <v>90</v>
      </c>
      <c r="U28" s="836">
        <f t="shared" si="33"/>
        <v>0.11538461538461539</v>
      </c>
      <c r="V28" s="836">
        <v>90</v>
      </c>
      <c r="W28" s="836">
        <f t="shared" si="34"/>
        <v>0.16981132075471697</v>
      </c>
      <c r="X28" s="836">
        <v>90</v>
      </c>
      <c r="Y28" s="837">
        <f t="shared" si="35"/>
        <v>0.11688311688311688</v>
      </c>
      <c r="Z28" s="380">
        <v>90</v>
      </c>
      <c r="AA28" s="674">
        <f t="shared" si="36"/>
        <v>0.12</v>
      </c>
      <c r="AB28" s="667"/>
      <c r="AC28" s="688">
        <v>99.75</v>
      </c>
      <c r="AD28" s="758">
        <v>95</v>
      </c>
      <c r="AG28" s="654"/>
    </row>
    <row r="29" spans="1:38" ht="14.25" customHeight="1" x14ac:dyDescent="0.3">
      <c r="A29" s="136" t="s">
        <v>17</v>
      </c>
      <c r="B29" s="848">
        <f t="shared" si="26"/>
        <v>97.793657224943829</v>
      </c>
      <c r="C29" s="849">
        <f t="shared" si="27"/>
        <v>97.683155917345019</v>
      </c>
      <c r="D29" s="849">
        <f t="shared" si="28"/>
        <v>99.009171608530707</v>
      </c>
      <c r="E29" s="850">
        <f t="shared" si="29"/>
        <v>98.687048018957114</v>
      </c>
      <c r="G29" s="593" t="s">
        <v>17</v>
      </c>
      <c r="H29" s="851" t="s">
        <v>38</v>
      </c>
      <c r="I29" s="852">
        <f>MAX(Z2:Z10)</f>
        <v>99.944749346200581</v>
      </c>
      <c r="J29" s="853"/>
      <c r="O29" s="143" t="str">
        <f t="shared" si="30"/>
        <v>VAR</v>
      </c>
      <c r="P29" s="381">
        <v>0</v>
      </c>
      <c r="Q29" s="834">
        <f t="shared" si="31"/>
        <v>0</v>
      </c>
      <c r="R29" s="835">
        <v>90</v>
      </c>
      <c r="S29" s="836">
        <f t="shared" si="32"/>
        <v>0.11764705882352941</v>
      </c>
      <c r="T29" s="836">
        <v>90</v>
      </c>
      <c r="U29" s="836">
        <f t="shared" si="33"/>
        <v>0.11538461538461539</v>
      </c>
      <c r="V29" s="836">
        <v>50</v>
      </c>
      <c r="W29" s="836">
        <f t="shared" si="34"/>
        <v>9.4339622641509441E-2</v>
      </c>
      <c r="X29" s="836">
        <v>90</v>
      </c>
      <c r="Y29" s="837">
        <f t="shared" si="35"/>
        <v>0.11688311688311688</v>
      </c>
      <c r="Z29" s="380">
        <v>50</v>
      </c>
      <c r="AA29" s="674">
        <f t="shared" si="36"/>
        <v>6.6666666666666666E-2</v>
      </c>
      <c r="AB29" s="667"/>
      <c r="AC29" s="707">
        <v>99.99</v>
      </c>
      <c r="AD29" s="854">
        <v>100</v>
      </c>
    </row>
    <row r="30" spans="1:38" ht="14.25" customHeight="1" x14ac:dyDescent="0.3">
      <c r="C30" s="658"/>
      <c r="D30" s="658"/>
      <c r="E30" s="658"/>
      <c r="F30" s="658"/>
      <c r="J30" s="855"/>
      <c r="O30" s="143" t="str">
        <f t="shared" si="30"/>
        <v>RW</v>
      </c>
      <c r="P30" s="375">
        <v>90</v>
      </c>
      <c r="Q30" s="834">
        <f t="shared" si="31"/>
        <v>0.15652173913043479</v>
      </c>
      <c r="R30" s="835">
        <v>90</v>
      </c>
      <c r="S30" s="836">
        <f t="shared" si="32"/>
        <v>0.11764705882352941</v>
      </c>
      <c r="T30" s="836">
        <v>90</v>
      </c>
      <c r="U30" s="836">
        <f t="shared" si="33"/>
        <v>0.11538461538461539</v>
      </c>
      <c r="V30" s="836">
        <v>75</v>
      </c>
      <c r="W30" s="836">
        <f t="shared" si="34"/>
        <v>0.14150943396226415</v>
      </c>
      <c r="X30" s="836">
        <v>90</v>
      </c>
      <c r="Y30" s="837">
        <f t="shared" si="35"/>
        <v>0.11688311688311688</v>
      </c>
      <c r="Z30" s="380">
        <v>90</v>
      </c>
      <c r="AA30" s="674">
        <f t="shared" si="36"/>
        <v>0.12</v>
      </c>
    </row>
    <row r="31" spans="1:38" ht="14.25" customHeight="1" x14ac:dyDescent="0.3">
      <c r="A31" s="856" t="str">
        <f>AC1</f>
        <v>AVR-4</v>
      </c>
      <c r="B31" s="857">
        <f t="array" ref="B31">SUM(B25:B28/4)</f>
        <v>97.23177483473745</v>
      </c>
      <c r="C31" s="858">
        <f t="array" ref="C31">SUM(C25:C28/4)</f>
        <v>96.775212396759187</v>
      </c>
      <c r="D31" s="858">
        <f t="array" ref="D31">SUM(D25:D28/4)</f>
        <v>98.473916616019096</v>
      </c>
      <c r="E31" s="859">
        <f t="array" ref="E31">SUM(E25:E28/4)</f>
        <v>98.478602845052578</v>
      </c>
      <c r="G31" s="1408" t="s">
        <v>39</v>
      </c>
      <c r="H31" s="1408"/>
      <c r="I31" s="859">
        <f>AVERAGE(I25:I28)</f>
        <v>99.027981521899335</v>
      </c>
      <c r="O31" s="143" t="str">
        <f t="shared" si="30"/>
        <v>ETS</v>
      </c>
      <c r="P31" s="375">
        <v>90</v>
      </c>
      <c r="Q31" s="834">
        <f t="shared" si="31"/>
        <v>0.15652173913043479</v>
      </c>
      <c r="R31" s="835">
        <v>90</v>
      </c>
      <c r="S31" s="836">
        <f t="shared" si="32"/>
        <v>0.11764705882352941</v>
      </c>
      <c r="T31" s="836">
        <v>90</v>
      </c>
      <c r="U31" s="836">
        <f t="shared" si="33"/>
        <v>0.11538461538461539</v>
      </c>
      <c r="V31" s="836">
        <v>85</v>
      </c>
      <c r="W31" s="836">
        <f t="shared" si="34"/>
        <v>0.16037735849056603</v>
      </c>
      <c r="X31" s="836">
        <v>90</v>
      </c>
      <c r="Y31" s="837">
        <f t="shared" si="35"/>
        <v>0.11688311688311688</v>
      </c>
      <c r="Z31" s="380">
        <v>90</v>
      </c>
      <c r="AA31" s="674">
        <f t="shared" si="36"/>
        <v>0.12</v>
      </c>
    </row>
    <row r="32" spans="1:38" ht="14.25" customHeight="1" x14ac:dyDescent="0.3">
      <c r="A32" s="860" t="str">
        <f>AD1</f>
        <v>AVR-6</v>
      </c>
      <c r="B32" s="861">
        <f t="array" ref="B32">SUM(B24:B29/6)</f>
        <v>97.640593930239589</v>
      </c>
      <c r="C32" s="862">
        <f t="array" ref="C32">SUM(C24:C29/6)</f>
        <v>97.27719130076278</v>
      </c>
      <c r="D32" s="862">
        <f t="array" ref="D32">SUM(D24:D29/6)</f>
        <v>98.752495754141478</v>
      </c>
      <c r="E32" s="863">
        <f t="array" ref="E32">SUM(E24:E29/6)</f>
        <v>98.729908176551348</v>
      </c>
      <c r="G32" s="1409" t="s">
        <v>41</v>
      </c>
      <c r="H32" s="1409"/>
      <c r="I32" s="863">
        <f>AVERAGE(I24:I29)</f>
        <v>99.318412767231436</v>
      </c>
      <c r="O32" s="180" t="str">
        <f>O21</f>
        <v>DynaMix</v>
      </c>
      <c r="P32" s="382">
        <v>70</v>
      </c>
      <c r="Q32" s="864">
        <f t="shared" si="31"/>
        <v>0.12173913043478261</v>
      </c>
      <c r="R32" s="865">
        <v>75</v>
      </c>
      <c r="S32" s="866">
        <f t="shared" si="32"/>
        <v>9.8039215686274508E-2</v>
      </c>
      <c r="T32" s="866">
        <v>75</v>
      </c>
      <c r="U32" s="866">
        <f t="shared" si="33"/>
        <v>9.6153846153846159E-2</v>
      </c>
      <c r="V32" s="866">
        <v>50</v>
      </c>
      <c r="W32" s="866">
        <f t="shared" si="34"/>
        <v>9.4339622641509441E-2</v>
      </c>
      <c r="X32" s="866">
        <v>90</v>
      </c>
      <c r="Y32" s="867">
        <f t="shared" si="35"/>
        <v>0.11688311688311688</v>
      </c>
      <c r="Z32" s="387">
        <v>90</v>
      </c>
      <c r="AA32" s="706">
        <f t="shared" si="36"/>
        <v>0.12</v>
      </c>
    </row>
    <row r="37" spans="26:30" ht="14.25" customHeight="1" x14ac:dyDescent="0.3">
      <c r="Z37" s="658"/>
    </row>
    <row r="38" spans="26:30" ht="14.25" customHeight="1" x14ac:dyDescent="0.3">
      <c r="Z38" s="658"/>
    </row>
    <row r="39" spans="26:30" ht="14.25" customHeight="1" x14ac:dyDescent="0.3">
      <c r="Z39" s="658"/>
    </row>
    <row r="40" spans="26:30" ht="14.25" customHeight="1" x14ac:dyDescent="0.3">
      <c r="Z40" s="658"/>
    </row>
    <row r="41" spans="26:30" ht="14.25" customHeight="1" x14ac:dyDescent="0.3">
      <c r="Z41" s="658"/>
    </row>
    <row r="43" spans="26:30" ht="14.25" customHeight="1" x14ac:dyDescent="0.3">
      <c r="AD43" s="868"/>
    </row>
    <row r="44" spans="26:30" ht="14.25" customHeight="1" x14ac:dyDescent="0.3">
      <c r="AD44" s="868"/>
    </row>
    <row r="45" spans="26:30" ht="14.25" customHeight="1" x14ac:dyDescent="0.3">
      <c r="AD45" s="868"/>
    </row>
    <row r="46" spans="26:30" ht="14.25" customHeight="1" x14ac:dyDescent="0.3">
      <c r="AD46" s="868"/>
    </row>
  </sheetData>
  <mergeCells count="2">
    <mergeCell ref="G31:H31"/>
    <mergeCell ref="G32:H32"/>
  </mergeCells>
  <hyperlinks>
    <hyperlink ref="B9" r:id="rId1" xr:uid="{00000000-0004-0000-0C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H51"/>
  <sheetViews>
    <sheetView zoomScale="120" zoomScaleNormal="120" workbookViewId="0">
      <selection activeCell="N5" sqref="N5"/>
    </sheetView>
  </sheetViews>
  <sheetFormatPr defaultColWidth="8.77734375" defaultRowHeight="14.25" customHeight="1" x14ac:dyDescent="0.3"/>
  <cols>
    <col min="1" max="1" width="8.77734375" style="654"/>
    <col min="2" max="10" width="8.33203125" style="654" customWidth="1"/>
    <col min="11" max="11" width="3.33203125" style="654" customWidth="1"/>
    <col min="12" max="12" width="4.21875" style="654" customWidth="1"/>
    <col min="13" max="13" width="3.77734375" style="654" customWidth="1"/>
    <col min="14" max="14" width="10.5546875" style="654" customWidth="1"/>
    <col min="15" max="15" width="4.44140625" style="654" customWidth="1"/>
    <col min="16" max="16" width="3.33203125" style="654" customWidth="1"/>
    <col min="17" max="17" width="9" style="654" customWidth="1"/>
    <col min="18" max="18" width="5.88671875" style="655" customWidth="1"/>
    <col min="19" max="19" width="3.44140625" style="656" hidden="1" customWidth="1"/>
    <col min="20" max="20" width="5.88671875" style="655" customWidth="1"/>
    <col min="21" max="21" width="3.44140625" style="657" hidden="1" customWidth="1"/>
    <col min="22" max="22" width="5.88671875" style="655" customWidth="1"/>
    <col min="23" max="23" width="3.44140625" style="657" hidden="1" customWidth="1"/>
    <col min="24" max="24" width="5.88671875" style="655" customWidth="1"/>
    <col min="25" max="25" width="3.44140625" style="657" hidden="1" customWidth="1"/>
    <col min="26" max="26" width="5.88671875" style="655" customWidth="1"/>
    <col min="27" max="27" width="3.44140625" style="657" hidden="1" customWidth="1"/>
    <col min="28" max="28" width="5.88671875" style="655" customWidth="1"/>
    <col min="29" max="29" width="3.44140625" style="657" hidden="1" customWidth="1"/>
    <col min="30" max="30" width="3.33203125" style="654" customWidth="1"/>
    <col min="31" max="31" width="8.88671875" style="658" customWidth="1"/>
    <col min="32" max="32" width="8.88671875" style="659" customWidth="1"/>
    <col min="33" max="33" width="8.77734375" style="658"/>
    <col min="34" max="16384" width="8.77734375" style="654"/>
  </cols>
  <sheetData>
    <row r="1" spans="1:34" ht="14.4" x14ac:dyDescent="0.3">
      <c r="A1" s="1" t="s">
        <v>0</v>
      </c>
      <c r="B1" s="9" t="s">
        <v>1</v>
      </c>
      <c r="C1" s="10" t="s">
        <v>2</v>
      </c>
      <c r="D1" s="628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9</v>
      </c>
      <c r="Q1" s="13" t="s">
        <v>11</v>
      </c>
      <c r="R1" s="316" t="s">
        <v>12</v>
      </c>
      <c r="S1" s="660">
        <f>SUM(R2:R10)</f>
        <v>789.22093584177514</v>
      </c>
      <c r="T1" s="16" t="s">
        <v>13</v>
      </c>
      <c r="U1" s="661">
        <f>SUM(T2:T10)</f>
        <v>885.07853611688256</v>
      </c>
      <c r="V1" s="18" t="s">
        <v>14</v>
      </c>
      <c r="W1" s="661">
        <f>SUM(V2:V10)</f>
        <v>884.90961227187006</v>
      </c>
      <c r="X1" s="662" t="s">
        <v>15</v>
      </c>
      <c r="Y1" s="661">
        <f>SUM(X2:X10)</f>
        <v>755.42511346444769</v>
      </c>
      <c r="Z1" s="663" t="s">
        <v>16</v>
      </c>
      <c r="AA1" s="664">
        <f>SUM(Z2:Z10)</f>
        <v>878.79049370955545</v>
      </c>
      <c r="AB1" s="665" t="s">
        <v>17</v>
      </c>
      <c r="AC1" s="666">
        <f>SUM(AB2:AB10)</f>
        <v>886.46419000770902</v>
      </c>
      <c r="AD1" s="667"/>
      <c r="AE1" s="668" t="s">
        <v>18</v>
      </c>
      <c r="AF1" s="669" t="s">
        <v>19</v>
      </c>
    </row>
    <row r="2" spans="1:34" ht="14.4" x14ac:dyDescent="0.3">
      <c r="A2" s="26" t="s">
        <v>12</v>
      </c>
      <c r="B2" s="869">
        <v>3.9914999999999998</v>
      </c>
      <c r="C2" s="870">
        <v>4.12</v>
      </c>
      <c r="D2" s="871">
        <v>4.08</v>
      </c>
      <c r="E2" s="872">
        <v>4.0599999999999996</v>
      </c>
      <c r="F2" s="870">
        <v>4.1146000000000003</v>
      </c>
      <c r="G2" s="872">
        <v>0</v>
      </c>
      <c r="H2" s="873">
        <v>4.16</v>
      </c>
      <c r="I2" s="873">
        <v>4.16</v>
      </c>
      <c r="J2" s="874">
        <v>4.0910000000000002</v>
      </c>
      <c r="K2" s="654" t="s">
        <v>108</v>
      </c>
      <c r="N2" s="670" t="s">
        <v>117</v>
      </c>
      <c r="O2" s="875"/>
      <c r="Q2" s="319" t="str">
        <f>B1</f>
        <v>PyCaret</v>
      </c>
      <c r="R2" s="565">
        <f>100-ABS((($J12-B2)/($J12)))*100</f>
        <v>96.273516642547037</v>
      </c>
      <c r="S2" s="671">
        <f t="shared" ref="S2:S10" si="0">R2/$S$1</f>
        <v>0.12198550782216981</v>
      </c>
      <c r="T2" s="567">
        <f>100-ABS((($J13-B3)/($J13)))*100</f>
        <v>97.473764239361259</v>
      </c>
      <c r="U2" s="672">
        <f t="shared" ref="U2:U10" si="1">T2/$U$1</f>
        <v>0.11013007350399578</v>
      </c>
      <c r="V2" s="569">
        <f>100-ABS((($J14-B4)/($J14)))*100</f>
        <v>99.254114135519231</v>
      </c>
      <c r="W2" s="672">
        <f t="shared" ref="W2:W10" si="2">V2/$W$1</f>
        <v>0.11216299694236508</v>
      </c>
      <c r="X2" s="569">
        <f>100-ABS((($J15-B5)/($J15)))*100</f>
        <v>64.844175491679266</v>
      </c>
      <c r="Y2" s="672">
        <f t="shared" ref="Y2:Y10" si="3">X2/$Y$1</f>
        <v>8.5837992854510797E-2</v>
      </c>
      <c r="Z2" s="570">
        <f>100-ABS((($J16-B6)/($J16)))*100</f>
        <v>98.483953618237365</v>
      </c>
      <c r="AA2" s="673">
        <f t="shared" ref="AA2:AA10" si="4">Z2/$AA$1</f>
        <v>0.11206761375230215</v>
      </c>
      <c r="AB2" s="572">
        <f>100-ABS((($J17-B7)/($J17)))*100</f>
        <v>99.935721889798472</v>
      </c>
      <c r="AC2" s="674">
        <f t="shared" ref="AC2:AC10" si="5">AB2/$AC$1</f>
        <v>0.11273520466622504</v>
      </c>
      <c r="AD2" s="667"/>
      <c r="AE2" s="876">
        <f t="shared" ref="AE2:AE10" si="6">(T2+V2+X2+Z2)/4</f>
        <v>90.014001871199284</v>
      </c>
      <c r="AF2" s="877">
        <f t="shared" ref="AF2:AF10" si="7">(R2+T2+V2+X2+Z2+AB2)/6</f>
        <v>92.710874336190443</v>
      </c>
      <c r="AG2" s="677" t="str">
        <f>IF($AE2=MAX(AE2:AE9),"TOP","")</f>
        <v/>
      </c>
      <c r="AH2" s="878"/>
    </row>
    <row r="3" spans="1:34" ht="14.4" x14ac:dyDescent="0.3">
      <c r="A3" s="43" t="s">
        <v>13</v>
      </c>
      <c r="B3" s="879">
        <v>48338.536500000002</v>
      </c>
      <c r="C3" s="880">
        <v>48037.901299999998</v>
      </c>
      <c r="D3" s="881">
        <v>47903.2981</v>
      </c>
      <c r="E3" s="880">
        <v>47073.96</v>
      </c>
      <c r="F3" s="880">
        <v>48044.6783</v>
      </c>
      <c r="G3" s="880">
        <v>47944</v>
      </c>
      <c r="H3" s="880">
        <v>48050</v>
      </c>
      <c r="I3" s="880">
        <v>48050</v>
      </c>
      <c r="J3" s="882">
        <v>47773</v>
      </c>
      <c r="K3" s="654" t="s">
        <v>106</v>
      </c>
      <c r="Q3" s="679" t="str">
        <f>C1</f>
        <v>ARIMAX</v>
      </c>
      <c r="R3" s="680">
        <f>100-ABS((($J12-C2)/($J12)))*100</f>
        <v>99.372889532079114</v>
      </c>
      <c r="S3" s="681">
        <f t="shared" si="0"/>
        <v>0.12591263741133399</v>
      </c>
      <c r="T3" s="682">
        <f>100-ABS((($J13-C3)/($J13)))*100</f>
        <v>98.111412741465728</v>
      </c>
      <c r="U3" s="683">
        <f t="shared" si="1"/>
        <v>0.1108505163529457</v>
      </c>
      <c r="V3" s="684">
        <f>100-ABS((($J14-C4)/($J14)))*100</f>
        <v>97.958163674433123</v>
      </c>
      <c r="W3" s="683">
        <f t="shared" si="2"/>
        <v>0.11069849656502263</v>
      </c>
      <c r="X3" s="684">
        <f>100-ABS((($J15-C5)/($J15)))*100</f>
        <v>93.029248613212317</v>
      </c>
      <c r="Y3" s="683">
        <f t="shared" si="3"/>
        <v>0.12314820748620839</v>
      </c>
      <c r="Z3" s="685">
        <f>100-ABS((($J16-C6)/($J16)))*100</f>
        <v>97.330568603619881</v>
      </c>
      <c r="AA3" s="686">
        <f t="shared" si="4"/>
        <v>0.1107551450548441</v>
      </c>
      <c r="AB3" s="687">
        <f>100-ABS((($J17-C7)/($J17)))*100</f>
        <v>97.762820748137003</v>
      </c>
      <c r="AC3" s="674">
        <f t="shared" si="5"/>
        <v>0.11028400453185461</v>
      </c>
      <c r="AD3" s="667"/>
      <c r="AE3" s="883">
        <f t="shared" si="6"/>
        <v>96.607348408182759</v>
      </c>
      <c r="AF3" s="884">
        <f t="shared" si="7"/>
        <v>97.260850652157856</v>
      </c>
      <c r="AG3" s="677" t="str">
        <f>IF($AE3=MAX(AE2:AE9),"TOP","")</f>
        <v>TOP</v>
      </c>
      <c r="AH3" s="878"/>
    </row>
    <row r="4" spans="1:34" ht="14.4" x14ac:dyDescent="0.3">
      <c r="A4" s="43" t="s">
        <v>14</v>
      </c>
      <c r="B4" s="885">
        <v>6784.3287</v>
      </c>
      <c r="C4" s="886">
        <v>6871.5992999999999</v>
      </c>
      <c r="D4" s="887">
        <v>6806.9876999999997</v>
      </c>
      <c r="E4" s="886">
        <v>6814.3622999999998</v>
      </c>
      <c r="F4" s="886">
        <v>6889.8238000000001</v>
      </c>
      <c r="G4" s="886">
        <v>6872</v>
      </c>
      <c r="H4" s="886">
        <v>6870</v>
      </c>
      <c r="I4" s="886">
        <v>6870</v>
      </c>
      <c r="J4" s="888">
        <v>6844</v>
      </c>
      <c r="K4" s="654" t="s">
        <v>108</v>
      </c>
      <c r="O4" s="889"/>
      <c r="Q4" s="679" t="str">
        <f>D1</f>
        <v>PCE</v>
      </c>
      <c r="R4" s="680">
        <f>100-ABS((($J12-D2)/($J12)))*100</f>
        <v>98.408104196816211</v>
      </c>
      <c r="S4" s="681">
        <f t="shared" si="0"/>
        <v>0.12469018462093269</v>
      </c>
      <c r="T4" s="682">
        <f>100-ABS((($J13-D3)/($J13)))*100</f>
        <v>98.396906685150512</v>
      </c>
      <c r="U4" s="683">
        <f t="shared" si="1"/>
        <v>0.11117307975498834</v>
      </c>
      <c r="V4" s="684">
        <f>100-ABS((($J14-D4)/($J14)))*100</f>
        <v>98.917632645787862</v>
      </c>
      <c r="W4" s="683">
        <f t="shared" si="2"/>
        <v>0.11178275303376124</v>
      </c>
      <c r="X4" s="684">
        <f>100-ABS((($J15-D5)/($J15)))*100</f>
        <v>84.525970751386808</v>
      </c>
      <c r="Y4" s="683">
        <f t="shared" si="3"/>
        <v>0.11189192581081013</v>
      </c>
      <c r="Z4" s="685">
        <f>100-ABS((($J16-D6)/($J16)))*100</f>
        <v>98.35556613999934</v>
      </c>
      <c r="AA4" s="686">
        <f t="shared" si="4"/>
        <v>0.11192151809109845</v>
      </c>
      <c r="AB4" s="687">
        <f>100-ABS((($J17-D7)/($J17)))*100</f>
        <v>98.998531625123903</v>
      </c>
      <c r="AC4" s="674">
        <f t="shared" si="5"/>
        <v>0.11167798174031483</v>
      </c>
      <c r="AD4" s="667"/>
      <c r="AE4" s="883">
        <f t="shared" si="6"/>
        <v>95.049019055581127</v>
      </c>
      <c r="AF4" s="884">
        <f t="shared" si="7"/>
        <v>96.267118674044113</v>
      </c>
      <c r="AG4" s="677" t="str">
        <f>IF($AE4=MAX(AE2:AE9),"TOP","")</f>
        <v/>
      </c>
      <c r="AH4" s="878"/>
    </row>
    <row r="5" spans="1:34" ht="14.4" x14ac:dyDescent="0.3">
      <c r="A5" s="43" t="s">
        <v>15</v>
      </c>
      <c r="B5" s="890">
        <v>12.858599999999999</v>
      </c>
      <c r="C5" s="891">
        <v>18.447700000000001</v>
      </c>
      <c r="D5" s="892">
        <v>16.761500000000002</v>
      </c>
      <c r="E5" s="891">
        <v>16.503</v>
      </c>
      <c r="F5" s="891">
        <v>17.309999999999999</v>
      </c>
      <c r="G5" s="891">
        <v>16.5</v>
      </c>
      <c r="H5" s="893">
        <v>17.02</v>
      </c>
      <c r="I5" s="893">
        <v>17.149999999999999</v>
      </c>
      <c r="J5" s="894">
        <v>17.25</v>
      </c>
      <c r="K5" s="654" t="s">
        <v>106</v>
      </c>
      <c r="N5" s="690">
        <v>45972</v>
      </c>
      <c r="Q5" s="679" t="str">
        <f>E1</f>
        <v>LSTM</v>
      </c>
      <c r="R5" s="680">
        <f>100-ABS((($J12-E2)/($J12)))*100</f>
        <v>97.925711529184753</v>
      </c>
      <c r="S5" s="681">
        <f t="shared" si="0"/>
        <v>0.12407895822573202</v>
      </c>
      <c r="T5" s="682">
        <f>100-ABS((($J13-E3)/($J13)))*100</f>
        <v>99.844063776049097</v>
      </c>
      <c r="U5" s="683">
        <f t="shared" si="1"/>
        <v>0.11280814040988538</v>
      </c>
      <c r="V5" s="684">
        <f>100-ABS((($J14-E4)/($J14)))*100</f>
        <v>98.808121352519279</v>
      </c>
      <c r="W5" s="683">
        <f t="shared" si="2"/>
        <v>0.11165899882005412</v>
      </c>
      <c r="X5" s="684">
        <f>100-ABS((($J15-E5)/($J15)))*100</f>
        <v>83.222390317700459</v>
      </c>
      <c r="Y5" s="683">
        <f t="shared" si="3"/>
        <v>0.11016630084752553</v>
      </c>
      <c r="Z5" s="685">
        <f>100-ABS((($J16-E6)/($J16)))*100</f>
        <v>97.63755214663469</v>
      </c>
      <c r="AA5" s="686">
        <f t="shared" si="4"/>
        <v>0.11110447011606429</v>
      </c>
      <c r="AB5" s="687">
        <f>100-ABS((($J17-E7)/($J17)))*100</f>
        <v>98.206600345068097</v>
      </c>
      <c r="AC5" s="674">
        <f t="shared" si="5"/>
        <v>0.11078462215627013</v>
      </c>
      <c r="AD5" s="667"/>
      <c r="AE5" s="883">
        <f t="shared" si="6"/>
        <v>94.878031898225871</v>
      </c>
      <c r="AF5" s="884">
        <f t="shared" si="7"/>
        <v>95.940739911192722</v>
      </c>
      <c r="AG5" s="677" t="str">
        <f>IF($AE5=MAX(AE2:AE9),"TOP","")</f>
        <v/>
      </c>
      <c r="AH5" s="878"/>
    </row>
    <row r="6" spans="1:34" ht="14.4" x14ac:dyDescent="0.3">
      <c r="A6" s="43" t="s">
        <v>16</v>
      </c>
      <c r="B6" s="895">
        <v>618.09059999999999</v>
      </c>
      <c r="C6" s="896">
        <v>625.11310000000003</v>
      </c>
      <c r="D6" s="897">
        <v>618.8723</v>
      </c>
      <c r="E6" s="896">
        <v>623.24400000000003</v>
      </c>
      <c r="F6" s="896">
        <v>628.45619999999997</v>
      </c>
      <c r="G6" s="896">
        <v>625</v>
      </c>
      <c r="H6" s="898">
        <v>626</v>
      </c>
      <c r="I6" s="898">
        <v>626</v>
      </c>
      <c r="J6" s="899">
        <v>618.1</v>
      </c>
      <c r="K6" s="654" t="s">
        <v>108</v>
      </c>
      <c r="Q6" s="679" t="str">
        <f>F1</f>
        <v>GARCH</v>
      </c>
      <c r="R6" s="680">
        <f>100-ABS((($J12-F2)/($J12)))*100</f>
        <v>99.242643511818628</v>
      </c>
      <c r="S6" s="681">
        <f t="shared" si="0"/>
        <v>0.1257476062846298</v>
      </c>
      <c r="T6" s="682">
        <f>100-ABS((($J13-F3)/($J13)))*100</f>
        <v>98.097038696447839</v>
      </c>
      <c r="U6" s="683">
        <f t="shared" si="1"/>
        <v>0.11083427593536541</v>
      </c>
      <c r="V6" s="684">
        <f>100-ABS((($J14-F4)/($J14)))*100</f>
        <v>97.68753359765968</v>
      </c>
      <c r="W6" s="683">
        <f t="shared" si="2"/>
        <v>0.11039266863297131</v>
      </c>
      <c r="X6" s="684">
        <f>100-ABS((($J15-F5)/($J15)))*100</f>
        <v>87.291981845688355</v>
      </c>
      <c r="Y6" s="683">
        <f t="shared" si="3"/>
        <v>0.11555345498822439</v>
      </c>
      <c r="Z6" s="685">
        <f>100-ABS((($J16-F6)/($J16)))*100</f>
        <v>96.781493282528004</v>
      </c>
      <c r="AA6" s="686">
        <f t="shared" si="4"/>
        <v>0.11013033706588406</v>
      </c>
      <c r="AB6" s="687">
        <f>100-ABS((($J17-F7)/($J17)))*100</f>
        <v>97.749715502367764</v>
      </c>
      <c r="AC6" s="674">
        <f t="shared" si="5"/>
        <v>0.11026922080351345</v>
      </c>
      <c r="AD6" s="667"/>
      <c r="AE6" s="883">
        <f t="shared" si="6"/>
        <v>94.96451185558098</v>
      </c>
      <c r="AF6" s="884">
        <f t="shared" si="7"/>
        <v>96.14173440608505</v>
      </c>
      <c r="AG6" s="677" t="str">
        <f>IF($AE6=MAX(AE2:AE9),"TOP","")</f>
        <v/>
      </c>
      <c r="AH6" s="878"/>
    </row>
    <row r="7" spans="1:34" ht="14.4" x14ac:dyDescent="0.3">
      <c r="A7" s="67" t="s">
        <v>17</v>
      </c>
      <c r="B7" s="900">
        <v>272.58510000000001</v>
      </c>
      <c r="C7" s="901">
        <v>278.5043</v>
      </c>
      <c r="D7" s="902">
        <v>275.13810000000001</v>
      </c>
      <c r="E7" s="901">
        <v>267.52460000000002</v>
      </c>
      <c r="F7" s="901">
        <v>278.54000000000002</v>
      </c>
      <c r="G7" s="901">
        <v>278</v>
      </c>
      <c r="H7" s="903">
        <v>277.5</v>
      </c>
      <c r="I7" s="903">
        <v>277.5</v>
      </c>
      <c r="J7" s="904">
        <v>271.32</v>
      </c>
      <c r="K7" s="654" t="s">
        <v>106</v>
      </c>
      <c r="Q7" s="679" t="str">
        <f>G1</f>
        <v>VAR</v>
      </c>
      <c r="R7" s="680">
        <f>100-ABS((($J12-G2)/($J12)))*100</f>
        <v>0</v>
      </c>
      <c r="S7" s="681">
        <f t="shared" si="0"/>
        <v>0</v>
      </c>
      <c r="T7" s="682">
        <f>100-ABS((($J13-G3)/($J13)))*100</f>
        <v>98.310577786978229</v>
      </c>
      <c r="U7" s="683">
        <f t="shared" si="1"/>
        <v>0.11107554163305959</v>
      </c>
      <c r="V7" s="684">
        <f>100-ABS((($J14-G4)/($J14)))*100</f>
        <v>97.95221336184494</v>
      </c>
      <c r="W7" s="683">
        <f t="shared" si="2"/>
        <v>0.11069177236121056</v>
      </c>
      <c r="X7" s="684">
        <f>100-ABS((($J15-G5)/($J15)))*100</f>
        <v>83.207261724659617</v>
      </c>
      <c r="Y7" s="683">
        <f t="shared" si="3"/>
        <v>0.11014627425220697</v>
      </c>
      <c r="Z7" s="685">
        <f>100-ABS((($J16-G6)/($J16)))*100</f>
        <v>97.349144302466911</v>
      </c>
      <c r="AA7" s="686">
        <f t="shared" si="4"/>
        <v>0.11077628285615169</v>
      </c>
      <c r="AB7" s="687">
        <f>100-ABS((($J17-G7)/($J17)))*100</f>
        <v>97.94794611064205</v>
      </c>
      <c r="AC7" s="674">
        <f t="shared" si="5"/>
        <v>0.11049284022379997</v>
      </c>
      <c r="AD7" s="667"/>
      <c r="AE7" s="883">
        <f t="shared" si="6"/>
        <v>94.204799293987435</v>
      </c>
      <c r="AF7" s="884">
        <f t="shared" si="7"/>
        <v>79.12785721443197</v>
      </c>
      <c r="AG7" s="677" t="str">
        <f>IF($AE7=MAX(AE2:AE9),"TOP","")</f>
        <v/>
      </c>
      <c r="AH7" s="878"/>
    </row>
    <row r="8" spans="1:34" ht="15.6" x14ac:dyDescent="0.3">
      <c r="N8" s="905" t="str">
        <f>IF(N10&lt;25,C34,IF(N10&lt;45,C35,IF(N10&lt;55,C36,IF(N10&lt;75,C37,C38))))</f>
        <v>Fear</v>
      </c>
      <c r="Q8" s="679" t="str">
        <f>H1</f>
        <v>RW</v>
      </c>
      <c r="R8" s="680">
        <f>100-ABS((($J12-H2)/($J12)))*100</f>
        <v>99.662325132657983</v>
      </c>
      <c r="S8" s="681">
        <f t="shared" si="0"/>
        <v>0.12627937324845437</v>
      </c>
      <c r="T8" s="682">
        <f>100-ABS((($J13-H3)/($J13)))*100</f>
        <v>98.085751348746541</v>
      </c>
      <c r="U8" s="683">
        <f t="shared" si="1"/>
        <v>0.11082152300187906</v>
      </c>
      <c r="V8" s="684">
        <f>100-ABS((($J14-H4)/($J14)))*100</f>
        <v>97.981912950505645</v>
      </c>
      <c r="W8" s="683">
        <f t="shared" si="2"/>
        <v>0.11072533464627203</v>
      </c>
      <c r="X8" s="684">
        <f>100-ABS((($J15-H5)/($J15)))*100</f>
        <v>85.829551185073129</v>
      </c>
      <c r="Y8" s="683">
        <f t="shared" si="3"/>
        <v>0.11361755077409469</v>
      </c>
      <c r="Z8" s="685">
        <f>100-ABS((($J16-H6)/($J16)))*100</f>
        <v>97.184902933350855</v>
      </c>
      <c r="AA8" s="686">
        <f t="shared" si="4"/>
        <v>0.11058938806121285</v>
      </c>
      <c r="AB8" s="687">
        <f>100-ABS((($J17-H7)/($J17)))*100</f>
        <v>98.131492970155293</v>
      </c>
      <c r="AC8" s="674">
        <f t="shared" si="5"/>
        <v>0.11069989524258381</v>
      </c>
      <c r="AD8" s="667"/>
      <c r="AE8" s="883">
        <f t="shared" si="6"/>
        <v>94.770529604419039</v>
      </c>
      <c r="AF8" s="884">
        <f t="shared" si="7"/>
        <v>96.145989420081563</v>
      </c>
      <c r="AG8" s="677" t="str">
        <f>IF($AE8=MAX(AE2:AE9),"TOP","")</f>
        <v/>
      </c>
      <c r="AH8" s="878"/>
    </row>
    <row r="9" spans="1:34" ht="14.4" x14ac:dyDescent="0.3">
      <c r="Q9" s="679" t="str">
        <f>I1</f>
        <v>ETS</v>
      </c>
      <c r="R9" s="680">
        <f>100-ABS((($J12-I2)/($J12)))*100</f>
        <v>99.662325132657983</v>
      </c>
      <c r="S9" s="681">
        <f t="shared" si="0"/>
        <v>0.12627937324845437</v>
      </c>
      <c r="T9" s="682">
        <f>100-ABS((($J13-I3)/($J13)))*100</f>
        <v>98.085751348746541</v>
      </c>
      <c r="U9" s="683">
        <f t="shared" si="1"/>
        <v>0.11082152300187906</v>
      </c>
      <c r="V9" s="684">
        <f>100-ABS((($J14-I4)/($J14)))*100</f>
        <v>97.981912950505645</v>
      </c>
      <c r="W9" s="683">
        <f t="shared" si="2"/>
        <v>0.11072533464627203</v>
      </c>
      <c r="X9" s="684">
        <f>100-ABS((($J15-I5)/($J15)))*100</f>
        <v>86.485123550176496</v>
      </c>
      <c r="Y9" s="683">
        <f t="shared" si="3"/>
        <v>0.11448536990456661</v>
      </c>
      <c r="Z9" s="685">
        <f>100-ABS((($J16-I6)/($J16)))*100</f>
        <v>97.184902933350855</v>
      </c>
      <c r="AA9" s="686">
        <f t="shared" si="4"/>
        <v>0.11058938806121285</v>
      </c>
      <c r="AB9" s="687">
        <f>100-ABS((($J17-I7)/($J17)))*100</f>
        <v>98.131492970155293</v>
      </c>
      <c r="AC9" s="674">
        <f t="shared" si="5"/>
        <v>0.11069989524258381</v>
      </c>
      <c r="AD9" s="667"/>
      <c r="AE9" s="883">
        <f t="shared" si="6"/>
        <v>94.934422695694877</v>
      </c>
      <c r="AF9" s="884">
        <f t="shared" si="7"/>
        <v>96.255251480932131</v>
      </c>
      <c r="AG9" s="677" t="str">
        <f>IF($AE10=MAX(AE2:AE9),"TOP","")</f>
        <v/>
      </c>
      <c r="AH9" s="878"/>
    </row>
    <row r="10" spans="1:34" ht="14.4" x14ac:dyDescent="0.3">
      <c r="E10" s="694"/>
      <c r="N10" s="695">
        <v>31</v>
      </c>
      <c r="Q10" s="696" t="str">
        <f>J1</f>
        <v>DynaMix</v>
      </c>
      <c r="R10" s="697">
        <f>100-ABS((($J12-J2)/($J12)))*100</f>
        <v>98.673420164013507</v>
      </c>
      <c r="S10" s="698">
        <f t="shared" si="0"/>
        <v>0.12502635913829305</v>
      </c>
      <c r="T10" s="699">
        <f>100-ABS((($J13-J3)/($J13)))*100</f>
        <v>98.6732694939369</v>
      </c>
      <c r="U10" s="700">
        <f t="shared" si="1"/>
        <v>0.1114853264060018</v>
      </c>
      <c r="V10" s="701">
        <f>100-ABS((($J14-J4)/($J14)))*100</f>
        <v>98.368007603094696</v>
      </c>
      <c r="W10" s="700">
        <f t="shared" si="2"/>
        <v>0.11116164435207104</v>
      </c>
      <c r="X10" s="702">
        <f>100-ABS((($J15-J5)/($J15)))*100</f>
        <v>86.989409984871415</v>
      </c>
      <c r="Y10" s="700">
        <f t="shared" si="3"/>
        <v>0.11515292308185272</v>
      </c>
      <c r="Z10" s="703">
        <f>100-ABS((($J16-J6)/($J16)))*100</f>
        <v>98.482409749367676</v>
      </c>
      <c r="AA10" s="704">
        <f t="shared" si="4"/>
        <v>0.11206585694122972</v>
      </c>
      <c r="AB10" s="705">
        <f>100-ABS((($J17-J7)/($J17)))*100</f>
        <v>99.599867846261134</v>
      </c>
      <c r="AC10" s="706">
        <f t="shared" si="5"/>
        <v>0.11235633539285436</v>
      </c>
      <c r="AE10" s="906">
        <f t="shared" si="6"/>
        <v>95.628274207817668</v>
      </c>
      <c r="AF10" s="907">
        <f t="shared" si="7"/>
        <v>96.797730806924221</v>
      </c>
    </row>
    <row r="11" spans="1:34" ht="14.4" x14ac:dyDescent="0.3">
      <c r="B11" s="908" t="s">
        <v>22</v>
      </c>
      <c r="C11" s="709" t="s">
        <v>31</v>
      </c>
      <c r="D11" s="710"/>
      <c r="E11" s="711">
        <v>85220</v>
      </c>
      <c r="F11" s="712"/>
      <c r="G11" s="711" t="s">
        <v>32</v>
      </c>
      <c r="H11" s="713"/>
      <c r="I11" s="714" t="s">
        <v>116</v>
      </c>
      <c r="J11" s="909" t="s">
        <v>25</v>
      </c>
      <c r="S11" s="657"/>
    </row>
    <row r="12" spans="1:34" ht="14.4" x14ac:dyDescent="0.3">
      <c r="A12" s="76" t="s">
        <v>12</v>
      </c>
      <c r="B12" s="910">
        <v>4.12</v>
      </c>
      <c r="C12" s="911">
        <v>4.1100000000000003</v>
      </c>
      <c r="D12" s="728" t="str">
        <f t="shared" ref="D12:D17" si="8">IF(ABS(J12-I12)&lt;ABS(C12-J12),$I$11,$C$11)</f>
        <v>RD</v>
      </c>
      <c r="E12" s="911">
        <v>4.1100000000000003</v>
      </c>
      <c r="F12" s="728">
        <f t="shared" ref="F12:F17" si="9">IF(ABS(J12-I12)&lt;ABS(J12-E12),$I$11,$E$11)</f>
        <v>85220</v>
      </c>
      <c r="G12" s="911">
        <v>4.1100000000000003</v>
      </c>
      <c r="H12" s="729" t="str">
        <f t="shared" ref="H12:H17" si="10">IF(ABS(I12-J12)&lt;ABS(J12-G12),$I$11,$G$11)</f>
        <v>MICH</v>
      </c>
      <c r="I12" s="912">
        <f>(B2*S24)+(C2*S25)+(D2*S26)+(E2*S27)+(F2*S28)+(G2*S29)+(H2*S30)+(I2*S31)+(J2*S32)</f>
        <v>4.0991083941605844</v>
      </c>
      <c r="J12" s="913">
        <v>4.1459999999999999</v>
      </c>
      <c r="Q12" s="715" t="s">
        <v>28</v>
      </c>
      <c r="R12" s="716" t="s">
        <v>12</v>
      </c>
      <c r="S12" s="717">
        <f>SUM(R13:R21)</f>
        <v>580</v>
      </c>
      <c r="T12" s="718" t="s">
        <v>13</v>
      </c>
      <c r="U12" s="719">
        <f>SUM(T13:T21)</f>
        <v>615</v>
      </c>
      <c r="V12" s="720" t="s">
        <v>14</v>
      </c>
      <c r="W12" s="719">
        <f>SUM(V13:V21)</f>
        <v>585</v>
      </c>
      <c r="X12" s="720" t="s">
        <v>15</v>
      </c>
      <c r="Y12" s="719">
        <f>SUM(X13:X21)</f>
        <v>56.1</v>
      </c>
      <c r="Z12" s="720" t="s">
        <v>16</v>
      </c>
      <c r="AA12" s="664">
        <f>SUM(Z13:Z21)</f>
        <v>545</v>
      </c>
      <c r="AB12" s="721" t="s">
        <v>17</v>
      </c>
      <c r="AC12" s="666">
        <f>SUM(AB13:AB21)</f>
        <v>630</v>
      </c>
      <c r="AD12" s="667"/>
    </row>
    <row r="13" spans="1:34" ht="14.4" x14ac:dyDescent="0.3">
      <c r="A13" s="163" t="s">
        <v>13</v>
      </c>
      <c r="B13" s="914">
        <v>47927.96</v>
      </c>
      <c r="C13" s="915">
        <v>48039</v>
      </c>
      <c r="D13" s="747" t="str">
        <f t="shared" si="8"/>
        <v>Comb</v>
      </c>
      <c r="E13" s="915">
        <v>48047</v>
      </c>
      <c r="F13" s="747" t="str">
        <f t="shared" si="9"/>
        <v>Comb</v>
      </c>
      <c r="G13" s="915">
        <v>48033</v>
      </c>
      <c r="H13" s="748" t="str">
        <f t="shared" si="10"/>
        <v>Comb</v>
      </c>
      <c r="I13" s="916">
        <f>(B3*U24)+(C3*U25)+(D3*U26)+(E3*U27)+(F3*U28)+(G3*U29)+(H3*U30)+(I3*U31)+(J3*U32)</f>
        <v>47903.626100000001</v>
      </c>
      <c r="J13" s="917">
        <v>47147.48</v>
      </c>
      <c r="Q13" s="127" t="str">
        <f t="shared" ref="Q13:Q21" si="11">Q2</f>
        <v>PyCaret</v>
      </c>
      <c r="R13" s="918">
        <f t="shared" ref="R13:R21" si="12">IF(R2=0,0, LOOKUP(R2-0.000000000001,$AE$14:$AE$30,$AF$14:$AF$30))</f>
        <v>50</v>
      </c>
      <c r="S13" s="919">
        <f t="shared" ref="S13:S21" si="13">R13/$S$12</f>
        <v>8.6206896551724144E-2</v>
      </c>
      <c r="T13" s="920">
        <f t="shared" ref="T13:T21" si="14">IF(T2=0,0, LOOKUP(T2-0.000000000001,$AE$14:$AE$30,$AF$14:$AF$30))</f>
        <v>60</v>
      </c>
      <c r="U13" s="921">
        <f t="shared" ref="U13:U21" si="15">T13/$U$12</f>
        <v>9.7560975609756101E-2</v>
      </c>
      <c r="V13" s="922">
        <f t="shared" ref="V13:V21" si="16">IF(V2=0,0, LOOKUP(V2-0.000000000001,$AE$14:$AE$30,$AF$14:$AF$30))</f>
        <v>80</v>
      </c>
      <c r="W13" s="921">
        <f t="shared" ref="W13:W21" si="17">V13/$W$12</f>
        <v>0.13675213675213677</v>
      </c>
      <c r="X13" s="922">
        <f t="shared" ref="X13:X21" si="18">IF(X2=0,0, LOOKUP(X2-0.000000000001,$AE$14:$AE$30,$AF$14:$AF$30))</f>
        <v>0.1</v>
      </c>
      <c r="Y13" s="921">
        <f t="shared" ref="Y13:Y21" si="19">X13/$Y$12</f>
        <v>1.7825311942959003E-3</v>
      </c>
      <c r="Z13" s="922">
        <f t="shared" ref="Z13:Z21" si="20">IF(Z2=0,0, LOOKUP(Z2-0.000000000001,$AE$14:$AE$30,$AF$14:$AF$30))</f>
        <v>65</v>
      </c>
      <c r="AA13" s="923">
        <f t="shared" ref="AA13:AA21" si="21">Z13/$AA$12</f>
        <v>0.11926605504587157</v>
      </c>
      <c r="AB13" s="924">
        <f t="shared" ref="AB13:AB21" si="22">IF(AB2=0,0, LOOKUP(AB2-0.000000000001,$AE$14:$AE$30,$AF$14:$AF$30))</f>
        <v>95</v>
      </c>
      <c r="AC13" s="738">
        <f t="shared" ref="AC13:AC21" si="23">AB13/$AC$12</f>
        <v>0.15079365079365079</v>
      </c>
      <c r="AD13" s="667"/>
      <c r="AE13" s="668" t="s">
        <v>29</v>
      </c>
      <c r="AF13" s="722" t="s">
        <v>30</v>
      </c>
    </row>
    <row r="14" spans="1:34" ht="14.4" x14ac:dyDescent="0.3">
      <c r="A14" s="43" t="s">
        <v>14</v>
      </c>
      <c r="B14" s="925">
        <v>6846.61</v>
      </c>
      <c r="C14" s="926">
        <v>6872</v>
      </c>
      <c r="D14" s="765" t="str">
        <f t="shared" si="8"/>
        <v>Comb</v>
      </c>
      <c r="E14" s="926">
        <v>6858</v>
      </c>
      <c r="F14" s="765" t="str">
        <f t="shared" si="9"/>
        <v>Comb</v>
      </c>
      <c r="G14" s="926">
        <v>6864</v>
      </c>
      <c r="H14" s="766" t="str">
        <f t="shared" si="10"/>
        <v>Comb</v>
      </c>
      <c r="I14" s="927">
        <f>(B4*W24)+(C4*W25)+(D4*W26)+(E4*W27)+(F4*W28)+(G4*W29)+(H4*W30)+(I4*W31)+(J4*W32)</f>
        <v>6846.3494752902161</v>
      </c>
      <c r="J14" s="928">
        <v>6734.1</v>
      </c>
      <c r="Q14" s="143" t="str">
        <f t="shared" si="11"/>
        <v>ARIMAX</v>
      </c>
      <c r="R14" s="929">
        <f t="shared" si="12"/>
        <v>80</v>
      </c>
      <c r="S14" s="930">
        <f t="shared" si="13"/>
        <v>0.13793103448275862</v>
      </c>
      <c r="T14" s="931">
        <f t="shared" si="14"/>
        <v>65</v>
      </c>
      <c r="U14" s="932">
        <f t="shared" si="15"/>
        <v>0.10569105691056911</v>
      </c>
      <c r="V14" s="933">
        <f t="shared" si="16"/>
        <v>60</v>
      </c>
      <c r="W14" s="932">
        <f t="shared" si="17"/>
        <v>0.10256410256410256</v>
      </c>
      <c r="X14" s="933">
        <f t="shared" si="18"/>
        <v>30</v>
      </c>
      <c r="Y14" s="932">
        <f t="shared" si="19"/>
        <v>0.53475935828877008</v>
      </c>
      <c r="Z14" s="933">
        <f t="shared" si="20"/>
        <v>60</v>
      </c>
      <c r="AA14" s="934">
        <f t="shared" si="21"/>
        <v>0.11009174311926606</v>
      </c>
      <c r="AB14" s="935">
        <f t="shared" si="22"/>
        <v>60</v>
      </c>
      <c r="AC14" s="738">
        <f t="shared" si="23"/>
        <v>9.5238095238095233E-2</v>
      </c>
      <c r="AD14" s="667"/>
      <c r="AE14" s="876">
        <v>1</v>
      </c>
      <c r="AF14" s="936">
        <v>0.1</v>
      </c>
    </row>
    <row r="15" spans="1:34" ht="14.4" x14ac:dyDescent="0.3">
      <c r="A15" s="43" t="s">
        <v>15</v>
      </c>
      <c r="B15" s="925">
        <v>17.28</v>
      </c>
      <c r="C15" s="926">
        <v>17.190000000000001</v>
      </c>
      <c r="D15" s="765" t="str">
        <f t="shared" si="8"/>
        <v>RD</v>
      </c>
      <c r="E15" s="926">
        <v>17.329999999999998</v>
      </c>
      <c r="F15" s="765">
        <f t="shared" si="9"/>
        <v>85220</v>
      </c>
      <c r="G15" s="926">
        <v>17.43</v>
      </c>
      <c r="H15" s="766" t="str">
        <f t="shared" si="10"/>
        <v>MICH</v>
      </c>
      <c r="I15" s="937">
        <f>(B5*Y24)+(C5*Y25)+(D5*Y26)+(E5*Y27)+(F5*Y28)+(G5*Y29)+(H5*Y30)+(I5*Y31)+(J5*Y32)</f>
        <v>16.670331788745425</v>
      </c>
      <c r="J15" s="928">
        <v>19.829999999999998</v>
      </c>
      <c r="Q15" s="143" t="str">
        <f t="shared" si="11"/>
        <v>PCE</v>
      </c>
      <c r="R15" s="929">
        <f t="shared" si="12"/>
        <v>65</v>
      </c>
      <c r="S15" s="930">
        <f t="shared" si="13"/>
        <v>0.11206896551724138</v>
      </c>
      <c r="T15" s="931">
        <f t="shared" si="14"/>
        <v>65</v>
      </c>
      <c r="U15" s="932">
        <f t="shared" si="15"/>
        <v>0.10569105691056911</v>
      </c>
      <c r="V15" s="933">
        <f t="shared" si="16"/>
        <v>70</v>
      </c>
      <c r="W15" s="932">
        <f t="shared" si="17"/>
        <v>0.11965811965811966</v>
      </c>
      <c r="X15" s="933">
        <f t="shared" si="18"/>
        <v>2</v>
      </c>
      <c r="Y15" s="932">
        <f t="shared" si="19"/>
        <v>3.5650623885918005E-2</v>
      </c>
      <c r="Z15" s="933">
        <f t="shared" si="20"/>
        <v>65</v>
      </c>
      <c r="AA15" s="934">
        <f t="shared" si="21"/>
        <v>0.11926605504587157</v>
      </c>
      <c r="AB15" s="935">
        <f t="shared" si="22"/>
        <v>70</v>
      </c>
      <c r="AC15" s="738">
        <f t="shared" si="23"/>
        <v>0.1111111111111111</v>
      </c>
      <c r="AD15" s="667"/>
      <c r="AE15" s="883">
        <v>80</v>
      </c>
      <c r="AF15" s="938">
        <v>1</v>
      </c>
    </row>
    <row r="16" spans="1:34" ht="14.4" x14ac:dyDescent="0.3">
      <c r="A16" s="174" t="s">
        <v>16</v>
      </c>
      <c r="B16" s="939">
        <v>621.57000000000005</v>
      </c>
      <c r="C16" s="940">
        <v>625.1</v>
      </c>
      <c r="D16" s="777" t="str">
        <f t="shared" si="8"/>
        <v>Comb</v>
      </c>
      <c r="E16" s="940">
        <v>624.6</v>
      </c>
      <c r="F16" s="777" t="str">
        <f t="shared" si="9"/>
        <v>Comb</v>
      </c>
      <c r="G16" s="940">
        <v>624.9</v>
      </c>
      <c r="H16" s="778" t="str">
        <f t="shared" si="10"/>
        <v>Comb</v>
      </c>
      <c r="I16" s="941">
        <f>(B6*AA24)+(C6*AA25)+(D6*AA26)+(E6*AA27)+(F6*AA28)+(G6*AA29)+(H6*AA30)+(I6*AA31)+(J6*AA32)</f>
        <v>623.16635243697476</v>
      </c>
      <c r="J16" s="942">
        <v>608.86</v>
      </c>
      <c r="Q16" s="143" t="str">
        <f t="shared" si="11"/>
        <v>LSTM</v>
      </c>
      <c r="R16" s="929">
        <f t="shared" si="12"/>
        <v>60</v>
      </c>
      <c r="S16" s="930">
        <f t="shared" si="13"/>
        <v>0.10344827586206896</v>
      </c>
      <c r="T16" s="931">
        <f t="shared" si="14"/>
        <v>95</v>
      </c>
      <c r="U16" s="932">
        <f t="shared" si="15"/>
        <v>0.15447154471544716</v>
      </c>
      <c r="V16" s="933">
        <f t="shared" si="16"/>
        <v>70</v>
      </c>
      <c r="W16" s="932">
        <f t="shared" si="17"/>
        <v>0.11965811965811966</v>
      </c>
      <c r="X16" s="933">
        <f t="shared" si="18"/>
        <v>2</v>
      </c>
      <c r="Y16" s="932">
        <f t="shared" si="19"/>
        <v>3.5650623885918005E-2</v>
      </c>
      <c r="Z16" s="933">
        <f t="shared" si="20"/>
        <v>60</v>
      </c>
      <c r="AA16" s="934">
        <f t="shared" si="21"/>
        <v>0.11009174311926606</v>
      </c>
      <c r="AB16" s="935">
        <f t="shared" si="22"/>
        <v>65</v>
      </c>
      <c r="AC16" s="738">
        <f t="shared" si="23"/>
        <v>0.10317460317460317</v>
      </c>
      <c r="AD16" s="667"/>
      <c r="AE16" s="883">
        <v>82.5</v>
      </c>
      <c r="AF16" s="938">
        <v>2</v>
      </c>
    </row>
    <row r="17" spans="1:32" ht="14.4" x14ac:dyDescent="0.3">
      <c r="A17" s="136" t="s">
        <v>17</v>
      </c>
      <c r="B17" s="943">
        <v>275.25</v>
      </c>
      <c r="C17" s="944">
        <v>278</v>
      </c>
      <c r="D17" s="783" t="str">
        <f t="shared" si="8"/>
        <v>Comb</v>
      </c>
      <c r="E17" s="944">
        <v>277.39999999999998</v>
      </c>
      <c r="F17" s="783" t="str">
        <f t="shared" si="9"/>
        <v>Comb</v>
      </c>
      <c r="G17" s="944">
        <v>277.60000000000002</v>
      </c>
      <c r="H17" s="784" t="str">
        <f t="shared" si="10"/>
        <v>Comb</v>
      </c>
      <c r="I17" s="945">
        <f>(B7*AC24)+(C7*AC25)+(D7*AC26)+(E7*AC27)+(F7*AC28)+(G7*AC29)+(H7*AC30)+(I7*AC31)+(J7*AC32)</f>
        <v>275.10656062091499</v>
      </c>
      <c r="J17" s="946">
        <v>272.41000000000003</v>
      </c>
      <c r="Q17" s="143" t="str">
        <f t="shared" si="11"/>
        <v>GARCH</v>
      </c>
      <c r="R17" s="929">
        <f t="shared" si="12"/>
        <v>75</v>
      </c>
      <c r="S17" s="930">
        <f t="shared" si="13"/>
        <v>0.12931034482758622</v>
      </c>
      <c r="T17" s="931">
        <f t="shared" si="14"/>
        <v>65</v>
      </c>
      <c r="U17" s="932">
        <f t="shared" si="15"/>
        <v>0.10569105691056911</v>
      </c>
      <c r="V17" s="933">
        <f t="shared" si="16"/>
        <v>60</v>
      </c>
      <c r="W17" s="932">
        <f t="shared" si="17"/>
        <v>0.10256410256410256</v>
      </c>
      <c r="X17" s="933">
        <f t="shared" si="18"/>
        <v>5</v>
      </c>
      <c r="Y17" s="932">
        <f t="shared" si="19"/>
        <v>8.9126559714795009E-2</v>
      </c>
      <c r="Z17" s="933">
        <f t="shared" si="20"/>
        <v>50</v>
      </c>
      <c r="AA17" s="934">
        <f t="shared" si="21"/>
        <v>9.1743119266055051E-2</v>
      </c>
      <c r="AB17" s="935">
        <f t="shared" si="22"/>
        <v>60</v>
      </c>
      <c r="AC17" s="738">
        <f t="shared" si="23"/>
        <v>9.5238095238095233E-2</v>
      </c>
      <c r="AD17" s="667"/>
      <c r="AE17" s="883">
        <v>85</v>
      </c>
      <c r="AF17" s="938">
        <v>5</v>
      </c>
    </row>
    <row r="18" spans="1:32" ht="14.4" x14ac:dyDescent="0.3">
      <c r="Q18" s="143" t="str">
        <f t="shared" si="11"/>
        <v>VAR</v>
      </c>
      <c r="R18" s="929">
        <f t="shared" si="12"/>
        <v>0</v>
      </c>
      <c r="S18" s="930">
        <f t="shared" si="13"/>
        <v>0</v>
      </c>
      <c r="T18" s="931">
        <f t="shared" si="14"/>
        <v>65</v>
      </c>
      <c r="U18" s="932">
        <f t="shared" si="15"/>
        <v>0.10569105691056911</v>
      </c>
      <c r="V18" s="933">
        <f t="shared" si="16"/>
        <v>60</v>
      </c>
      <c r="W18" s="932">
        <f t="shared" si="17"/>
        <v>0.10256410256410256</v>
      </c>
      <c r="X18" s="933">
        <f t="shared" si="18"/>
        <v>2</v>
      </c>
      <c r="Y18" s="932">
        <f t="shared" si="19"/>
        <v>3.5650623885918005E-2</v>
      </c>
      <c r="Z18" s="933">
        <f t="shared" si="20"/>
        <v>60</v>
      </c>
      <c r="AA18" s="934">
        <f t="shared" si="21"/>
        <v>0.11009174311926606</v>
      </c>
      <c r="AB18" s="935">
        <f t="shared" si="22"/>
        <v>60</v>
      </c>
      <c r="AC18" s="738">
        <f t="shared" si="23"/>
        <v>9.5238095238095233E-2</v>
      </c>
      <c r="AD18" s="667"/>
      <c r="AE18" s="883">
        <v>87.5</v>
      </c>
      <c r="AF18" s="938">
        <v>10</v>
      </c>
    </row>
    <row r="19" spans="1:32" ht="14.4" x14ac:dyDescent="0.3">
      <c r="Q19" s="143" t="str">
        <f t="shared" si="11"/>
        <v>RW</v>
      </c>
      <c r="R19" s="929">
        <f t="shared" si="12"/>
        <v>90</v>
      </c>
      <c r="S19" s="930">
        <f t="shared" si="13"/>
        <v>0.15517241379310345</v>
      </c>
      <c r="T19" s="931">
        <f t="shared" si="14"/>
        <v>65</v>
      </c>
      <c r="U19" s="932">
        <f t="shared" si="15"/>
        <v>0.10569105691056911</v>
      </c>
      <c r="V19" s="933">
        <f t="shared" si="16"/>
        <v>60</v>
      </c>
      <c r="W19" s="932">
        <f t="shared" si="17"/>
        <v>0.10256410256410256</v>
      </c>
      <c r="X19" s="933">
        <f t="shared" si="18"/>
        <v>5</v>
      </c>
      <c r="Y19" s="932">
        <f t="shared" si="19"/>
        <v>8.9126559714795009E-2</v>
      </c>
      <c r="Z19" s="933">
        <f t="shared" si="20"/>
        <v>60</v>
      </c>
      <c r="AA19" s="934">
        <f t="shared" si="21"/>
        <v>0.11009174311926606</v>
      </c>
      <c r="AB19" s="935">
        <f t="shared" si="22"/>
        <v>65</v>
      </c>
      <c r="AC19" s="738">
        <f t="shared" si="23"/>
        <v>0.10317460317460317</v>
      </c>
      <c r="AD19" s="667"/>
      <c r="AE19" s="883">
        <v>90</v>
      </c>
      <c r="AF19" s="938">
        <v>20</v>
      </c>
    </row>
    <row r="20" spans="1:32" ht="14.4" x14ac:dyDescent="0.3">
      <c r="Q20" s="143" t="str">
        <f t="shared" si="11"/>
        <v>ETS</v>
      </c>
      <c r="R20" s="929">
        <f t="shared" si="12"/>
        <v>90</v>
      </c>
      <c r="S20" s="930">
        <f t="shared" si="13"/>
        <v>0.15517241379310345</v>
      </c>
      <c r="T20" s="931">
        <f t="shared" si="14"/>
        <v>65</v>
      </c>
      <c r="U20" s="932">
        <f t="shared" si="15"/>
        <v>0.10569105691056911</v>
      </c>
      <c r="V20" s="933">
        <f t="shared" si="16"/>
        <v>60</v>
      </c>
      <c r="W20" s="932">
        <f t="shared" si="17"/>
        <v>0.10256410256410256</v>
      </c>
      <c r="X20" s="933">
        <f t="shared" si="18"/>
        <v>5</v>
      </c>
      <c r="Y20" s="932">
        <f t="shared" si="19"/>
        <v>8.9126559714795009E-2</v>
      </c>
      <c r="Z20" s="933">
        <f t="shared" si="20"/>
        <v>60</v>
      </c>
      <c r="AA20" s="934">
        <f t="shared" si="21"/>
        <v>0.11009174311926606</v>
      </c>
      <c r="AB20" s="935">
        <f t="shared" si="22"/>
        <v>65</v>
      </c>
      <c r="AC20" s="738">
        <f t="shared" si="23"/>
        <v>0.10317460317460317</v>
      </c>
      <c r="AE20" s="883">
        <v>92.5</v>
      </c>
      <c r="AF20" s="938">
        <v>30</v>
      </c>
    </row>
    <row r="21" spans="1:32" ht="14.4" x14ac:dyDescent="0.3">
      <c r="B21" s="24" t="s">
        <v>31</v>
      </c>
      <c r="C21" s="725">
        <v>85220</v>
      </c>
      <c r="D21" s="725" t="s">
        <v>32</v>
      </c>
      <c r="E21" s="807" t="s">
        <v>116</v>
      </c>
      <c r="G21" s="808" t="s">
        <v>33</v>
      </c>
      <c r="L21" s="947"/>
      <c r="Q21" s="180" t="str">
        <f t="shared" si="11"/>
        <v>DynaMix</v>
      </c>
      <c r="R21" s="948">
        <f t="shared" si="12"/>
        <v>70</v>
      </c>
      <c r="S21" s="949">
        <f t="shared" si="13"/>
        <v>0.1206896551724138</v>
      </c>
      <c r="T21" s="950">
        <f t="shared" si="14"/>
        <v>70</v>
      </c>
      <c r="U21" s="951">
        <f t="shared" si="15"/>
        <v>0.11382113821138211</v>
      </c>
      <c r="V21" s="952">
        <f t="shared" si="16"/>
        <v>65</v>
      </c>
      <c r="W21" s="951">
        <f t="shared" si="17"/>
        <v>0.1111111111111111</v>
      </c>
      <c r="X21" s="952">
        <f t="shared" si="18"/>
        <v>5</v>
      </c>
      <c r="Y21" s="951">
        <f t="shared" si="19"/>
        <v>8.9126559714795009E-2</v>
      </c>
      <c r="Z21" s="952">
        <f t="shared" si="20"/>
        <v>65</v>
      </c>
      <c r="AA21" s="953">
        <f t="shared" si="21"/>
        <v>0.11926605504587157</v>
      </c>
      <c r="AB21" s="954">
        <f t="shared" si="22"/>
        <v>90</v>
      </c>
      <c r="AC21" s="805">
        <f t="shared" si="23"/>
        <v>0.14285714285714285</v>
      </c>
      <c r="AD21" s="667"/>
      <c r="AE21" s="883">
        <v>95</v>
      </c>
      <c r="AF21" s="938">
        <v>40</v>
      </c>
    </row>
    <row r="22" spans="1:32" ht="14.4" x14ac:dyDescent="0.3">
      <c r="A22" s="76" t="s">
        <v>12</v>
      </c>
      <c r="B22" s="818">
        <f t="shared" ref="B22:B27" si="24">100-ABS(($J12-C12)/($J12))*100</f>
        <v>99.131693198263392</v>
      </c>
      <c r="C22" s="819">
        <f t="shared" ref="C22:C27" si="25">100-ABS(($J12-E12)/($J12))*100</f>
        <v>99.131693198263392</v>
      </c>
      <c r="D22" s="819">
        <f t="shared" ref="D22:D27" si="26">100-ABS(($J12-G12)/($J12))*100</f>
        <v>99.131693198263392</v>
      </c>
      <c r="E22" s="955">
        <f t="shared" ref="E22:E27" si="27">100-ABS((($J12-I12)/($J12)))*100</f>
        <v>98.868991658480084</v>
      </c>
      <c r="G22" s="581" t="s">
        <v>12</v>
      </c>
      <c r="H22" s="821" t="s">
        <v>34</v>
      </c>
      <c r="I22" s="822">
        <f>MAX(R2:R10)</f>
        <v>99.662325132657983</v>
      </c>
      <c r="J22" s="806"/>
      <c r="S22" s="657"/>
      <c r="AE22" s="883">
        <v>96</v>
      </c>
      <c r="AF22" s="938">
        <v>50</v>
      </c>
    </row>
    <row r="23" spans="1:32" ht="14.4" x14ac:dyDescent="0.3">
      <c r="A23" s="163" t="s">
        <v>13</v>
      </c>
      <c r="B23" s="829">
        <f t="shared" si="24"/>
        <v>98.109082394223407</v>
      </c>
      <c r="C23" s="830">
        <f t="shared" si="25"/>
        <v>98.092114361149314</v>
      </c>
      <c r="D23" s="830">
        <f t="shared" si="26"/>
        <v>98.12180841902898</v>
      </c>
      <c r="E23" s="831">
        <f t="shared" si="27"/>
        <v>98.396210995794476</v>
      </c>
      <c r="G23" s="583" t="s">
        <v>13</v>
      </c>
      <c r="H23" s="832" t="s">
        <v>118</v>
      </c>
      <c r="I23" s="833">
        <f>MAX(T2:T10)</f>
        <v>99.844063776049097</v>
      </c>
      <c r="J23" s="809"/>
      <c r="Q23" s="715" t="s">
        <v>40</v>
      </c>
      <c r="R23" s="811" t="s">
        <v>12</v>
      </c>
      <c r="S23" s="812">
        <f>SUM(R24:R32)</f>
        <v>685</v>
      </c>
      <c r="T23" s="813" t="s">
        <v>13</v>
      </c>
      <c r="U23" s="814">
        <f>SUM(T24:T32)</f>
        <v>761.25</v>
      </c>
      <c r="V23" s="815" t="s">
        <v>14</v>
      </c>
      <c r="W23" s="814">
        <f>SUM(V24:V32)</f>
        <v>753.75</v>
      </c>
      <c r="X23" s="815" t="s">
        <v>15</v>
      </c>
      <c r="Y23" s="814">
        <f>SUM(X24:X32)</f>
        <v>621.52499999999998</v>
      </c>
      <c r="Z23" s="815" t="s">
        <v>16</v>
      </c>
      <c r="AA23" s="816">
        <f>SUM(Z24:Z32)</f>
        <v>743.75</v>
      </c>
      <c r="AB23" s="817" t="s">
        <v>17</v>
      </c>
      <c r="AC23" s="666">
        <f>SUM(AB24:AB32)</f>
        <v>765</v>
      </c>
      <c r="AD23" s="667"/>
      <c r="AE23" s="883">
        <v>97</v>
      </c>
      <c r="AF23" s="938">
        <v>60</v>
      </c>
    </row>
    <row r="24" spans="1:32" ht="14.4" x14ac:dyDescent="0.3">
      <c r="A24" s="43" t="s">
        <v>14</v>
      </c>
      <c r="B24" s="838">
        <f t="shared" si="24"/>
        <v>97.95221336184494</v>
      </c>
      <c r="C24" s="839">
        <f t="shared" si="25"/>
        <v>98.160110482469818</v>
      </c>
      <c r="D24" s="839">
        <f t="shared" si="26"/>
        <v>98.071011716487732</v>
      </c>
      <c r="E24" s="840">
        <f t="shared" si="27"/>
        <v>98.333118378250759</v>
      </c>
      <c r="G24" s="585" t="s">
        <v>14</v>
      </c>
      <c r="H24" s="841" t="s">
        <v>119</v>
      </c>
      <c r="I24" s="842">
        <f>MAX(V2:V10)</f>
        <v>99.254114135519231</v>
      </c>
      <c r="J24" s="809"/>
      <c r="Q24" s="127" t="str">
        <f t="shared" ref="Q24:Q31" si="28">Q2</f>
        <v>PyCaret</v>
      </c>
      <c r="R24" s="956">
        <v>80</v>
      </c>
      <c r="S24" s="957">
        <f t="shared" ref="S24:S32" si="29">R24/$S$23</f>
        <v>0.11678832116788321</v>
      </c>
      <c r="T24" s="958">
        <v>82.5</v>
      </c>
      <c r="U24" s="959">
        <f t="shared" ref="U24:U32" si="30">T24/$U$23</f>
        <v>0.10837438423645321</v>
      </c>
      <c r="V24" s="960">
        <v>87.5</v>
      </c>
      <c r="W24" s="959">
        <f t="shared" ref="W24:W32" si="31">V24/$W$23</f>
        <v>0.11608623548922056</v>
      </c>
      <c r="X24" s="960">
        <v>67.525000000000006</v>
      </c>
      <c r="Y24" s="959">
        <f t="shared" ref="Y24:Y32" si="32">X24/$Y$23</f>
        <v>0.1086440609790435</v>
      </c>
      <c r="Z24" s="960">
        <v>83.75</v>
      </c>
      <c r="AA24" s="961">
        <f t="shared" ref="AA24:AA32" si="33">Z24/$AA$23</f>
        <v>0.11260504201680673</v>
      </c>
      <c r="AB24" s="962">
        <v>91.25</v>
      </c>
      <c r="AC24" s="674">
        <f t="shared" ref="AC24:AC32" si="34">AB24/$AC$23</f>
        <v>0.11928104575163399</v>
      </c>
      <c r="AD24" s="667"/>
      <c r="AE24" s="883">
        <v>98</v>
      </c>
      <c r="AF24" s="938">
        <v>65</v>
      </c>
    </row>
    <row r="25" spans="1:32" ht="14.4" x14ac:dyDescent="0.3">
      <c r="A25" s="43" t="s">
        <v>15</v>
      </c>
      <c r="B25" s="838">
        <f t="shared" si="24"/>
        <v>86.686838124054475</v>
      </c>
      <c r="C25" s="839">
        <f t="shared" si="25"/>
        <v>87.39283913262733</v>
      </c>
      <c r="D25" s="839">
        <f t="shared" si="26"/>
        <v>87.897125567322249</v>
      </c>
      <c r="E25" s="840">
        <f t="shared" si="27"/>
        <v>84.066221829275975</v>
      </c>
      <c r="G25" s="585" t="s">
        <v>15</v>
      </c>
      <c r="H25" s="841" t="s">
        <v>36</v>
      </c>
      <c r="I25" s="842">
        <f>MAX(X2:X10)</f>
        <v>93.029248613212317</v>
      </c>
      <c r="J25" s="809"/>
      <c r="Q25" s="143" t="str">
        <f t="shared" si="28"/>
        <v>ARIMAX</v>
      </c>
      <c r="R25" s="963">
        <v>87.5</v>
      </c>
      <c r="S25" s="964">
        <f t="shared" si="29"/>
        <v>0.12773722627737227</v>
      </c>
      <c r="T25" s="965">
        <v>83.75</v>
      </c>
      <c r="U25" s="966">
        <f t="shared" si="30"/>
        <v>0.11001642036124795</v>
      </c>
      <c r="V25" s="967">
        <v>82.5</v>
      </c>
      <c r="W25" s="966">
        <f t="shared" si="31"/>
        <v>0.10945273631840796</v>
      </c>
      <c r="X25" s="967">
        <v>75</v>
      </c>
      <c r="Y25" s="966">
        <f t="shared" si="32"/>
        <v>0.12067093037287317</v>
      </c>
      <c r="Z25" s="967">
        <v>82.5</v>
      </c>
      <c r="AA25" s="968">
        <f t="shared" si="33"/>
        <v>0.11092436974789915</v>
      </c>
      <c r="AB25" s="969">
        <v>82.5</v>
      </c>
      <c r="AC25" s="674">
        <f t="shared" si="34"/>
        <v>0.10784313725490197</v>
      </c>
      <c r="AD25" s="667"/>
      <c r="AE25" s="883">
        <v>98.5</v>
      </c>
      <c r="AF25" s="938">
        <v>70</v>
      </c>
    </row>
    <row r="26" spans="1:32" ht="14.4" x14ac:dyDescent="0.3">
      <c r="A26" s="174" t="s">
        <v>16</v>
      </c>
      <c r="B26" s="843">
        <f t="shared" si="24"/>
        <v>97.332720165555301</v>
      </c>
      <c r="C26" s="844">
        <f t="shared" si="25"/>
        <v>97.414840850113322</v>
      </c>
      <c r="D26" s="844">
        <f t="shared" si="26"/>
        <v>97.365568439378521</v>
      </c>
      <c r="E26" s="845">
        <f t="shared" si="27"/>
        <v>97.650305088694481</v>
      </c>
      <c r="G26" s="591" t="s">
        <v>16</v>
      </c>
      <c r="H26" s="846" t="s">
        <v>119</v>
      </c>
      <c r="I26" s="847">
        <f>MAX(Z2:Z10)</f>
        <v>98.483953618237365</v>
      </c>
      <c r="J26" s="809"/>
      <c r="Q26" s="143" t="str">
        <f t="shared" si="28"/>
        <v>PCE</v>
      </c>
      <c r="R26" s="963">
        <v>83.75</v>
      </c>
      <c r="S26" s="964">
        <f t="shared" si="29"/>
        <v>0.12226277372262774</v>
      </c>
      <c r="T26" s="965">
        <v>83.75</v>
      </c>
      <c r="U26" s="966">
        <f t="shared" si="30"/>
        <v>0.11001642036124795</v>
      </c>
      <c r="V26" s="967">
        <v>85</v>
      </c>
      <c r="W26" s="966">
        <f t="shared" si="31"/>
        <v>0.11276948590381426</v>
      </c>
      <c r="X26" s="967">
        <v>68</v>
      </c>
      <c r="Y26" s="966">
        <f t="shared" si="32"/>
        <v>0.10940831020473835</v>
      </c>
      <c r="Z26" s="967">
        <v>83.75</v>
      </c>
      <c r="AA26" s="968">
        <f t="shared" si="33"/>
        <v>0.11260504201680673</v>
      </c>
      <c r="AB26" s="969">
        <v>85</v>
      </c>
      <c r="AC26" s="674">
        <f t="shared" si="34"/>
        <v>0.1111111111111111</v>
      </c>
      <c r="AD26" s="667"/>
      <c r="AE26" s="883">
        <v>99</v>
      </c>
      <c r="AF26" s="938">
        <v>75</v>
      </c>
    </row>
    <row r="27" spans="1:32" ht="14.4" x14ac:dyDescent="0.3">
      <c r="A27" s="136" t="s">
        <v>17</v>
      </c>
      <c r="B27" s="848">
        <f t="shared" si="24"/>
        <v>97.94794611064205</v>
      </c>
      <c r="C27" s="849">
        <f t="shared" si="25"/>
        <v>98.168202342057938</v>
      </c>
      <c r="D27" s="849">
        <f t="shared" si="26"/>
        <v>98.094783598252633</v>
      </c>
      <c r="E27" s="850">
        <f t="shared" si="27"/>
        <v>99.010109533087999</v>
      </c>
      <c r="G27" s="593" t="s">
        <v>17</v>
      </c>
      <c r="H27" s="851" t="s">
        <v>120</v>
      </c>
      <c r="I27" s="852">
        <f>MAX(AB2:AB10)</f>
        <v>99.935721889798472</v>
      </c>
      <c r="J27" s="806"/>
      <c r="Q27" s="143" t="str">
        <f t="shared" si="28"/>
        <v>LSTM</v>
      </c>
      <c r="R27" s="970">
        <v>82.5</v>
      </c>
      <c r="S27" s="964">
        <f t="shared" si="29"/>
        <v>0.12043795620437957</v>
      </c>
      <c r="T27" s="965">
        <v>91.25</v>
      </c>
      <c r="U27" s="966">
        <f t="shared" si="30"/>
        <v>0.11986863711001643</v>
      </c>
      <c r="V27" s="967">
        <v>85</v>
      </c>
      <c r="W27" s="966">
        <f t="shared" si="31"/>
        <v>0.11276948590381426</v>
      </c>
      <c r="X27" s="967">
        <v>68</v>
      </c>
      <c r="Y27" s="966">
        <f t="shared" si="32"/>
        <v>0.10940831020473835</v>
      </c>
      <c r="Z27" s="967">
        <v>82.5</v>
      </c>
      <c r="AA27" s="968">
        <f t="shared" si="33"/>
        <v>0.11092436974789915</v>
      </c>
      <c r="AB27" s="969">
        <v>83.75</v>
      </c>
      <c r="AC27" s="674">
        <f t="shared" si="34"/>
        <v>0.10947712418300654</v>
      </c>
      <c r="AD27" s="667"/>
      <c r="AE27" s="883">
        <v>99.25</v>
      </c>
      <c r="AF27" s="938">
        <v>80</v>
      </c>
    </row>
    <row r="28" spans="1:32" ht="14.25" customHeight="1" x14ac:dyDescent="0.3">
      <c r="C28" s="658"/>
      <c r="D28" s="658"/>
      <c r="E28" s="658"/>
      <c r="F28" s="658"/>
      <c r="Q28" s="143" t="str">
        <f t="shared" si="28"/>
        <v>GARCH</v>
      </c>
      <c r="R28" s="963">
        <v>86.25</v>
      </c>
      <c r="S28" s="964">
        <f t="shared" si="29"/>
        <v>0.1259124087591241</v>
      </c>
      <c r="T28" s="965">
        <v>83.75</v>
      </c>
      <c r="U28" s="966">
        <f t="shared" si="30"/>
        <v>0.11001642036124795</v>
      </c>
      <c r="V28" s="967">
        <v>82.5</v>
      </c>
      <c r="W28" s="966">
        <f t="shared" si="31"/>
        <v>0.10945273631840796</v>
      </c>
      <c r="X28" s="967">
        <v>68.75</v>
      </c>
      <c r="Y28" s="966">
        <f t="shared" si="32"/>
        <v>0.11061501950846708</v>
      </c>
      <c r="Z28" s="967">
        <v>80</v>
      </c>
      <c r="AA28" s="968">
        <f t="shared" si="33"/>
        <v>0.10756302521008404</v>
      </c>
      <c r="AB28" s="969">
        <v>82.5</v>
      </c>
      <c r="AC28" s="674">
        <f t="shared" si="34"/>
        <v>0.10784313725490197</v>
      </c>
      <c r="AD28" s="667"/>
      <c r="AE28" s="883">
        <v>99.5</v>
      </c>
      <c r="AF28" s="938">
        <v>90</v>
      </c>
    </row>
    <row r="29" spans="1:32" ht="14.25" customHeight="1" x14ac:dyDescent="0.3">
      <c r="A29" s="856" t="str">
        <f>AE1</f>
        <v>AVR-4</v>
      </c>
      <c r="B29" s="857">
        <f t="array" ref="B29">SUM(B23:B26/4)</f>
        <v>95.020213511419541</v>
      </c>
      <c r="C29" s="858">
        <f t="array" ref="C29">SUM(C23:C26/4)</f>
        <v>95.264976206589935</v>
      </c>
      <c r="D29" s="858">
        <f t="array" ref="D29">SUM(D23:D26/4)</f>
        <v>95.363878535554377</v>
      </c>
      <c r="E29" s="859">
        <f t="array" ref="E29">SUM(E23:E26/4)</f>
        <v>94.61146407300393</v>
      </c>
      <c r="G29" s="1408" t="s">
        <v>39</v>
      </c>
      <c r="H29" s="1408"/>
      <c r="I29" s="859">
        <f>AVERAGE(I23:I26)</f>
        <v>97.652845035754495</v>
      </c>
      <c r="J29" s="853"/>
      <c r="Q29" s="143" t="str">
        <f t="shared" si="28"/>
        <v>VAR</v>
      </c>
      <c r="R29" s="970">
        <v>0</v>
      </c>
      <c r="S29" s="964">
        <f t="shared" si="29"/>
        <v>0</v>
      </c>
      <c r="T29" s="965">
        <v>83.75</v>
      </c>
      <c r="U29" s="966">
        <f t="shared" si="30"/>
        <v>0.11001642036124795</v>
      </c>
      <c r="V29" s="967">
        <v>82.5</v>
      </c>
      <c r="W29" s="966">
        <f t="shared" si="31"/>
        <v>0.10945273631840796</v>
      </c>
      <c r="X29" s="967">
        <v>68</v>
      </c>
      <c r="Y29" s="966">
        <f t="shared" si="32"/>
        <v>0.10940831020473835</v>
      </c>
      <c r="Z29" s="967">
        <v>82.5</v>
      </c>
      <c r="AA29" s="968">
        <f t="shared" si="33"/>
        <v>0.11092436974789915</v>
      </c>
      <c r="AB29" s="969">
        <v>82.5</v>
      </c>
      <c r="AC29" s="674">
        <f t="shared" si="34"/>
        <v>0.10784313725490197</v>
      </c>
      <c r="AD29" s="667"/>
      <c r="AE29" s="883">
        <v>99.75</v>
      </c>
      <c r="AF29" s="938">
        <v>95</v>
      </c>
    </row>
    <row r="30" spans="1:32" ht="14.25" customHeight="1" x14ac:dyDescent="0.3">
      <c r="A30" s="860" t="str">
        <f>AF1</f>
        <v>AVR-6</v>
      </c>
      <c r="B30" s="861">
        <f t="array" ref="B30">SUM(B22:B27/6)</f>
        <v>96.193415559097261</v>
      </c>
      <c r="C30" s="862">
        <f t="array" ref="C30">SUM(C22:C27/6)</f>
        <v>96.393300061113521</v>
      </c>
      <c r="D30" s="862">
        <f t="array" ref="D30">SUM(D22:D27/6)</f>
        <v>96.446998489788911</v>
      </c>
      <c r="E30" s="863">
        <f t="array" ref="E30">SUM(E22:E27/6)</f>
        <v>96.054159580597286</v>
      </c>
      <c r="G30" s="1409" t="s">
        <v>41</v>
      </c>
      <c r="H30" s="1409"/>
      <c r="I30" s="863">
        <f>AVERAGE(I22:I27)</f>
        <v>98.368237860912416</v>
      </c>
      <c r="J30" s="855"/>
      <c r="Q30" s="143" t="str">
        <f t="shared" si="28"/>
        <v>RW</v>
      </c>
      <c r="R30" s="963">
        <v>90</v>
      </c>
      <c r="S30" s="964">
        <f t="shared" si="29"/>
        <v>0.13138686131386862</v>
      </c>
      <c r="T30" s="965">
        <v>83.75</v>
      </c>
      <c r="U30" s="966">
        <f t="shared" si="30"/>
        <v>0.11001642036124795</v>
      </c>
      <c r="V30" s="967">
        <v>82.5</v>
      </c>
      <c r="W30" s="966">
        <f t="shared" si="31"/>
        <v>0.10945273631840796</v>
      </c>
      <c r="X30" s="967">
        <v>68.75</v>
      </c>
      <c r="Y30" s="966">
        <f t="shared" si="32"/>
        <v>0.11061501950846708</v>
      </c>
      <c r="Z30" s="967">
        <v>82.5</v>
      </c>
      <c r="AA30" s="968">
        <f t="shared" si="33"/>
        <v>0.11092436974789915</v>
      </c>
      <c r="AB30" s="969">
        <v>83.75</v>
      </c>
      <c r="AC30" s="674">
        <f t="shared" si="34"/>
        <v>0.10947712418300654</v>
      </c>
      <c r="AE30" s="906">
        <v>99.99</v>
      </c>
      <c r="AF30" s="971">
        <v>100</v>
      </c>
    </row>
    <row r="31" spans="1:32" ht="14.25" customHeight="1" x14ac:dyDescent="0.3">
      <c r="Q31" s="143" t="str">
        <f t="shared" si="28"/>
        <v>ETS</v>
      </c>
      <c r="R31" s="963">
        <v>90</v>
      </c>
      <c r="S31" s="964">
        <f t="shared" si="29"/>
        <v>0.13138686131386862</v>
      </c>
      <c r="T31" s="965">
        <v>83.75</v>
      </c>
      <c r="U31" s="966">
        <f t="shared" si="30"/>
        <v>0.11001642036124795</v>
      </c>
      <c r="V31" s="967">
        <v>82.5</v>
      </c>
      <c r="W31" s="966">
        <f t="shared" si="31"/>
        <v>0.10945273631840796</v>
      </c>
      <c r="X31" s="967">
        <v>68.75</v>
      </c>
      <c r="Y31" s="966">
        <f t="shared" si="32"/>
        <v>0.11061501950846708</v>
      </c>
      <c r="Z31" s="967">
        <v>82.5</v>
      </c>
      <c r="AA31" s="968">
        <f t="shared" si="33"/>
        <v>0.11092436974789915</v>
      </c>
      <c r="AB31" s="969">
        <v>83.75</v>
      </c>
      <c r="AC31" s="674">
        <f t="shared" si="34"/>
        <v>0.10947712418300654</v>
      </c>
    </row>
    <row r="32" spans="1:32" ht="14.25" customHeight="1" x14ac:dyDescent="0.3">
      <c r="B32" s="693" t="s">
        <v>42</v>
      </c>
      <c r="Q32" s="180" t="str">
        <f>Q21</f>
        <v>DynaMix</v>
      </c>
      <c r="R32" s="972">
        <v>85</v>
      </c>
      <c r="S32" s="973">
        <f t="shared" si="29"/>
        <v>0.12408759124087591</v>
      </c>
      <c r="T32" s="974">
        <v>85</v>
      </c>
      <c r="U32" s="975">
        <f t="shared" si="30"/>
        <v>0.1116584564860427</v>
      </c>
      <c r="V32" s="976">
        <v>83.75</v>
      </c>
      <c r="W32" s="975">
        <f t="shared" si="31"/>
        <v>0.1111111111111111</v>
      </c>
      <c r="X32" s="976">
        <v>68.75</v>
      </c>
      <c r="Y32" s="975">
        <f t="shared" si="32"/>
        <v>0.11061501950846708</v>
      </c>
      <c r="Z32" s="976">
        <v>83.75</v>
      </c>
      <c r="AA32" s="977">
        <f t="shared" si="33"/>
        <v>0.11260504201680673</v>
      </c>
      <c r="AB32" s="978">
        <v>90</v>
      </c>
      <c r="AC32" s="706">
        <f t="shared" si="34"/>
        <v>0.11764705882352941</v>
      </c>
    </row>
    <row r="34" spans="1:32" ht="14.25" customHeight="1" x14ac:dyDescent="0.3">
      <c r="A34" s="979" t="s">
        <v>43</v>
      </c>
      <c r="B34" s="823">
        <v>0</v>
      </c>
      <c r="C34" s="824" t="s">
        <v>44</v>
      </c>
      <c r="D34" s="980">
        <v>0</v>
      </c>
      <c r="E34" s="980">
        <v>0</v>
      </c>
      <c r="F34" s="980">
        <v>0</v>
      </c>
      <c r="G34" s="980">
        <v>0</v>
      </c>
      <c r="H34" s="980">
        <v>0</v>
      </c>
      <c r="I34" s="981">
        <v>0</v>
      </c>
    </row>
    <row r="35" spans="1:32" ht="14.25" customHeight="1" x14ac:dyDescent="0.3">
      <c r="B35" s="823">
        <v>25</v>
      </c>
      <c r="C35" s="824" t="s">
        <v>45</v>
      </c>
      <c r="D35" s="981">
        <f>J12-I12</f>
        <v>4.689160583941554E-2</v>
      </c>
      <c r="E35" s="981">
        <f>J13-I13</f>
        <v>-756.14609999999811</v>
      </c>
      <c r="F35" s="981">
        <f>J14-I14</f>
        <v>-112.24947529021574</v>
      </c>
      <c r="G35" s="981">
        <f>J15-I15</f>
        <v>3.1596682112545729</v>
      </c>
      <c r="H35" s="981">
        <f>J16-I16</f>
        <v>-14.306352436974748</v>
      </c>
      <c r="I35" s="981">
        <f>J17-I17</f>
        <v>-2.6965606209149655</v>
      </c>
    </row>
    <row r="36" spans="1:32" ht="14.25" customHeight="1" x14ac:dyDescent="0.3">
      <c r="B36" s="823">
        <v>45</v>
      </c>
      <c r="C36" s="824" t="s">
        <v>46</v>
      </c>
      <c r="D36" s="980">
        <v>0</v>
      </c>
      <c r="E36" s="980">
        <v>0</v>
      </c>
      <c r="F36" s="980">
        <v>0</v>
      </c>
      <c r="G36" s="980">
        <v>0</v>
      </c>
      <c r="H36" s="980">
        <v>0</v>
      </c>
      <c r="I36" s="980">
        <v>0</v>
      </c>
    </row>
    <row r="37" spans="1:32" ht="14.25" customHeight="1" x14ac:dyDescent="0.3">
      <c r="B37" s="823">
        <v>55</v>
      </c>
      <c r="C37" s="824" t="s">
        <v>47</v>
      </c>
      <c r="D37" s="980">
        <v>0</v>
      </c>
      <c r="E37" s="980">
        <v>75</v>
      </c>
      <c r="F37" s="980">
        <v>25</v>
      </c>
      <c r="G37" s="980">
        <v>0.125</v>
      </c>
      <c r="H37" s="980">
        <v>0</v>
      </c>
      <c r="I37" s="980">
        <v>0</v>
      </c>
      <c r="AB37" s="658"/>
    </row>
    <row r="38" spans="1:32" ht="14.25" customHeight="1" x14ac:dyDescent="0.3">
      <c r="B38" s="823">
        <v>75</v>
      </c>
      <c r="C38" s="824" t="s">
        <v>48</v>
      </c>
      <c r="D38" s="980">
        <v>0</v>
      </c>
      <c r="E38" s="980">
        <v>150</v>
      </c>
      <c r="F38" s="980">
        <v>50</v>
      </c>
      <c r="G38" s="980">
        <v>-0.25</v>
      </c>
      <c r="H38" s="980">
        <v>0</v>
      </c>
      <c r="I38" s="980">
        <v>0</v>
      </c>
      <c r="AB38" s="658"/>
    </row>
    <row r="39" spans="1:32" ht="14.25" customHeight="1" x14ac:dyDescent="0.3">
      <c r="D39" s="982" t="s">
        <v>12</v>
      </c>
      <c r="E39" s="982" t="s">
        <v>13</v>
      </c>
      <c r="F39" s="982" t="s">
        <v>14</v>
      </c>
      <c r="G39" s="982" t="s">
        <v>15</v>
      </c>
      <c r="H39" s="982" t="s">
        <v>16</v>
      </c>
      <c r="I39" s="982" t="s">
        <v>17</v>
      </c>
      <c r="AB39" s="658"/>
    </row>
    <row r="40" spans="1:32" ht="14.25" customHeight="1" x14ac:dyDescent="0.3">
      <c r="C40" s="658"/>
      <c r="D40" s="983">
        <f>D34/$D$45</f>
        <v>0</v>
      </c>
      <c r="E40" s="983">
        <f>E34/$E$45</f>
        <v>0</v>
      </c>
      <c r="F40" s="983">
        <f>F34/$F$45</f>
        <v>0</v>
      </c>
      <c r="G40" s="983">
        <f>G34/$G$45</f>
        <v>0</v>
      </c>
      <c r="H40" s="983">
        <f t="shared" ref="H40:I44" si="35">H34/$H$45</f>
        <v>0</v>
      </c>
      <c r="I40" s="983">
        <f t="shared" si="35"/>
        <v>0</v>
      </c>
      <c r="AB40" s="658"/>
    </row>
    <row r="41" spans="1:32" ht="14.25" customHeight="1" x14ac:dyDescent="0.3">
      <c r="D41" s="983">
        <f>D35/$D$45</f>
        <v>1.1439464715355009E-2</v>
      </c>
      <c r="E41" s="983">
        <f>E35/$E$45</f>
        <v>-1.5784736178875571E-2</v>
      </c>
      <c r="F41" s="983">
        <f>F35/$F$45</f>
        <v>-1.6395522269984253E-2</v>
      </c>
      <c r="G41" s="983">
        <f>G35/$G$45</f>
        <v>0.18953841179020486</v>
      </c>
      <c r="H41" s="983">
        <f t="shared" si="35"/>
        <v>-2.2957517492765547E-2</v>
      </c>
      <c r="I41" s="983">
        <f t="shared" si="35"/>
        <v>-4.3271922663502401E-3</v>
      </c>
      <c r="AB41" s="658"/>
    </row>
    <row r="42" spans="1:32" ht="14.25" customHeight="1" x14ac:dyDescent="0.3">
      <c r="D42" s="983">
        <f>D36/$D$45</f>
        <v>0</v>
      </c>
      <c r="E42" s="983">
        <f>E36/$E$45</f>
        <v>0</v>
      </c>
      <c r="F42" s="983">
        <f>F36/$F$45</f>
        <v>0</v>
      </c>
      <c r="G42" s="983">
        <f>G36/$G$45</f>
        <v>0</v>
      </c>
      <c r="H42" s="983">
        <f t="shared" si="35"/>
        <v>0</v>
      </c>
      <c r="I42" s="983">
        <f t="shared" si="35"/>
        <v>0</v>
      </c>
    </row>
    <row r="43" spans="1:32" ht="14.25" customHeight="1" x14ac:dyDescent="0.3">
      <c r="D43" s="983">
        <f>D37/$D$45</f>
        <v>0</v>
      </c>
      <c r="E43" s="983">
        <f>E37/$E$45</f>
        <v>1.5656434826757299E-3</v>
      </c>
      <c r="F43" s="983">
        <f>F37/$F$45</f>
        <v>3.6515810491751523E-3</v>
      </c>
      <c r="G43" s="983">
        <f>G37/$G$45</f>
        <v>7.4983510576790528E-3</v>
      </c>
      <c r="H43" s="983">
        <f t="shared" si="35"/>
        <v>0</v>
      </c>
      <c r="I43" s="983">
        <f t="shared" si="35"/>
        <v>0</v>
      </c>
      <c r="AF43" s="868"/>
    </row>
    <row r="44" spans="1:32" ht="14.25" customHeight="1" x14ac:dyDescent="0.3">
      <c r="D44" s="983">
        <f>D38/$D$45</f>
        <v>0</v>
      </c>
      <c r="E44" s="983">
        <f>E38/$E$45</f>
        <v>3.1312869653514598E-3</v>
      </c>
      <c r="F44" s="983">
        <f>F38/$F$45</f>
        <v>7.3031620983503047E-3</v>
      </c>
      <c r="G44" s="983">
        <f>G38/$G$45</f>
        <v>-1.4996702115358106E-2</v>
      </c>
      <c r="H44" s="983">
        <f t="shared" si="35"/>
        <v>0</v>
      </c>
      <c r="I44" s="983">
        <f t="shared" si="35"/>
        <v>0</v>
      </c>
      <c r="AF44" s="868"/>
    </row>
    <row r="45" spans="1:32" ht="14.25" customHeight="1" x14ac:dyDescent="0.3">
      <c r="D45" s="984">
        <f>(B2*S24)+(C2*S25)+(D2*S26)+(E2*S27)+(F2*S28)+(G2*S29)+(H2*S30)+(I2*S31)+(J2*S32)</f>
        <v>4.0991083941605844</v>
      </c>
      <c r="E45" s="984">
        <f>(B3*U24)+(C3*U25)+(D3*U26)+(E3*U27)+(F3*U28)+(G3*U29)+(H3*U30)+(I3*U31)+(J3*U32)</f>
        <v>47903.626100000001</v>
      </c>
      <c r="F45" s="984">
        <f>(B4*W24)+(C4*W25)+(D4*W26)+(E4*W27)+(F4*W28)+(G4*W29)+(H4*W30)+(I4*W31)+(J4*W32)</f>
        <v>6846.3494752902161</v>
      </c>
      <c r="G45" s="984">
        <f>(B5*Y24)+(C5*Y25)+(D5*Y26)+(E5*Y27)+(F5*Y28)+(G5*Y29)+(H5*Y30)+(I5*Y31)+(J5*Y32)</f>
        <v>16.670331788745425</v>
      </c>
      <c r="H45" s="984">
        <f>(B6*AA24)+(C6*AA25)+(D6*AA26)+(E6*AA27)+(F6*AA28)+(G6*AA29)+(H6*AA30)+(I6*AA31)+(J6*AA32)</f>
        <v>623.16635243697476</v>
      </c>
      <c r="I45" s="984">
        <f>(B7*AC24)+(C7*AC25)+(D7*AC26)+(E7*AC27)+(F7*AC28)+(G7*AC29)+(H7*AC30)+(I7*AC31)+(J7*AC32)</f>
        <v>275.10656062091499</v>
      </c>
      <c r="AF45" s="868"/>
    </row>
    <row r="46" spans="1:32" ht="14.25" customHeight="1" x14ac:dyDescent="0.3">
      <c r="AF46" s="868"/>
    </row>
    <row r="47" spans="1:32" ht="14.25" customHeight="1" x14ac:dyDescent="0.3">
      <c r="D47" s="654">
        <v>0.04</v>
      </c>
      <c r="E47" s="654">
        <v>-500</v>
      </c>
      <c r="F47" s="654">
        <v>-150</v>
      </c>
      <c r="G47" s="654">
        <v>4</v>
      </c>
      <c r="H47" s="654">
        <v>-12</v>
      </c>
      <c r="I47" s="654">
        <v>0</v>
      </c>
    </row>
    <row r="48" spans="1:32" ht="14.25" customHeight="1" x14ac:dyDescent="0.3">
      <c r="D48" s="654">
        <v>0.02</v>
      </c>
      <c r="E48" s="654">
        <v>-300</v>
      </c>
      <c r="F48" s="654">
        <v>-75</v>
      </c>
      <c r="G48" s="654">
        <v>2</v>
      </c>
      <c r="H48" s="654">
        <v>-6</v>
      </c>
      <c r="I48" s="654">
        <v>0</v>
      </c>
    </row>
    <row r="49" spans="4:9" ht="14.25" customHeight="1" x14ac:dyDescent="0.3">
      <c r="D49" s="654">
        <v>0</v>
      </c>
      <c r="E49" s="654">
        <v>0</v>
      </c>
      <c r="F49" s="654">
        <v>0</v>
      </c>
      <c r="G49" s="654">
        <v>0</v>
      </c>
      <c r="H49" s="654">
        <v>0</v>
      </c>
      <c r="I49" s="654">
        <v>0</v>
      </c>
    </row>
    <row r="50" spans="4:9" ht="14.25" customHeight="1" x14ac:dyDescent="0.3">
      <c r="D50" s="654">
        <v>0.01</v>
      </c>
      <c r="E50" s="654">
        <v>75</v>
      </c>
      <c r="F50" s="654">
        <v>25</v>
      </c>
      <c r="G50" s="654">
        <v>0.125</v>
      </c>
      <c r="H50" s="654">
        <v>0</v>
      </c>
      <c r="I50" s="654">
        <v>0</v>
      </c>
    </row>
    <row r="51" spans="4:9" ht="14.25" customHeight="1" x14ac:dyDescent="0.3">
      <c r="D51" s="654">
        <v>0.02</v>
      </c>
      <c r="E51" s="654">
        <v>150</v>
      </c>
      <c r="F51" s="654">
        <v>50</v>
      </c>
      <c r="G51" s="654">
        <v>-0.25</v>
      </c>
      <c r="H51" s="654">
        <v>0</v>
      </c>
      <c r="I51" s="654">
        <v>0</v>
      </c>
    </row>
  </sheetData>
  <mergeCells count="2">
    <mergeCell ref="G29:H29"/>
    <mergeCell ref="G30:H30"/>
  </mergeCells>
  <hyperlinks>
    <hyperlink ref="B32" r:id="rId1" xr:uid="{00000000-0004-0000-0D00-000000000000}"/>
  </hyperlinks>
  <pageMargins left="0.7" right="0.7" top="0.75" bottom="0.75" header="0.511811023622047" footer="0.511811023622047"/>
  <pageSetup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D30"/>
  <sheetViews>
    <sheetView zoomScale="120" zoomScaleNormal="120" workbookViewId="0">
      <selection activeCell="J2" sqref="J2"/>
    </sheetView>
  </sheetViews>
  <sheetFormatPr defaultColWidth="8.77734375" defaultRowHeight="14.25" customHeight="1" x14ac:dyDescent="0.3"/>
  <cols>
    <col min="1" max="1" width="8.77734375" style="654"/>
    <col min="2" max="11" width="8.6640625" style="654" customWidth="1"/>
    <col min="12" max="12" width="4" style="654" customWidth="1"/>
    <col min="13" max="13" width="9" style="654" customWidth="1"/>
    <col min="14" max="14" width="5.88671875" style="655" customWidth="1"/>
    <col min="15" max="15" width="3.33203125" style="985" hidden="1" customWidth="1"/>
    <col min="16" max="16" width="5.88671875" style="655" customWidth="1"/>
    <col min="17" max="17" width="3.33203125" style="654" hidden="1" customWidth="1"/>
    <col min="18" max="18" width="5.88671875" style="655" customWidth="1"/>
    <col min="19" max="19" width="3.33203125" style="654" hidden="1" customWidth="1"/>
    <col min="20" max="20" width="5.88671875" style="655" customWidth="1"/>
    <col min="21" max="21" width="3.33203125" style="654" hidden="1" customWidth="1"/>
    <col min="22" max="22" width="5.88671875" style="655" customWidth="1"/>
    <col min="23" max="23" width="3.33203125" style="654" hidden="1" customWidth="1"/>
    <col min="24" max="24" width="5.88671875" style="655" customWidth="1"/>
    <col min="25" max="25" width="3.33203125" style="654" hidden="1" customWidth="1"/>
    <col min="26" max="26" width="4" style="654" customWidth="1"/>
    <col min="27" max="27" width="8.88671875" style="658" customWidth="1"/>
    <col min="28" max="28" width="8.88671875" style="659" customWidth="1"/>
    <col min="29" max="29" width="8.77734375" style="658"/>
    <col min="30" max="16384" width="8.77734375" style="654"/>
  </cols>
  <sheetData>
    <row r="1" spans="1:30" ht="14.4" x14ac:dyDescent="0.3">
      <c r="A1" s="1" t="s">
        <v>0</v>
      </c>
      <c r="B1" s="9" t="s">
        <v>121</v>
      </c>
      <c r="C1" s="10" t="s">
        <v>34</v>
      </c>
      <c r="D1" s="10" t="s">
        <v>119</v>
      </c>
      <c r="E1" s="10" t="s">
        <v>122</v>
      </c>
      <c r="F1" s="10">
        <v>4</v>
      </c>
      <c r="G1" s="10" t="s">
        <v>123</v>
      </c>
      <c r="H1" s="10" t="s">
        <v>124</v>
      </c>
      <c r="I1" s="986" t="s">
        <v>118</v>
      </c>
      <c r="J1" s="714" t="s">
        <v>116</v>
      </c>
      <c r="K1" s="987" t="s">
        <v>125</v>
      </c>
      <c r="M1" s="13" t="s">
        <v>11</v>
      </c>
      <c r="N1" s="316" t="s">
        <v>12</v>
      </c>
      <c r="O1" s="988">
        <f>SUM(N2:N9)</f>
        <v>798.58294649401421</v>
      </c>
      <c r="P1" s="16" t="s">
        <v>13</v>
      </c>
      <c r="Q1" s="989">
        <f>SUM(P2:P9)</f>
        <v>794.96414973471451</v>
      </c>
      <c r="R1" s="18" t="s">
        <v>14</v>
      </c>
      <c r="S1" s="989">
        <f>SUM(R2:R9)</f>
        <v>790.49579346125097</v>
      </c>
      <c r="T1" s="662" t="s">
        <v>15</v>
      </c>
      <c r="U1" s="989">
        <f>SUM(T2:T9)</f>
        <v>771.6457023060799</v>
      </c>
      <c r="V1" s="663" t="s">
        <v>16</v>
      </c>
      <c r="W1" s="990">
        <f>SUM(V2:V9)</f>
        <v>781.5249122576837</v>
      </c>
      <c r="X1" s="665" t="s">
        <v>17</v>
      </c>
      <c r="Y1" s="991">
        <f>SUM(X2:X9)</f>
        <v>789.77539389875972</v>
      </c>
      <c r="Z1" s="667"/>
      <c r="AA1" s="668" t="s">
        <v>18</v>
      </c>
      <c r="AB1" s="669" t="s">
        <v>19</v>
      </c>
    </row>
    <row r="2" spans="1:30" ht="14.4" x14ac:dyDescent="0.3">
      <c r="A2" s="26" t="s">
        <v>12</v>
      </c>
      <c r="B2" s="992">
        <v>4.09</v>
      </c>
      <c r="C2" s="993">
        <v>4.08</v>
      </c>
      <c r="D2" s="993">
        <v>4.08</v>
      </c>
      <c r="E2" s="993">
        <v>4.08</v>
      </c>
      <c r="F2" s="993">
        <v>4.09</v>
      </c>
      <c r="G2" s="993">
        <v>4.09</v>
      </c>
      <c r="H2" s="994">
        <v>4.09</v>
      </c>
      <c r="I2" s="995">
        <v>4.0999999999999996</v>
      </c>
      <c r="J2" s="996">
        <f>(B2*O22)+(C2*O23)+(D2*O24)+(E2*O25)+(F2*O26)+(G2*O27)+(H2*O28)+(I2*O29)</f>
        <v>4.0875666541494553</v>
      </c>
      <c r="K2" s="997">
        <v>4.093</v>
      </c>
      <c r="M2" s="319" t="str">
        <f>B1</f>
        <v>O</v>
      </c>
      <c r="N2" s="998">
        <f>100-ABS((($K2-B2)/($K2)))*100</f>
        <v>99.926704129000726</v>
      </c>
      <c r="O2" s="999">
        <f t="shared" ref="O2:O9" si="0">N2/$O$1</f>
        <v>0.12513002508719329</v>
      </c>
      <c r="P2" s="1000">
        <f>100-ABS((($K3-B3)/($K3)))*100</f>
        <v>99.227660357842893</v>
      </c>
      <c r="Q2" s="1001">
        <f t="shared" ref="Q2:Q9" si="1">P2/$Q$1</f>
        <v>0.12482029584724784</v>
      </c>
      <c r="R2" s="1002">
        <f>100-ABS((($K4-B4)/($K4)))*100</f>
        <v>98.644782658449273</v>
      </c>
      <c r="S2" s="1001">
        <f t="shared" ref="S2:S9" si="2">R2/$S$1</f>
        <v>0.12478849789513106</v>
      </c>
      <c r="T2" s="1002">
        <f>100-ABS((($K5-B5)/($K5)))*100</f>
        <v>97.484276729559767</v>
      </c>
      <c r="U2" s="1001">
        <f t="shared" ref="U2:U9" si="3">T2/$U$1</f>
        <v>0.12633294844800649</v>
      </c>
      <c r="V2" s="1003">
        <f>100-ABS((($K6-B6)/($K6)))*100</f>
        <v>97.202086135073969</v>
      </c>
      <c r="W2" s="1004">
        <f t="shared" ref="W2:W9" si="4">V2/$W$1</f>
        <v>0.12437490425516287</v>
      </c>
      <c r="X2" s="1005">
        <f>100-ABS((($K7-B7)/($K7)))*100</f>
        <v>98.722389838715699</v>
      </c>
      <c r="Y2" s="1006">
        <f t="shared" ref="Y2:Y9" si="5">X2/$Y$1</f>
        <v>0.12500058953643572</v>
      </c>
      <c r="Z2" s="667"/>
      <c r="AA2" s="876">
        <f t="shared" ref="AA2:AA9" si="6">(P2+R2+T2+V2)/4</f>
        <v>98.139701470231472</v>
      </c>
      <c r="AB2" s="877">
        <f t="shared" ref="AB2:AB9" si="7">(N2+P2+R2+T2+V2+X2)/6</f>
        <v>98.534649974773728</v>
      </c>
      <c r="AC2" s="677" t="str">
        <f>IF($AA2=MAX(AA2:AA9),"TOP","")</f>
        <v/>
      </c>
      <c r="AD2" s="878"/>
    </row>
    <row r="3" spans="1:30" ht="14.4" x14ac:dyDescent="0.3">
      <c r="A3" s="43" t="s">
        <v>13</v>
      </c>
      <c r="B3" s="1007">
        <v>47350</v>
      </c>
      <c r="C3" s="1008">
        <v>47300</v>
      </c>
      <c r="D3" s="1008">
        <v>47310</v>
      </c>
      <c r="E3" s="1008">
        <v>47280</v>
      </c>
      <c r="F3" s="1008">
        <v>47393</v>
      </c>
      <c r="G3" s="1008">
        <v>47180</v>
      </c>
      <c r="H3" s="1008">
        <v>47250</v>
      </c>
      <c r="I3" s="1009">
        <v>47200</v>
      </c>
      <c r="J3" s="1010">
        <f>(B3*Q22)+(C3*Q23)+(D3*Q24)+(E3*Q25)+(F3*Q26)+(G3*Q27)+(H3*Q28)+(I3*Q29)</f>
        <v>47282.538275584207</v>
      </c>
      <c r="K3" s="1011">
        <v>46987.1</v>
      </c>
      <c r="M3" s="679" t="str">
        <f>C1</f>
        <v>G</v>
      </c>
      <c r="N3" s="1012">
        <f>100-ABS((($K2-C2)/($K2)))*100</f>
        <v>99.682384559003182</v>
      </c>
      <c r="O3" s="1013">
        <f t="shared" si="0"/>
        <v>0.12482408370556201</v>
      </c>
      <c r="P3" s="1014">
        <f>100-ABS((($K3-C3)/($K3)))*100</f>
        <v>99.334072543315074</v>
      </c>
      <c r="Q3" s="1015">
        <f t="shared" si="1"/>
        <v>0.12495415368914888</v>
      </c>
      <c r="R3" s="1015">
        <f>100-ABS((($K4-C4)/($K4)))*100</f>
        <v>98.79339734663337</v>
      </c>
      <c r="S3" s="1015">
        <f t="shared" si="2"/>
        <v>0.12497649976612568</v>
      </c>
      <c r="T3" s="1015">
        <f>100-ABS((($K5-C5)/($K5)))*100</f>
        <v>94.916142557651995</v>
      </c>
      <c r="U3" s="1015">
        <f t="shared" si="3"/>
        <v>0.12300482238674181</v>
      </c>
      <c r="V3" s="1016">
        <f>100-ABS((($K6-C6)/($K6)))*100</f>
        <v>97.989306917702635</v>
      </c>
      <c r="W3" s="1017">
        <f t="shared" si="4"/>
        <v>0.12538219240462764</v>
      </c>
      <c r="X3" s="1018">
        <f>100-ABS((($K7-C7)/($K7)))*100</f>
        <v>98.685141729057264</v>
      </c>
      <c r="Y3" s="1006">
        <f t="shared" si="5"/>
        <v>0.12495342662157892</v>
      </c>
      <c r="Z3" s="667"/>
      <c r="AA3" s="883">
        <f t="shared" si="6"/>
        <v>97.758229841325772</v>
      </c>
      <c r="AB3" s="884">
        <f t="shared" si="7"/>
        <v>98.233407608893913</v>
      </c>
      <c r="AC3" s="677" t="str">
        <f>IF($AA3=MAX(AA2:AA9),"TOP","")</f>
        <v/>
      </c>
      <c r="AD3" s="878"/>
    </row>
    <row r="4" spans="1:30" ht="14.4" x14ac:dyDescent="0.3">
      <c r="A4" s="43" t="s">
        <v>14</v>
      </c>
      <c r="B4" s="1007">
        <v>6820</v>
      </c>
      <c r="C4" s="1008">
        <v>6810</v>
      </c>
      <c r="D4" s="1008">
        <v>6810</v>
      </c>
      <c r="E4" s="1008">
        <v>6810</v>
      </c>
      <c r="F4" s="1008">
        <v>6810</v>
      </c>
      <c r="G4" s="1008">
        <v>6800</v>
      </c>
      <c r="H4" s="1008">
        <v>6810</v>
      </c>
      <c r="I4" s="1009">
        <v>6800</v>
      </c>
      <c r="J4" s="1010">
        <f>(B4*S22)+(C4*S23)+(D4*S24)+(E4*S25)+(F4*S26)+(G4*S27)+(H4*S28)+(I4*S29)</f>
        <v>6808.7161607875305</v>
      </c>
      <c r="K4" s="1011">
        <v>6728.81</v>
      </c>
      <c r="M4" s="679" t="str">
        <f>D1</f>
        <v>P</v>
      </c>
      <c r="N4" s="1012">
        <f>100-ABS((($K2-D2)/($K2)))*100</f>
        <v>99.682384559003182</v>
      </c>
      <c r="O4" s="1013">
        <f t="shared" si="0"/>
        <v>0.12482408370556201</v>
      </c>
      <c r="P4" s="1014">
        <f>100-ABS((($K3-D3)/($K3)))*100</f>
        <v>99.312790106220646</v>
      </c>
      <c r="Q4" s="1015">
        <f t="shared" si="1"/>
        <v>0.12492738212076868</v>
      </c>
      <c r="R4" s="1015">
        <f>100-ABS((($K4-D4)/($K4)))*100</f>
        <v>98.79339734663337</v>
      </c>
      <c r="S4" s="1015">
        <f t="shared" si="2"/>
        <v>0.12497649976612568</v>
      </c>
      <c r="T4" s="1015">
        <f>100-ABS((($K5-D5)/($K5)))*100</f>
        <v>96.960167714884705</v>
      </c>
      <c r="U4" s="1015">
        <f t="shared" si="3"/>
        <v>0.1256537390477484</v>
      </c>
      <c r="V4" s="1016">
        <f>100-ABS((($K6-D6)/($K6)))*100</f>
        <v>97.579296093416872</v>
      </c>
      <c r="W4" s="1017">
        <f t="shared" si="4"/>
        <v>0.12485756316011475</v>
      </c>
      <c r="X4" s="1018">
        <f>100-ABS((($K7-D7)/($K7)))*100</f>
        <v>98.722389838715699</v>
      </c>
      <c r="Y4" s="1006">
        <f t="shared" si="5"/>
        <v>0.12500058953643572</v>
      </c>
      <c r="Z4" s="667"/>
      <c r="AA4" s="883">
        <f t="shared" si="6"/>
        <v>98.161412815288898</v>
      </c>
      <c r="AB4" s="884">
        <f t="shared" si="7"/>
        <v>98.508404276479084</v>
      </c>
      <c r="AC4" s="677" t="str">
        <f>IF($AA4=MAX(AA2:AA9),"TOP","")</f>
        <v/>
      </c>
      <c r="AD4" s="878"/>
    </row>
    <row r="5" spans="1:30" ht="14.4" x14ac:dyDescent="0.3">
      <c r="A5" s="43" t="s">
        <v>15</v>
      </c>
      <c r="B5" s="1019">
        <v>18.600000000000001</v>
      </c>
      <c r="C5" s="1020">
        <v>18.11</v>
      </c>
      <c r="D5" s="1020">
        <v>18.5</v>
      </c>
      <c r="E5" s="1020">
        <v>18.5</v>
      </c>
      <c r="F5" s="1020">
        <v>18.11</v>
      </c>
      <c r="G5" s="1020">
        <v>17.8</v>
      </c>
      <c r="H5" s="1021">
        <v>18.7</v>
      </c>
      <c r="I5" s="1022">
        <v>19.25</v>
      </c>
      <c r="J5" s="1023">
        <f>(B5*U22)+(C5*U23)+(D5*U24)+(E5*U25)+(F5*U26)+(G5*U27)+(H5*U28)+(I5*U29)</f>
        <v>18.457889775199419</v>
      </c>
      <c r="K5" s="1011">
        <v>19.079999999999998</v>
      </c>
      <c r="M5" s="679" t="str">
        <f>E1</f>
        <v>C</v>
      </c>
      <c r="N5" s="1012">
        <f>100-ABS((($K2-E2)/($K2)))*100</f>
        <v>99.682384559003182</v>
      </c>
      <c r="O5" s="1013">
        <f t="shared" si="0"/>
        <v>0.12482408370556201</v>
      </c>
      <c r="P5" s="1014">
        <f>100-ABS((($K3-E3)/($K3)))*100</f>
        <v>99.376637417503943</v>
      </c>
      <c r="Q5" s="1015">
        <f t="shared" si="1"/>
        <v>0.12500769682590929</v>
      </c>
      <c r="R5" s="1015">
        <f>100-ABS((($K4-E4)/($K4)))*100</f>
        <v>98.79339734663337</v>
      </c>
      <c r="S5" s="1015">
        <f t="shared" si="2"/>
        <v>0.12497649976612568</v>
      </c>
      <c r="T5" s="1015">
        <f>100-ABS((($K5-E5)/($K5)))*100</f>
        <v>96.960167714884705</v>
      </c>
      <c r="U5" s="1015">
        <f t="shared" si="3"/>
        <v>0.1256537390477484</v>
      </c>
      <c r="V5" s="1016">
        <f>100-ABS((($K6-E6)/($K6)))*100</f>
        <v>97.579296093416872</v>
      </c>
      <c r="W5" s="1017">
        <f t="shared" si="4"/>
        <v>0.12485756316011475</v>
      </c>
      <c r="X5" s="1018">
        <f>100-ABS((($K7-E7)/($K7)))*100</f>
        <v>98.908630387007875</v>
      </c>
      <c r="Y5" s="1006">
        <f t="shared" si="5"/>
        <v>0.12523640411071968</v>
      </c>
      <c r="Z5" s="667"/>
      <c r="AA5" s="883">
        <f t="shared" si="6"/>
        <v>98.177374643109729</v>
      </c>
      <c r="AB5" s="884">
        <f t="shared" si="7"/>
        <v>98.550085586408329</v>
      </c>
      <c r="AC5" s="677" t="str">
        <f>IF($AA5=MAX(AA2:AA9),"TOP","")</f>
        <v/>
      </c>
      <c r="AD5" s="878"/>
    </row>
    <row r="6" spans="1:30" ht="14.4" x14ac:dyDescent="0.3">
      <c r="A6" s="43" t="s">
        <v>16</v>
      </c>
      <c r="B6" s="1019">
        <v>626.79999999999995</v>
      </c>
      <c r="C6" s="1020">
        <v>622</v>
      </c>
      <c r="D6" s="1020">
        <v>624.5</v>
      </c>
      <c r="E6" s="1020">
        <v>624.5</v>
      </c>
      <c r="F6" s="1020">
        <v>622.37</v>
      </c>
      <c r="G6" s="1020">
        <v>622.4</v>
      </c>
      <c r="H6" s="1021">
        <v>628</v>
      </c>
      <c r="I6" s="1022">
        <v>620</v>
      </c>
      <c r="J6" s="1024">
        <f>(B6*W22)+(C6*W23)+(D6*W24)+(E6*W25)+(F6*W26)+(G6*W27)+(H6*W28)+(I6*W29)</f>
        <v>623.86858465608464</v>
      </c>
      <c r="K6" s="1011">
        <v>609.74</v>
      </c>
      <c r="M6" s="679">
        <f>F1</f>
        <v>4</v>
      </c>
      <c r="N6" s="1012">
        <f>100-ABS((($K2-F2)/($K2)))*100</f>
        <v>99.926704129000726</v>
      </c>
      <c r="O6" s="1013">
        <f t="shared" si="0"/>
        <v>0.12513002508719329</v>
      </c>
      <c r="P6" s="1014">
        <f>100-ABS((($K3-F3)/($K3)))*100</f>
        <v>99.136145878336819</v>
      </c>
      <c r="Q6" s="1015">
        <f t="shared" si="1"/>
        <v>0.12470517810321295</v>
      </c>
      <c r="R6" s="1015">
        <f>100-ABS((($K4-F4)/($K4)))*100</f>
        <v>98.79339734663337</v>
      </c>
      <c r="S6" s="1015">
        <f t="shared" si="2"/>
        <v>0.12497649976612568</v>
      </c>
      <c r="T6" s="1015">
        <f>100-ABS((($K5-F5)/($K5)))*100</f>
        <v>94.916142557651995</v>
      </c>
      <c r="U6" s="1015">
        <f t="shared" si="3"/>
        <v>0.12300482238674181</v>
      </c>
      <c r="V6" s="1016">
        <f>100-ABS((($K6-F6)/($K6)))*100</f>
        <v>97.928625315708331</v>
      </c>
      <c r="W6" s="1017">
        <f t="shared" si="4"/>
        <v>0.12530454727643972</v>
      </c>
      <c r="X6" s="1018">
        <f>100-ABS((($K7-F7)/($K7)))*100</f>
        <v>98.681416918091415</v>
      </c>
      <c r="Y6" s="1006">
        <f t="shared" si="5"/>
        <v>0.12494871033009324</v>
      </c>
      <c r="Z6" s="667"/>
      <c r="AA6" s="883">
        <f t="shared" si="6"/>
        <v>97.693577774582621</v>
      </c>
      <c r="AB6" s="884">
        <f t="shared" si="7"/>
        <v>98.230405357570433</v>
      </c>
      <c r="AC6" s="677" t="str">
        <f>IF($AA6=MAX(AA2:AA9),"TOP","")</f>
        <v/>
      </c>
      <c r="AD6" s="878"/>
    </row>
    <row r="7" spans="1:30" ht="14.4" x14ac:dyDescent="0.3">
      <c r="A7" s="67" t="s">
        <v>17</v>
      </c>
      <c r="B7" s="1025">
        <v>271.89999999999998</v>
      </c>
      <c r="C7" s="1026">
        <v>272</v>
      </c>
      <c r="D7" s="1026">
        <v>271.89999999999998</v>
      </c>
      <c r="E7" s="1026">
        <v>271.39999999999998</v>
      </c>
      <c r="F7" s="1026">
        <v>272.01</v>
      </c>
      <c r="G7" s="1026">
        <v>272</v>
      </c>
      <c r="H7" s="1027">
        <v>272</v>
      </c>
      <c r="I7" s="1028">
        <v>272</v>
      </c>
      <c r="J7" s="1029">
        <f>(B7*Y22)+(C7*Y23)+(D7*Y24)+(E7*Y25)+(F7*Y26)+(G7*Y27)+(H7*Y28)+(I7*Y29)</f>
        <v>271.90180443548388</v>
      </c>
      <c r="K7" s="1030">
        <v>268.47000000000003</v>
      </c>
      <c r="M7" s="679" t="str">
        <f>G1</f>
        <v>K</v>
      </c>
      <c r="N7" s="1012">
        <f>100-ABS((($K2-G2)/($K2)))*100</f>
        <v>99.926704129000726</v>
      </c>
      <c r="O7" s="1013">
        <f t="shared" si="0"/>
        <v>0.12513002508719329</v>
      </c>
      <c r="P7" s="1014">
        <f>100-ABS((($K3-G3)/($K3)))*100</f>
        <v>99.589461788448318</v>
      </c>
      <c r="Q7" s="1015">
        <f t="shared" si="1"/>
        <v>0.12527541250971136</v>
      </c>
      <c r="R7" s="1015">
        <f>100-ABS((($K4-G4)/($K4)))*100</f>
        <v>98.942012034817452</v>
      </c>
      <c r="S7" s="1015">
        <f t="shared" si="2"/>
        <v>0.12516450163712028</v>
      </c>
      <c r="T7" s="1015">
        <f>100-ABS((($K5-G5)/($K5)))*100</f>
        <v>93.29140461215934</v>
      </c>
      <c r="U7" s="1015">
        <f t="shared" si="3"/>
        <v>0.1208992732459417</v>
      </c>
      <c r="V7" s="1016">
        <f>100-ABS((($K6-G6)/($K6)))*100</f>
        <v>97.923705185816914</v>
      </c>
      <c r="W7" s="1017">
        <f t="shared" si="4"/>
        <v>0.12529825172550557</v>
      </c>
      <c r="X7" s="1018">
        <f>100-ABS((($K7-G7)/($K7)))*100</f>
        <v>98.685141729057264</v>
      </c>
      <c r="Y7" s="1006">
        <f t="shared" si="5"/>
        <v>0.12495342662157892</v>
      </c>
      <c r="Z7" s="667"/>
      <c r="AA7" s="883">
        <f t="shared" si="6"/>
        <v>97.436645905310499</v>
      </c>
      <c r="AB7" s="884">
        <f t="shared" si="7"/>
        <v>98.059738246550012</v>
      </c>
      <c r="AC7" s="677" t="str">
        <f>IF($AA7=MAX(AA2:AA9),"TOP","")</f>
        <v/>
      </c>
      <c r="AD7" s="878"/>
    </row>
    <row r="8" spans="1:30" ht="14.4" x14ac:dyDescent="0.3">
      <c r="M8" s="679" t="str">
        <f>H1</f>
        <v>Q</v>
      </c>
      <c r="N8" s="1012">
        <f>100-ABS((($K2-H2)/($K2)))*100</f>
        <v>99.926704129000726</v>
      </c>
      <c r="O8" s="1013">
        <f t="shared" si="0"/>
        <v>0.12513002508719329</v>
      </c>
      <c r="P8" s="1014">
        <f>100-ABS((($K3-H3)/($K3)))*100</f>
        <v>99.440484728787254</v>
      </c>
      <c r="Q8" s="1015">
        <f t="shared" si="1"/>
        <v>0.1250880115310499</v>
      </c>
      <c r="R8" s="1015">
        <f>100-ABS((($K4-H4)/($K4)))*100</f>
        <v>98.79339734663337</v>
      </c>
      <c r="S8" s="1015">
        <f t="shared" si="2"/>
        <v>0.12497649976612568</v>
      </c>
      <c r="T8" s="1015">
        <f>100-ABS((($K5-H5)/($K5)))*100</f>
        <v>98.008385744234801</v>
      </c>
      <c r="U8" s="1015">
        <f t="shared" si="3"/>
        <v>0.12701215784826458</v>
      </c>
      <c r="V8" s="1016">
        <f>100-ABS((($K6-H6)/($K6)))*100</f>
        <v>97.005280939416807</v>
      </c>
      <c r="W8" s="1017">
        <f t="shared" si="4"/>
        <v>0.12412308221779668</v>
      </c>
      <c r="X8" s="1018">
        <f>100-ABS((($K7-H7)/($K7)))*100</f>
        <v>98.685141729057264</v>
      </c>
      <c r="Y8" s="1006">
        <f t="shared" si="5"/>
        <v>0.12495342662157892</v>
      </c>
      <c r="Z8" s="667"/>
      <c r="AA8" s="883">
        <f t="shared" si="6"/>
        <v>98.311887189768072</v>
      </c>
      <c r="AB8" s="884">
        <f t="shared" si="7"/>
        <v>98.64323243618837</v>
      </c>
      <c r="AC8" s="677" t="str">
        <f>IF($AA8=MAX(AA2:AA9),"TOP","")</f>
        <v/>
      </c>
      <c r="AD8" s="878"/>
    </row>
    <row r="9" spans="1:30" ht="14.4" x14ac:dyDescent="0.3">
      <c r="M9" s="696" t="str">
        <f>I1</f>
        <v>L</v>
      </c>
      <c r="N9" s="1031">
        <f>100-ABS((($K2-I2)/($K2)))*100</f>
        <v>99.828976301001717</v>
      </c>
      <c r="O9" s="1032">
        <f t="shared" si="0"/>
        <v>0.12500764853454077</v>
      </c>
      <c r="P9" s="1033">
        <f>100-ABS((($K3-I3)/($K3)))*100</f>
        <v>99.546896914259449</v>
      </c>
      <c r="Q9" s="1034">
        <f t="shared" si="1"/>
        <v>0.12522186937295096</v>
      </c>
      <c r="R9" s="1034">
        <f>100-ABS((($K4-I4)/($K4)))*100</f>
        <v>98.942012034817452</v>
      </c>
      <c r="S9" s="1034">
        <f t="shared" si="2"/>
        <v>0.12516450163712028</v>
      </c>
      <c r="T9" s="1035">
        <f>100-ABS((($K5-I5)/($K5)))*100</f>
        <v>99.109014675052407</v>
      </c>
      <c r="U9" s="1034">
        <f t="shared" si="3"/>
        <v>0.12843849758880657</v>
      </c>
      <c r="V9" s="1036">
        <f>100-ABS((($K6-I6)/($K6)))*100</f>
        <v>98.317315577131239</v>
      </c>
      <c r="W9" s="1037">
        <f t="shared" si="4"/>
        <v>0.12580189580023796</v>
      </c>
      <c r="X9" s="1038">
        <f>100-ABS((($K7-I7)/($K7)))*100</f>
        <v>98.685141729057264</v>
      </c>
      <c r="Y9" s="1039">
        <f t="shared" si="5"/>
        <v>0.12495342662157892</v>
      </c>
      <c r="Z9" s="667"/>
      <c r="AA9" s="906">
        <f t="shared" si="6"/>
        <v>98.978809800315133</v>
      </c>
      <c r="AB9" s="907">
        <f t="shared" si="7"/>
        <v>99.071559538553245</v>
      </c>
      <c r="AC9" s="677" t="str">
        <f>IF($AA9=MAX(AA2:AA9),"TOP","FLOP")</f>
        <v>TOP</v>
      </c>
      <c r="AD9" s="878"/>
    </row>
    <row r="10" spans="1:30" ht="14.4" x14ac:dyDescent="0.3">
      <c r="E10" s="694"/>
      <c r="N10" s="1040"/>
      <c r="O10" s="1041"/>
      <c r="P10" s="1040"/>
      <c r="Q10" s="658"/>
      <c r="R10" s="1040"/>
      <c r="S10" s="658"/>
      <c r="T10" s="1040"/>
      <c r="U10" s="658"/>
      <c r="V10" s="1040"/>
      <c r="W10" s="658"/>
      <c r="X10" s="1040"/>
    </row>
    <row r="11" spans="1:30" ht="14.4" x14ac:dyDescent="0.3">
      <c r="B11" s="709" t="s">
        <v>31</v>
      </c>
      <c r="C11" s="710"/>
      <c r="D11" s="711">
        <v>85220</v>
      </c>
      <c r="E11" s="712"/>
      <c r="F11" s="711" t="s">
        <v>32</v>
      </c>
      <c r="G11" s="713"/>
      <c r="J11" s="1042" t="s">
        <v>126</v>
      </c>
      <c r="M11" s="715" t="s">
        <v>28</v>
      </c>
      <c r="N11" s="716" t="s">
        <v>12</v>
      </c>
      <c r="O11" s="1043">
        <f>SUM(N12:N19)</f>
        <v>745</v>
      </c>
      <c r="P11" s="718" t="s">
        <v>13</v>
      </c>
      <c r="Q11" s="1044">
        <f>SUM(P12:P19)</f>
        <v>650</v>
      </c>
      <c r="R11" s="720" t="s">
        <v>14</v>
      </c>
      <c r="S11" s="1044">
        <f>SUM(R12:R19)</f>
        <v>560</v>
      </c>
      <c r="T11" s="720" t="s">
        <v>15</v>
      </c>
      <c r="U11" s="1044">
        <f>SUM(T12:T19)</f>
        <v>390</v>
      </c>
      <c r="V11" s="720" t="s">
        <v>16</v>
      </c>
      <c r="W11" s="990">
        <f>SUM(V12:V19)</f>
        <v>485</v>
      </c>
      <c r="X11" s="721" t="s">
        <v>17</v>
      </c>
      <c r="Y11" s="991">
        <f>SUM(X12:X19)</f>
        <v>560</v>
      </c>
      <c r="Z11" s="667"/>
      <c r="AA11" s="668" t="s">
        <v>29</v>
      </c>
      <c r="AB11" s="722" t="s">
        <v>30</v>
      </c>
    </row>
    <row r="12" spans="1:30" ht="14.4" x14ac:dyDescent="0.3">
      <c r="A12" s="76" t="s">
        <v>12</v>
      </c>
      <c r="B12" s="1045">
        <v>4.08</v>
      </c>
      <c r="C12" s="728" t="str">
        <f t="shared" ref="C12:C17" si="8">IF(ABS(K2-J2)&lt;ABS(B12-K2),$J$1,$B$11)</f>
        <v>Comb</v>
      </c>
      <c r="D12" s="1045">
        <v>4.09</v>
      </c>
      <c r="E12" s="728">
        <f t="shared" ref="E12:E17" si="9">IF(ABS(K2-J2)&lt;ABS(K2-D12),$J$1,$D$11)</f>
        <v>85220</v>
      </c>
      <c r="F12" s="1045">
        <v>4.09</v>
      </c>
      <c r="G12" s="729" t="str">
        <f t="shared" ref="G12:G17" si="10">IF(ABS(J2-K2)&lt;ABS(K2-F12),$J$1,$F$11)</f>
        <v>MICH</v>
      </c>
      <c r="M12" s="127" t="s">
        <v>121</v>
      </c>
      <c r="N12" s="929">
        <f t="shared" ref="N12:N19" si="11">IF(N2=0,0, LOOKUP(N2-0.000000000001,$AA$12:$AA$28,$AB$12:$AB$28))</f>
        <v>95</v>
      </c>
      <c r="O12" s="1046">
        <f t="shared" ref="O12:O19" si="12">N12/$O$11</f>
        <v>0.12751677852348994</v>
      </c>
      <c r="P12" s="931">
        <f t="shared" ref="P12:P19" si="13">IF(P2=0,0, LOOKUP(P2-0.000000000001,$AA$12:$AA$28,$AB$12:$AB$28))</f>
        <v>75</v>
      </c>
      <c r="Q12" s="1047">
        <f t="shared" ref="Q12:Q19" si="14">P12/$Q$11</f>
        <v>0.11538461538461539</v>
      </c>
      <c r="R12" s="933">
        <f t="shared" ref="R12:R19" si="15">IF(R2=0,0, LOOKUP(R2-0.000000000001,$AA$12:$AA$28,$AB$12:$AB$28))</f>
        <v>70</v>
      </c>
      <c r="S12" s="1047">
        <f t="shared" ref="S12:S19" si="16">R12/$S$11</f>
        <v>0.125</v>
      </c>
      <c r="T12" s="933">
        <f t="shared" ref="T12:T19" si="17">IF(T2=0,0, LOOKUP(T2-0.000000000001,$AA$12:$AA$28,$AB$12:$AB$28))</f>
        <v>60</v>
      </c>
      <c r="U12" s="1047">
        <f t="shared" ref="U12:U19" si="18">T12/$U$11</f>
        <v>0.15384615384615385</v>
      </c>
      <c r="V12" s="933">
        <f t="shared" ref="V12:V19" si="19">IF(V2=0,0, LOOKUP(V2-0.000000000001,$AA$12:$AA$28,$AB$12:$AB$28))</f>
        <v>60</v>
      </c>
      <c r="W12" s="1048">
        <f t="shared" ref="W12:W19" si="20">V12/$W$11</f>
        <v>0.12371134020618557</v>
      </c>
      <c r="X12" s="1049">
        <f t="shared" ref="X12:X19" si="21">IF(X2=0,0, LOOKUP(X2-0.000000000001,$AA$12:$AA$28,$AB$12:$AB$28))</f>
        <v>70</v>
      </c>
      <c r="Y12" s="1050">
        <f t="shared" ref="Y12:Y19" si="22">X12/$Y$11</f>
        <v>0.125</v>
      </c>
      <c r="Z12" s="667"/>
      <c r="AA12" s="876">
        <v>1</v>
      </c>
      <c r="AB12" s="936">
        <v>0.1</v>
      </c>
    </row>
    <row r="13" spans="1:30" ht="14.4" x14ac:dyDescent="0.3">
      <c r="A13" s="163" t="s">
        <v>13</v>
      </c>
      <c r="B13" s="1051">
        <v>47288</v>
      </c>
      <c r="C13" s="747" t="str">
        <f t="shared" si="8"/>
        <v>Comb</v>
      </c>
      <c r="D13" s="1051">
        <v>47298</v>
      </c>
      <c r="E13" s="747" t="str">
        <f t="shared" si="9"/>
        <v>Comb</v>
      </c>
      <c r="F13" s="1051">
        <v>47280</v>
      </c>
      <c r="G13" s="748" t="str">
        <f t="shared" si="10"/>
        <v>MICH</v>
      </c>
      <c r="M13" s="143" t="s">
        <v>34</v>
      </c>
      <c r="N13" s="929">
        <f t="shared" si="11"/>
        <v>90</v>
      </c>
      <c r="O13" s="1046">
        <f t="shared" si="12"/>
        <v>0.12080536912751678</v>
      </c>
      <c r="P13" s="931">
        <f t="shared" si="13"/>
        <v>80</v>
      </c>
      <c r="Q13" s="1047">
        <f t="shared" si="14"/>
        <v>0.12307692307692308</v>
      </c>
      <c r="R13" s="933">
        <f t="shared" si="15"/>
        <v>70</v>
      </c>
      <c r="S13" s="1047">
        <f t="shared" si="16"/>
        <v>0.125</v>
      </c>
      <c r="T13" s="933">
        <f t="shared" si="17"/>
        <v>30</v>
      </c>
      <c r="U13" s="1047">
        <f t="shared" si="18"/>
        <v>7.6923076923076927E-2</v>
      </c>
      <c r="V13" s="933">
        <f t="shared" si="19"/>
        <v>60</v>
      </c>
      <c r="W13" s="1048">
        <f t="shared" si="20"/>
        <v>0.12371134020618557</v>
      </c>
      <c r="X13" s="1049">
        <f t="shared" si="21"/>
        <v>70</v>
      </c>
      <c r="Y13" s="1050">
        <f t="shared" si="22"/>
        <v>0.125</v>
      </c>
      <c r="Z13" s="667"/>
      <c r="AA13" s="883">
        <v>80</v>
      </c>
      <c r="AB13" s="938">
        <v>1</v>
      </c>
    </row>
    <row r="14" spans="1:30" ht="14.4" x14ac:dyDescent="0.3">
      <c r="A14" s="43" t="s">
        <v>14</v>
      </c>
      <c r="B14" s="1052">
        <v>6808</v>
      </c>
      <c r="C14" s="765" t="str">
        <f t="shared" si="8"/>
        <v>RD</v>
      </c>
      <c r="D14" s="1052">
        <v>6811</v>
      </c>
      <c r="E14" s="765" t="str">
        <f t="shared" si="9"/>
        <v>Comb</v>
      </c>
      <c r="F14" s="1052">
        <v>6811</v>
      </c>
      <c r="G14" s="766" t="str">
        <f t="shared" si="10"/>
        <v>Comb</v>
      </c>
      <c r="M14" s="143" t="s">
        <v>119</v>
      </c>
      <c r="N14" s="929">
        <f t="shared" si="11"/>
        <v>90</v>
      </c>
      <c r="O14" s="1046">
        <f t="shared" si="12"/>
        <v>0.12080536912751678</v>
      </c>
      <c r="P14" s="931">
        <f t="shared" si="13"/>
        <v>80</v>
      </c>
      <c r="Q14" s="1047">
        <f t="shared" si="14"/>
        <v>0.12307692307692308</v>
      </c>
      <c r="R14" s="933">
        <f t="shared" si="15"/>
        <v>70</v>
      </c>
      <c r="S14" s="1047">
        <f t="shared" si="16"/>
        <v>0.125</v>
      </c>
      <c r="T14" s="933">
        <f t="shared" si="17"/>
        <v>50</v>
      </c>
      <c r="U14" s="1047">
        <f t="shared" si="18"/>
        <v>0.12820512820512819</v>
      </c>
      <c r="V14" s="933">
        <f t="shared" si="19"/>
        <v>60</v>
      </c>
      <c r="W14" s="1048">
        <f t="shared" si="20"/>
        <v>0.12371134020618557</v>
      </c>
      <c r="X14" s="1049">
        <f t="shared" si="21"/>
        <v>70</v>
      </c>
      <c r="Y14" s="1050">
        <f t="shared" si="22"/>
        <v>0.125</v>
      </c>
      <c r="Z14" s="667"/>
      <c r="AA14" s="883">
        <v>82.5</v>
      </c>
      <c r="AB14" s="938">
        <v>2</v>
      </c>
    </row>
    <row r="15" spans="1:30" ht="14.4" x14ac:dyDescent="0.3">
      <c r="A15" s="43" t="s">
        <v>15</v>
      </c>
      <c r="B15" s="1052">
        <v>18.399999999999999</v>
      </c>
      <c r="C15" s="765" t="str">
        <f t="shared" si="8"/>
        <v>Comb</v>
      </c>
      <c r="D15" s="1052">
        <v>18.5</v>
      </c>
      <c r="E15" s="765">
        <f t="shared" si="9"/>
        <v>85220</v>
      </c>
      <c r="F15" s="1052">
        <v>18.5</v>
      </c>
      <c r="G15" s="766" t="str">
        <f t="shared" si="10"/>
        <v>MICH</v>
      </c>
      <c r="M15" s="143" t="s">
        <v>122</v>
      </c>
      <c r="N15" s="929">
        <f t="shared" si="11"/>
        <v>90</v>
      </c>
      <c r="O15" s="1046">
        <f t="shared" si="12"/>
        <v>0.12080536912751678</v>
      </c>
      <c r="P15" s="931">
        <f t="shared" si="13"/>
        <v>80</v>
      </c>
      <c r="Q15" s="1047">
        <f t="shared" si="14"/>
        <v>0.12307692307692308</v>
      </c>
      <c r="R15" s="933">
        <f t="shared" si="15"/>
        <v>70</v>
      </c>
      <c r="S15" s="1047">
        <f t="shared" si="16"/>
        <v>0.125</v>
      </c>
      <c r="T15" s="933">
        <f t="shared" si="17"/>
        <v>50</v>
      </c>
      <c r="U15" s="1047">
        <f t="shared" si="18"/>
        <v>0.12820512820512819</v>
      </c>
      <c r="V15" s="933">
        <f t="shared" si="19"/>
        <v>60</v>
      </c>
      <c r="W15" s="1048">
        <f t="shared" si="20"/>
        <v>0.12371134020618557</v>
      </c>
      <c r="X15" s="1049">
        <f t="shared" si="21"/>
        <v>70</v>
      </c>
      <c r="Y15" s="1050">
        <f t="shared" si="22"/>
        <v>0.125</v>
      </c>
      <c r="Z15" s="667"/>
      <c r="AA15" s="883">
        <v>85</v>
      </c>
      <c r="AB15" s="938">
        <v>5</v>
      </c>
    </row>
    <row r="16" spans="1:30" ht="14.4" x14ac:dyDescent="0.3">
      <c r="A16" s="174" t="s">
        <v>16</v>
      </c>
      <c r="B16" s="1053">
        <v>623.9</v>
      </c>
      <c r="C16" s="777" t="str">
        <f t="shared" si="8"/>
        <v>Comb</v>
      </c>
      <c r="D16" s="1053">
        <v>623.29999999999995</v>
      </c>
      <c r="E16" s="777">
        <f t="shared" si="9"/>
        <v>85220</v>
      </c>
      <c r="F16" s="1053">
        <v>622.1</v>
      </c>
      <c r="G16" s="778" t="str">
        <f t="shared" si="10"/>
        <v>MICH</v>
      </c>
      <c r="M16" s="143">
        <v>4</v>
      </c>
      <c r="N16" s="929">
        <f t="shared" si="11"/>
        <v>95</v>
      </c>
      <c r="O16" s="1046">
        <f t="shared" si="12"/>
        <v>0.12751677852348994</v>
      </c>
      <c r="P16" s="931">
        <f t="shared" si="13"/>
        <v>75</v>
      </c>
      <c r="Q16" s="1047">
        <f t="shared" si="14"/>
        <v>0.11538461538461539</v>
      </c>
      <c r="R16" s="933">
        <f t="shared" si="15"/>
        <v>70</v>
      </c>
      <c r="S16" s="1047">
        <f t="shared" si="16"/>
        <v>0.125</v>
      </c>
      <c r="T16" s="933">
        <f t="shared" si="17"/>
        <v>30</v>
      </c>
      <c r="U16" s="1047">
        <f t="shared" si="18"/>
        <v>7.6923076923076927E-2</v>
      </c>
      <c r="V16" s="933">
        <f t="shared" si="19"/>
        <v>60</v>
      </c>
      <c r="W16" s="1048">
        <f t="shared" si="20"/>
        <v>0.12371134020618557</v>
      </c>
      <c r="X16" s="1049">
        <f t="shared" si="21"/>
        <v>70</v>
      </c>
      <c r="Y16" s="1050">
        <f t="shared" si="22"/>
        <v>0.125</v>
      </c>
      <c r="Z16" s="667"/>
      <c r="AA16" s="883">
        <v>87.5</v>
      </c>
      <c r="AB16" s="938">
        <v>10</v>
      </c>
    </row>
    <row r="17" spans="1:28" ht="14.4" x14ac:dyDescent="0.3">
      <c r="A17" s="136" t="s">
        <v>17</v>
      </c>
      <c r="B17" s="1054">
        <v>272</v>
      </c>
      <c r="C17" s="783" t="str">
        <f t="shared" si="8"/>
        <v>Comb</v>
      </c>
      <c r="D17" s="1054">
        <v>271.8</v>
      </c>
      <c r="E17" s="783">
        <f t="shared" si="9"/>
        <v>85220</v>
      </c>
      <c r="F17" s="1054">
        <v>271.10000000000002</v>
      </c>
      <c r="G17" s="784" t="str">
        <f t="shared" si="10"/>
        <v>MICH</v>
      </c>
      <c r="M17" s="143" t="s">
        <v>123</v>
      </c>
      <c r="N17" s="929">
        <f t="shared" si="11"/>
        <v>95</v>
      </c>
      <c r="O17" s="1046">
        <f t="shared" si="12"/>
        <v>0.12751677852348994</v>
      </c>
      <c r="P17" s="931">
        <f t="shared" si="13"/>
        <v>90</v>
      </c>
      <c r="Q17" s="1047">
        <f t="shared" si="14"/>
        <v>0.13846153846153847</v>
      </c>
      <c r="R17" s="933">
        <f t="shared" si="15"/>
        <v>70</v>
      </c>
      <c r="S17" s="1047">
        <f t="shared" si="16"/>
        <v>0.125</v>
      </c>
      <c r="T17" s="933">
        <f t="shared" si="17"/>
        <v>30</v>
      </c>
      <c r="U17" s="1047">
        <f t="shared" si="18"/>
        <v>7.6923076923076927E-2</v>
      </c>
      <c r="V17" s="933">
        <f t="shared" si="19"/>
        <v>60</v>
      </c>
      <c r="W17" s="1048">
        <f t="shared" si="20"/>
        <v>0.12371134020618557</v>
      </c>
      <c r="X17" s="1049">
        <f t="shared" si="21"/>
        <v>70</v>
      </c>
      <c r="Y17" s="1050">
        <f t="shared" si="22"/>
        <v>0.125</v>
      </c>
      <c r="Z17" s="667"/>
      <c r="AA17" s="883">
        <v>90</v>
      </c>
      <c r="AB17" s="938">
        <v>20</v>
      </c>
    </row>
    <row r="18" spans="1:28" ht="14.4" x14ac:dyDescent="0.3">
      <c r="M18" s="143" t="s">
        <v>124</v>
      </c>
      <c r="N18" s="929">
        <f t="shared" si="11"/>
        <v>95</v>
      </c>
      <c r="O18" s="1046">
        <f t="shared" si="12"/>
        <v>0.12751677852348994</v>
      </c>
      <c r="P18" s="931">
        <f t="shared" si="13"/>
        <v>80</v>
      </c>
      <c r="Q18" s="1047">
        <f t="shared" si="14"/>
        <v>0.12307692307692308</v>
      </c>
      <c r="R18" s="933">
        <f t="shared" si="15"/>
        <v>70</v>
      </c>
      <c r="S18" s="1047">
        <f t="shared" si="16"/>
        <v>0.125</v>
      </c>
      <c r="T18" s="933">
        <f t="shared" si="17"/>
        <v>65</v>
      </c>
      <c r="U18" s="1047">
        <f t="shared" si="18"/>
        <v>0.16666666666666666</v>
      </c>
      <c r="V18" s="933">
        <f t="shared" si="19"/>
        <v>60</v>
      </c>
      <c r="W18" s="1048">
        <f t="shared" si="20"/>
        <v>0.12371134020618557</v>
      </c>
      <c r="X18" s="1049">
        <f t="shared" si="21"/>
        <v>70</v>
      </c>
      <c r="Y18" s="1050">
        <f t="shared" si="22"/>
        <v>0.125</v>
      </c>
      <c r="Z18" s="667"/>
      <c r="AA18" s="883">
        <v>92.5</v>
      </c>
      <c r="AB18" s="938">
        <v>30</v>
      </c>
    </row>
    <row r="19" spans="1:28" ht="14.4" x14ac:dyDescent="0.3">
      <c r="M19" s="180" t="s">
        <v>118</v>
      </c>
      <c r="N19" s="948">
        <f t="shared" si="11"/>
        <v>95</v>
      </c>
      <c r="O19" s="1055">
        <f t="shared" si="12"/>
        <v>0.12751677852348994</v>
      </c>
      <c r="P19" s="950">
        <f t="shared" si="13"/>
        <v>90</v>
      </c>
      <c r="Q19" s="1056">
        <f t="shared" si="14"/>
        <v>0.13846153846153847</v>
      </c>
      <c r="R19" s="952">
        <f t="shared" si="15"/>
        <v>70</v>
      </c>
      <c r="S19" s="1056">
        <f t="shared" si="16"/>
        <v>0.125</v>
      </c>
      <c r="T19" s="952">
        <f t="shared" si="17"/>
        <v>75</v>
      </c>
      <c r="U19" s="1056">
        <f t="shared" si="18"/>
        <v>0.19230769230769232</v>
      </c>
      <c r="V19" s="952">
        <f t="shared" si="19"/>
        <v>65</v>
      </c>
      <c r="W19" s="1057">
        <f t="shared" si="20"/>
        <v>0.13402061855670103</v>
      </c>
      <c r="X19" s="1058">
        <f t="shared" si="21"/>
        <v>70</v>
      </c>
      <c r="Y19" s="1059">
        <f t="shared" si="22"/>
        <v>0.125</v>
      </c>
      <c r="Z19" s="667"/>
      <c r="AA19" s="883">
        <v>95</v>
      </c>
      <c r="AB19" s="938">
        <v>40</v>
      </c>
    </row>
    <row r="20" spans="1:28" ht="14.4" x14ac:dyDescent="0.3">
      <c r="AA20" s="883">
        <v>96</v>
      </c>
      <c r="AB20" s="938">
        <v>50</v>
      </c>
    </row>
    <row r="21" spans="1:28" ht="14.4" x14ac:dyDescent="0.3">
      <c r="B21" s="24" t="s">
        <v>31</v>
      </c>
      <c r="C21" s="725">
        <v>85220</v>
      </c>
      <c r="D21" s="725" t="s">
        <v>32</v>
      </c>
      <c r="E21" s="807" t="s">
        <v>116</v>
      </c>
      <c r="G21" s="808" t="s">
        <v>33</v>
      </c>
      <c r="M21" s="715" t="s">
        <v>40</v>
      </c>
      <c r="N21" s="811" t="s">
        <v>12</v>
      </c>
      <c r="O21" s="1060">
        <f>SUM(N22:N29)</f>
        <v>665.75</v>
      </c>
      <c r="P21" s="813" t="s">
        <v>13</v>
      </c>
      <c r="Q21" s="1061">
        <f>SUM(P22:P29)</f>
        <v>620.5</v>
      </c>
      <c r="R21" s="815" t="s">
        <v>14</v>
      </c>
      <c r="S21" s="1061">
        <f>SUM(R22:R29)</f>
        <v>609.5</v>
      </c>
      <c r="T21" s="815" t="s">
        <v>15</v>
      </c>
      <c r="U21" s="1061">
        <f>SUM(T22:T29)</f>
        <v>344.75</v>
      </c>
      <c r="V21" s="815" t="s">
        <v>16</v>
      </c>
      <c r="W21" s="1062">
        <f>SUM(V22:V29)</f>
        <v>567</v>
      </c>
      <c r="X21" s="817" t="s">
        <v>17</v>
      </c>
      <c r="Y21" s="991">
        <f>SUM(X22:X29)</f>
        <v>496</v>
      </c>
      <c r="Z21" s="667"/>
      <c r="AA21" s="883">
        <v>97</v>
      </c>
      <c r="AB21" s="938">
        <v>60</v>
      </c>
    </row>
    <row r="22" spans="1:28" ht="14.4" x14ac:dyDescent="0.3">
      <c r="A22" s="76" t="s">
        <v>12</v>
      </c>
      <c r="B22" s="818">
        <f t="shared" ref="B22:B27" si="23">100-ABS(($K2-B12)/($K2))*100</f>
        <v>99.682384559003182</v>
      </c>
      <c r="C22" s="819">
        <f t="shared" ref="C22:C27" si="24">100-ABS(($K2-D12)/($K2))*100</f>
        <v>99.926704129000726</v>
      </c>
      <c r="D22" s="819">
        <f t="shared" ref="D22:D27" si="25">100-ABS(($K2-F12)/($K2))*100</f>
        <v>99.926704129000726</v>
      </c>
      <c r="E22" s="955">
        <f t="shared" ref="E22:E27" si="26">100-ABS((($K2-J2)/($K2)))*100</f>
        <v>99.867252727814687</v>
      </c>
      <c r="G22" s="581" t="s">
        <v>12</v>
      </c>
      <c r="H22" s="821">
        <v>4</v>
      </c>
      <c r="I22" s="822">
        <f>MAX(N2:N9)</f>
        <v>99.926704129000726</v>
      </c>
      <c r="J22" s="806"/>
      <c r="M22" s="127" t="s">
        <v>121</v>
      </c>
      <c r="N22" s="963">
        <v>83.5</v>
      </c>
      <c r="O22" s="1063">
        <f t="shared" ref="O22:O29" si="27">N22/$O$21</f>
        <v>0.12542245587683065</v>
      </c>
      <c r="P22" s="965">
        <v>71.5</v>
      </c>
      <c r="Q22" s="1064">
        <f t="shared" ref="Q22:Q29" si="28">P22/$Q$21</f>
        <v>0.11522965350523771</v>
      </c>
      <c r="R22" s="967">
        <v>71.75</v>
      </c>
      <c r="S22" s="1064">
        <f t="shared" ref="S22:S29" si="29">R22/$S$21</f>
        <v>0.11771944216570959</v>
      </c>
      <c r="T22" s="967">
        <v>51.5</v>
      </c>
      <c r="U22" s="1064">
        <f t="shared" ref="U22:U29" si="30">T22/$U$21</f>
        <v>0.14938361131254532</v>
      </c>
      <c r="V22" s="967">
        <v>66.75</v>
      </c>
      <c r="W22" s="1065">
        <f t="shared" ref="W22:W29" si="31">V22/$W$21</f>
        <v>0.11772486772486772</v>
      </c>
      <c r="X22" s="1066">
        <v>60.5</v>
      </c>
      <c r="Y22" s="1006">
        <f t="shared" ref="Y22:Y29" si="32">X22/$Y$21</f>
        <v>0.12197580645161291</v>
      </c>
      <c r="Z22" s="667"/>
      <c r="AA22" s="883">
        <v>98</v>
      </c>
      <c r="AB22" s="938">
        <v>65</v>
      </c>
    </row>
    <row r="23" spans="1:28" ht="14.4" x14ac:dyDescent="0.3">
      <c r="A23" s="163" t="s">
        <v>13</v>
      </c>
      <c r="B23" s="829">
        <f t="shared" si="23"/>
        <v>99.359611467828401</v>
      </c>
      <c r="C23" s="830">
        <f t="shared" si="24"/>
        <v>99.338329030733959</v>
      </c>
      <c r="D23" s="830">
        <f t="shared" si="25"/>
        <v>99.376637417503943</v>
      </c>
      <c r="E23" s="831">
        <f t="shared" si="26"/>
        <v>99.371235348459024</v>
      </c>
      <c r="G23" s="583" t="s">
        <v>13</v>
      </c>
      <c r="H23" s="832" t="s">
        <v>123</v>
      </c>
      <c r="I23" s="833">
        <f>MAX(P2:P9)</f>
        <v>99.589461788448318</v>
      </c>
      <c r="J23" s="809"/>
      <c r="M23" s="143" t="s">
        <v>34</v>
      </c>
      <c r="N23" s="963">
        <v>79</v>
      </c>
      <c r="O23" s="1063">
        <f t="shared" si="27"/>
        <v>0.11866316184754037</v>
      </c>
      <c r="P23" s="965">
        <v>75</v>
      </c>
      <c r="Q23" s="1064">
        <f t="shared" si="28"/>
        <v>0.12087026591458501</v>
      </c>
      <c r="R23" s="967">
        <v>79</v>
      </c>
      <c r="S23" s="1064">
        <f t="shared" si="29"/>
        <v>0.12961443806398687</v>
      </c>
      <c r="T23" s="967">
        <v>44.75</v>
      </c>
      <c r="U23" s="1064">
        <f t="shared" si="30"/>
        <v>0.12980420594633793</v>
      </c>
      <c r="V23" s="967">
        <v>70.75</v>
      </c>
      <c r="W23" s="1065">
        <f t="shared" si="31"/>
        <v>0.12477954144620811</v>
      </c>
      <c r="X23" s="1066">
        <v>64.5</v>
      </c>
      <c r="Y23" s="1006">
        <f t="shared" si="32"/>
        <v>0.13004032258064516</v>
      </c>
      <c r="Z23" s="667"/>
      <c r="AA23" s="883">
        <v>98.5</v>
      </c>
      <c r="AB23" s="938">
        <v>70</v>
      </c>
    </row>
    <row r="24" spans="1:28" ht="14.4" x14ac:dyDescent="0.3">
      <c r="A24" s="43" t="s">
        <v>14</v>
      </c>
      <c r="B24" s="838">
        <f t="shared" si="23"/>
        <v>98.823120284270175</v>
      </c>
      <c r="C24" s="839">
        <f t="shared" si="24"/>
        <v>98.77853587781496</v>
      </c>
      <c r="D24" s="839">
        <f t="shared" si="25"/>
        <v>98.77853587781496</v>
      </c>
      <c r="E24" s="840">
        <f t="shared" si="26"/>
        <v>98.812477083057331</v>
      </c>
      <c r="G24" s="585" t="s">
        <v>14</v>
      </c>
      <c r="H24" s="841" t="s">
        <v>127</v>
      </c>
      <c r="I24" s="842">
        <f>MAX(R2:R9)</f>
        <v>98.942012034817452</v>
      </c>
      <c r="J24" s="809"/>
      <c r="M24" s="143" t="s">
        <v>119</v>
      </c>
      <c r="N24" s="963">
        <v>83.5</v>
      </c>
      <c r="O24" s="1063">
        <f t="shared" si="27"/>
        <v>0.12542245587683065</v>
      </c>
      <c r="P24" s="965">
        <v>79</v>
      </c>
      <c r="Q24" s="1064">
        <f t="shared" si="28"/>
        <v>0.12731668009669622</v>
      </c>
      <c r="R24" s="967">
        <v>75.75</v>
      </c>
      <c r="S24" s="1064">
        <f t="shared" si="29"/>
        <v>0.12428219852337982</v>
      </c>
      <c r="T24" s="967">
        <v>41.5</v>
      </c>
      <c r="U24" s="1064">
        <f t="shared" si="30"/>
        <v>0.12037708484408992</v>
      </c>
      <c r="V24" s="967">
        <v>66.75</v>
      </c>
      <c r="W24" s="1065">
        <f t="shared" si="31"/>
        <v>0.11772486772486772</v>
      </c>
      <c r="X24" s="1066">
        <v>60.5</v>
      </c>
      <c r="Y24" s="1006">
        <f t="shared" si="32"/>
        <v>0.12197580645161291</v>
      </c>
      <c r="Z24" s="667"/>
      <c r="AA24" s="883">
        <v>99</v>
      </c>
      <c r="AB24" s="938">
        <v>75</v>
      </c>
    </row>
    <row r="25" spans="1:28" ht="14.4" x14ac:dyDescent="0.3">
      <c r="A25" s="43" t="s">
        <v>15</v>
      </c>
      <c r="B25" s="838">
        <f t="shared" si="23"/>
        <v>96.436058700209642</v>
      </c>
      <c r="C25" s="839">
        <f t="shared" si="24"/>
        <v>96.960167714884705</v>
      </c>
      <c r="D25" s="839">
        <f t="shared" si="25"/>
        <v>96.960167714884705</v>
      </c>
      <c r="E25" s="840">
        <f t="shared" si="26"/>
        <v>96.739464230604924</v>
      </c>
      <c r="G25" s="585" t="s">
        <v>15</v>
      </c>
      <c r="H25" s="841" t="s">
        <v>118</v>
      </c>
      <c r="I25" s="842">
        <f>MAX(T2:T9)</f>
        <v>99.109014675052407</v>
      </c>
      <c r="J25" s="809"/>
      <c r="M25" s="143" t="s">
        <v>122</v>
      </c>
      <c r="N25" s="963">
        <v>82.5</v>
      </c>
      <c r="O25" s="1063">
        <f t="shared" si="27"/>
        <v>0.12392039053698836</v>
      </c>
      <c r="P25" s="965">
        <v>75</v>
      </c>
      <c r="Q25" s="1064">
        <f t="shared" si="28"/>
        <v>0.12087026591458501</v>
      </c>
      <c r="R25" s="967">
        <v>82.5</v>
      </c>
      <c r="S25" s="1064">
        <f t="shared" si="29"/>
        <v>0.13535684987694832</v>
      </c>
      <c r="T25" s="967">
        <v>35.5</v>
      </c>
      <c r="U25" s="1064">
        <f t="shared" si="30"/>
        <v>0.10297316896301668</v>
      </c>
      <c r="V25" s="967">
        <v>62.5</v>
      </c>
      <c r="W25" s="1065">
        <f t="shared" si="31"/>
        <v>0.11022927689594356</v>
      </c>
      <c r="X25" s="1066">
        <v>62</v>
      </c>
      <c r="Y25" s="1006">
        <f t="shared" si="32"/>
        <v>0.125</v>
      </c>
      <c r="Z25" s="667"/>
      <c r="AA25" s="883">
        <v>99.25</v>
      </c>
      <c r="AB25" s="938">
        <v>80</v>
      </c>
    </row>
    <row r="26" spans="1:28" ht="14.4" x14ac:dyDescent="0.3">
      <c r="A26" s="174" t="s">
        <v>16</v>
      </c>
      <c r="B26" s="843">
        <f t="shared" si="23"/>
        <v>97.677698691245453</v>
      </c>
      <c r="C26" s="844">
        <f t="shared" si="24"/>
        <v>97.776101289074035</v>
      </c>
      <c r="D26" s="844">
        <f t="shared" si="25"/>
        <v>97.972906484731197</v>
      </c>
      <c r="E26" s="845">
        <f t="shared" si="26"/>
        <v>97.682850943667034</v>
      </c>
      <c r="G26" s="591" t="s">
        <v>16</v>
      </c>
      <c r="H26" s="846" t="s">
        <v>118</v>
      </c>
      <c r="I26" s="847">
        <f>MAX(V2:V9)</f>
        <v>98.317315577131239</v>
      </c>
      <c r="J26" s="809"/>
      <c r="M26" s="143">
        <v>4</v>
      </c>
      <c r="N26" s="963">
        <v>89.25</v>
      </c>
      <c r="O26" s="1063">
        <f t="shared" si="27"/>
        <v>0.13405933158092376</v>
      </c>
      <c r="P26" s="965">
        <v>82.5</v>
      </c>
      <c r="Q26" s="1064">
        <f t="shared" si="28"/>
        <v>0.13295729250604352</v>
      </c>
      <c r="R26" s="967">
        <v>75.5</v>
      </c>
      <c r="S26" s="1064">
        <f t="shared" si="29"/>
        <v>0.12387202625102543</v>
      </c>
      <c r="T26" s="967">
        <v>31</v>
      </c>
      <c r="U26" s="1064">
        <f t="shared" si="30"/>
        <v>8.9920232052211752E-2</v>
      </c>
      <c r="V26" s="967">
        <v>71.25</v>
      </c>
      <c r="W26" s="1065">
        <f t="shared" si="31"/>
        <v>0.12566137566137567</v>
      </c>
      <c r="X26" s="1066">
        <v>59.5</v>
      </c>
      <c r="Y26" s="1006">
        <f t="shared" si="32"/>
        <v>0.11995967741935484</v>
      </c>
      <c r="Z26" s="667"/>
      <c r="AA26" s="883">
        <v>99.5</v>
      </c>
      <c r="AB26" s="938">
        <v>90</v>
      </c>
    </row>
    <row r="27" spans="1:28" ht="14.4" x14ac:dyDescent="0.3">
      <c r="A27" s="136" t="s">
        <v>17</v>
      </c>
      <c r="B27" s="848">
        <f t="shared" si="23"/>
        <v>98.685141729057264</v>
      </c>
      <c r="C27" s="849">
        <f t="shared" si="24"/>
        <v>98.75963794837412</v>
      </c>
      <c r="D27" s="849">
        <f t="shared" si="25"/>
        <v>99.020374715983166</v>
      </c>
      <c r="E27" s="850">
        <f t="shared" si="26"/>
        <v>98.721717720607941</v>
      </c>
      <c r="G27" s="593" t="s">
        <v>17</v>
      </c>
      <c r="H27" s="851" t="s">
        <v>122</v>
      </c>
      <c r="I27" s="852">
        <f>MAX(X2:X9)</f>
        <v>98.908630387007875</v>
      </c>
      <c r="J27" s="806"/>
      <c r="M27" s="143" t="s">
        <v>123</v>
      </c>
      <c r="N27" s="963">
        <v>82.5</v>
      </c>
      <c r="O27" s="1063">
        <f t="shared" si="27"/>
        <v>0.12392039053698836</v>
      </c>
      <c r="P27" s="965">
        <v>79.25</v>
      </c>
      <c r="Q27" s="1064">
        <f t="shared" si="28"/>
        <v>0.12771958098307817</v>
      </c>
      <c r="R27" s="967">
        <v>75</v>
      </c>
      <c r="S27" s="1064">
        <f t="shared" si="29"/>
        <v>0.12305168170631665</v>
      </c>
      <c r="T27" s="967">
        <v>47.75</v>
      </c>
      <c r="U27" s="1064">
        <f t="shared" si="30"/>
        <v>0.13850616388687453</v>
      </c>
      <c r="V27" s="967">
        <v>81.5</v>
      </c>
      <c r="W27" s="1065">
        <f t="shared" si="31"/>
        <v>0.1437389770723104</v>
      </c>
      <c r="X27" s="1066">
        <v>64.5</v>
      </c>
      <c r="Y27" s="1006">
        <f t="shared" si="32"/>
        <v>0.13004032258064516</v>
      </c>
      <c r="Z27" s="667"/>
      <c r="AA27" s="883">
        <v>99.75</v>
      </c>
      <c r="AB27" s="938">
        <v>95</v>
      </c>
    </row>
    <row r="28" spans="1:28" ht="14.25" customHeight="1" x14ac:dyDescent="0.3">
      <c r="C28" s="658"/>
      <c r="D28" s="658"/>
      <c r="E28" s="658"/>
      <c r="F28" s="658"/>
      <c r="M28" s="143" t="s">
        <v>124</v>
      </c>
      <c r="N28" s="963">
        <v>82.5</v>
      </c>
      <c r="O28" s="1063">
        <f t="shared" si="27"/>
        <v>0.12392039053698836</v>
      </c>
      <c r="P28" s="965">
        <v>79.25</v>
      </c>
      <c r="Q28" s="1064">
        <f t="shared" si="28"/>
        <v>0.12771958098307817</v>
      </c>
      <c r="R28" s="967">
        <v>75</v>
      </c>
      <c r="S28" s="1064">
        <f t="shared" si="29"/>
        <v>0.12305168170631665</v>
      </c>
      <c r="T28" s="967">
        <v>47.75</v>
      </c>
      <c r="U28" s="1064">
        <f t="shared" si="30"/>
        <v>0.13850616388687453</v>
      </c>
      <c r="V28" s="967">
        <v>81.5</v>
      </c>
      <c r="W28" s="1065">
        <f t="shared" si="31"/>
        <v>0.1437389770723104</v>
      </c>
      <c r="X28" s="1066">
        <v>64.5</v>
      </c>
      <c r="Y28" s="1006">
        <f t="shared" si="32"/>
        <v>0.13004032258064516</v>
      </c>
      <c r="Z28" s="667"/>
      <c r="AA28" s="906">
        <v>99.99</v>
      </c>
      <c r="AB28" s="971">
        <v>100</v>
      </c>
    </row>
    <row r="29" spans="1:28" ht="14.25" customHeight="1" x14ac:dyDescent="0.3">
      <c r="A29" s="856" t="str">
        <f>AA1</f>
        <v>AVR-4</v>
      </c>
      <c r="B29" s="857">
        <f t="array" ref="B29">SUM(B23:B26/4)</f>
        <v>98.074122285888407</v>
      </c>
      <c r="C29" s="858">
        <f t="array" ref="C29">SUM(C23:C26/4)</f>
        <v>98.213283478126925</v>
      </c>
      <c r="D29" s="858">
        <f t="array" ref="D29">SUM(D23:D26/4)</f>
        <v>98.272061873733691</v>
      </c>
      <c r="E29" s="859">
        <f t="array" ref="E29">SUM(E23:E26/4)</f>
        <v>98.151506901447078</v>
      </c>
      <c r="G29" s="1408" t="s">
        <v>39</v>
      </c>
      <c r="H29" s="1408"/>
      <c r="I29" s="859">
        <f>AVERAGE(I23:I26)</f>
        <v>98.989451018862354</v>
      </c>
      <c r="J29" s="853"/>
      <c r="M29" s="180" t="s">
        <v>118</v>
      </c>
      <c r="N29" s="972">
        <v>83</v>
      </c>
      <c r="O29" s="1067">
        <f t="shared" si="27"/>
        <v>0.12467142320690951</v>
      </c>
      <c r="P29" s="974">
        <v>79</v>
      </c>
      <c r="Q29" s="1068">
        <f t="shared" si="28"/>
        <v>0.12731668009669622</v>
      </c>
      <c r="R29" s="976">
        <v>75</v>
      </c>
      <c r="S29" s="1068">
        <f t="shared" si="29"/>
        <v>0.12305168170631665</v>
      </c>
      <c r="T29" s="976">
        <v>45</v>
      </c>
      <c r="U29" s="1068">
        <f t="shared" si="30"/>
        <v>0.1305293691080493</v>
      </c>
      <c r="V29" s="976">
        <v>66</v>
      </c>
      <c r="W29" s="1069">
        <f t="shared" si="31"/>
        <v>0.1164021164021164</v>
      </c>
      <c r="X29" s="1070">
        <v>60</v>
      </c>
      <c r="Y29" s="1039">
        <f t="shared" si="32"/>
        <v>0.12096774193548387</v>
      </c>
      <c r="Z29" s="667"/>
    </row>
    <row r="30" spans="1:28" ht="14.25" customHeight="1" x14ac:dyDescent="0.3">
      <c r="A30" s="860" t="str">
        <f>AB1</f>
        <v>AVR-6</v>
      </c>
      <c r="B30" s="861">
        <f t="array" ref="B30">SUM(B22:B27/6)</f>
        <v>98.444002571935684</v>
      </c>
      <c r="C30" s="862">
        <f t="array" ref="C30">SUM(C22:C27/6)</f>
        <v>98.589912664980417</v>
      </c>
      <c r="D30" s="862">
        <f t="array" ref="D30">SUM(D22:D27/6)</f>
        <v>98.672554389986459</v>
      </c>
      <c r="E30" s="863">
        <f t="array" ref="E30">SUM(E22:E27/6)</f>
        <v>98.532499675701814</v>
      </c>
      <c r="G30" s="1409" t="s">
        <v>41</v>
      </c>
      <c r="H30" s="1409"/>
      <c r="I30" s="863">
        <f>AVERAGE(I22:I27)</f>
        <v>99.132189765243012</v>
      </c>
      <c r="J30" s="855"/>
    </row>
  </sheetData>
  <mergeCells count="2">
    <mergeCell ref="G29:H29"/>
    <mergeCell ref="G30:H30"/>
  </mergeCells>
  <pageMargins left="0.7" right="0.7" top="0.75" bottom="0.75" header="0.511811023622047" footer="0.511811023622047"/>
  <pageSetup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30"/>
  <sheetViews>
    <sheetView zoomScale="120" zoomScaleNormal="120" workbookViewId="0">
      <selection activeCell="AB9" sqref="AB9"/>
    </sheetView>
  </sheetViews>
  <sheetFormatPr defaultColWidth="8.77734375" defaultRowHeight="14.25" customHeight="1" x14ac:dyDescent="0.3"/>
  <cols>
    <col min="1" max="1" width="8.77734375" style="654"/>
    <col min="2" max="7" width="9" style="654" customWidth="1"/>
    <col min="8" max="8" width="5.77734375" style="654" customWidth="1"/>
    <col min="9" max="10" width="9" style="654" customWidth="1"/>
    <col min="11" max="11" width="3.88671875" style="654" customWidth="1"/>
    <col min="12" max="12" width="9" style="654" customWidth="1"/>
    <col min="13" max="13" width="5.5546875" style="654" customWidth="1"/>
    <col min="14" max="14" width="6.5546875" style="985" hidden="1" customWidth="1"/>
    <col min="15" max="15" width="5.5546875" style="654" customWidth="1"/>
    <col min="16" max="16" width="6.5546875" style="654" hidden="1" customWidth="1"/>
    <col min="17" max="17" width="5.5546875" style="654" customWidth="1"/>
    <col min="18" max="18" width="6.5546875" style="654" hidden="1" customWidth="1"/>
    <col min="19" max="19" width="5.5546875" style="654" customWidth="1"/>
    <col min="20" max="20" width="6.5546875" style="654" hidden="1" customWidth="1"/>
    <col min="21" max="21" width="5.5546875" style="654" customWidth="1"/>
    <col min="22" max="22" width="7.109375" style="654" hidden="1" customWidth="1"/>
    <col min="23" max="23" width="5.5546875" style="654" customWidth="1"/>
    <col min="24" max="24" width="6.5546875" style="654" hidden="1" customWidth="1"/>
    <col min="25" max="25" width="5.44140625" style="654" customWidth="1"/>
    <col min="26" max="26" width="8.88671875" style="658" customWidth="1"/>
    <col min="27" max="27" width="8.88671875" style="659" customWidth="1"/>
    <col min="28" max="16384" width="8.77734375" style="654"/>
  </cols>
  <sheetData>
    <row r="1" spans="1:28" ht="14.4" x14ac:dyDescent="0.3">
      <c r="A1" s="1" t="s">
        <v>0</v>
      </c>
      <c r="B1" s="9" t="s">
        <v>121</v>
      </c>
      <c r="C1" s="10" t="s">
        <v>34</v>
      </c>
      <c r="D1" s="10" t="s">
        <v>119</v>
      </c>
      <c r="E1" s="10" t="s">
        <v>122</v>
      </c>
      <c r="F1" s="10">
        <v>4</v>
      </c>
      <c r="G1" s="10" t="s">
        <v>123</v>
      </c>
      <c r="H1" s="1071" t="s">
        <v>118</v>
      </c>
      <c r="I1" s="714" t="s">
        <v>116</v>
      </c>
      <c r="J1" s="987" t="s">
        <v>125</v>
      </c>
      <c r="L1" s="1" t="s">
        <v>11</v>
      </c>
      <c r="M1" s="1072" t="s">
        <v>12</v>
      </c>
      <c r="N1" s="1073">
        <f>SUM(M2:M8)</f>
        <v>587.25490196078431</v>
      </c>
      <c r="O1" s="1074" t="s">
        <v>13</v>
      </c>
      <c r="P1" s="1075">
        <f>SUM(O2:O8)</f>
        <v>596.32377104241186</v>
      </c>
      <c r="Q1" s="1076" t="s">
        <v>14</v>
      </c>
      <c r="R1" s="1075">
        <f>SUM(Q2:Q8)</f>
        <v>594.68055711902741</v>
      </c>
      <c r="S1" s="1075" t="s">
        <v>15</v>
      </c>
      <c r="T1" s="1075">
        <f>SUM(S2:S8)</f>
        <v>568.23394495412833</v>
      </c>
      <c r="U1" s="1077" t="s">
        <v>16</v>
      </c>
      <c r="V1" s="990">
        <f>SUM(U2:U8)</f>
        <v>592.43645381277122</v>
      </c>
      <c r="W1" s="1078" t="s">
        <v>17</v>
      </c>
      <c r="X1" s="991">
        <f>SUM(W2:W8)</f>
        <v>597.37328893821677</v>
      </c>
      <c r="Z1" s="668" t="s">
        <v>18</v>
      </c>
      <c r="AA1" s="669" t="s">
        <v>19</v>
      </c>
    </row>
    <row r="2" spans="1:28" ht="14.4" x14ac:dyDescent="0.3">
      <c r="A2" s="26" t="s">
        <v>12</v>
      </c>
      <c r="B2" s="992">
        <v>4</v>
      </c>
      <c r="C2" s="993">
        <v>3.98</v>
      </c>
      <c r="D2" s="993">
        <v>4.01</v>
      </c>
      <c r="E2" s="993">
        <v>3.99</v>
      </c>
      <c r="F2" s="993">
        <v>3.99</v>
      </c>
      <c r="G2" s="993">
        <v>3.99</v>
      </c>
      <c r="H2" s="1079">
        <v>0</v>
      </c>
      <c r="I2" s="996">
        <f>(B2*N22)+(C2*N23)+(D2*N24)+(E2*N25)+(F2*N26)+(G2*N27)+(H2*N28)</f>
        <v>3.9933565783356584</v>
      </c>
      <c r="J2" s="1080">
        <v>4.08</v>
      </c>
      <c r="L2" s="1081" t="s">
        <v>121</v>
      </c>
      <c r="M2" s="1082">
        <f>100-ABS((($J2-B2)/($J2)))*100</f>
        <v>98.039215686274503</v>
      </c>
      <c r="N2" s="1083">
        <f t="shared" ref="N2:N8" si="0">M2/$N$1</f>
        <v>0.1669449081803005</v>
      </c>
      <c r="O2" s="1084">
        <f>100-ABS((($J3-B3)/($J3)))*100</f>
        <v>99.291190796518379</v>
      </c>
      <c r="P2" s="1085">
        <f t="shared" ref="P2:P8" si="1">O2/$P$1</f>
        <v>0.16650550526092742</v>
      </c>
      <c r="Q2" s="1086">
        <f>100-ABS((($J4-B4)/($J4)))*100</f>
        <v>98.833219545071117</v>
      </c>
      <c r="R2" s="1085">
        <f t="shared" ref="R2:R8" si="2">Q2/$R$1</f>
        <v>0.1661954781637317</v>
      </c>
      <c r="S2" s="1086">
        <f>100-ABS((($J5-B5)/($J5)))*100</f>
        <v>94.0366972477064</v>
      </c>
      <c r="T2" s="1085">
        <f t="shared" ref="T2:T8" si="3">S2/$T$1</f>
        <v>0.16548940464177597</v>
      </c>
      <c r="U2" s="1087">
        <f>100-ABS((($J6-B6)/($J6)))*100</f>
        <v>98.580444147710125</v>
      </c>
      <c r="V2" s="1088">
        <f t="shared" ref="V2:V8" si="4">U2/$V$1</f>
        <v>0.16639834283199711</v>
      </c>
      <c r="W2" s="1089">
        <f>100-ABS((($J7-B7)/($J7)))*100</f>
        <v>99.741028486866455</v>
      </c>
      <c r="X2" s="1090">
        <f t="shared" ref="X2:X8" si="5">W2/$X$1</f>
        <v>0.166965999876138</v>
      </c>
      <c r="Z2" s="876">
        <f t="array" ref="Z2">SUM(O2:U2/4)</f>
        <v>97.809935531268124</v>
      </c>
      <c r="AA2" s="877">
        <f t="array" ref="AA2">SUM(M2:W2/6)</f>
        <v>98.22555492487092</v>
      </c>
      <c r="AB2" s="654" t="str">
        <f>IF($AA2=MAX(AA2:AA8),"TOP","")</f>
        <v/>
      </c>
    </row>
    <row r="3" spans="1:28" ht="14.4" x14ac:dyDescent="0.3">
      <c r="A3" s="43" t="s">
        <v>13</v>
      </c>
      <c r="B3" s="1019">
        <v>47900</v>
      </c>
      <c r="C3" s="1020">
        <v>47850</v>
      </c>
      <c r="D3" s="1020">
        <v>47750</v>
      </c>
      <c r="E3" s="1020">
        <v>47000</v>
      </c>
      <c r="F3" s="1020">
        <v>47800</v>
      </c>
      <c r="G3" s="1020">
        <v>47700</v>
      </c>
      <c r="H3" s="1091">
        <v>0</v>
      </c>
      <c r="I3" s="1023">
        <f>(B3*P22)+(C3*P23)+(D3*P24)+(E3*P25)+(F3*P26)+(G3*P27)+(H3*P28)</f>
        <v>47663.189513926809</v>
      </c>
      <c r="J3" s="1092">
        <v>47562.87</v>
      </c>
      <c r="L3" s="1093" t="s">
        <v>34</v>
      </c>
      <c r="M3" s="1094">
        <f>100-ABS((($J2-C2)/($J2)))*100</f>
        <v>97.549019607843135</v>
      </c>
      <c r="N3" s="1095">
        <f t="shared" si="0"/>
        <v>0.166110183639399</v>
      </c>
      <c r="O3" s="1096">
        <f>100-ABS((($J3-C3)/($J3)))*100</f>
        <v>99.396314814476085</v>
      </c>
      <c r="P3" s="1097">
        <f t="shared" si="1"/>
        <v>0.16668179207534359</v>
      </c>
      <c r="Q3" s="1098">
        <f>100-ABS((($J4-C4)/($J4)))*100</f>
        <v>99.125609083958182</v>
      </c>
      <c r="R3" s="1097">
        <f t="shared" si="2"/>
        <v>0.166687153123316</v>
      </c>
      <c r="S3" s="1098">
        <f>100-ABS((($J5-C5)/($J5)))*100</f>
        <v>94.610091743119256</v>
      </c>
      <c r="T3" s="1097">
        <f t="shared" si="3"/>
        <v>0.16649848637739659</v>
      </c>
      <c r="U3" s="1099">
        <f>100-ABS((($J6-C6)/($J6)))*100</f>
        <v>99.057338610965402</v>
      </c>
      <c r="V3" s="1100">
        <f t="shared" si="4"/>
        <v>0.16720331433600585</v>
      </c>
      <c r="W3" s="1101">
        <f>100-ABS((($J7-C7)/($J7)))*100</f>
        <v>99.88901220865705</v>
      </c>
      <c r="X3" s="1102">
        <f t="shared" si="5"/>
        <v>0.16721372391156253</v>
      </c>
      <c r="Z3" s="883">
        <f t="array" ref="Z3">SUM(O3:U3/4)</f>
        <v>98.172305421023751</v>
      </c>
      <c r="AA3" s="884">
        <f t="array" ref="AA3">SUM(M3:W3/6)</f>
        <v>98.410094499761783</v>
      </c>
      <c r="AB3" s="654" t="str">
        <f>IF($AA3=MAX(AA2:AA8),"TOP","")</f>
        <v/>
      </c>
    </row>
    <row r="4" spans="1:28" ht="14.4" x14ac:dyDescent="0.3">
      <c r="A4" s="43" t="s">
        <v>14</v>
      </c>
      <c r="B4" s="1019">
        <v>6920</v>
      </c>
      <c r="C4" s="1020">
        <v>6900</v>
      </c>
      <c r="D4" s="1020">
        <v>6925</v>
      </c>
      <c r="E4" s="1020">
        <v>6870</v>
      </c>
      <c r="F4" s="1020">
        <v>6900</v>
      </c>
      <c r="G4" s="1020">
        <v>6890</v>
      </c>
      <c r="H4" s="1091">
        <v>0</v>
      </c>
      <c r="I4" s="1023">
        <f>(B4*R22)+(C4*R23)+(D4*R24)+(E4*R25)+(F4*R26)+(G4*R27)+(H4*R28)</f>
        <v>6900.7704239917275</v>
      </c>
      <c r="J4" s="1092">
        <v>6840.19</v>
      </c>
      <c r="L4" s="1093" t="s">
        <v>119</v>
      </c>
      <c r="M4" s="1103">
        <f>100-ABS((($J2-D2)/($J2)))*100</f>
        <v>98.284313725490193</v>
      </c>
      <c r="N4" s="1095">
        <f t="shared" si="0"/>
        <v>0.16736227045075125</v>
      </c>
      <c r="O4" s="1096">
        <f>100-ABS((($J3-D3)/($J3)))*100</f>
        <v>99.606562850391498</v>
      </c>
      <c r="P4" s="1097">
        <f t="shared" si="1"/>
        <v>0.16703436570417593</v>
      </c>
      <c r="Q4" s="1098">
        <f>100-ABS((($J4-D4)/($J4)))*100</f>
        <v>98.76012216034934</v>
      </c>
      <c r="R4" s="1097">
        <f t="shared" si="2"/>
        <v>0.16607255942383559</v>
      </c>
      <c r="S4" s="1104">
        <f>100-ABS((($J5-D5)/($J5)))*100</f>
        <v>98.623853211009163</v>
      </c>
      <c r="T4" s="1097">
        <f t="shared" si="3"/>
        <v>0.17356205852674067</v>
      </c>
      <c r="U4" s="1099">
        <f>100-ABS((($J6-D6)/($J6)))*100</f>
        <v>98.341996916082479</v>
      </c>
      <c r="V4" s="1100">
        <f t="shared" si="4"/>
        <v>0.16599585707999273</v>
      </c>
      <c r="W4" s="1105">
        <f>100-ABS((($J7-D7)/($J7)))*100</f>
        <v>99.5560488346282</v>
      </c>
      <c r="X4" s="1102">
        <f t="shared" si="5"/>
        <v>0.16665634483185734</v>
      </c>
      <c r="Z4" s="1106">
        <f t="array" ref="Z4">SUM(O4:U4/4)</f>
        <v>98.959801030371807</v>
      </c>
      <c r="AA4" s="1107">
        <f t="array" ref="AA4">SUM(M4:W4/6)</f>
        <v>99.00215413485607</v>
      </c>
      <c r="AB4" s="654" t="str">
        <f>IF($AA4=MAX(AA2:AA8),"TOP","")</f>
        <v>TOP</v>
      </c>
    </row>
    <row r="5" spans="1:28" ht="14.4" x14ac:dyDescent="0.3">
      <c r="A5" s="43" t="s">
        <v>15</v>
      </c>
      <c r="B5" s="1019">
        <v>16.399999999999999</v>
      </c>
      <c r="C5" s="1020">
        <v>16.5</v>
      </c>
      <c r="D5" s="1020">
        <v>17.2</v>
      </c>
      <c r="E5" s="1020">
        <v>16.2</v>
      </c>
      <c r="F5" s="1020">
        <v>16.3</v>
      </c>
      <c r="G5" s="1020">
        <v>16.5</v>
      </c>
      <c r="H5" s="1091">
        <v>0</v>
      </c>
      <c r="I5" s="1108">
        <f>(B5*T22)+(C5*T23)+(D5*T24)+(E5*T25)+(F5*T26)+(G5*T27)+(H5*T28)</f>
        <v>16.491226415094339</v>
      </c>
      <c r="J5" s="1092">
        <v>17.440000000000001</v>
      </c>
      <c r="L5" s="1093" t="s">
        <v>122</v>
      </c>
      <c r="M5" s="1094">
        <f>100-ABS((($J2-E2)/($J2)))*100</f>
        <v>97.794117647058826</v>
      </c>
      <c r="N5" s="1095">
        <f t="shared" si="0"/>
        <v>0.16652754590984975</v>
      </c>
      <c r="O5" s="1096">
        <f>100-ABS((($J3-E3)/($J3)))*100</f>
        <v>98.81657688024292</v>
      </c>
      <c r="P5" s="1097">
        <f t="shared" si="1"/>
        <v>0.16570960555120126</v>
      </c>
      <c r="Q5" s="1104">
        <f>100-ABS((($J4-E4)/($J4)))*100</f>
        <v>99.5641933922888</v>
      </c>
      <c r="R5" s="1097">
        <f t="shared" si="2"/>
        <v>0.16742466556269248</v>
      </c>
      <c r="S5" s="1098">
        <f>100-ABS((($J5-E5)/($J5)))*100</f>
        <v>92.889908256880716</v>
      </c>
      <c r="T5" s="1097">
        <f t="shared" si="3"/>
        <v>0.16347124117053483</v>
      </c>
      <c r="U5" s="1099">
        <f>100-ABS((($J6-E6)/($J6)))*100</f>
        <v>97.467690400114464</v>
      </c>
      <c r="V5" s="1100">
        <f t="shared" si="4"/>
        <v>0.16452007598931001</v>
      </c>
      <c r="W5" s="884">
        <f>100-ABS((($J7-E7)/($J7)))*100</f>
        <v>99.149093599704031</v>
      </c>
      <c r="X5" s="1102">
        <f t="shared" si="5"/>
        <v>0.16597510373443983</v>
      </c>
      <c r="Z5" s="883">
        <f t="array" ref="Z5">SUM(O5:U5/4)</f>
        <v>97.308743610452836</v>
      </c>
      <c r="AA5" s="884">
        <f t="array" ref="AA5">SUM(M5:W5/6)</f>
        <v>97.751538885078887</v>
      </c>
      <c r="AB5" s="654" t="str">
        <f>IF($AA5=MAX(AA2:AA8),"TOP","")</f>
        <v/>
      </c>
    </row>
    <row r="6" spans="1:28" ht="14.4" x14ac:dyDescent="0.3">
      <c r="A6" s="43" t="s">
        <v>16</v>
      </c>
      <c r="B6" s="1019">
        <v>638</v>
      </c>
      <c r="C6" s="1020">
        <v>635</v>
      </c>
      <c r="D6" s="1020">
        <v>639.5</v>
      </c>
      <c r="E6" s="1020">
        <v>645</v>
      </c>
      <c r="F6" s="1020">
        <v>632.5</v>
      </c>
      <c r="G6" s="1020">
        <v>632</v>
      </c>
      <c r="H6" s="1091">
        <v>0</v>
      </c>
      <c r="I6" s="1023">
        <f>(B6*V22)+(C6*V23)+(D6*V24)+(E6*V25)+(F6*V26)+(G6*V27)+(H6*V28)</f>
        <v>636.82344789356989</v>
      </c>
      <c r="J6" s="1092">
        <v>629.07000000000005</v>
      </c>
      <c r="L6" s="1093">
        <v>4</v>
      </c>
      <c r="M6" s="1094">
        <f>100-ABS((($J2-F2)/($J2)))*100</f>
        <v>97.794117647058826</v>
      </c>
      <c r="N6" s="1095">
        <f t="shared" si="0"/>
        <v>0.16652754590984975</v>
      </c>
      <c r="O6" s="1109">
        <f>100-ABS((($J3-F3)/($J3)))*100</f>
        <v>99.501438832433792</v>
      </c>
      <c r="P6" s="1097">
        <f t="shared" si="1"/>
        <v>0.16685807888975976</v>
      </c>
      <c r="Q6" s="1098">
        <f>100-ABS((($J4-F4)/($J4)))*100</f>
        <v>99.125609083958182</v>
      </c>
      <c r="R6" s="1097">
        <f t="shared" si="2"/>
        <v>0.166687153123316</v>
      </c>
      <c r="S6" s="1098">
        <f>100-ABS((($J5-F5)/($J5)))*100</f>
        <v>93.463302752293572</v>
      </c>
      <c r="T6" s="1097">
        <f t="shared" si="3"/>
        <v>0.16448032290615541</v>
      </c>
      <c r="U6" s="1099">
        <f>100-ABS((($J6-F6)/($J6)))*100</f>
        <v>99.454750663678141</v>
      </c>
      <c r="V6" s="1100">
        <f t="shared" si="4"/>
        <v>0.16787412392267984</v>
      </c>
      <c r="W6" s="1105">
        <f>100-ABS((($J7-F7)/($J7)))*100</f>
        <v>99.519052904180541</v>
      </c>
      <c r="X6" s="1102">
        <f t="shared" si="5"/>
        <v>0.16659441382300119</v>
      </c>
      <c r="Z6" s="883">
        <f t="array" ref="Z6">SUM(O6:U6/4)</f>
        <v>98.010781721820734</v>
      </c>
      <c r="AA6" s="884">
        <f t="array" ref="AA6">SUM(M6:W6/6)</f>
        <v>98.281783184725796</v>
      </c>
      <c r="AB6" s="654" t="str">
        <f>IF($AA6=MAX(AA2:AA8),"TOP","")</f>
        <v/>
      </c>
    </row>
    <row r="7" spans="1:28" ht="14.4" x14ac:dyDescent="0.3">
      <c r="A7" s="67" t="s">
        <v>17</v>
      </c>
      <c r="B7" s="1025">
        <v>271</v>
      </c>
      <c r="C7" s="1026">
        <v>270</v>
      </c>
      <c r="D7" s="1026">
        <v>271.5</v>
      </c>
      <c r="E7" s="1026">
        <v>268</v>
      </c>
      <c r="F7" s="1026">
        <v>269</v>
      </c>
      <c r="G7" s="1026">
        <v>269</v>
      </c>
      <c r="H7" s="1110">
        <v>0</v>
      </c>
      <c r="I7" s="1111">
        <f>(B7*X12)+(C7*X13)+(D7*X14)+(E7*X15)+(F7*X16)+(G7*X17)+(H7*X18)</f>
        <v>269.7217514124294</v>
      </c>
      <c r="J7" s="1112">
        <v>270.3</v>
      </c>
      <c r="L7" s="1093" t="s">
        <v>123</v>
      </c>
      <c r="M7" s="1094">
        <f>100-ABS((($J2-G2)/($J2)))*100</f>
        <v>97.794117647058826</v>
      </c>
      <c r="N7" s="1095">
        <f t="shared" si="0"/>
        <v>0.16652754590984975</v>
      </c>
      <c r="O7" s="1113">
        <f>100-ABS((($J3-G3)/($J3)))*100</f>
        <v>99.711686868349204</v>
      </c>
      <c r="P7" s="1097">
        <f t="shared" si="1"/>
        <v>0.1672106525185921</v>
      </c>
      <c r="Q7" s="1098">
        <f>100-ABS((($J4-G4)/($J4)))*100</f>
        <v>99.271803853401721</v>
      </c>
      <c r="R7" s="1097">
        <f t="shared" si="2"/>
        <v>0.16693299060310815</v>
      </c>
      <c r="S7" s="1098">
        <f>100-ABS((($J5-G5)/($J5)))*100</f>
        <v>94.610091743119256</v>
      </c>
      <c r="T7" s="1097">
        <f t="shared" si="3"/>
        <v>0.16649848637739659</v>
      </c>
      <c r="U7" s="1114">
        <f>100-ABS((($J6-G6)/($J6)))*100</f>
        <v>99.53423307422068</v>
      </c>
      <c r="V7" s="1100">
        <f t="shared" si="4"/>
        <v>0.16800828584001462</v>
      </c>
      <c r="W7" s="1105">
        <f>100-ABS((($J7-G7)/($J7)))*100</f>
        <v>99.519052904180541</v>
      </c>
      <c r="X7" s="1102">
        <f t="shared" si="5"/>
        <v>0.16659441382300119</v>
      </c>
      <c r="Z7" s="883">
        <f t="array" ref="Z7">SUM(O7:U7/4)</f>
        <v>98.407114417147483</v>
      </c>
      <c r="AA7" s="884">
        <f t="array" ref="AA7">SUM(M7:W7/6)</f>
        <v>98.546027341929872</v>
      </c>
      <c r="AB7" s="654" t="str">
        <f>IF($AA7=MAX(AA2:AA8),"TOP","")</f>
        <v/>
      </c>
    </row>
    <row r="8" spans="1:28" ht="14.4" x14ac:dyDescent="0.3">
      <c r="L8" s="1115" t="s">
        <v>118</v>
      </c>
      <c r="M8" s="1116">
        <f>100-ABS((($J2-H2)/($J2)))*100</f>
        <v>0</v>
      </c>
      <c r="N8" s="1117">
        <f t="shared" si="0"/>
        <v>0</v>
      </c>
      <c r="O8" s="1118">
        <f>100-ABS((($J3-H3)/($J3)))*100</f>
        <v>0</v>
      </c>
      <c r="P8" s="1119">
        <f t="shared" si="1"/>
        <v>0</v>
      </c>
      <c r="Q8" s="1120">
        <f>100-ABS((($J4-H4)/($J4)))*100</f>
        <v>0</v>
      </c>
      <c r="R8" s="1119">
        <f t="shared" si="2"/>
        <v>0</v>
      </c>
      <c r="S8" s="1120">
        <f>100-ABS((($J5-H5)/($J5)))*100</f>
        <v>0</v>
      </c>
      <c r="T8" s="1119">
        <f t="shared" si="3"/>
        <v>0</v>
      </c>
      <c r="U8" s="1121">
        <f>100-ABS((($J6-H6)/($J6)))*100</f>
        <v>0</v>
      </c>
      <c r="V8" s="1122">
        <f t="shared" si="4"/>
        <v>0</v>
      </c>
      <c r="W8" s="907">
        <f>100-ABS((($J7-H7)/($J7)))*100</f>
        <v>0</v>
      </c>
      <c r="X8" s="1123">
        <f t="shared" si="5"/>
        <v>0</v>
      </c>
      <c r="Z8" s="906">
        <f t="array" ref="Z8">SUM(O8:U8/4)</f>
        <v>0</v>
      </c>
      <c r="AA8" s="907">
        <f t="array" ref="AA8">SUM(M8:W8/6)</f>
        <v>0</v>
      </c>
      <c r="AB8" s="654" t="str">
        <f>IF($AA8=MAX(AA2:AA8),"TOP","")</f>
        <v/>
      </c>
    </row>
    <row r="9" spans="1:28" ht="14.4" x14ac:dyDescent="0.3">
      <c r="M9" s="658"/>
      <c r="N9" s="1041"/>
      <c r="O9" s="658"/>
      <c r="P9" s="658"/>
      <c r="Q9" s="658"/>
      <c r="R9" s="658"/>
      <c r="S9" s="658"/>
      <c r="T9" s="658"/>
      <c r="U9" s="658"/>
      <c r="V9" s="658"/>
      <c r="W9" s="658"/>
    </row>
    <row r="10" spans="1:28" ht="14.4" x14ac:dyDescent="0.3">
      <c r="E10" s="694"/>
      <c r="M10" s="658"/>
      <c r="N10" s="1041"/>
      <c r="O10" s="658"/>
      <c r="P10" s="658"/>
      <c r="Q10" s="658"/>
      <c r="R10" s="658"/>
      <c r="S10" s="658"/>
      <c r="T10" s="658"/>
      <c r="U10" s="658"/>
      <c r="V10" s="658"/>
      <c r="W10" s="658"/>
    </row>
    <row r="11" spans="1:28" ht="14.4" x14ac:dyDescent="0.3">
      <c r="B11" s="709" t="s">
        <v>31</v>
      </c>
      <c r="C11" s="710"/>
      <c r="D11" s="711">
        <v>85220</v>
      </c>
      <c r="E11" s="712"/>
      <c r="F11" s="711" t="s">
        <v>32</v>
      </c>
      <c r="G11" s="713"/>
      <c r="L11" s="1124" t="s">
        <v>128</v>
      </c>
      <c r="M11" s="1125" t="s">
        <v>12</v>
      </c>
      <c r="N11" s="1126">
        <f>SUM(M12:M18)</f>
        <v>404</v>
      </c>
      <c r="O11" s="1127" t="s">
        <v>13</v>
      </c>
      <c r="P11" s="1128">
        <f>SUM(O12:O18)</f>
        <v>527</v>
      </c>
      <c r="Q11" s="1128" t="s">
        <v>14</v>
      </c>
      <c r="R11" s="1128">
        <f>SUM(Q12:Q18)</f>
        <v>486</v>
      </c>
      <c r="S11" s="1128" t="s">
        <v>15</v>
      </c>
      <c r="T11" s="1128">
        <f>SUM(S12:S18)</f>
        <v>171</v>
      </c>
      <c r="U11" s="1129" t="s">
        <v>16</v>
      </c>
      <c r="V11" s="990">
        <f>SUM(U12:U18)</f>
        <v>469</v>
      </c>
      <c r="W11" s="1130" t="s">
        <v>17</v>
      </c>
      <c r="X11" s="658">
        <f>SUM(W22:W28)</f>
        <v>354</v>
      </c>
      <c r="Z11" s="668" t="s">
        <v>29</v>
      </c>
      <c r="AA11" s="722" t="s">
        <v>30</v>
      </c>
    </row>
    <row r="12" spans="1:28" ht="14.4" x14ac:dyDescent="0.3">
      <c r="A12" s="76" t="s">
        <v>12</v>
      </c>
      <c r="B12" s="1045">
        <v>3.99</v>
      </c>
      <c r="C12" s="728" t="str">
        <f t="shared" ref="C12:C17" si="6">IF(ABS(J2-I2)&lt;ABS(B12-J2),$I$1,$B$11)</f>
        <v>Comb</v>
      </c>
      <c r="D12" s="1045">
        <v>3.98</v>
      </c>
      <c r="E12" s="728" t="str">
        <f t="shared" ref="E12:E17" si="7">IF(ABS(J2-I2)&lt;ABS(J2-D12),$I$1,$D$11)</f>
        <v>Comb</v>
      </c>
      <c r="F12" s="1045">
        <v>3.99</v>
      </c>
      <c r="G12" s="729" t="str">
        <f t="shared" ref="G12:G17" si="8">IF(ABS(I2-J2)&lt;ABS(J2-F12),$I$1,$F$11)</f>
        <v>Comb</v>
      </c>
      <c r="L12" s="1131" t="s">
        <v>121</v>
      </c>
      <c r="M12" s="1132">
        <f>IF(M2=0,0, LOOKUP(M2-0.000000000001,{0,93,95,96,97,98,99,99.5,99.99},{1,25,37,50,66,70,83,97,100}))</f>
        <v>70</v>
      </c>
      <c r="N12" s="1133">
        <f t="shared" ref="N12:N18" si="9">M12/$N$11</f>
        <v>0.17326732673267325</v>
      </c>
      <c r="O12" s="1134">
        <f>IF(O2=0,0, LOOKUP(O2-0.000000000001,{0,93,95,96,97,98,99,99.5,99.99},{1,25,37,50,66,70,83,97,100}))</f>
        <v>83</v>
      </c>
      <c r="P12" s="1135">
        <f t="shared" ref="P12:P18" si="10">O12/$P$11</f>
        <v>0.15749525616698293</v>
      </c>
      <c r="Q12" s="1136">
        <f>IF(Q2=0,0, LOOKUP(Q2-0.000000000001,{0,93,95,96,97,98,99,99.5,99.99},{1,25,37,50,66,70,83,97,100}))</f>
        <v>70</v>
      </c>
      <c r="R12" s="1135">
        <f t="shared" ref="R12:R18" si="11">Q12/$R$11</f>
        <v>0.1440329218106996</v>
      </c>
      <c r="S12" s="1136">
        <f>IF(S2=0,0, LOOKUP(S2-0.000000000001,{0,93,95,96,97,98,99,99.5,99.99},{1,25,37,50,66,70,83,97,100}))</f>
        <v>25</v>
      </c>
      <c r="T12" s="1135">
        <f t="shared" ref="T12:T18" si="12">S12/$T$11</f>
        <v>0.14619883040935672</v>
      </c>
      <c r="U12" s="1137">
        <f>IF(U2=0,0, LOOKUP(U2-0.000000000001,{0,93,95,96,97,98,99,99.5,99.99},{1,25,37,50,66,70,83,97,100}))</f>
        <v>70</v>
      </c>
      <c r="V12" s="1133">
        <f t="shared" ref="V12:V18" si="13">U12/$V$11</f>
        <v>0.14925373134328357</v>
      </c>
      <c r="W12" s="1138">
        <f>IF(W2=0,0, LOOKUP(W2-0.000000000001,{0,93,95,96,97,98,99,99.5,99.99},{1,25,37,50,66,70,83,97,100}))</f>
        <v>97</v>
      </c>
      <c r="X12" s="985">
        <f t="shared" ref="X12:X18" si="14">W22/$X$11</f>
        <v>0.16101694915254236</v>
      </c>
      <c r="Z12" s="1139" t="s">
        <v>129</v>
      </c>
      <c r="AA12" s="936">
        <v>100</v>
      </c>
    </row>
    <row r="13" spans="1:28" ht="14.4" x14ac:dyDescent="0.3">
      <c r="A13" s="163" t="s">
        <v>13</v>
      </c>
      <c r="B13" s="1051">
        <v>47845</v>
      </c>
      <c r="C13" s="747" t="str">
        <f t="shared" si="6"/>
        <v>Comb</v>
      </c>
      <c r="D13" s="1051">
        <v>47815</v>
      </c>
      <c r="E13" s="747" t="str">
        <f t="shared" si="7"/>
        <v>Comb</v>
      </c>
      <c r="F13" s="1051">
        <v>47790</v>
      </c>
      <c r="G13" s="748" t="str">
        <f t="shared" si="8"/>
        <v>Comb</v>
      </c>
      <c r="L13" s="1140" t="s">
        <v>34</v>
      </c>
      <c r="M13" s="1141">
        <f>IF(M3=0,0, LOOKUP(M3-0.000000000001,{0,93,95,96,97,98,99,99.5,99.99},{1,25,37,50,66,70,83,97,100}))</f>
        <v>66</v>
      </c>
      <c r="N13" s="1142">
        <f t="shared" si="9"/>
        <v>0.16336633663366337</v>
      </c>
      <c r="O13" s="1143">
        <f>IF(O3=0,0, LOOKUP(O3-0.000000000001,{0,93,95,96,97,98,99,99.5,99.99},{1,25,37,50,66,70,83,97,100}))</f>
        <v>83</v>
      </c>
      <c r="P13" s="1144">
        <f t="shared" si="10"/>
        <v>0.15749525616698293</v>
      </c>
      <c r="Q13" s="1145">
        <f>IF(Q3=0,0, LOOKUP(Q3-0.000000000001,{0,93,95,96,97,98,99,99.5,99.99},{1,25,37,50,66,70,83,97,100}))</f>
        <v>83</v>
      </c>
      <c r="R13" s="1144">
        <f t="shared" si="11"/>
        <v>0.17078189300411523</v>
      </c>
      <c r="S13" s="1145">
        <f>IF(S3=0,0, LOOKUP(S3-0.000000000001,{0,93,95,96,97,98,99,99.5,99.99},{1,25,37,50,66,70,83,97,100}))</f>
        <v>25</v>
      </c>
      <c r="T13" s="1144">
        <f t="shared" si="12"/>
        <v>0.14619883040935672</v>
      </c>
      <c r="U13" s="1146">
        <f>IF(U3=0,0, LOOKUP(U3-0.000000000001,{0,93,95,96,97,98,99,99.5,99.99},{1,25,37,50,66,70,83,97,100}))</f>
        <v>83</v>
      </c>
      <c r="V13" s="1142">
        <f t="shared" si="13"/>
        <v>0.17697228144989338</v>
      </c>
      <c r="W13" s="1147">
        <f>IF(W3=0,0, LOOKUP(W3-0.000000000001,{0,93,95,96,97,98,99,99.5,99.99},{1,25,37,50,66,70,83,97,100}))</f>
        <v>97</v>
      </c>
      <c r="X13" s="985">
        <f t="shared" si="14"/>
        <v>0.17231638418079095</v>
      </c>
      <c r="Z13" s="1148" t="s">
        <v>130</v>
      </c>
      <c r="AA13" s="938">
        <v>97</v>
      </c>
    </row>
    <row r="14" spans="1:28" ht="14.4" x14ac:dyDescent="0.3">
      <c r="A14" s="43" t="s">
        <v>14</v>
      </c>
      <c r="B14" s="1052">
        <v>6903</v>
      </c>
      <c r="C14" s="765" t="str">
        <f t="shared" si="6"/>
        <v>Comb</v>
      </c>
      <c r="D14" s="1052">
        <v>6898</v>
      </c>
      <c r="E14" s="765">
        <f t="shared" si="7"/>
        <v>85220</v>
      </c>
      <c r="F14" s="1052">
        <v>6899</v>
      </c>
      <c r="G14" s="766" t="str">
        <f t="shared" si="8"/>
        <v>MICH</v>
      </c>
      <c r="L14" s="1140" t="s">
        <v>119</v>
      </c>
      <c r="M14" s="1141">
        <f>IF(M4=0,0, LOOKUP(M4-0.000000000001,{0,93,95,96,97,98,99,99.5,99.99},{1,25,37,50,66,70,83,97,100}))</f>
        <v>70</v>
      </c>
      <c r="N14" s="1142">
        <f t="shared" si="9"/>
        <v>0.17326732673267325</v>
      </c>
      <c r="O14" s="1143">
        <f>IF(O4=0,0, LOOKUP(O4-0.000000000001,{0,93,95,96,97,98,99,99.5,99.99},{1,25,37,50,66,70,83,97,100}))</f>
        <v>97</v>
      </c>
      <c r="P14" s="1144">
        <f t="shared" si="10"/>
        <v>0.18406072106261859</v>
      </c>
      <c r="Q14" s="1145">
        <f>IF(Q4=0,0, LOOKUP(Q4-0.000000000001,{0,93,95,96,97,98,99,99.5,99.99},{1,25,37,50,66,70,83,97,100}))</f>
        <v>70</v>
      </c>
      <c r="R14" s="1144">
        <f t="shared" si="11"/>
        <v>0.1440329218106996</v>
      </c>
      <c r="S14" s="1145">
        <f>IF(S4=0,0, LOOKUP(S4-0.000000000001,{0,93,95,96,97,98,99,99.5,99.99},{1,25,37,50,66,70,83,97,100}))</f>
        <v>70</v>
      </c>
      <c r="T14" s="1144">
        <f t="shared" si="12"/>
        <v>0.40935672514619881</v>
      </c>
      <c r="U14" s="1146">
        <f>IF(U4=0,0, LOOKUP(U4-0.000000000001,{0,93,95,96,97,98,99,99.5,99.99},{1,25,37,50,66,70,83,97,100}))</f>
        <v>70</v>
      </c>
      <c r="V14" s="1142">
        <f t="shared" si="13"/>
        <v>0.14925373134328357</v>
      </c>
      <c r="W14" s="1147">
        <f>IF(W4=0,0, LOOKUP(W4-0.000000000001,{0,93,95,96,97,98,99,99.5,99.99},{1,25,37,50,66,70,83,97,100}))</f>
        <v>97</v>
      </c>
      <c r="X14" s="985">
        <f t="shared" si="14"/>
        <v>0.16101694915254236</v>
      </c>
      <c r="Z14" s="1149" t="s">
        <v>131</v>
      </c>
      <c r="AA14" s="938">
        <v>83</v>
      </c>
    </row>
    <row r="15" spans="1:28" ht="14.4" x14ac:dyDescent="0.3">
      <c r="A15" s="43" t="s">
        <v>15</v>
      </c>
      <c r="B15" s="1052">
        <v>16.399999999999999</v>
      </c>
      <c r="C15" s="765" t="str">
        <f t="shared" si="6"/>
        <v>Comb</v>
      </c>
      <c r="D15" s="1052">
        <v>16.5</v>
      </c>
      <c r="E15" s="765">
        <f t="shared" si="7"/>
        <v>85220</v>
      </c>
      <c r="F15" s="1052">
        <v>16.239999999999998</v>
      </c>
      <c r="G15" s="766" t="str">
        <f t="shared" si="8"/>
        <v>Comb</v>
      </c>
      <c r="L15" s="1140" t="s">
        <v>122</v>
      </c>
      <c r="M15" s="1141">
        <f>IF(M5=0,0, LOOKUP(M5-0.000000000001,{0,93,95,96,97,98,99,99.5,99.99},{1,25,37,50,66,70,83,97,100}))</f>
        <v>66</v>
      </c>
      <c r="N15" s="1142">
        <f t="shared" si="9"/>
        <v>0.16336633663366337</v>
      </c>
      <c r="O15" s="1143">
        <f>IF(O5=0,0, LOOKUP(O5-0.000000000001,{0,93,95,96,97,98,99,99.5,99.99},{1,25,37,50,66,70,83,97,100}))</f>
        <v>70</v>
      </c>
      <c r="P15" s="1144">
        <f t="shared" si="10"/>
        <v>0.13282732447817835</v>
      </c>
      <c r="Q15" s="1145">
        <f>IF(Q5=0,0, LOOKUP(Q5-0.000000000001,{0,93,95,96,97,98,99,99.5,99.99},{1,25,37,50,66,70,83,97,100}))</f>
        <v>97</v>
      </c>
      <c r="R15" s="1144">
        <f t="shared" si="11"/>
        <v>0.19958847736625515</v>
      </c>
      <c r="S15" s="1145">
        <f>IF(S5=0,0, LOOKUP(S5-0.000000000001,{0,93,95,96,97,98,99,99.5,99.99},{1,25,37,50,66,70,83,97,100}))</f>
        <v>1</v>
      </c>
      <c r="T15" s="1144">
        <f t="shared" si="12"/>
        <v>5.8479532163742687E-3</v>
      </c>
      <c r="U15" s="1146">
        <f>IF(U5=0,0, LOOKUP(U5-0.000000000001,{0,93,95,96,97,98,99,99.5,99.99},{1,25,37,50,66,70,83,97,100}))</f>
        <v>66</v>
      </c>
      <c r="V15" s="1142">
        <f t="shared" si="13"/>
        <v>0.14072494669509594</v>
      </c>
      <c r="W15" s="1147">
        <f>IF(W5=0,0, LOOKUP(W5-0.000000000001,{0,93,95,96,97,98,99,99.5,99.99},{1,25,37,50,66,70,83,97,100}))</f>
        <v>83</v>
      </c>
      <c r="X15" s="985">
        <f t="shared" si="14"/>
        <v>0.1751412429378531</v>
      </c>
      <c r="Z15" s="1149" t="s">
        <v>132</v>
      </c>
      <c r="AA15" s="938">
        <v>70</v>
      </c>
    </row>
    <row r="16" spans="1:28" ht="14.4" x14ac:dyDescent="0.3">
      <c r="A16" s="174" t="s">
        <v>16</v>
      </c>
      <c r="B16" s="1053">
        <v>635.79999999999995</v>
      </c>
      <c r="C16" s="777" t="str">
        <f t="shared" si="6"/>
        <v>RD</v>
      </c>
      <c r="D16" s="1053">
        <v>636.9</v>
      </c>
      <c r="E16" s="777" t="str">
        <f t="shared" si="7"/>
        <v>Comb</v>
      </c>
      <c r="F16" s="1053">
        <v>635.5</v>
      </c>
      <c r="G16" s="778" t="str">
        <f t="shared" si="8"/>
        <v>MICH</v>
      </c>
      <c r="L16" s="1140">
        <v>4</v>
      </c>
      <c r="M16" s="1141">
        <f>IF(M6=0,0, LOOKUP(M6-0.000000000001,{0,93,95,96,97,98,99,99.5,99.99},{1,25,37,50,66,70,83,97,100}))</f>
        <v>66</v>
      </c>
      <c r="N16" s="1142">
        <f t="shared" si="9"/>
        <v>0.16336633663366337</v>
      </c>
      <c r="O16" s="1143">
        <f>IF(O6=0,0, LOOKUP(O6-0.000000000001,{0,93,95,96,97,98,99,99.5,99.99},{1,25,37,50,66,70,83,97,100}))</f>
        <v>97</v>
      </c>
      <c r="P16" s="1144">
        <f t="shared" si="10"/>
        <v>0.18406072106261859</v>
      </c>
      <c r="Q16" s="1145">
        <f>IF(Q6=0,0, LOOKUP(Q6-0.000000000001,{0,93,95,96,97,98,99,99.5,99.99},{1,25,37,50,66,70,83,97,100}))</f>
        <v>83</v>
      </c>
      <c r="R16" s="1144">
        <f t="shared" si="11"/>
        <v>0.17078189300411523</v>
      </c>
      <c r="S16" s="1145">
        <f>IF(S6=0,0, LOOKUP(S6-0.000000000001,{0,93,95,96,97,98,99,99.5,99.99},{1,25,37,50,66,70,83,97,100}))</f>
        <v>25</v>
      </c>
      <c r="T16" s="1144">
        <f t="shared" si="12"/>
        <v>0.14619883040935672</v>
      </c>
      <c r="U16" s="1146">
        <f>IF(U6=0,0, LOOKUP(U6-0.000000000001,{0,93,95,96,97,98,99,99.5,99.99},{1,25,37,50,66,70,83,97,100}))</f>
        <v>83</v>
      </c>
      <c r="V16" s="1142">
        <f t="shared" si="13"/>
        <v>0.17697228144989338</v>
      </c>
      <c r="W16" s="1147">
        <f>IF(W6=0,0, LOOKUP(W6-0.000000000001,{0,93,95,96,97,98,99,99.5,99.99},{1,25,37,50,66,70,83,97,100}))</f>
        <v>97</v>
      </c>
      <c r="X16" s="985">
        <f t="shared" si="14"/>
        <v>0.15819209039548024</v>
      </c>
      <c r="Z16" s="1149" t="s">
        <v>133</v>
      </c>
      <c r="AA16" s="938">
        <v>66</v>
      </c>
    </row>
    <row r="17" spans="1:27" ht="14.4" x14ac:dyDescent="0.3">
      <c r="A17" s="136" t="s">
        <v>17</v>
      </c>
      <c r="B17" s="1054">
        <v>270.89999999999998</v>
      </c>
      <c r="C17" s="783" t="str">
        <f t="shared" si="6"/>
        <v>Comb</v>
      </c>
      <c r="D17" s="1054">
        <v>270.2</v>
      </c>
      <c r="E17" s="783">
        <f t="shared" si="7"/>
        <v>85220</v>
      </c>
      <c r="F17" s="1054">
        <v>270.5</v>
      </c>
      <c r="G17" s="784" t="str">
        <f t="shared" si="8"/>
        <v>MICH</v>
      </c>
      <c r="L17" s="1140" t="s">
        <v>123</v>
      </c>
      <c r="M17" s="1141">
        <f>IF(M7=0,0, LOOKUP(M7-0.000000000001,{0,93,95,96,97,98,99,99.5,99.99},{1,25,37,50,66,70,83,97,100}))</f>
        <v>66</v>
      </c>
      <c r="N17" s="1142">
        <f t="shared" si="9"/>
        <v>0.16336633663366337</v>
      </c>
      <c r="O17" s="1143">
        <f>IF(O7=0,0, LOOKUP(O7-0.000000000001,{0,93,95,96,97,98,99,99.5,99.99},{1,25,37,50,66,70,83,97,100}))</f>
        <v>97</v>
      </c>
      <c r="P17" s="1144">
        <f t="shared" si="10"/>
        <v>0.18406072106261859</v>
      </c>
      <c r="Q17" s="1145">
        <f>IF(Q7=0,0, LOOKUP(Q7-0.000000000001,{0,93,95,96,97,98,99,99.5,99.99},{1,25,37,50,66,70,83,97,100}))</f>
        <v>83</v>
      </c>
      <c r="R17" s="1144">
        <f t="shared" si="11"/>
        <v>0.17078189300411523</v>
      </c>
      <c r="S17" s="1145">
        <f>IF(S7=0,0, LOOKUP(S7-0.000000000001,{0,93,95,96,97,98,99,99.5,99.99},{1,25,37,50,66,70,83,97,100}))</f>
        <v>25</v>
      </c>
      <c r="T17" s="1144">
        <f t="shared" si="12"/>
        <v>0.14619883040935672</v>
      </c>
      <c r="U17" s="1146">
        <f>IF(U7=0,0, LOOKUP(U7-0.000000000001,{0,93,95,96,97,98,99,99.5,99.99},{1,25,37,50,66,70,83,97,100}))</f>
        <v>97</v>
      </c>
      <c r="V17" s="1142">
        <f t="shared" si="13"/>
        <v>0.2068230277185501</v>
      </c>
      <c r="W17" s="1147">
        <f>IF(W7=0,0, LOOKUP(W7-0.000000000001,{0,93,95,96,97,98,99,99.5,99.99},{1,25,37,50,66,70,83,97,100}))</f>
        <v>97</v>
      </c>
      <c r="X17" s="985">
        <f t="shared" si="14"/>
        <v>0.17231638418079095</v>
      </c>
      <c r="Z17" s="1149" t="s">
        <v>134</v>
      </c>
      <c r="AA17" s="938">
        <v>50</v>
      </c>
    </row>
    <row r="18" spans="1:27" ht="14.4" x14ac:dyDescent="0.3">
      <c r="L18" s="1150" t="s">
        <v>118</v>
      </c>
      <c r="M18" s="1151">
        <f>IF(M8=0,0, LOOKUP(M8-0.000000000001,{0,93,95,96,97,98,99,99.5,99.99},{1,25,37,50,66,70,83,97,100}))</f>
        <v>0</v>
      </c>
      <c r="N18" s="1152">
        <f t="shared" si="9"/>
        <v>0</v>
      </c>
      <c r="O18" s="1153">
        <f>IF(O8=0,0, LOOKUP(O8-0.000000000001,{0,93,95,96,97,98,99,99.5,99.99},{1,25,37,50,66,70,83,97,100}))</f>
        <v>0</v>
      </c>
      <c r="P18" s="1154">
        <f t="shared" si="10"/>
        <v>0</v>
      </c>
      <c r="Q18" s="1155">
        <f>IF(Q8=0,0, LOOKUP(Q8-0.000000000001,{0,93,95,96,97,98,99,99.5,99.99},{1,25,37,50,66,70,83,97,100}))</f>
        <v>0</v>
      </c>
      <c r="R18" s="1154">
        <f t="shared" si="11"/>
        <v>0</v>
      </c>
      <c r="S18" s="1155">
        <f>IF(S8=0,0, LOOKUP(S8-0.000000000001,{0,93,95,96,97,98,99,99.5,99.99},{1,25,37,50,66,70,83,97,100}))</f>
        <v>0</v>
      </c>
      <c r="T18" s="1154">
        <f t="shared" si="12"/>
        <v>0</v>
      </c>
      <c r="U18" s="1156">
        <f>IF(U8=0,0, LOOKUP(U8-0.000000000001,{0,93,95,96,97,98,99,99.5,99.99},{1,25,37,50,66,70,83,97,100}))</f>
        <v>0</v>
      </c>
      <c r="V18" s="1152">
        <f t="shared" si="13"/>
        <v>0</v>
      </c>
      <c r="W18" s="1157">
        <f>IF(W8=0,0, LOOKUP(W8-0.000000000001,{0,93,95,96,97,98,99,99.5,99.99},{1,25,37,50,66,70,83,97,100}))</f>
        <v>0</v>
      </c>
      <c r="X18" s="985">
        <f t="shared" si="14"/>
        <v>0</v>
      </c>
      <c r="Z18" s="1149" t="s">
        <v>135</v>
      </c>
      <c r="AA18" s="938">
        <v>37</v>
      </c>
    </row>
    <row r="19" spans="1:27" ht="14.4" x14ac:dyDescent="0.3">
      <c r="L19" s="6"/>
      <c r="M19" s="1158"/>
      <c r="N19" s="1041"/>
      <c r="O19" s="1158"/>
      <c r="P19" s="1041"/>
      <c r="Q19" s="1158"/>
      <c r="R19" s="1041"/>
      <c r="S19" s="1158"/>
      <c r="T19" s="1041"/>
      <c r="U19" s="1158"/>
      <c r="V19" s="1041"/>
      <c r="W19" s="1158"/>
      <c r="X19" s="985"/>
      <c r="Z19" s="1149" t="s">
        <v>136</v>
      </c>
      <c r="AA19" s="938">
        <v>25</v>
      </c>
    </row>
    <row r="20" spans="1:27" ht="14.4" x14ac:dyDescent="0.3">
      <c r="Z20" s="1149" t="s">
        <v>137</v>
      </c>
      <c r="AA20" s="938">
        <v>1</v>
      </c>
    </row>
    <row r="21" spans="1:27" ht="14.4" x14ac:dyDescent="0.3">
      <c r="B21" s="24" t="s">
        <v>31</v>
      </c>
      <c r="C21" s="725">
        <v>85220</v>
      </c>
      <c r="D21" s="725" t="s">
        <v>32</v>
      </c>
      <c r="E21" s="807" t="s">
        <v>116</v>
      </c>
      <c r="G21" s="808" t="s">
        <v>33</v>
      </c>
      <c r="L21" s="1124" t="s">
        <v>138</v>
      </c>
      <c r="M21" s="1159" t="s">
        <v>12</v>
      </c>
      <c r="N21" s="1160">
        <f>SUM(M22:M28)</f>
        <v>537.75</v>
      </c>
      <c r="O21" s="1161" t="s">
        <v>13</v>
      </c>
      <c r="P21" s="1162">
        <f>SUM(O22:O28)</f>
        <v>457.75</v>
      </c>
      <c r="Q21" s="1162" t="s">
        <v>14</v>
      </c>
      <c r="R21" s="1162">
        <f>SUM(Q22:Q28)</f>
        <v>483.5</v>
      </c>
      <c r="S21" s="1162" t="s">
        <v>15</v>
      </c>
      <c r="T21" s="1162">
        <f>SUM(S22:S28)</f>
        <v>265</v>
      </c>
      <c r="U21" s="1163" t="s">
        <v>16</v>
      </c>
      <c r="V21" s="1160">
        <f>SUM(U22:U28)</f>
        <v>451</v>
      </c>
      <c r="W21" s="1164" t="s">
        <v>17</v>
      </c>
      <c r="Z21" s="1165">
        <v>0</v>
      </c>
      <c r="AA21" s="971">
        <v>0</v>
      </c>
    </row>
    <row r="22" spans="1:27" ht="14.4" x14ac:dyDescent="0.3">
      <c r="A22" s="76" t="s">
        <v>12</v>
      </c>
      <c r="B22" s="818">
        <f t="shared" ref="B22:B27" si="15">100-ABS(($J2-B12)/($J2))*100</f>
        <v>97.794117647058826</v>
      </c>
      <c r="C22" s="819">
        <f t="shared" ref="C22:C27" si="16">100-ABS(($J2-D12)/($J2))*100</f>
        <v>97.549019607843135</v>
      </c>
      <c r="D22" s="819">
        <f t="shared" ref="D22:D27" si="17">100-ABS(($J2-F12)/($J2))*100</f>
        <v>97.794117647058826</v>
      </c>
      <c r="E22" s="955">
        <f t="shared" ref="E22:E27" si="18">100-ABS((($J2-I2)/($J2)))*100</f>
        <v>97.8763867239132</v>
      </c>
      <c r="G22" s="581" t="s">
        <v>12</v>
      </c>
      <c r="H22" s="1166" t="s">
        <v>119</v>
      </c>
      <c r="I22" s="822">
        <f>M4</f>
        <v>98.284313725490193</v>
      </c>
      <c r="L22" s="1131" t="s">
        <v>121</v>
      </c>
      <c r="M22" s="1167">
        <v>86.75</v>
      </c>
      <c r="N22" s="1168">
        <f t="shared" ref="N22:N28" si="19">M22/$N$21</f>
        <v>0.16132031613203163</v>
      </c>
      <c r="O22" s="1169">
        <v>75</v>
      </c>
      <c r="P22" s="1170">
        <f t="shared" ref="P22:P28" si="20">O22/$P$21</f>
        <v>0.16384489350081921</v>
      </c>
      <c r="Q22" s="1171">
        <v>78.5</v>
      </c>
      <c r="R22" s="1170">
        <f t="shared" ref="R22:R28" si="21">Q22/$R$21</f>
        <v>0.1623578076525336</v>
      </c>
      <c r="S22" s="1171">
        <v>54.5</v>
      </c>
      <c r="T22" s="1170">
        <f t="shared" ref="T22:T28" si="22">S22/$T$21</f>
        <v>0.20566037735849058</v>
      </c>
      <c r="U22" s="1172">
        <v>73.5</v>
      </c>
      <c r="V22" s="1088">
        <f t="shared" ref="V22:V28" si="23">U22/$V$21</f>
        <v>0.16297117516629711</v>
      </c>
      <c r="W22" s="1173">
        <v>57</v>
      </c>
    </row>
    <row r="23" spans="1:27" ht="14.4" x14ac:dyDescent="0.3">
      <c r="A23" s="163" t="s">
        <v>13</v>
      </c>
      <c r="B23" s="829">
        <f t="shared" si="15"/>
        <v>99.406827216271864</v>
      </c>
      <c r="C23" s="830">
        <f t="shared" si="16"/>
        <v>99.469901627046482</v>
      </c>
      <c r="D23" s="830">
        <f t="shared" si="17"/>
        <v>99.522463636025336</v>
      </c>
      <c r="E23" s="831">
        <f t="shared" si="18"/>
        <v>99.78908019232901</v>
      </c>
      <c r="G23" s="583" t="s">
        <v>13</v>
      </c>
      <c r="H23" s="1174" t="s">
        <v>123</v>
      </c>
      <c r="I23" s="833">
        <f>O7</f>
        <v>99.711686868349204</v>
      </c>
      <c r="L23" s="1140" t="s">
        <v>34</v>
      </c>
      <c r="M23" s="1175">
        <v>86.75</v>
      </c>
      <c r="N23" s="1176">
        <f t="shared" si="19"/>
        <v>0.16132031613203163</v>
      </c>
      <c r="O23" s="1177">
        <v>75</v>
      </c>
      <c r="P23" s="1178">
        <f t="shared" si="20"/>
        <v>0.16384489350081921</v>
      </c>
      <c r="Q23" s="1179">
        <v>82.5</v>
      </c>
      <c r="R23" s="1178">
        <f t="shared" si="21"/>
        <v>0.17063081695966908</v>
      </c>
      <c r="S23" s="1179">
        <v>51</v>
      </c>
      <c r="T23" s="1178">
        <f t="shared" si="22"/>
        <v>0.19245283018867926</v>
      </c>
      <c r="U23" s="1180">
        <v>77.5</v>
      </c>
      <c r="V23" s="1100">
        <f t="shared" si="23"/>
        <v>0.17184035476718404</v>
      </c>
      <c r="W23" s="1181">
        <v>61</v>
      </c>
    </row>
    <row r="24" spans="1:27" ht="14.4" x14ac:dyDescent="0.3">
      <c r="A24" s="43" t="s">
        <v>14</v>
      </c>
      <c r="B24" s="838">
        <f t="shared" si="15"/>
        <v>99.081750653125127</v>
      </c>
      <c r="C24" s="839">
        <f t="shared" si="16"/>
        <v>99.154848037846889</v>
      </c>
      <c r="D24" s="839">
        <f t="shared" si="17"/>
        <v>99.140228560902543</v>
      </c>
      <c r="E24" s="840">
        <f t="shared" si="18"/>
        <v>99.114345888173744</v>
      </c>
      <c r="G24" s="585" t="s">
        <v>14</v>
      </c>
      <c r="H24" s="1182" t="s">
        <v>122</v>
      </c>
      <c r="I24" s="842">
        <f>Q5</f>
        <v>99.5641933922888</v>
      </c>
      <c r="L24" s="1140" t="s">
        <v>119</v>
      </c>
      <c r="M24" s="1175">
        <v>90.25</v>
      </c>
      <c r="N24" s="1176">
        <f t="shared" si="19"/>
        <v>0.16782891678289169</v>
      </c>
      <c r="O24" s="1177">
        <v>75.5</v>
      </c>
      <c r="P24" s="1178">
        <f t="shared" si="20"/>
        <v>0.16493719279082469</v>
      </c>
      <c r="Q24" s="1179">
        <v>82.5</v>
      </c>
      <c r="R24" s="1178">
        <f t="shared" si="21"/>
        <v>0.17063081695966908</v>
      </c>
      <c r="S24" s="1179">
        <v>33.25</v>
      </c>
      <c r="T24" s="1178">
        <f t="shared" si="22"/>
        <v>0.12547169811320755</v>
      </c>
      <c r="U24" s="1180">
        <v>73.5</v>
      </c>
      <c r="V24" s="1100">
        <f t="shared" si="23"/>
        <v>0.16297117516629711</v>
      </c>
      <c r="W24" s="1181">
        <v>57</v>
      </c>
    </row>
    <row r="25" spans="1:27" ht="14.4" x14ac:dyDescent="0.3">
      <c r="A25" s="43" t="s">
        <v>15</v>
      </c>
      <c r="B25" s="838">
        <f t="shared" si="15"/>
        <v>94.0366972477064</v>
      </c>
      <c r="C25" s="839">
        <f t="shared" si="16"/>
        <v>94.610091743119256</v>
      </c>
      <c r="D25" s="839">
        <f t="shared" si="17"/>
        <v>93.119266055045856</v>
      </c>
      <c r="E25" s="840">
        <f t="shared" si="18"/>
        <v>94.559784490219826</v>
      </c>
      <c r="G25" s="585" t="s">
        <v>15</v>
      </c>
      <c r="H25" s="1182" t="s">
        <v>119</v>
      </c>
      <c r="I25" s="842">
        <f>S4</f>
        <v>98.623853211009163</v>
      </c>
      <c r="L25" s="1140" t="s">
        <v>122</v>
      </c>
      <c r="M25" s="1175">
        <v>90.25</v>
      </c>
      <c r="N25" s="1176">
        <f t="shared" si="19"/>
        <v>0.16782891678289169</v>
      </c>
      <c r="O25" s="1177">
        <v>78.25</v>
      </c>
      <c r="P25" s="1178">
        <f t="shared" si="20"/>
        <v>0.17094483888585471</v>
      </c>
      <c r="Q25" s="1179">
        <v>82.5</v>
      </c>
      <c r="R25" s="1178">
        <f t="shared" si="21"/>
        <v>0.17063081695966908</v>
      </c>
      <c r="S25" s="1179">
        <v>44.5</v>
      </c>
      <c r="T25" s="1178">
        <f t="shared" si="22"/>
        <v>0.16792452830188678</v>
      </c>
      <c r="U25" s="1180">
        <v>70.25</v>
      </c>
      <c r="V25" s="1100">
        <f t="shared" si="23"/>
        <v>0.15576496674057649</v>
      </c>
      <c r="W25" s="1181">
        <v>62</v>
      </c>
    </row>
    <row r="26" spans="1:27" ht="14.4" x14ac:dyDescent="0.3">
      <c r="A26" s="174" t="s">
        <v>16</v>
      </c>
      <c r="B26" s="843">
        <f t="shared" si="15"/>
        <v>98.930166754097328</v>
      </c>
      <c r="C26" s="844">
        <f t="shared" si="16"/>
        <v>98.755305450903734</v>
      </c>
      <c r="D26" s="844">
        <f t="shared" si="17"/>
        <v>98.977856200422849</v>
      </c>
      <c r="E26" s="845">
        <f t="shared" si="18"/>
        <v>98.76747454280607</v>
      </c>
      <c r="G26" s="591" t="s">
        <v>16</v>
      </c>
      <c r="H26" s="1183" t="s">
        <v>123</v>
      </c>
      <c r="I26" s="847">
        <f>U7</f>
        <v>99.53423307422068</v>
      </c>
      <c r="L26" s="1140">
        <v>4</v>
      </c>
      <c r="M26" s="1175">
        <v>97</v>
      </c>
      <c r="N26" s="1176">
        <f t="shared" si="19"/>
        <v>0.18038121803812179</v>
      </c>
      <c r="O26" s="1177">
        <v>79</v>
      </c>
      <c r="P26" s="1178">
        <f t="shared" si="20"/>
        <v>0.17258328782086291</v>
      </c>
      <c r="Q26" s="1179">
        <v>79</v>
      </c>
      <c r="R26" s="1178">
        <f t="shared" si="21"/>
        <v>0.16339193381592554</v>
      </c>
      <c r="S26" s="1179">
        <v>34</v>
      </c>
      <c r="T26" s="1178">
        <f t="shared" si="22"/>
        <v>0.12830188679245283</v>
      </c>
      <c r="U26" s="1180">
        <v>74.75</v>
      </c>
      <c r="V26" s="1100">
        <f t="shared" si="23"/>
        <v>0.16574279379157428</v>
      </c>
      <c r="W26" s="1181">
        <v>56</v>
      </c>
    </row>
    <row r="27" spans="1:27" ht="14.4" x14ac:dyDescent="0.3">
      <c r="A27" s="136" t="s">
        <v>17</v>
      </c>
      <c r="B27" s="848">
        <f t="shared" si="15"/>
        <v>99.778024417314114</v>
      </c>
      <c r="C27" s="849">
        <f t="shared" si="16"/>
        <v>99.963004069552341</v>
      </c>
      <c r="D27" s="849">
        <f t="shared" si="17"/>
        <v>99.926008139104709</v>
      </c>
      <c r="E27" s="850">
        <f t="shared" si="18"/>
        <v>99.786071554727855</v>
      </c>
      <c r="G27" s="593" t="s">
        <v>17</v>
      </c>
      <c r="H27" s="1184" t="s">
        <v>34</v>
      </c>
      <c r="I27" s="852">
        <f>W3</f>
        <v>99.88901220865705</v>
      </c>
      <c r="L27" s="1140" t="s">
        <v>123</v>
      </c>
      <c r="M27" s="1175">
        <v>86.75</v>
      </c>
      <c r="N27" s="1176">
        <f t="shared" si="19"/>
        <v>0.16132031613203163</v>
      </c>
      <c r="O27" s="1177">
        <v>75</v>
      </c>
      <c r="P27" s="1178">
        <f t="shared" si="20"/>
        <v>0.16384489350081921</v>
      </c>
      <c r="Q27" s="1179">
        <v>78.5</v>
      </c>
      <c r="R27" s="1178">
        <f t="shared" si="21"/>
        <v>0.1623578076525336</v>
      </c>
      <c r="S27" s="1179">
        <v>47.75</v>
      </c>
      <c r="T27" s="1178">
        <f t="shared" si="22"/>
        <v>0.18018867924528301</v>
      </c>
      <c r="U27" s="1180">
        <v>81.5</v>
      </c>
      <c r="V27" s="1100">
        <f t="shared" si="23"/>
        <v>0.18070953436807094</v>
      </c>
      <c r="W27" s="1181">
        <v>61</v>
      </c>
    </row>
    <row r="28" spans="1:27" ht="14.25" customHeight="1" x14ac:dyDescent="0.3">
      <c r="C28" s="658"/>
      <c r="D28" s="658"/>
      <c r="E28" s="658"/>
      <c r="F28" s="658"/>
      <c r="L28" s="1150" t="s">
        <v>118</v>
      </c>
      <c r="M28" s="1185">
        <v>0</v>
      </c>
      <c r="N28" s="1186">
        <f t="shared" si="19"/>
        <v>0</v>
      </c>
      <c r="O28" s="1187">
        <v>0</v>
      </c>
      <c r="P28" s="1188">
        <f t="shared" si="20"/>
        <v>0</v>
      </c>
      <c r="Q28" s="1189">
        <v>0</v>
      </c>
      <c r="R28" s="1188">
        <f t="shared" si="21"/>
        <v>0</v>
      </c>
      <c r="S28" s="1189">
        <v>0</v>
      </c>
      <c r="T28" s="1188">
        <f t="shared" si="22"/>
        <v>0</v>
      </c>
      <c r="U28" s="1190">
        <v>0</v>
      </c>
      <c r="V28" s="1122">
        <f t="shared" si="23"/>
        <v>0</v>
      </c>
      <c r="W28" s="1191">
        <v>0</v>
      </c>
    </row>
    <row r="29" spans="1:27" ht="14.25" customHeight="1" x14ac:dyDescent="0.3">
      <c r="A29" s="856" t="str">
        <f>Z1</f>
        <v>AVR-4</v>
      </c>
      <c r="B29" s="857">
        <f t="array" ref="B29">SUM(B23:B26/4)</f>
        <v>97.86386046780018</v>
      </c>
      <c r="C29" s="858">
        <f t="array" ref="C29">SUM(C23:C26/4)</f>
        <v>97.997536714729094</v>
      </c>
      <c r="D29" s="858">
        <f t="array" ref="D29">SUM(D23:D26/4)</f>
        <v>97.689953613099135</v>
      </c>
      <c r="E29" s="859">
        <f t="array" ref="E29">SUM(E23:E26/4)</f>
        <v>98.057671278382173</v>
      </c>
      <c r="G29" s="1408" t="s">
        <v>39</v>
      </c>
      <c r="H29" s="1408"/>
      <c r="I29" s="859">
        <f>AVERAGE(I23:I26)</f>
        <v>99.358491636466965</v>
      </c>
    </row>
    <row r="30" spans="1:27" ht="14.25" customHeight="1" x14ac:dyDescent="0.3">
      <c r="A30" s="860" t="str">
        <f>AA1</f>
        <v>AVR-6</v>
      </c>
      <c r="B30" s="861">
        <f t="array" ref="B30">SUM(B22:B27/6)</f>
        <v>98.171263989262286</v>
      </c>
      <c r="C30" s="862">
        <f t="array" ref="C30">SUM(C22:C27/6)</f>
        <v>98.250361756051973</v>
      </c>
      <c r="D30" s="862">
        <f t="array" ref="D30">SUM(D22:D27/6)</f>
        <v>98.07999003976002</v>
      </c>
      <c r="E30" s="863">
        <f t="array" ref="E30">SUM(E22:E27/6)</f>
        <v>98.315523898694948</v>
      </c>
      <c r="G30" s="1409" t="s">
        <v>41</v>
      </c>
      <c r="H30" s="1409"/>
      <c r="I30" s="863">
        <f>AVERAGE(I22:I27)</f>
        <v>99.267882080002508</v>
      </c>
    </row>
  </sheetData>
  <mergeCells count="2">
    <mergeCell ref="G29:H29"/>
    <mergeCell ref="G30:H30"/>
  </mergeCells>
  <pageMargins left="0.7" right="0.7" top="0.75" bottom="0.75" header="0.511811023622047" footer="0.511811023622047"/>
  <pageSetup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7"/>
  <sheetViews>
    <sheetView zoomScale="120" zoomScaleNormal="120" workbookViewId="0">
      <selection activeCell="I11" sqref="I11"/>
    </sheetView>
  </sheetViews>
  <sheetFormatPr defaultColWidth="8.77734375" defaultRowHeight="14.25" customHeight="1" x14ac:dyDescent="0.3"/>
  <cols>
    <col min="1" max="1" width="8.77734375" style="654"/>
    <col min="2" max="7" width="9.109375" style="654" customWidth="1"/>
    <col min="8" max="8" width="5.77734375" style="654" customWidth="1"/>
    <col min="9" max="9" width="9.109375" style="654" customWidth="1"/>
    <col min="10" max="10" width="9" style="654" customWidth="1"/>
    <col min="11" max="11" width="3.88671875" style="654" customWidth="1"/>
    <col min="12" max="12" width="9" style="654" customWidth="1"/>
    <col min="13" max="13" width="5.5546875" style="654" customWidth="1"/>
    <col min="14" max="14" width="6.5546875" style="985" hidden="1" customWidth="1"/>
    <col min="15" max="15" width="5.5546875" style="654" customWidth="1"/>
    <col min="16" max="16" width="6.5546875" style="654" hidden="1" customWidth="1"/>
    <col min="17" max="17" width="5.5546875" style="654" customWidth="1"/>
    <col min="18" max="18" width="6.5546875" style="654" hidden="1" customWidth="1"/>
    <col min="19" max="19" width="5.5546875" style="654" customWidth="1"/>
    <col min="20" max="20" width="6.5546875" style="654" hidden="1" customWidth="1"/>
    <col min="21" max="21" width="5.5546875" style="654" customWidth="1"/>
    <col min="22" max="22" width="7.109375" style="654" hidden="1" customWidth="1"/>
    <col min="23" max="23" width="5.5546875" style="654" customWidth="1"/>
    <col min="24" max="24" width="6.5546875" style="654" hidden="1" customWidth="1"/>
    <col min="25" max="25" width="7.33203125" style="654" customWidth="1"/>
    <col min="26" max="26" width="8.88671875" style="658" customWidth="1"/>
    <col min="27" max="27" width="8.88671875" style="659" customWidth="1"/>
    <col min="28" max="16384" width="8.77734375" style="654"/>
  </cols>
  <sheetData>
    <row r="1" spans="1:29" x14ac:dyDescent="0.3">
      <c r="A1" s="1" t="s">
        <v>0</v>
      </c>
      <c r="B1" s="9" t="s">
        <v>121</v>
      </c>
      <c r="C1" s="10" t="s">
        <v>34</v>
      </c>
      <c r="D1" s="10" t="s">
        <v>119</v>
      </c>
      <c r="E1" s="10" t="s">
        <v>122</v>
      </c>
      <c r="F1" s="10">
        <v>4</v>
      </c>
      <c r="G1" s="10" t="s">
        <v>123</v>
      </c>
      <c r="H1" s="1071" t="s">
        <v>118</v>
      </c>
      <c r="I1" s="1192" t="s">
        <v>116</v>
      </c>
      <c r="J1" s="987" t="s">
        <v>125</v>
      </c>
      <c r="L1" s="1193" t="s">
        <v>139</v>
      </c>
      <c r="M1" s="1194" t="s">
        <v>12</v>
      </c>
      <c r="N1" s="1195">
        <f>SUM(M2:M8)</f>
        <v>598.20134898825881</v>
      </c>
      <c r="O1" s="1076" t="s">
        <v>13</v>
      </c>
      <c r="P1" s="1075">
        <f>SUM(O2:O8)</f>
        <v>593.28169140587272</v>
      </c>
      <c r="Q1" s="1076" t="s">
        <v>14</v>
      </c>
      <c r="R1" s="1075">
        <f>SUM(Q2:Q8)</f>
        <v>590.35702506596306</v>
      </c>
      <c r="S1" s="1075" t="s">
        <v>15</v>
      </c>
      <c r="T1" s="1075">
        <f>SUM(S2:S8)</f>
        <v>591.69211973121571</v>
      </c>
      <c r="U1" s="1077" t="s">
        <v>16</v>
      </c>
      <c r="V1" s="1196">
        <f>SUM(U2:U8)</f>
        <v>580.65143412736995</v>
      </c>
      <c r="W1" s="1197" t="s">
        <v>17</v>
      </c>
      <c r="X1" s="991">
        <f>SUM(W2:W8)</f>
        <v>584.17928620348528</v>
      </c>
      <c r="Z1" s="677" t="s">
        <v>18</v>
      </c>
      <c r="AA1" s="1198" t="s">
        <v>19</v>
      </c>
    </row>
    <row r="2" spans="1:29" x14ac:dyDescent="0.3">
      <c r="A2" s="26" t="s">
        <v>12</v>
      </c>
      <c r="B2" s="992">
        <v>4</v>
      </c>
      <c r="C2" s="993">
        <v>3.98</v>
      </c>
      <c r="D2" s="993">
        <v>4.01</v>
      </c>
      <c r="E2" s="993">
        <v>3.99</v>
      </c>
      <c r="F2" s="993">
        <v>3.99</v>
      </c>
      <c r="G2" s="993">
        <v>3.99</v>
      </c>
      <c r="H2" s="1079">
        <v>0</v>
      </c>
      <c r="I2" s="1199">
        <f>(B2*N12)+(C2*N13)+(D2*N14)+(E2*N15)+(F2*N16)+(G2*N17)+(H2*N18)</f>
        <v>3.9936619718309858</v>
      </c>
      <c r="J2" s="1080">
        <v>4.0030000000000001</v>
      </c>
      <c r="L2" s="1081" t="s">
        <v>121</v>
      </c>
      <c r="M2" s="1200">
        <f>100-ABS((($J2-B2)/($J2)))*100</f>
        <v>99.925056207844108</v>
      </c>
      <c r="N2" s="1085">
        <f t="shared" ref="N2:N8" si="0">M2/$N$1</f>
        <v>0.16704251231938527</v>
      </c>
      <c r="O2" s="1086">
        <f>100-ABS((($J3-B3)/($J3)))*100</f>
        <v>98.53225530386095</v>
      </c>
      <c r="P2" s="1085">
        <f t="shared" ref="P2:P8" si="1">O2/$P$1</f>
        <v>0.16608005392914374</v>
      </c>
      <c r="Q2" s="1086">
        <f>100-ABS((($J4-B4)/($J4)))*100</f>
        <v>98.110629476064844</v>
      </c>
      <c r="R2" s="1085">
        <f t="shared" ref="R2:R8" si="2">Q2/$R$1</f>
        <v>0.16618863723202504</v>
      </c>
      <c r="S2" s="1201">
        <f>100-ABS((($J5-B5)/($J5)))*100</f>
        <v>99.816737935247417</v>
      </c>
      <c r="T2" s="1085">
        <f t="shared" ref="T2:T8" si="3">S2/$T$1</f>
        <v>0.16869708858145777</v>
      </c>
      <c r="U2" s="1087">
        <f>100-ABS((($J6-B6)/($J6)))*100</f>
        <v>96.6131907308378</v>
      </c>
      <c r="V2" s="1202">
        <f t="shared" ref="V2:V8" si="4">U2/$V$1</f>
        <v>0.16638758651484709</v>
      </c>
      <c r="W2" s="1203">
        <f>100-ABS((($J7-B7)/($J7)))*100</f>
        <v>96.887603683129129</v>
      </c>
      <c r="X2" s="1090">
        <f t="shared" ref="X2:X8" si="5">W2/$X$1</f>
        <v>0.16585251475243268</v>
      </c>
      <c r="Z2" s="678">
        <f t="array" ref="Z2">SUM(O2:U2/4)</f>
        <v>98.393444806438396</v>
      </c>
      <c r="AA2" s="1204">
        <f t="array" ref="AA2">SUM(M2:W2/6)</f>
        <v>98.453311535926858</v>
      </c>
    </row>
    <row r="3" spans="1:29" x14ac:dyDescent="0.3">
      <c r="A3" s="43" t="s">
        <v>13</v>
      </c>
      <c r="B3" s="1019">
        <v>47900</v>
      </c>
      <c r="C3" s="1020">
        <v>47850</v>
      </c>
      <c r="D3" s="1020">
        <v>47750</v>
      </c>
      <c r="E3" s="1020">
        <v>47000</v>
      </c>
      <c r="F3" s="1020">
        <v>47800</v>
      </c>
      <c r="G3" s="1020">
        <v>47700</v>
      </c>
      <c r="H3" s="1091">
        <v>0</v>
      </c>
      <c r="I3" s="1205">
        <f>(B3*P12)+(C3*P13)+(D3*P14)+(E3*P15)+(F3*P16)+(G3*P17)+(H3*P18)</f>
        <v>47626.398210290827</v>
      </c>
      <c r="J3" s="1092">
        <v>47207.12</v>
      </c>
      <c r="L3" s="1093" t="s">
        <v>34</v>
      </c>
      <c r="M3" s="1206">
        <f>100-ABS((($J2-C2)/($J2)))*100</f>
        <v>99.425430926804893</v>
      </c>
      <c r="N3" s="1097">
        <f t="shared" si="0"/>
        <v>0.16620729975778836</v>
      </c>
      <c r="O3" s="1098">
        <f>100-ABS((($J3-C3)/($J3)))*100</f>
        <v>98.638171530057335</v>
      </c>
      <c r="P3" s="1097">
        <f t="shared" si="1"/>
        <v>0.16625857996109561</v>
      </c>
      <c r="Q3" s="1098">
        <f>100-ABS((($J4-C4)/($J4)))*100</f>
        <v>98.405107425555983</v>
      </c>
      <c r="R3" s="1097">
        <f t="shared" si="2"/>
        <v>0.16668745055512937</v>
      </c>
      <c r="S3" s="1098">
        <f>100-ABS((($J5-C5)/($J5)))*100</f>
        <v>99.205864386072093</v>
      </c>
      <c r="T3" s="1097">
        <f t="shared" si="3"/>
        <v>0.16766467065868262</v>
      </c>
      <c r="U3" s="1099">
        <f>100-ABS((($J6-C6)/($J6)))*100</f>
        <v>97.099335602009404</v>
      </c>
      <c r="V3" s="1207">
        <f t="shared" si="4"/>
        <v>0.16722482697030588</v>
      </c>
      <c r="W3" s="1208">
        <f>100-ABS((($J7-C7)/($J7)))*100</f>
        <v>97.268092230423861</v>
      </c>
      <c r="X3" s="1102">
        <f t="shared" si="5"/>
        <v>0.16650383628381987</v>
      </c>
      <c r="Z3" s="678">
        <f t="array" ref="Z3">SUM(O3:U3/4)</f>
        <v>98.462272411217413</v>
      </c>
      <c r="AA3" s="1204">
        <f t="array" ref="AA3">SUM(M3:W3/6)</f>
        <v>98.479340821471098</v>
      </c>
    </row>
    <row r="4" spans="1:29" x14ac:dyDescent="0.3">
      <c r="A4" s="43" t="s">
        <v>14</v>
      </c>
      <c r="B4" s="1019">
        <v>6920</v>
      </c>
      <c r="C4" s="1020">
        <v>6900</v>
      </c>
      <c r="D4" s="1020">
        <v>6925</v>
      </c>
      <c r="E4" s="1020">
        <v>6870</v>
      </c>
      <c r="F4" s="1020">
        <v>6900</v>
      </c>
      <c r="G4" s="1020">
        <v>6890</v>
      </c>
      <c r="H4" s="1091">
        <v>0</v>
      </c>
      <c r="I4" s="1205">
        <f>(B4*R12)+(C4*R13)+(D4*R14)+(E4*R15)+(F4*R16)+(G4*R17)+(H4*R18)</f>
        <v>6900.833333333333</v>
      </c>
      <c r="J4" s="1092">
        <v>6791.68</v>
      </c>
      <c r="L4" s="1093" t="s">
        <v>119</v>
      </c>
      <c r="M4" s="1206">
        <f>100-ABS((($J2-D2)/($J2)))*100</f>
        <v>99.825131151636285</v>
      </c>
      <c r="N4" s="1097">
        <f t="shared" si="0"/>
        <v>0.16687546980706591</v>
      </c>
      <c r="O4" s="1098">
        <f>100-ABS((($J3-D3)/($J3)))*100</f>
        <v>98.850003982450104</v>
      </c>
      <c r="P4" s="1097">
        <f t="shared" si="1"/>
        <v>0.16661563202499935</v>
      </c>
      <c r="Q4" s="1098">
        <f>100-ABS((($J4-D4)/($J4)))*100</f>
        <v>98.037009988692049</v>
      </c>
      <c r="R4" s="1097">
        <f t="shared" si="2"/>
        <v>0.16606393390124893</v>
      </c>
      <c r="S4" s="1098">
        <f>100-ABS((($J5-D5)/($J5)))*100</f>
        <v>94.929749541844842</v>
      </c>
      <c r="T4" s="1097">
        <f t="shared" si="3"/>
        <v>0.16043774519925666</v>
      </c>
      <c r="U4" s="1099">
        <f>100-ABS((($J6-D6)/($J6)))*100</f>
        <v>96.370118295251984</v>
      </c>
      <c r="V4" s="1207">
        <f t="shared" si="4"/>
        <v>0.16596896628711766</v>
      </c>
      <c r="W4" s="1208">
        <f>100-ABS((($J7-D7)/($J7)))*100</f>
        <v>96.697359409481777</v>
      </c>
      <c r="X4" s="1102">
        <f t="shared" si="5"/>
        <v>0.16552685398673911</v>
      </c>
      <c r="Z4" s="678">
        <f t="array" ref="Z4">SUM(O4:U4/4)</f>
        <v>97.16999977984112</v>
      </c>
      <c r="AA4" s="1204">
        <f t="array" ref="AA4">SUM(M4:W4/6)</f>
        <v>97.589222352762789</v>
      </c>
    </row>
    <row r="5" spans="1:29" x14ac:dyDescent="0.3">
      <c r="A5" s="43" t="s">
        <v>15</v>
      </c>
      <c r="B5" s="1019">
        <v>16.399999999999999</v>
      </c>
      <c r="C5" s="1020">
        <v>16.5</v>
      </c>
      <c r="D5" s="1020">
        <v>17.2</v>
      </c>
      <c r="E5" s="1020">
        <v>16.2</v>
      </c>
      <c r="F5" s="1020">
        <v>16.3</v>
      </c>
      <c r="G5" s="1020">
        <v>16.5</v>
      </c>
      <c r="H5" s="1091">
        <v>0</v>
      </c>
      <c r="I5" s="1209">
        <f>(B5*T12)+(C5*T13)+(D5*T14)+(E5*T15)+(F5*T16)+(G5*T17)+(H5*T18)</f>
        <v>16.428351648351647</v>
      </c>
      <c r="J5" s="1092">
        <v>16.37</v>
      </c>
      <c r="L5" s="1093" t="s">
        <v>122</v>
      </c>
      <c r="M5" s="1210">
        <f>100-ABS((($J2-E2)/($J2)))*100</f>
        <v>99.675243567324515</v>
      </c>
      <c r="N5" s="1097">
        <f t="shared" si="0"/>
        <v>0.16662490603858682</v>
      </c>
      <c r="O5" s="1104">
        <f>100-ABS((($J3-E3)/($J3)))*100</f>
        <v>99.56125262460408</v>
      </c>
      <c r="P5" s="1097">
        <f t="shared" si="1"/>
        <v>0.16781447003476258</v>
      </c>
      <c r="Q5" s="1104">
        <f>100-ABS((($J4-E4)/($J4)))*100</f>
        <v>98.846824349792698</v>
      </c>
      <c r="R5" s="1097">
        <f t="shared" si="2"/>
        <v>0.16743567053978586</v>
      </c>
      <c r="S5" s="1098">
        <f>100-ABS((($J5-E5)/($J5)))*100</f>
        <v>98.96151496640195</v>
      </c>
      <c r="T5" s="1097">
        <f t="shared" si="3"/>
        <v>0.16725170348957255</v>
      </c>
      <c r="U5" s="1099">
        <f>100-ABS((($J6-E6)/($J6)))*100</f>
        <v>95.478852698104035</v>
      </c>
      <c r="V5" s="1207">
        <f t="shared" si="4"/>
        <v>0.16443402545210983</v>
      </c>
      <c r="W5" s="1211">
        <f>100-ABS((($J7-E7)/($J7)))*100</f>
        <v>98.02906932501331</v>
      </c>
      <c r="X5" s="1102">
        <f t="shared" si="5"/>
        <v>0.16780647934659423</v>
      </c>
      <c r="Z5" s="678">
        <f t="array" ref="Z5">SUM(O5:U5/4)</f>
        <v>98.337736620741723</v>
      </c>
      <c r="AA5" s="1204">
        <f t="array" ref="AA5">SUM(M5:W5/6)</f>
        <v>98.564386384465905</v>
      </c>
    </row>
    <row r="6" spans="1:29" x14ac:dyDescent="0.3">
      <c r="A6" s="43" t="s">
        <v>16</v>
      </c>
      <c r="B6" s="1019">
        <v>638</v>
      </c>
      <c r="C6" s="1020">
        <v>635</v>
      </c>
      <c r="D6" s="1020">
        <v>639.5</v>
      </c>
      <c r="E6" s="1020">
        <v>645</v>
      </c>
      <c r="F6" s="1020">
        <v>632.5</v>
      </c>
      <c r="G6" s="1020">
        <v>632</v>
      </c>
      <c r="H6" s="1091">
        <v>0</v>
      </c>
      <c r="I6" s="1205">
        <f>(B6*V12)+(C6*V13)+(D6*V14)+(E6*V15)+(F6*V16)+(G6*V17)+(H6*V18)</f>
        <v>636.14029850746272</v>
      </c>
      <c r="J6" s="1092">
        <v>617.1</v>
      </c>
      <c r="L6" s="1093">
        <v>4</v>
      </c>
      <c r="M6" s="1210">
        <f>100-ABS((($J2-F2)/($J2)))*100</f>
        <v>99.675243567324515</v>
      </c>
      <c r="N6" s="1097">
        <f t="shared" si="0"/>
        <v>0.16662490603858682</v>
      </c>
      <c r="O6" s="1098">
        <f>100-ABS((($J3-F3)/($J3)))*100</f>
        <v>98.74408775625372</v>
      </c>
      <c r="P6" s="1097">
        <f t="shared" si="1"/>
        <v>0.16643710599304748</v>
      </c>
      <c r="Q6" s="1098">
        <f>100-ABS((($J4-F4)/($J4)))*100</f>
        <v>98.405107425555983</v>
      </c>
      <c r="R6" s="1097">
        <f t="shared" si="2"/>
        <v>0.16668745055512937</v>
      </c>
      <c r="S6" s="1212">
        <f>100-ABS((($J5-F5)/($J5)))*100</f>
        <v>99.572388515577273</v>
      </c>
      <c r="T6" s="1097">
        <f t="shared" si="3"/>
        <v>0.16828412141234769</v>
      </c>
      <c r="U6" s="1099">
        <f>100-ABS((($J6-F6)/($J6)))*100</f>
        <v>97.50445632798575</v>
      </c>
      <c r="V6" s="1207">
        <f t="shared" si="4"/>
        <v>0.16792252734985488</v>
      </c>
      <c r="W6" s="1208">
        <f>100-ABS((($J7-F7)/($J7)))*100</f>
        <v>97.648580777718593</v>
      </c>
      <c r="X6" s="1102">
        <f t="shared" si="5"/>
        <v>0.16715515781520707</v>
      </c>
      <c r="Z6" s="678">
        <f t="array" ref="Z6">SUM(O6:U6/4)</f>
        <v>98.681862175833302</v>
      </c>
      <c r="AA6" s="1204">
        <f t="array" ref="AA6">SUM(M6:W6/6)</f>
        <v>98.730970080294142</v>
      </c>
    </row>
    <row r="7" spans="1:29" x14ac:dyDescent="0.3">
      <c r="A7" s="67" t="s">
        <v>17</v>
      </c>
      <c r="B7" s="1025">
        <v>271</v>
      </c>
      <c r="C7" s="1026">
        <v>270</v>
      </c>
      <c r="D7" s="1026">
        <v>271.5</v>
      </c>
      <c r="E7" s="1026">
        <v>268</v>
      </c>
      <c r="F7" s="1026">
        <v>269</v>
      </c>
      <c r="G7" s="1026">
        <v>269</v>
      </c>
      <c r="H7" s="1110">
        <v>0</v>
      </c>
      <c r="I7" s="1213">
        <f>(B7*X12)+(C7*X13)+(D7*X14)+(E7*X15)+(F7*X16)+(G7*X17)+(H7*X18)</f>
        <v>269.60054347826087</v>
      </c>
      <c r="J7" s="1112">
        <v>262.82</v>
      </c>
      <c r="L7" s="1093" t="s">
        <v>123</v>
      </c>
      <c r="M7" s="1210">
        <f>100-ABS((($J2-G2)/($J2)))*100</f>
        <v>99.675243567324515</v>
      </c>
      <c r="N7" s="1097">
        <f t="shared" si="0"/>
        <v>0.16662490603858682</v>
      </c>
      <c r="O7" s="1098">
        <f>100-ABS((($J3-G3)/($J3)))*100</f>
        <v>98.955920208646504</v>
      </c>
      <c r="P7" s="1097">
        <f t="shared" si="1"/>
        <v>0.16679415805695125</v>
      </c>
      <c r="Q7" s="1098">
        <f>100-ABS((($J4-G4)/($J4)))*100</f>
        <v>98.552346400301545</v>
      </c>
      <c r="R7" s="1097">
        <f t="shared" si="2"/>
        <v>0.16693685721668153</v>
      </c>
      <c r="S7" s="1098">
        <f>100-ABS((($J5-G5)/($J5)))*100</f>
        <v>99.205864386072093</v>
      </c>
      <c r="T7" s="1097">
        <f t="shared" si="3"/>
        <v>0.16766467065868262</v>
      </c>
      <c r="U7" s="1114">
        <f>100-ABS((($J6-G6)/($J6)))*100</f>
        <v>97.585480473181008</v>
      </c>
      <c r="V7" s="1207">
        <f t="shared" si="4"/>
        <v>0.16806206742576468</v>
      </c>
      <c r="W7" s="1208">
        <f>100-ABS((($J7-G7)/($J7)))*100</f>
        <v>97.648580777718593</v>
      </c>
      <c r="X7" s="1102">
        <f t="shared" si="5"/>
        <v>0.16715515781520707</v>
      </c>
      <c r="Z7" s="853">
        <f t="array" ref="Z7">SUM(O7:U7/4)</f>
        <v>98.700251788533365</v>
      </c>
      <c r="AA7" s="855">
        <f t="array" ref="AA7">SUM(M7:W7/6)</f>
        <v>98.743253078773492</v>
      </c>
    </row>
    <row r="8" spans="1:29" x14ac:dyDescent="0.3">
      <c r="L8" s="1115" t="s">
        <v>118</v>
      </c>
      <c r="M8" s="1214">
        <f>100-ABS((($J2-H2)/($J2)))*100</f>
        <v>0</v>
      </c>
      <c r="N8" s="1119">
        <f t="shared" si="0"/>
        <v>0</v>
      </c>
      <c r="O8" s="1120">
        <f>100-ABS((($J3-H3)/($J3)))*100</f>
        <v>0</v>
      </c>
      <c r="P8" s="1119">
        <f t="shared" si="1"/>
        <v>0</v>
      </c>
      <c r="Q8" s="1120">
        <f>100-ABS((($J4-H4)/($J4)))*100</f>
        <v>0</v>
      </c>
      <c r="R8" s="1119">
        <f t="shared" si="2"/>
        <v>0</v>
      </c>
      <c r="S8" s="1120">
        <f>100-ABS((($J5-H5)/($J5)))*100</f>
        <v>0</v>
      </c>
      <c r="T8" s="1119">
        <f t="shared" si="3"/>
        <v>0</v>
      </c>
      <c r="U8" s="1121">
        <f>100-ABS((($J6-H6)/($J6)))*100</f>
        <v>0</v>
      </c>
      <c r="V8" s="1215">
        <f t="shared" si="4"/>
        <v>0</v>
      </c>
      <c r="W8" s="1216">
        <f>100-ABS((($J7-H7)/($J7)))*100</f>
        <v>0</v>
      </c>
      <c r="X8" s="1123">
        <f t="shared" si="5"/>
        <v>0</v>
      </c>
      <c r="Z8" s="678">
        <f t="array" ref="Z8">SUM(O8:U8/4)</f>
        <v>0</v>
      </c>
      <c r="AA8" s="1204">
        <f t="array" ref="AA8">SUM(M8:W8/6)</f>
        <v>0</v>
      </c>
    </row>
    <row r="9" spans="1:29" x14ac:dyDescent="0.3">
      <c r="M9" s="658"/>
      <c r="N9" s="1041"/>
      <c r="O9" s="658"/>
      <c r="P9" s="658"/>
      <c r="Q9" s="658"/>
      <c r="R9" s="658"/>
      <c r="S9" s="658"/>
      <c r="T9" s="658"/>
      <c r="U9" s="658"/>
      <c r="V9" s="658"/>
      <c r="W9" s="658"/>
      <c r="AB9" s="1217" t="s">
        <v>29</v>
      </c>
      <c r="AC9" s="1217" t="s">
        <v>30</v>
      </c>
    </row>
    <row r="10" spans="1:29" x14ac:dyDescent="0.3">
      <c r="E10" s="694"/>
      <c r="M10" s="658"/>
      <c r="N10" s="1041"/>
      <c r="O10" s="658"/>
      <c r="P10" s="658"/>
      <c r="Q10" s="658"/>
      <c r="R10" s="658"/>
      <c r="S10" s="658"/>
      <c r="T10" s="658"/>
      <c r="U10" s="658"/>
      <c r="V10" s="658"/>
      <c r="W10" s="658"/>
      <c r="AB10" s="658" t="s">
        <v>129</v>
      </c>
      <c r="AC10" s="658">
        <v>100</v>
      </c>
    </row>
    <row r="11" spans="1:29" x14ac:dyDescent="0.3">
      <c r="B11" s="709" t="s">
        <v>31</v>
      </c>
      <c r="C11" s="710"/>
      <c r="D11" s="711">
        <v>85220</v>
      </c>
      <c r="E11" s="712"/>
      <c r="F11" s="711" t="s">
        <v>32</v>
      </c>
      <c r="G11" s="713"/>
      <c r="L11" s="1124" t="str">
        <f>I1</f>
        <v>Comb</v>
      </c>
      <c r="M11" s="1218" t="s">
        <v>12</v>
      </c>
      <c r="N11" s="1219">
        <f>SUM(M12:M18)</f>
        <v>568</v>
      </c>
      <c r="O11" s="1127" t="s">
        <v>13</v>
      </c>
      <c r="P11" s="1128">
        <f>SUM(O12:O18)</f>
        <v>447</v>
      </c>
      <c r="Q11" s="1128" t="s">
        <v>14</v>
      </c>
      <c r="R11" s="1128">
        <f>SUM(Q12:Q18)</f>
        <v>420</v>
      </c>
      <c r="S11" s="1128" t="s">
        <v>15</v>
      </c>
      <c r="T11" s="1128">
        <f>SUM(S12:S18)</f>
        <v>455</v>
      </c>
      <c r="U11" s="1129" t="s">
        <v>16</v>
      </c>
      <c r="V11" s="1196">
        <f>SUM(U12:U18)</f>
        <v>335</v>
      </c>
      <c r="W11" s="1220" t="s">
        <v>17</v>
      </c>
      <c r="X11" s="658">
        <f>SUM(W12:W18)</f>
        <v>368</v>
      </c>
      <c r="AB11" s="658" t="s">
        <v>140</v>
      </c>
      <c r="AC11" s="658">
        <v>97</v>
      </c>
    </row>
    <row r="12" spans="1:29" x14ac:dyDescent="0.3">
      <c r="A12" s="1221" t="s">
        <v>12</v>
      </c>
      <c r="B12" s="1222">
        <v>3.96</v>
      </c>
      <c r="C12" s="1223" t="str">
        <f t="shared" ref="C12:C17" si="6">IF(ABS(J2-I2)&lt;ABS(B12-J2),$I$1,$B$11)</f>
        <v>Comb</v>
      </c>
      <c r="D12" s="1222">
        <v>3.95</v>
      </c>
      <c r="E12" s="1223" t="str">
        <f t="shared" ref="E12:E17" si="7">IF(ABS(J2-I2)&lt;ABS(J2-D12),$I$1,$D$11)</f>
        <v>Comb</v>
      </c>
      <c r="F12" s="1222">
        <v>3.96</v>
      </c>
      <c r="G12" s="1224" t="str">
        <f t="shared" ref="G12:G17" si="8">IF(ABS(I2-J2)&lt;ABS(J2-F12),$I$1,$F$11)</f>
        <v>Comb</v>
      </c>
      <c r="L12" s="1131" t="s">
        <v>121</v>
      </c>
      <c r="M12" s="1225">
        <f>IF(M2=0,0, LOOKUP(M2-0.000000000001,{0,93,95,96,97,98,99,99.5,99.99},{1,25,37,50,66,70,83,97,100}))</f>
        <v>97</v>
      </c>
      <c r="N12" s="1226">
        <f t="shared" ref="N12:N18" si="9">M12/$N$11</f>
        <v>0.17077464788732394</v>
      </c>
      <c r="O12" s="1134">
        <f>IF(O2=0,0, LOOKUP(O2-0.000000000001,{0,93,95,96,97,98,99,99.5,99.99},{1,25,37,50,66,70,83,97,100}))</f>
        <v>70</v>
      </c>
      <c r="P12" s="1135">
        <f t="shared" ref="P12:P18" si="10">O12/$P$11</f>
        <v>0.15659955257270694</v>
      </c>
      <c r="Q12" s="1136">
        <f>IF(Q2=0,0, LOOKUP(Q2-0.000000000001,{0,93,95,96,97,98,99,99.5,99.99},{1,25,37,50,66,70,83,97,100}))</f>
        <v>70</v>
      </c>
      <c r="R12" s="1135">
        <f t="shared" ref="R12:R18" si="11">Q12/$R$11</f>
        <v>0.16666666666666666</v>
      </c>
      <c r="S12" s="1136">
        <f>IF(S2=0,0, LOOKUP(S2-0.000000000001,{0,93,95,96,97,98,99,99.5,99.99},{1,25,37,50,66,70,83,97,100}))</f>
        <v>97</v>
      </c>
      <c r="T12" s="1135">
        <f t="shared" ref="T12:T18" si="12">S12/$T$11</f>
        <v>0.21318681318681318</v>
      </c>
      <c r="U12" s="1137">
        <f>IF(U2=0,0, LOOKUP(U2-0.000000000001,{0,93,95,96,97,98,99,99.5,99.99},{1,25,37,50,66,70,83,97,100}))</f>
        <v>50</v>
      </c>
      <c r="V12" s="1227">
        <f t="shared" ref="V12:V18" si="13">U12/$V$11</f>
        <v>0.14925373134328357</v>
      </c>
      <c r="W12" s="1228">
        <f>IF(W2=0,0, LOOKUP(W2-0.000000000001,{0,93,95,96,97,98,99,99.5,99.99},{1,25,37,50,66,70,83,97,100}))</f>
        <v>50</v>
      </c>
      <c r="X12" s="985">
        <f t="shared" ref="X12:X18" si="14">W12/$X$11</f>
        <v>0.1358695652173913</v>
      </c>
      <c r="Z12" s="1229"/>
      <c r="AB12" s="1229" t="s">
        <v>131</v>
      </c>
      <c r="AC12" s="658">
        <v>83</v>
      </c>
    </row>
    <row r="13" spans="1:29" x14ac:dyDescent="0.3">
      <c r="A13" s="43" t="s">
        <v>13</v>
      </c>
      <c r="B13" s="1230">
        <v>47027</v>
      </c>
      <c r="C13" s="1231" t="str">
        <f t="shared" si="6"/>
        <v>RD</v>
      </c>
      <c r="D13" s="1230">
        <v>47060</v>
      </c>
      <c r="E13" s="1231">
        <f t="shared" si="7"/>
        <v>85220</v>
      </c>
      <c r="F13" s="1230">
        <v>46975</v>
      </c>
      <c r="G13" s="1232" t="str">
        <f t="shared" si="8"/>
        <v>MICH</v>
      </c>
      <c r="L13" s="1140" t="s">
        <v>34</v>
      </c>
      <c r="M13" s="1233">
        <f>IF(M3=0,0, LOOKUP(M3-0.000000000001,{0,93,95,96,97,98,99,99.5,99.99},{1,25,37,50,66,70,83,97,100}))</f>
        <v>83</v>
      </c>
      <c r="N13" s="1234">
        <f t="shared" si="9"/>
        <v>0.14612676056338028</v>
      </c>
      <c r="O13" s="1143">
        <f>IF(O3=0,0, LOOKUP(O3-0.000000000001,{0,93,95,96,97,98,99,99.5,99.99},{1,25,37,50,66,70,83,97,100}))</f>
        <v>70</v>
      </c>
      <c r="P13" s="1144">
        <f t="shared" si="10"/>
        <v>0.15659955257270694</v>
      </c>
      <c r="Q13" s="1145">
        <f>IF(Q3=0,0, LOOKUP(Q3-0.000000000001,{0,93,95,96,97,98,99,99.5,99.99},{1,25,37,50,66,70,83,97,100}))</f>
        <v>70</v>
      </c>
      <c r="R13" s="1144">
        <f t="shared" si="11"/>
        <v>0.16666666666666666</v>
      </c>
      <c r="S13" s="1145">
        <f>IF(S3=0,0, LOOKUP(S3-0.000000000001,{0,93,95,96,97,98,99,99.5,99.99},{1,25,37,50,66,70,83,97,100}))</f>
        <v>83</v>
      </c>
      <c r="T13" s="1144">
        <f t="shared" si="12"/>
        <v>0.18241758241758241</v>
      </c>
      <c r="U13" s="1146">
        <f>IF(U3=0,0, LOOKUP(U3-0.000000000001,{0,93,95,96,97,98,99,99.5,99.99},{1,25,37,50,66,70,83,97,100}))</f>
        <v>66</v>
      </c>
      <c r="V13" s="1235">
        <f t="shared" si="13"/>
        <v>0.19701492537313434</v>
      </c>
      <c r="W13" s="1236">
        <f>IF(W3=0,0, LOOKUP(W3-0.000000000001,{0,93,95,96,97,98,99,99.5,99.99},{1,25,37,50,66,70,83,97,100}))</f>
        <v>66</v>
      </c>
      <c r="X13" s="985">
        <f t="shared" si="14"/>
        <v>0.17934782608695651</v>
      </c>
      <c r="Z13" s="1229"/>
      <c r="AB13" s="1229" t="s">
        <v>132</v>
      </c>
      <c r="AC13" s="658">
        <v>70</v>
      </c>
    </row>
    <row r="14" spans="1:29" x14ac:dyDescent="0.3">
      <c r="A14" s="43" t="s">
        <v>14</v>
      </c>
      <c r="B14" s="1230">
        <v>6775</v>
      </c>
      <c r="C14" s="1231" t="str">
        <f t="shared" si="6"/>
        <v>RD</v>
      </c>
      <c r="D14" s="1230">
        <v>6765</v>
      </c>
      <c r="E14" s="1231">
        <f t="shared" si="7"/>
        <v>85220</v>
      </c>
      <c r="F14" s="1230">
        <v>6762</v>
      </c>
      <c r="G14" s="1232" t="str">
        <f t="shared" si="8"/>
        <v>MICH</v>
      </c>
      <c r="L14" s="1140" t="s">
        <v>119</v>
      </c>
      <c r="M14" s="1233">
        <f>IF(M4=0,0, LOOKUP(M4-0.000000000001,{0,93,95,96,97,98,99,99.5,99.99},{1,25,37,50,66,70,83,97,100}))</f>
        <v>97</v>
      </c>
      <c r="N14" s="1234">
        <f t="shared" si="9"/>
        <v>0.17077464788732394</v>
      </c>
      <c r="O14" s="1143">
        <f>IF(O4=0,0, LOOKUP(O4-0.000000000001,{0,93,95,96,97,98,99,99.5,99.99},{1,25,37,50,66,70,83,97,100}))</f>
        <v>70</v>
      </c>
      <c r="P14" s="1144">
        <f t="shared" si="10"/>
        <v>0.15659955257270694</v>
      </c>
      <c r="Q14" s="1145">
        <f>IF(Q4=0,0, LOOKUP(Q4-0.000000000001,{0,93,95,96,97,98,99,99.5,99.99},{1,25,37,50,66,70,83,97,100}))</f>
        <v>70</v>
      </c>
      <c r="R14" s="1144">
        <f t="shared" si="11"/>
        <v>0.16666666666666666</v>
      </c>
      <c r="S14" s="1145">
        <f>IF(S4=0,0, LOOKUP(S4-0.000000000001,{0,93,95,96,97,98,99,99.5,99.99},{1,25,37,50,66,70,83,97,100}))</f>
        <v>25</v>
      </c>
      <c r="T14" s="1144">
        <f t="shared" si="12"/>
        <v>5.4945054945054944E-2</v>
      </c>
      <c r="U14" s="1146">
        <f>IF(U4=0,0, LOOKUP(U4-0.000000000001,{0,93,95,96,97,98,99,99.5,99.99},{1,25,37,50,66,70,83,97,100}))</f>
        <v>50</v>
      </c>
      <c r="V14" s="1235">
        <f t="shared" si="13"/>
        <v>0.14925373134328357</v>
      </c>
      <c r="W14" s="1236">
        <f>IF(W4=0,0, LOOKUP(W4-0.000000000001,{0,93,95,96,97,98,99,99.5,99.99},{1,25,37,50,66,70,83,97,100}))</f>
        <v>50</v>
      </c>
      <c r="X14" s="985">
        <f t="shared" si="14"/>
        <v>0.1358695652173913</v>
      </c>
      <c r="Z14" s="1229"/>
      <c r="AB14" s="1229" t="s">
        <v>133</v>
      </c>
      <c r="AC14" s="658">
        <v>66</v>
      </c>
    </row>
    <row r="15" spans="1:29" x14ac:dyDescent="0.3">
      <c r="A15" s="43" t="s">
        <v>15</v>
      </c>
      <c r="B15" s="1230">
        <v>17.600000000000001</v>
      </c>
      <c r="C15" s="1231" t="str">
        <f t="shared" si="6"/>
        <v>Comb</v>
      </c>
      <c r="D15" s="1230">
        <v>17.25</v>
      </c>
      <c r="E15" s="1231" t="str">
        <f t="shared" si="7"/>
        <v>Comb</v>
      </c>
      <c r="F15" s="1230">
        <v>17.63</v>
      </c>
      <c r="G15" s="1232" t="str">
        <f t="shared" si="8"/>
        <v>Comb</v>
      </c>
      <c r="L15" s="1140" t="s">
        <v>122</v>
      </c>
      <c r="M15" s="1233">
        <f>IF(M5=0,0, LOOKUP(M5-0.000000000001,{0,93,95,96,97,98,99,99.5,99.99},{1,25,37,50,66,70,83,97,100}))</f>
        <v>97</v>
      </c>
      <c r="N15" s="1234">
        <f t="shared" si="9"/>
        <v>0.17077464788732394</v>
      </c>
      <c r="O15" s="1143">
        <f>IF(O5=0,0, LOOKUP(O5-0.000000000001,{0,93,95,96,97,98,99,99.5,99.99},{1,25,37,50,66,70,83,97,100}))</f>
        <v>97</v>
      </c>
      <c r="P15" s="1144">
        <f t="shared" si="10"/>
        <v>0.21700223713646533</v>
      </c>
      <c r="Q15" s="1145">
        <f>IF(Q5=0,0, LOOKUP(Q5-0.000000000001,{0,93,95,96,97,98,99,99.5,99.99},{1,25,37,50,66,70,83,97,100}))</f>
        <v>70</v>
      </c>
      <c r="R15" s="1144">
        <f t="shared" si="11"/>
        <v>0.16666666666666666</v>
      </c>
      <c r="S15" s="1145">
        <f>IF(S5=0,0, LOOKUP(S5-0.000000000001,{0,93,95,96,97,98,99,99.5,99.99},{1,25,37,50,66,70,83,97,100}))</f>
        <v>70</v>
      </c>
      <c r="T15" s="1144">
        <f t="shared" si="12"/>
        <v>0.15384615384615385</v>
      </c>
      <c r="U15" s="1146">
        <f>IF(U5=0,0, LOOKUP(U5-0.000000000001,{0,93,95,96,97,98,99,99.5,99.99},{1,25,37,50,66,70,83,97,100}))</f>
        <v>37</v>
      </c>
      <c r="V15" s="1235">
        <f t="shared" si="13"/>
        <v>0.11044776119402985</v>
      </c>
      <c r="W15" s="1236">
        <f>IF(W5=0,0, LOOKUP(W5-0.000000000001,{0,93,95,96,97,98,99,99.5,99.99},{1,25,37,50,66,70,83,97,100}))</f>
        <v>70</v>
      </c>
      <c r="X15" s="985">
        <f t="shared" si="14"/>
        <v>0.19021739130434784</v>
      </c>
      <c r="Z15" s="1229"/>
      <c r="AB15" s="1229" t="s">
        <v>134</v>
      </c>
      <c r="AC15" s="658">
        <v>50</v>
      </c>
    </row>
    <row r="16" spans="1:29" x14ac:dyDescent="0.3">
      <c r="A16" s="43" t="s">
        <v>16</v>
      </c>
      <c r="B16" s="1230">
        <v>614.79999999999995</v>
      </c>
      <c r="C16" s="1231" t="str">
        <f t="shared" si="6"/>
        <v>RD</v>
      </c>
      <c r="D16" s="1230">
        <v>615.29999999999995</v>
      </c>
      <c r="E16" s="1231">
        <f t="shared" si="7"/>
        <v>85220</v>
      </c>
      <c r="F16" s="1230">
        <v>614.9</v>
      </c>
      <c r="G16" s="1232" t="str">
        <f t="shared" si="8"/>
        <v>MICH</v>
      </c>
      <c r="L16" s="1140">
        <v>4</v>
      </c>
      <c r="M16" s="1233">
        <f>IF(M6=0,0, LOOKUP(M6-0.000000000001,{0,93,95,96,97,98,99,99.5,99.99},{1,25,37,50,66,70,83,97,100}))</f>
        <v>97</v>
      </c>
      <c r="N16" s="1234">
        <f t="shared" si="9"/>
        <v>0.17077464788732394</v>
      </c>
      <c r="O16" s="1143">
        <f>IF(O6=0,0, LOOKUP(O6-0.000000000001,{0,93,95,96,97,98,99,99.5,99.99},{1,25,37,50,66,70,83,97,100}))</f>
        <v>70</v>
      </c>
      <c r="P16" s="1144">
        <f t="shared" si="10"/>
        <v>0.15659955257270694</v>
      </c>
      <c r="Q16" s="1145">
        <f>IF(Q6=0,0, LOOKUP(Q6-0.000000000001,{0,93,95,96,97,98,99,99.5,99.99},{1,25,37,50,66,70,83,97,100}))</f>
        <v>70</v>
      </c>
      <c r="R16" s="1144">
        <f t="shared" si="11"/>
        <v>0.16666666666666666</v>
      </c>
      <c r="S16" s="1145">
        <f>IF(S6=0,0, LOOKUP(S6-0.000000000001,{0,93,95,96,97,98,99,99.5,99.99},{1,25,37,50,66,70,83,97,100}))</f>
        <v>97</v>
      </c>
      <c r="T16" s="1144">
        <f t="shared" si="12"/>
        <v>0.21318681318681318</v>
      </c>
      <c r="U16" s="1146">
        <f>IF(U6=0,0, LOOKUP(U6-0.000000000001,{0,93,95,96,97,98,99,99.5,99.99},{1,25,37,50,66,70,83,97,100}))</f>
        <v>66</v>
      </c>
      <c r="V16" s="1235">
        <f t="shared" si="13"/>
        <v>0.19701492537313434</v>
      </c>
      <c r="W16" s="1236">
        <f>IF(W6=0,0, LOOKUP(W6-0.000000000001,{0,93,95,96,97,98,99,99.5,99.99},{1,25,37,50,66,70,83,97,100}))</f>
        <v>66</v>
      </c>
      <c r="X16" s="985">
        <f t="shared" si="14"/>
        <v>0.17934782608695651</v>
      </c>
      <c r="Z16" s="1229"/>
      <c r="AB16" s="1229" t="s">
        <v>135</v>
      </c>
      <c r="AC16" s="658">
        <v>37</v>
      </c>
    </row>
    <row r="17" spans="1:29" x14ac:dyDescent="0.3">
      <c r="A17" s="67" t="s">
        <v>17</v>
      </c>
      <c r="B17" s="1237">
        <v>265.10000000000002</v>
      </c>
      <c r="C17" s="1238" t="str">
        <f t="shared" si="6"/>
        <v>RD</v>
      </c>
      <c r="D17" s="1237">
        <v>265.8</v>
      </c>
      <c r="E17" s="1238">
        <f t="shared" si="7"/>
        <v>85220</v>
      </c>
      <c r="F17" s="1237">
        <v>264.5</v>
      </c>
      <c r="G17" s="1239" t="str">
        <f t="shared" si="8"/>
        <v>MICH</v>
      </c>
      <c r="L17" s="1140" t="s">
        <v>123</v>
      </c>
      <c r="M17" s="1233">
        <f>IF(M7=0,0, LOOKUP(M7-0.000000000001,{0,93,95,96,97,98,99,99.5,99.99},{1,25,37,50,66,70,83,97,100}))</f>
        <v>97</v>
      </c>
      <c r="N17" s="1234">
        <f t="shared" si="9"/>
        <v>0.17077464788732394</v>
      </c>
      <c r="O17" s="1143">
        <f>IF(O7=0,0, LOOKUP(O7-0.000000000001,{0,93,95,96,97,98,99,99.5,99.99},{1,25,37,50,66,70,83,97,100}))</f>
        <v>70</v>
      </c>
      <c r="P17" s="1144">
        <f t="shared" si="10"/>
        <v>0.15659955257270694</v>
      </c>
      <c r="Q17" s="1145">
        <f>IF(Q7=0,0, LOOKUP(Q7-0.000000000001,{0,93,95,96,97,98,99,99.5,99.99},{1,25,37,50,66,70,83,97,100}))</f>
        <v>70</v>
      </c>
      <c r="R17" s="1144">
        <f t="shared" si="11"/>
        <v>0.16666666666666666</v>
      </c>
      <c r="S17" s="1145">
        <f>IF(S7=0,0, LOOKUP(S7-0.000000000001,{0,93,95,96,97,98,99,99.5,99.99},{1,25,37,50,66,70,83,97,100}))</f>
        <v>83</v>
      </c>
      <c r="T17" s="1144">
        <f t="shared" si="12"/>
        <v>0.18241758241758241</v>
      </c>
      <c r="U17" s="1146">
        <f>IF(U7=0,0, LOOKUP(U7-0.000000000001,{0,93,95,96,97,98,99,99.5,99.99},{1,25,37,50,66,70,83,97,100}))</f>
        <v>66</v>
      </c>
      <c r="V17" s="1235">
        <f t="shared" si="13"/>
        <v>0.19701492537313434</v>
      </c>
      <c r="W17" s="1236">
        <f>IF(W7=0,0, LOOKUP(W7-0.000000000001,{0,93,95,96,97,98,99,99.5,99.99},{1,25,37,50,66,70,83,97,100}))</f>
        <v>66</v>
      </c>
      <c r="X17" s="985">
        <f t="shared" si="14"/>
        <v>0.17934782608695651</v>
      </c>
      <c r="Z17" s="1229"/>
      <c r="AB17" s="1229" t="s">
        <v>136</v>
      </c>
      <c r="AC17" s="658">
        <v>25</v>
      </c>
    </row>
    <row r="18" spans="1:29" x14ac:dyDescent="0.3">
      <c r="L18" s="1150" t="s">
        <v>118</v>
      </c>
      <c r="M18" s="1240">
        <f>IF(M8=0,0, LOOKUP(M8-0.000000000001,{0,93,95,96,97,98,99,99.5,99.99},{1,25,37,50,66,70,83,97,100}))</f>
        <v>0</v>
      </c>
      <c r="N18" s="1241">
        <f t="shared" si="9"/>
        <v>0</v>
      </c>
      <c r="O18" s="1153">
        <f>IF(O8=0,0, LOOKUP(O8-0.000000000001,{0,93,95,96,97,98,99,99.5,99.99},{1,25,37,50,66,70,83,97,100}))</f>
        <v>0</v>
      </c>
      <c r="P18" s="1154">
        <f t="shared" si="10"/>
        <v>0</v>
      </c>
      <c r="Q18" s="1155">
        <f>IF(Q8=0,0, LOOKUP(Q8-0.000000000001,{0,93,95,96,97,98,99,99.5,99.99},{1,25,37,50,66,70,83,97,100}))</f>
        <v>0</v>
      </c>
      <c r="R18" s="1154">
        <f t="shared" si="11"/>
        <v>0</v>
      </c>
      <c r="S18" s="1155">
        <f>IF(S8=0,0, LOOKUP(S8-0.000000000001,{0,93,95,96,97,98,99,99.5,99.99},{1,25,37,50,66,70,83,97,100}))</f>
        <v>0</v>
      </c>
      <c r="T18" s="1154">
        <f t="shared" si="12"/>
        <v>0</v>
      </c>
      <c r="U18" s="1156">
        <f>IF(U8=0,0, LOOKUP(U8-0.000000000001,{0,93,95,96,97,98,99,99.5,99.99},{1,25,37,50,66,70,83,97,100}))</f>
        <v>0</v>
      </c>
      <c r="V18" s="1242">
        <f t="shared" si="13"/>
        <v>0</v>
      </c>
      <c r="W18" s="1243">
        <f>IF(W8=0,0, LOOKUP(W8-0.000000000001,{0,93,95,96,97,98,99,99.5,99.99},{1,25,37,50,66,70,83,97,100}))</f>
        <v>0</v>
      </c>
      <c r="X18" s="985">
        <f t="shared" si="14"/>
        <v>0</v>
      </c>
      <c r="Z18" s="1229"/>
      <c r="AB18" s="1229" t="s">
        <v>137</v>
      </c>
      <c r="AC18" s="658">
        <v>1</v>
      </c>
    </row>
    <row r="19" spans="1:29" x14ac:dyDescent="0.3">
      <c r="L19" s="6"/>
      <c r="M19" s="1158"/>
      <c r="N19" s="1041"/>
      <c r="O19" s="1158"/>
      <c r="P19" s="1041"/>
      <c r="Q19" s="1158"/>
      <c r="R19" s="1041"/>
      <c r="S19" s="1158"/>
      <c r="T19" s="1041"/>
      <c r="U19" s="1158"/>
      <c r="V19" s="1041"/>
      <c r="W19" s="1158"/>
      <c r="X19" s="985"/>
      <c r="Z19" s="1244"/>
      <c r="AB19" s="1244">
        <v>0</v>
      </c>
      <c r="AC19" s="658">
        <v>0</v>
      </c>
    </row>
    <row r="20" spans="1:29" x14ac:dyDescent="0.3">
      <c r="A20" s="1245" t="s">
        <v>12</v>
      </c>
      <c r="B20" s="1246" t="s">
        <v>121</v>
      </c>
      <c r="C20" s="1247">
        <v>99.83</v>
      </c>
      <c r="M20" s="1248" t="s">
        <v>12</v>
      </c>
      <c r="N20" s="1249">
        <f>SUM(M21:M27)</f>
        <v>396.2943285493626</v>
      </c>
      <c r="O20" s="1075" t="s">
        <v>13</v>
      </c>
      <c r="P20" s="1075">
        <f>SUM(O21:O27)</f>
        <v>397.92692667908818</v>
      </c>
      <c r="Q20" s="1075" t="s">
        <v>14</v>
      </c>
      <c r="R20" s="1075">
        <f>SUM(Q21:Q27)</f>
        <v>397.31740403945219</v>
      </c>
      <c r="S20" s="1075" t="s">
        <v>15</v>
      </c>
      <c r="T20" s="1075">
        <f>SUM(S21:S27)</f>
        <v>379.05710660750367</v>
      </c>
      <c r="U20" s="1077" t="s">
        <v>16</v>
      </c>
      <c r="V20" s="1196">
        <f>SUM(U21:U27)</f>
        <v>395.89364794887979</v>
      </c>
      <c r="W20" s="1250" t="s">
        <v>17</v>
      </c>
      <c r="Z20" s="1251" t="str">
        <f>Z1</f>
        <v>AVR-4</v>
      </c>
      <c r="AA20" s="1198" t="str">
        <f>AA1</f>
        <v>AVR-6</v>
      </c>
    </row>
    <row r="21" spans="1:29" x14ac:dyDescent="0.3">
      <c r="A21" s="583" t="s">
        <v>13</v>
      </c>
      <c r="B21" s="1174" t="s">
        <v>122</v>
      </c>
      <c r="C21" s="1252">
        <v>99.56</v>
      </c>
      <c r="L21" s="1253" t="str">
        <f>I1</f>
        <v>Comb</v>
      </c>
      <c r="M21" s="1254">
        <f>100-ABS((($J2-I2)/($J2)))*100</f>
        <v>99.766724252585206</v>
      </c>
      <c r="N21" s="1255"/>
      <c r="O21" s="1256">
        <f>100-ABS((($J3-I3)/($J3)))*100</f>
        <v>99.111832684792418</v>
      </c>
      <c r="P21" s="1256"/>
      <c r="Q21" s="1256">
        <f>100-ABS((($J4-I4)/($J4)))*100</f>
        <v>98.392837510993857</v>
      </c>
      <c r="R21" s="1256"/>
      <c r="S21" s="1256">
        <f>100-ABS((($J5-I5)/($J5)))*100</f>
        <v>99.643545214711992</v>
      </c>
      <c r="T21" s="1256"/>
      <c r="U21" s="1257">
        <f>100-ABS((($J6-I6)/($J6)))*100</f>
        <v>96.914552178340188</v>
      </c>
      <c r="V21" s="1258"/>
      <c r="W21" s="1259">
        <f>100-ABS((($J7-I7)/($J7)))*100</f>
        <v>97.420080862087786</v>
      </c>
      <c r="Z21" s="853">
        <f t="array" ref="Z21">SUM(O21:U21/4)</f>
        <v>98.515691897209621</v>
      </c>
      <c r="AA21" s="855">
        <f t="array" ref="AA21">SUM(M21:W21/6)</f>
        <v>98.541595450585234</v>
      </c>
    </row>
    <row r="22" spans="1:29" x14ac:dyDescent="0.3">
      <c r="A22" s="585" t="s">
        <v>14</v>
      </c>
      <c r="B22" s="1182" t="s">
        <v>122</v>
      </c>
      <c r="C22" s="1260">
        <v>98.85</v>
      </c>
      <c r="L22" s="1261" t="str">
        <f>B11</f>
        <v>RD</v>
      </c>
      <c r="M22" s="1262">
        <f>100-ABS((($J2-B12)/($J2)))*100</f>
        <v>98.925805645765678</v>
      </c>
      <c r="N22" s="1098"/>
      <c r="O22" s="1263">
        <f>100-ABS((($J3-B13)/($J3)))*100</f>
        <v>99.618447386750134</v>
      </c>
      <c r="P22" s="1263"/>
      <c r="Q22" s="1263">
        <f>100-ABS((($J4-B14)/($J4)))*100</f>
        <v>99.75440539012439</v>
      </c>
      <c r="R22" s="1263"/>
      <c r="S22" s="1263">
        <f>100-ABS((($J5-B15)/($J5)))*100</f>
        <v>92.486255345143547</v>
      </c>
      <c r="T22" s="1263"/>
      <c r="U22" s="1264">
        <f>100-ABS((($J6-B16)/($J6)))*100</f>
        <v>99.627288932101749</v>
      </c>
      <c r="V22" s="1265"/>
      <c r="W22" s="1266">
        <f>100-ABS((($J7-B17)/($J7)))*100</f>
        <v>99.13248611216801</v>
      </c>
      <c r="Z22" s="853">
        <f t="array" ref="Z22">SUM(O22:U22/4)</f>
        <v>97.871599263529959</v>
      </c>
      <c r="AA22" s="855">
        <f t="array" ref="AA22">SUM(M22:W22/6)</f>
        <v>98.257448135342244</v>
      </c>
    </row>
    <row r="23" spans="1:29" x14ac:dyDescent="0.3">
      <c r="A23" s="585" t="s">
        <v>15</v>
      </c>
      <c r="B23" s="1182" t="s">
        <v>121</v>
      </c>
      <c r="C23" s="1260">
        <v>99.82</v>
      </c>
      <c r="L23" s="1261">
        <f>D11</f>
        <v>85220</v>
      </c>
      <c r="M23" s="1262">
        <f>100-ABS((($J2-D12)/($J2)))*100</f>
        <v>98.67599300524607</v>
      </c>
      <c r="N23" s="1098"/>
      <c r="O23" s="1263">
        <f>100-ABS((($J3-D13)/($J3)))*100</f>
        <v>99.68835209603975</v>
      </c>
      <c r="P23" s="1263"/>
      <c r="Q23" s="1263">
        <f>100-ABS((($J4-D14)/($J4)))*100</f>
        <v>99.607166415378813</v>
      </c>
      <c r="R23" s="1263"/>
      <c r="S23" s="1263">
        <f>100-ABS((($J5-D15)/($J5)))*100</f>
        <v>94.62431276725718</v>
      </c>
      <c r="T23" s="1263"/>
      <c r="U23" s="1264">
        <f>100-ABS((($J6-D16)/($J6)))*100</f>
        <v>99.708313077297021</v>
      </c>
      <c r="V23" s="1265"/>
      <c r="W23" s="1266">
        <f>100-ABS((($J7-D17)/($J7)))*100</f>
        <v>98.866144129061709</v>
      </c>
      <c r="Z23" s="853">
        <f t="array" ref="Z23">SUM(O23:U23/4)</f>
        <v>98.407036088993181</v>
      </c>
      <c r="AA23" s="855">
        <f t="array" ref="AA23">SUM(M23:W23/6)</f>
        <v>98.528380248380088</v>
      </c>
    </row>
    <row r="24" spans="1:29" x14ac:dyDescent="0.3">
      <c r="A24" s="591" t="s">
        <v>16</v>
      </c>
      <c r="B24" s="1183" t="s">
        <v>123</v>
      </c>
      <c r="C24" s="1267">
        <v>97.59</v>
      </c>
      <c r="L24" s="1268" t="str">
        <f>F11</f>
        <v>MICH</v>
      </c>
      <c r="M24" s="1269">
        <f>100-ABS((($J2-F12)/($J2)))*100</f>
        <v>98.925805645765678</v>
      </c>
      <c r="N24" s="1120"/>
      <c r="O24" s="1270">
        <f>100-ABS((($J3-F13)/($J3)))*100</f>
        <v>99.508294511505881</v>
      </c>
      <c r="P24" s="1270"/>
      <c r="Q24" s="1270">
        <f>100-ABS((($J4-F14)/($J4)))*100</f>
        <v>99.562994722955139</v>
      </c>
      <c r="R24" s="1270"/>
      <c r="S24" s="1270">
        <f>100-ABS((($J5-F15)/($J5)))*100</f>
        <v>92.302993280390979</v>
      </c>
      <c r="T24" s="1270"/>
      <c r="U24" s="1271">
        <f>100-ABS((($J6-F16)/($J6)))*100</f>
        <v>99.643493761140817</v>
      </c>
      <c r="V24" s="1272"/>
      <c r="W24" s="1273">
        <f>100-ABS((($J7-F17)/($J7)))*100</f>
        <v>99.360779240544858</v>
      </c>
      <c r="Z24" s="853">
        <f t="array" ref="Z24">SUM(O24:U24/4)</f>
        <v>97.754444068998197</v>
      </c>
      <c r="AA24" s="855">
        <f t="array" ref="AA24">SUM(M24:W24/6)</f>
        <v>98.217393527050547</v>
      </c>
    </row>
    <row r="25" spans="1:29" x14ac:dyDescent="0.3">
      <c r="A25" s="1274" t="s">
        <v>17</v>
      </c>
      <c r="B25" s="1275" t="s">
        <v>122</v>
      </c>
      <c r="C25" s="1276">
        <v>98.03</v>
      </c>
    </row>
    <row r="26" spans="1:29" x14ac:dyDescent="0.3">
      <c r="A26" s="1410" t="s">
        <v>141</v>
      </c>
      <c r="B26" s="1410"/>
      <c r="C26" s="1277">
        <f>AVERAGE(C21:C24)</f>
        <v>98.955000000000013</v>
      </c>
    </row>
    <row r="27" spans="1:29" x14ac:dyDescent="0.3">
      <c r="A27" s="1411" t="s">
        <v>41</v>
      </c>
      <c r="B27" s="1411"/>
      <c r="C27" s="1278">
        <f>AVERAGE(C20:C25)</f>
        <v>98.946666666666658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C27"/>
  <sheetViews>
    <sheetView zoomScale="120" zoomScaleNormal="120" workbookViewId="0">
      <selection activeCell="I11" sqref="I11"/>
    </sheetView>
  </sheetViews>
  <sheetFormatPr defaultColWidth="8.77734375" defaultRowHeight="14.25" customHeight="1" x14ac:dyDescent="0.3"/>
  <cols>
    <col min="1" max="1" width="8.77734375" style="654"/>
    <col min="2" max="7" width="9" style="654" customWidth="1"/>
    <col min="8" max="8" width="5.77734375" style="654" customWidth="1"/>
    <col min="9" max="10" width="9" style="654" customWidth="1"/>
    <col min="11" max="11" width="3.88671875" style="654" customWidth="1"/>
    <col min="12" max="12" width="9" style="654" customWidth="1"/>
    <col min="13" max="13" width="5.5546875" style="654" customWidth="1"/>
    <col min="14" max="14" width="6.5546875" style="985" hidden="1" customWidth="1"/>
    <col min="15" max="15" width="5.5546875" style="654" customWidth="1"/>
    <col min="16" max="16" width="6.5546875" style="654" hidden="1" customWidth="1"/>
    <col min="17" max="17" width="5.5546875" style="654" customWidth="1"/>
    <col min="18" max="18" width="6.5546875" style="654" hidden="1" customWidth="1"/>
    <col min="19" max="19" width="5.5546875" style="654" customWidth="1"/>
    <col min="20" max="20" width="6.5546875" style="654" hidden="1" customWidth="1"/>
    <col min="21" max="21" width="5.5546875" style="654" customWidth="1"/>
    <col min="22" max="22" width="7.109375" style="654" hidden="1" customWidth="1"/>
    <col min="23" max="23" width="5.5546875" style="654" customWidth="1"/>
    <col min="24" max="24" width="6.5546875" style="654" hidden="1" customWidth="1"/>
    <col min="25" max="25" width="7.33203125" style="654" customWidth="1"/>
    <col min="26" max="26" width="8.88671875" style="658" customWidth="1"/>
    <col min="27" max="27" width="8.88671875" style="659" customWidth="1"/>
    <col min="28" max="16384" width="8.77734375" style="654"/>
  </cols>
  <sheetData>
    <row r="1" spans="1:29" x14ac:dyDescent="0.3">
      <c r="A1" s="1" t="s">
        <v>0</v>
      </c>
      <c r="B1" s="9" t="s">
        <v>121</v>
      </c>
      <c r="C1" s="10" t="s">
        <v>34</v>
      </c>
      <c r="D1" s="10" t="s">
        <v>119</v>
      </c>
      <c r="E1" s="10" t="s">
        <v>122</v>
      </c>
      <c r="F1" s="10">
        <v>4</v>
      </c>
      <c r="G1" s="10" t="s">
        <v>123</v>
      </c>
      <c r="H1" s="1071" t="s">
        <v>118</v>
      </c>
      <c r="I1" s="1192" t="s">
        <v>116</v>
      </c>
      <c r="J1" s="987" t="s">
        <v>125</v>
      </c>
      <c r="L1" s="1193" t="s">
        <v>139</v>
      </c>
      <c r="M1" s="1279" t="s">
        <v>12</v>
      </c>
      <c r="N1" s="1196">
        <f>SUM(M2:M8)</f>
        <v>598.80329094988781</v>
      </c>
      <c r="O1" s="1076" t="s">
        <v>13</v>
      </c>
      <c r="P1" s="1075">
        <f>SUM(O2:O8)</f>
        <v>597.60770729595151</v>
      </c>
      <c r="Q1" s="1076" t="s">
        <v>14</v>
      </c>
      <c r="R1" s="1075">
        <f>SUM(Q2:Q8)</f>
        <v>598.21428571428567</v>
      </c>
      <c r="S1" s="1075" t="s">
        <v>15</v>
      </c>
      <c r="T1" s="1075">
        <f>SUM(S2:S8)</f>
        <v>586.47738209817123</v>
      </c>
      <c r="U1" s="1077" t="s">
        <v>16</v>
      </c>
      <c r="V1" s="1196">
        <f>SUM(U2:U8)</f>
        <v>596.36878446177548</v>
      </c>
      <c r="W1" s="1280" t="s">
        <v>17</v>
      </c>
      <c r="X1" s="991">
        <f>SUM(W2:W8)</f>
        <v>588.79464108763716</v>
      </c>
      <c r="Z1" s="677" t="s">
        <v>18</v>
      </c>
      <c r="AA1" s="1198" t="s">
        <v>19</v>
      </c>
    </row>
    <row r="2" spans="1:29" x14ac:dyDescent="0.3">
      <c r="A2" s="26" t="s">
        <v>12</v>
      </c>
      <c r="B2" s="992">
        <v>4.03</v>
      </c>
      <c r="C2" s="993">
        <v>4.01</v>
      </c>
      <c r="D2" s="993">
        <v>4.01</v>
      </c>
      <c r="E2" s="993">
        <v>4.0199999999999996</v>
      </c>
      <c r="F2" s="993">
        <v>4.0199999999999996</v>
      </c>
      <c r="G2" s="993">
        <v>4.0199999999999996</v>
      </c>
      <c r="H2" s="1079">
        <v>0</v>
      </c>
      <c r="I2" s="1199">
        <f>(B2*N12)+(C2*N13)+(D2*N14)+(E2*N15)+(F2*N16)+(G2*N17)+(H2*N18)</f>
        <v>4.0183333333333326</v>
      </c>
      <c r="J2" s="1080">
        <v>4.0110000000000001</v>
      </c>
      <c r="L2" s="1081" t="s">
        <v>121</v>
      </c>
      <c r="M2" s="1082">
        <f>100-ABS((($J2-B2)/($J2)))*100</f>
        <v>99.526302667663927</v>
      </c>
      <c r="N2" s="1202">
        <f t="shared" ref="N2:N8" si="0">M2/$N$1</f>
        <v>0.16620867682571405</v>
      </c>
      <c r="O2" s="1086">
        <f>100-ABS((($J3-B3)/($J3)))*100</f>
        <v>99.372158475860573</v>
      </c>
      <c r="P2" s="1085">
        <f t="shared" ref="P2:P8" si="1">O2/$P$1</f>
        <v>0.16628326118064737</v>
      </c>
      <c r="Q2" s="1281">
        <f>100-ABS((($J4-B4)/($J4)))*100</f>
        <v>99.834933973589429</v>
      </c>
      <c r="R2" s="1085">
        <f t="shared" ref="R2:R8" si="2">Q2/$R$1</f>
        <v>0.16688824783644801</v>
      </c>
      <c r="S2" s="1201">
        <f>100-ABS((($J5-B5)/($J5)))*100</f>
        <v>99.133782483156878</v>
      </c>
      <c r="T2" s="1085">
        <f t="shared" ref="T2:T8" si="3">S2/$T$1</f>
        <v>0.16903257569541316</v>
      </c>
      <c r="U2" s="1282">
        <f>100-ABS((($J6-B6)/($J6)))*100</f>
        <v>99.680426539499621</v>
      </c>
      <c r="V2" s="1202">
        <f t="shared" ref="V2:V8" si="4">U2/$V$1</f>
        <v>0.16714561381588994</v>
      </c>
      <c r="W2" s="1283">
        <f>100-ABS((($J7-B7)/($J7)))*100</f>
        <v>98.656308216734715</v>
      </c>
      <c r="X2" s="1090">
        <f t="shared" ref="X2:X8" si="5">W2/$X$1</f>
        <v>0.16755639629208266</v>
      </c>
      <c r="Z2" s="678">
        <f t="array" ref="Z2">SUM(O2:U2/4)</f>
        <v>99.630876389204758</v>
      </c>
      <c r="AA2" s="1204">
        <f t="array" ref="AA2">SUM(M2:W2/6)</f>
        <v>99.506578455309878</v>
      </c>
    </row>
    <row r="3" spans="1:29" x14ac:dyDescent="0.3">
      <c r="A3" s="43" t="s">
        <v>13</v>
      </c>
      <c r="B3" s="1019">
        <v>46480</v>
      </c>
      <c r="C3" s="1020">
        <v>46200</v>
      </c>
      <c r="D3" s="1020">
        <v>46445</v>
      </c>
      <c r="E3" s="1020">
        <v>46504</v>
      </c>
      <c r="F3" s="1020">
        <v>46044</v>
      </c>
      <c r="G3" s="1020">
        <v>46280</v>
      </c>
      <c r="H3" s="1091">
        <v>0</v>
      </c>
      <c r="I3" s="1205">
        <f>(B3*P12)+(C3*P13)+(D3*P14)+(E3*P15)+(F3*P16)+(G3*P17)+(H3*P18)</f>
        <v>46313.768518518511</v>
      </c>
      <c r="J3" s="1092">
        <v>46190</v>
      </c>
      <c r="L3" s="1093" t="s">
        <v>34</v>
      </c>
      <c r="M3" s="1284">
        <f>100-ABS((($J2-C2)/($J2)))*100</f>
        <v>99.975068561455984</v>
      </c>
      <c r="N3" s="1207">
        <f t="shared" si="0"/>
        <v>0.16695811474727285</v>
      </c>
      <c r="O3" s="1104">
        <f>100-ABS((($J3-C3)/($J3)))*100</f>
        <v>99.97835029227106</v>
      </c>
      <c r="P3" s="1097">
        <f t="shared" si="1"/>
        <v>0.16729762530113934</v>
      </c>
      <c r="Q3" s="1212">
        <f>100-ABS((($J4-C4)/($J4)))*100</f>
        <v>99.789915966386559</v>
      </c>
      <c r="R3" s="1097">
        <f t="shared" si="2"/>
        <v>0.16681299385425813</v>
      </c>
      <c r="S3" s="1098">
        <f>100-ABS((($J5-C5)/($J5)))*100</f>
        <v>98.652550529355139</v>
      </c>
      <c r="T3" s="1097">
        <f t="shared" si="3"/>
        <v>0.16821202921145484</v>
      </c>
      <c r="U3" s="1114">
        <f>100-ABS((($J6-C6)/($J6)))*100</f>
        <v>99.680426539499621</v>
      </c>
      <c r="V3" s="1207">
        <f t="shared" si="4"/>
        <v>0.16714561381588994</v>
      </c>
      <c r="W3" s="1266">
        <f>100-ABS((($J7-C7)/($J7)))*100</f>
        <v>98.299575884894367</v>
      </c>
      <c r="X3" s="1102">
        <f t="shared" si="5"/>
        <v>0.16695052744249297</v>
      </c>
      <c r="Z3" s="853">
        <f t="array" ref="Z3">SUM(O3:U3/4)</f>
        <v>99.650891493969823</v>
      </c>
      <c r="AA3" s="855">
        <f t="array" ref="AA3">SUM(M3:W3/6)</f>
        <v>99.53538569179878</v>
      </c>
    </row>
    <row r="4" spans="1:29" x14ac:dyDescent="0.3">
      <c r="A4" s="43" t="s">
        <v>14</v>
      </c>
      <c r="B4" s="1019">
        <v>6675</v>
      </c>
      <c r="C4" s="1020">
        <v>6650</v>
      </c>
      <c r="D4" s="1020">
        <v>6678</v>
      </c>
      <c r="E4" s="1020">
        <v>6671</v>
      </c>
      <c r="F4" s="1020">
        <v>6598</v>
      </c>
      <c r="G4" s="1020">
        <v>6671</v>
      </c>
      <c r="H4" s="1091">
        <v>0</v>
      </c>
      <c r="I4" s="1205">
        <f>(B4*R12)+(C4*R13)+(D4*R14)+(E4*R15)+(F4*R16)+(G4*R17)+(H4*R18)</f>
        <v>6658.625</v>
      </c>
      <c r="J4" s="1092">
        <v>6664</v>
      </c>
      <c r="L4" s="1093" t="s">
        <v>119</v>
      </c>
      <c r="M4" s="1284">
        <f>100-ABS((($J2-D2)/($J2)))*100</f>
        <v>99.975068561455984</v>
      </c>
      <c r="N4" s="1207">
        <f t="shared" si="0"/>
        <v>0.16695811474727285</v>
      </c>
      <c r="O4" s="1098">
        <f>100-ABS((($J3-D3)/($J3)))*100</f>
        <v>99.447932452911886</v>
      </c>
      <c r="P4" s="1097">
        <f t="shared" si="1"/>
        <v>0.16641005669570888</v>
      </c>
      <c r="Q4" s="1212">
        <f>100-ABS((($J4-D4)/($J4)))*100</f>
        <v>99.789915966386559</v>
      </c>
      <c r="R4" s="1097">
        <f t="shared" si="2"/>
        <v>0.16681299385425813</v>
      </c>
      <c r="S4" s="1098">
        <f>100-ABS((($J5-D5)/($J5)))*100</f>
        <v>98.652550529355139</v>
      </c>
      <c r="T4" s="1097">
        <f t="shared" si="3"/>
        <v>0.16821202921145484</v>
      </c>
      <c r="U4" s="1114">
        <f>100-ABS((($J6-D6)/($J6)))*100</f>
        <v>99.680426539499621</v>
      </c>
      <c r="V4" s="1207">
        <f t="shared" si="4"/>
        <v>0.16714561381588994</v>
      </c>
      <c r="W4" s="1266">
        <f>100-ABS((($J7-D7)/($J7)))*100</f>
        <v>98.584961750366645</v>
      </c>
      <c r="X4" s="1102">
        <f t="shared" si="5"/>
        <v>0.16743522252216472</v>
      </c>
      <c r="Z4" s="678">
        <f t="array" ref="Z4">SUM(O4:U4/4)</f>
        <v>99.518065141978667</v>
      </c>
      <c r="AA4" s="1204">
        <f t="array" ref="AA4">SUM(M4:W4/6)</f>
        <v>99.49439910138338</v>
      </c>
    </row>
    <row r="5" spans="1:29" x14ac:dyDescent="0.3">
      <c r="A5" s="43" t="s">
        <v>15</v>
      </c>
      <c r="B5" s="1019">
        <v>20.6</v>
      </c>
      <c r="C5" s="1020">
        <v>20.5</v>
      </c>
      <c r="D5" s="1020">
        <v>20.5</v>
      </c>
      <c r="E5" s="1020">
        <v>20.52</v>
      </c>
      <c r="F5" s="1020">
        <v>19.25</v>
      </c>
      <c r="G5" s="1020">
        <v>20.5</v>
      </c>
      <c r="H5" s="1091">
        <v>0</v>
      </c>
      <c r="I5" s="1209">
        <f>(B5*T12)+(C5*T13)+(D5*T14)+(E5*T15)+(F5*T16)+(G5*T17)+(H5*T18)</f>
        <v>20.523214285714293</v>
      </c>
      <c r="J5" s="1092">
        <v>20.78</v>
      </c>
      <c r="L5" s="1093" t="s">
        <v>122</v>
      </c>
      <c r="M5" s="1103">
        <f>100-ABS((($J2-E2)/($J2)))*100</f>
        <v>99.775617053103971</v>
      </c>
      <c r="N5" s="1207">
        <f t="shared" si="0"/>
        <v>0.16662503122658007</v>
      </c>
      <c r="O5" s="1098">
        <f>100-ABS((($J3-E3)/($J3)))*100</f>
        <v>99.32019917731111</v>
      </c>
      <c r="P5" s="1097">
        <f t="shared" si="1"/>
        <v>0.16619631568460522</v>
      </c>
      <c r="Q5" s="1104">
        <f>100-ABS((($J4-E4)/($J4)))*100</f>
        <v>99.894957983193279</v>
      </c>
      <c r="R5" s="1097">
        <f t="shared" si="2"/>
        <v>0.16698858647936787</v>
      </c>
      <c r="S5" s="1098">
        <f>100-ABS((($J5-E5)/($J5)))*100</f>
        <v>98.748796920115495</v>
      </c>
      <c r="T5" s="1097">
        <f t="shared" si="3"/>
        <v>0.16837613850824651</v>
      </c>
      <c r="U5" s="1285">
        <f>100-ABS((($J6-E6)/($J6)))*100</f>
        <v>99.587700561323345</v>
      </c>
      <c r="V5" s="1207">
        <f t="shared" si="4"/>
        <v>0.16699012952396816</v>
      </c>
      <c r="W5" s="1266">
        <f>100-ABS((($J7-E7)/($J7)))*100</f>
        <v>98.236156803678313</v>
      </c>
      <c r="X5" s="1102">
        <f t="shared" si="5"/>
        <v>0.16684281742478815</v>
      </c>
      <c r="Z5" s="678">
        <f t="array" ref="Z5">SUM(O5:U5/4)</f>
        <v>99.513303920653854</v>
      </c>
      <c r="AA5" s="1204">
        <f t="array" ref="AA5">SUM(M5:W5/6)</f>
        <v>99.399767450024726</v>
      </c>
    </row>
    <row r="6" spans="1:29" x14ac:dyDescent="0.3">
      <c r="A6" s="43" t="s">
        <v>16</v>
      </c>
      <c r="B6" s="1019">
        <v>602</v>
      </c>
      <c r="C6" s="1020">
        <v>602</v>
      </c>
      <c r="D6" s="1020">
        <v>602</v>
      </c>
      <c r="E6" s="1020">
        <v>601.44000000000005</v>
      </c>
      <c r="F6" s="1020">
        <v>593.21</v>
      </c>
      <c r="G6" s="1020">
        <v>601</v>
      </c>
      <c r="H6" s="1091">
        <v>0</v>
      </c>
      <c r="I6" s="1205">
        <f>(B6*V12)+(C6*V13)+(D6*V14)+(E6*V15)+(F6*V16)+(G6*V17)+(H6*V18)</f>
        <v>600.61870270270265</v>
      </c>
      <c r="J6" s="1092">
        <v>603.92999999999995</v>
      </c>
      <c r="L6" s="1093">
        <v>4</v>
      </c>
      <c r="M6" s="1103">
        <f>100-ABS((($J2-F2)/($J2)))*100</f>
        <v>99.775617053103971</v>
      </c>
      <c r="N6" s="1207">
        <f t="shared" si="0"/>
        <v>0.16662503122658007</v>
      </c>
      <c r="O6" s="1212">
        <f>100-ABS((($J3-F3)/($J3)))*100</f>
        <v>99.683914267157391</v>
      </c>
      <c r="P6" s="1097">
        <f t="shared" si="1"/>
        <v>0.1668049341569004</v>
      </c>
      <c r="Q6" s="1098">
        <f>100-ABS((($J4-F4)/($J4)))*100</f>
        <v>99.009603841536617</v>
      </c>
      <c r="R6" s="1097">
        <f t="shared" si="2"/>
        <v>0.16550859149630004</v>
      </c>
      <c r="S6" s="1098">
        <f>100-ABS((($J5-F5)/($J5)))*100</f>
        <v>92.637151106833485</v>
      </c>
      <c r="T6" s="1097">
        <f t="shared" si="3"/>
        <v>0.1579551981619759</v>
      </c>
      <c r="U6" s="1099">
        <f>100-ABS((($J6-F6)/($J6)))*100</f>
        <v>98.224959846339829</v>
      </c>
      <c r="V6" s="1207">
        <f t="shared" si="4"/>
        <v>0.16470506573376092</v>
      </c>
      <c r="W6" s="1266">
        <f>100-ABS((($J7-F7)/($J7)))*100</f>
        <v>96.718062547068854</v>
      </c>
      <c r="X6" s="1102">
        <f t="shared" si="5"/>
        <v>0.16426450887597868</v>
      </c>
      <c r="Z6" s="678">
        <f t="array" ref="Z6">SUM(O6:U6/4)</f>
        <v>97.511474446420607</v>
      </c>
      <c r="AA6" s="1204">
        <f t="array" ref="AA6">SUM(M6:W6/6)</f>
        <v>97.811817913802614</v>
      </c>
    </row>
    <row r="7" spans="1:29" x14ac:dyDescent="0.3">
      <c r="A7" s="67" t="s">
        <v>17</v>
      </c>
      <c r="B7" s="1025">
        <v>248.9</v>
      </c>
      <c r="C7" s="1026">
        <v>248</v>
      </c>
      <c r="D7" s="1026">
        <v>248.72</v>
      </c>
      <c r="E7" s="1026">
        <v>247.84</v>
      </c>
      <c r="F7" s="1026">
        <v>244.01</v>
      </c>
      <c r="G7" s="1026">
        <v>248</v>
      </c>
      <c r="H7" s="1110">
        <v>0</v>
      </c>
      <c r="I7" s="1213">
        <f>(B7*X12)+(C7*X13)+(D7*X14)+(E7*X15)+(F7*X16)+(G7*X17)+(H7*X18)</f>
        <v>247.75675000000001</v>
      </c>
      <c r="J7" s="1112">
        <v>252.29</v>
      </c>
      <c r="L7" s="1093" t="s">
        <v>123</v>
      </c>
      <c r="M7" s="1103">
        <f>100-ABS((($J2-G2)/($J2)))*100</f>
        <v>99.775617053103971</v>
      </c>
      <c r="N7" s="1207">
        <f t="shared" si="0"/>
        <v>0.16662503122658007</v>
      </c>
      <c r="O7" s="1212">
        <f>100-ABS((($J3-G3)/($J3)))*100</f>
        <v>99.805152630439494</v>
      </c>
      <c r="P7" s="1097">
        <f t="shared" si="1"/>
        <v>0.16700780698099879</v>
      </c>
      <c r="Q7" s="1104">
        <f>100-ABS((($J4-G4)/($J4)))*100</f>
        <v>99.894957983193279</v>
      </c>
      <c r="R7" s="1097">
        <f t="shared" si="2"/>
        <v>0.16698858647936787</v>
      </c>
      <c r="S7" s="1098">
        <f>100-ABS((($J5-G5)/($J5)))*100</f>
        <v>98.652550529355139</v>
      </c>
      <c r="T7" s="1097">
        <f t="shared" si="3"/>
        <v>0.16821202921145484</v>
      </c>
      <c r="U7" s="1285">
        <f>100-ABS((($J6-G6)/($J6)))*100</f>
        <v>99.514844435613412</v>
      </c>
      <c r="V7" s="1207">
        <f t="shared" si="4"/>
        <v>0.16686796329460107</v>
      </c>
      <c r="W7" s="1266">
        <f>100-ABS((($J7-G7)/($J7)))*100</f>
        <v>98.299575884894367</v>
      </c>
      <c r="X7" s="1102">
        <f t="shared" si="5"/>
        <v>0.16695052744249297</v>
      </c>
      <c r="Z7" s="678">
        <f t="array" ref="Z7">SUM(O7:U7/4)</f>
        <v>99.592428500318306</v>
      </c>
      <c r="AA7" s="1204">
        <f t="array" ref="AA7">SUM(M7:W7/6)</f>
        <v>99.463066655632105</v>
      </c>
    </row>
    <row r="8" spans="1:29" x14ac:dyDescent="0.3">
      <c r="L8" s="1115" t="s">
        <v>118</v>
      </c>
      <c r="M8" s="1116">
        <f>100-ABS((($J2-H2)/($J2)))*100</f>
        <v>0</v>
      </c>
      <c r="N8" s="1215">
        <f t="shared" si="0"/>
        <v>0</v>
      </c>
      <c r="O8" s="1120">
        <f>100-ABS((($J3-H3)/($J3)))*100</f>
        <v>0</v>
      </c>
      <c r="P8" s="1119">
        <f t="shared" si="1"/>
        <v>0</v>
      </c>
      <c r="Q8" s="1120">
        <f>100-ABS((($J4-H4)/($J4)))*100</f>
        <v>0</v>
      </c>
      <c r="R8" s="1119">
        <f t="shared" si="2"/>
        <v>0</v>
      </c>
      <c r="S8" s="1120">
        <f>100-ABS((($J5-H5)/($J5)))*100</f>
        <v>0</v>
      </c>
      <c r="T8" s="1119">
        <f t="shared" si="3"/>
        <v>0</v>
      </c>
      <c r="U8" s="1121">
        <f>100-ABS((($J6-H6)/($J6)))*100</f>
        <v>0</v>
      </c>
      <c r="V8" s="1215">
        <f t="shared" si="4"/>
        <v>0</v>
      </c>
      <c r="W8" s="1273">
        <f>100-ABS((($J7-H7)/($J7)))*100</f>
        <v>0</v>
      </c>
      <c r="X8" s="1123">
        <f t="shared" si="5"/>
        <v>0</v>
      </c>
      <c r="Z8" s="678">
        <f t="array" ref="Z8">SUM(O8:U8/4)</f>
        <v>0</v>
      </c>
      <c r="AA8" s="1204">
        <f t="array" ref="AA8">SUM(M8:W8/6)</f>
        <v>0</v>
      </c>
    </row>
    <row r="9" spans="1:29" x14ac:dyDescent="0.3">
      <c r="M9" s="658"/>
      <c r="N9" s="1041"/>
      <c r="O9" s="658"/>
      <c r="P9" s="658"/>
      <c r="Q9" s="658"/>
      <c r="R9" s="658"/>
      <c r="S9" s="658"/>
      <c r="T9" s="658"/>
      <c r="U9" s="658"/>
      <c r="V9" s="658"/>
      <c r="W9" s="658"/>
      <c r="AB9" s="1217" t="s">
        <v>29</v>
      </c>
      <c r="AC9" s="1217" t="s">
        <v>30</v>
      </c>
    </row>
    <row r="10" spans="1:29" x14ac:dyDescent="0.3">
      <c r="E10" s="694"/>
      <c r="M10" s="658"/>
      <c r="N10" s="1041"/>
      <c r="O10" s="658"/>
      <c r="P10" s="658"/>
      <c r="Q10" s="658"/>
      <c r="R10" s="658"/>
      <c r="S10" s="658"/>
      <c r="T10" s="658"/>
      <c r="U10" s="658"/>
      <c r="V10" s="658"/>
      <c r="W10" s="658"/>
      <c r="Z10" s="654"/>
      <c r="AA10" s="1286"/>
      <c r="AB10" s="658" t="s">
        <v>129</v>
      </c>
      <c r="AC10" s="658">
        <v>100</v>
      </c>
    </row>
    <row r="11" spans="1:29" x14ac:dyDescent="0.3">
      <c r="B11" s="709" t="s">
        <v>31</v>
      </c>
      <c r="C11" s="710"/>
      <c r="D11" s="711">
        <v>85220</v>
      </c>
      <c r="E11" s="712"/>
      <c r="F11" s="711" t="s">
        <v>32</v>
      </c>
      <c r="G11" s="713"/>
      <c r="L11" s="1124" t="str">
        <f>I1</f>
        <v>Comb</v>
      </c>
      <c r="M11" s="1287" t="s">
        <v>12</v>
      </c>
      <c r="N11" s="1288">
        <f>SUM(M12:M18)</f>
        <v>582</v>
      </c>
      <c r="O11" s="1289" t="s">
        <v>13</v>
      </c>
      <c r="P11" s="1289">
        <f>SUM(O12:O18)</f>
        <v>540</v>
      </c>
      <c r="Q11" s="1289" t="s">
        <v>14</v>
      </c>
      <c r="R11" s="1289">
        <f>SUM(Q12:Q18)</f>
        <v>568</v>
      </c>
      <c r="S11" s="1289" t="s">
        <v>15</v>
      </c>
      <c r="T11" s="1289">
        <f>SUM(S12:S18)</f>
        <v>364</v>
      </c>
      <c r="U11" s="1290" t="s">
        <v>16</v>
      </c>
      <c r="V11" s="1196">
        <f>SUM(U12:U18)</f>
        <v>555</v>
      </c>
      <c r="W11" s="1220" t="s">
        <v>17</v>
      </c>
      <c r="X11" s="658">
        <f>SUM(W12:W18)</f>
        <v>400</v>
      </c>
      <c r="Z11" s="654"/>
      <c r="AA11" s="1286"/>
      <c r="AB11" s="658" t="s">
        <v>140</v>
      </c>
      <c r="AC11" s="658">
        <v>97</v>
      </c>
    </row>
    <row r="12" spans="1:29" x14ac:dyDescent="0.3">
      <c r="A12" s="1221" t="s">
        <v>12</v>
      </c>
      <c r="B12" s="1222">
        <v>4.0199999999999996</v>
      </c>
      <c r="C12" s="1223" t="str">
        <f t="shared" ref="C12:C17" si="6">IF(ABS(J2-I2)&lt;ABS(B12-J2),$I$1,$B$11)</f>
        <v>Comb</v>
      </c>
      <c r="D12" s="1222">
        <v>4.01</v>
      </c>
      <c r="E12" s="1223">
        <f t="shared" ref="E12:E17" si="7">IF(ABS(J2-I2)&lt;ABS(J2-D12),$I$1,$D$11)</f>
        <v>85220</v>
      </c>
      <c r="F12" s="1222">
        <v>4.0199999999999996</v>
      </c>
      <c r="G12" s="1224" t="str">
        <f t="shared" ref="G12:G17" si="8">IF(ABS(I2-J2)&lt;ABS(J2-F12),$I$1,$F$11)</f>
        <v>Comb</v>
      </c>
      <c r="L12" s="1131" t="s">
        <v>121</v>
      </c>
      <c r="M12" s="1291">
        <f>IF(M2=0,0, LOOKUP(M2-0.000000000001,{0,93,95,96,97,98,99,99.5,99.99},{1,25,37,50,66,70,83,97,100}))</f>
        <v>97</v>
      </c>
      <c r="N12" s="1227">
        <f t="shared" ref="N12:N18" si="9">M12/$N$11</f>
        <v>0.16666666666666666</v>
      </c>
      <c r="O12" s="1292">
        <f>IF(O2=0,0, LOOKUP(O2-0.000000000001,{0,93,95,96,97,98,99,99.5,99.99},{1,25,37,50,66,70,83,97,100}))</f>
        <v>83</v>
      </c>
      <c r="P12" s="1292">
        <f t="shared" ref="P12:P18" si="10">O12/$P$11</f>
        <v>0.1537037037037037</v>
      </c>
      <c r="Q12" s="1292">
        <f>IF(Q2=0,0, LOOKUP(Q2-0.000000000001,{0,93,95,96,97,98,99,99.5,99.99},{1,25,37,50,66,70,83,97,100}))</f>
        <v>97</v>
      </c>
      <c r="R12" s="1292">
        <f t="shared" ref="R12:R18" si="11">Q12/$R$11</f>
        <v>0.17077464788732394</v>
      </c>
      <c r="S12" s="1292">
        <f>IF(S2=0,0, LOOKUP(S2-0.000000000001,{0,93,95,96,97,98,99,99.5,99.99},{1,25,37,50,66,70,83,97,100}))</f>
        <v>83</v>
      </c>
      <c r="T12" s="1292">
        <f t="shared" ref="T12:T18" si="12">S12/$T$11</f>
        <v>0.22802197802197802</v>
      </c>
      <c r="U12" s="1293">
        <f>IF(U2=0,0, LOOKUP(U2-0.000000000001,{0,93,95,96,97,98,99,99.5,99.99},{1,25,37,50,66,70,83,97,100}))</f>
        <v>97</v>
      </c>
      <c r="V12" s="1227">
        <f t="shared" ref="V12:V18" si="13">U12/$V$11</f>
        <v>0.17477477477477477</v>
      </c>
      <c r="W12" s="1228">
        <f>IF(W2=0,0, LOOKUP(W2-0.000000000001,{0,93,95,96,97,98,99,99.5,99.99},{1,25,37,50,66,70,83,97,100}))</f>
        <v>70</v>
      </c>
      <c r="X12" s="985">
        <f t="shared" ref="X12:X18" si="14">W12/$X$11</f>
        <v>0.17499999999999999</v>
      </c>
      <c r="Z12" s="654"/>
      <c r="AA12" s="1286"/>
      <c r="AB12" s="1229" t="s">
        <v>131</v>
      </c>
      <c r="AC12" s="658">
        <v>83</v>
      </c>
    </row>
    <row r="13" spans="1:29" x14ac:dyDescent="0.3">
      <c r="A13" s="43" t="s">
        <v>13</v>
      </c>
      <c r="B13" s="1230">
        <v>46400</v>
      </c>
      <c r="C13" s="1231" t="str">
        <f t="shared" si="6"/>
        <v>Comb</v>
      </c>
      <c r="D13" s="1230">
        <v>46425</v>
      </c>
      <c r="E13" s="1231" t="str">
        <f t="shared" si="7"/>
        <v>Comb</v>
      </c>
      <c r="F13" s="1230">
        <v>46383</v>
      </c>
      <c r="G13" s="1232" t="str">
        <f t="shared" si="8"/>
        <v>Comb</v>
      </c>
      <c r="L13" s="1140" t="s">
        <v>34</v>
      </c>
      <c r="M13" s="1294">
        <f>IF(M3=0,0, LOOKUP(M3-0.000000000001,{0,93,95,96,97,98,99,99.5,99.99},{1,25,37,50,66,70,83,97,100}))</f>
        <v>97</v>
      </c>
      <c r="N13" s="1235">
        <f t="shared" si="9"/>
        <v>0.16666666666666666</v>
      </c>
      <c r="O13" s="1295">
        <f>IF(O3=0,0, LOOKUP(O3-0.000000000001,{0,93,95,96,97,98,99,99.5,99.99},{1,25,37,50,66,70,83,97,100}))</f>
        <v>97</v>
      </c>
      <c r="P13" s="1295">
        <f t="shared" si="10"/>
        <v>0.17962962962962964</v>
      </c>
      <c r="Q13" s="1295">
        <f>IF(Q3=0,0, LOOKUP(Q3-0.000000000001,{0,93,95,96,97,98,99,99.5,99.99},{1,25,37,50,66,70,83,97,100}))</f>
        <v>97</v>
      </c>
      <c r="R13" s="1295">
        <f t="shared" si="11"/>
        <v>0.17077464788732394</v>
      </c>
      <c r="S13" s="1295">
        <f>IF(S3=0,0, LOOKUP(S3-0.000000000001,{0,93,95,96,97,98,99,99.5,99.99},{1,25,37,50,66,70,83,97,100}))</f>
        <v>70</v>
      </c>
      <c r="T13" s="1295">
        <f t="shared" si="12"/>
        <v>0.19230769230769232</v>
      </c>
      <c r="U13" s="1296">
        <f>IF(U3=0,0, LOOKUP(U3-0.000000000001,{0,93,95,96,97,98,99,99.5,99.99},{1,25,37,50,66,70,83,97,100}))</f>
        <v>97</v>
      </c>
      <c r="V13" s="1235">
        <f t="shared" si="13"/>
        <v>0.17477477477477477</v>
      </c>
      <c r="W13" s="1236">
        <f>IF(W3=0,0, LOOKUP(W3-0.000000000001,{0,93,95,96,97,98,99,99.5,99.99},{1,25,37,50,66,70,83,97,100}))</f>
        <v>70</v>
      </c>
      <c r="X13" s="985">
        <f t="shared" si="14"/>
        <v>0.17499999999999999</v>
      </c>
      <c r="Z13" s="654"/>
      <c r="AA13" s="1286"/>
      <c r="AB13" s="1229" t="s">
        <v>132</v>
      </c>
      <c r="AC13" s="658">
        <v>70</v>
      </c>
    </row>
    <row r="14" spans="1:29" x14ac:dyDescent="0.3">
      <c r="A14" s="43" t="s">
        <v>14</v>
      </c>
      <c r="B14" s="1230">
        <v>6671</v>
      </c>
      <c r="C14" s="1231" t="str">
        <f t="shared" si="6"/>
        <v>Comb</v>
      </c>
      <c r="D14" s="1230">
        <v>6676</v>
      </c>
      <c r="E14" s="1231" t="str">
        <f t="shared" si="7"/>
        <v>Comb</v>
      </c>
      <c r="F14" s="1230">
        <v>6669</v>
      </c>
      <c r="G14" s="1232" t="str">
        <f t="shared" si="8"/>
        <v>MICH</v>
      </c>
      <c r="L14" s="1140" t="s">
        <v>119</v>
      </c>
      <c r="M14" s="1294">
        <f>IF(M4=0,0, LOOKUP(M4-0.000000000001,{0,93,95,96,97,98,99,99.5,99.99},{1,25,37,50,66,70,83,97,100}))</f>
        <v>97</v>
      </c>
      <c r="N14" s="1235">
        <f t="shared" si="9"/>
        <v>0.16666666666666666</v>
      </c>
      <c r="O14" s="1295">
        <f>IF(O4=0,0, LOOKUP(O4-0.000000000001,{0,93,95,96,97,98,99,99.5,99.99},{1,25,37,50,66,70,83,97,100}))</f>
        <v>83</v>
      </c>
      <c r="P14" s="1295">
        <f t="shared" si="10"/>
        <v>0.1537037037037037</v>
      </c>
      <c r="Q14" s="1295">
        <f>IF(Q4=0,0, LOOKUP(Q4-0.000000000001,{0,93,95,96,97,98,99,99.5,99.99},{1,25,37,50,66,70,83,97,100}))</f>
        <v>97</v>
      </c>
      <c r="R14" s="1295">
        <f t="shared" si="11"/>
        <v>0.17077464788732394</v>
      </c>
      <c r="S14" s="1295">
        <f>IF(S4=0,0, LOOKUP(S4-0.000000000001,{0,93,95,96,97,98,99,99.5,99.99},{1,25,37,50,66,70,83,97,100}))</f>
        <v>70</v>
      </c>
      <c r="T14" s="1295">
        <f t="shared" si="12"/>
        <v>0.19230769230769232</v>
      </c>
      <c r="U14" s="1296">
        <f>IF(U4=0,0, LOOKUP(U4-0.000000000001,{0,93,95,96,97,98,99,99.5,99.99},{1,25,37,50,66,70,83,97,100}))</f>
        <v>97</v>
      </c>
      <c r="V14" s="1235">
        <f t="shared" si="13"/>
        <v>0.17477477477477477</v>
      </c>
      <c r="W14" s="1236">
        <f>IF(W4=0,0, LOOKUP(W4-0.000000000001,{0,93,95,96,97,98,99,99.5,99.99},{1,25,37,50,66,70,83,97,100}))</f>
        <v>70</v>
      </c>
      <c r="X14" s="985">
        <f t="shared" si="14"/>
        <v>0.17499999999999999</v>
      </c>
      <c r="Z14" s="654"/>
      <c r="AA14" s="1286"/>
      <c r="AB14" s="1229" t="s">
        <v>133</v>
      </c>
      <c r="AC14" s="658">
        <v>66</v>
      </c>
    </row>
    <row r="15" spans="1:29" x14ac:dyDescent="0.3">
      <c r="A15" s="43" t="s">
        <v>15</v>
      </c>
      <c r="B15" s="1230">
        <v>20.52</v>
      </c>
      <c r="C15" s="1231" t="str">
        <f t="shared" si="6"/>
        <v>Comb</v>
      </c>
      <c r="D15" s="1230">
        <v>20.66</v>
      </c>
      <c r="E15" s="1231">
        <f t="shared" si="7"/>
        <v>85220</v>
      </c>
      <c r="F15" s="1230">
        <v>20.48</v>
      </c>
      <c r="G15" s="1232" t="str">
        <f t="shared" si="8"/>
        <v>Comb</v>
      </c>
      <c r="L15" s="1140" t="s">
        <v>122</v>
      </c>
      <c r="M15" s="1294">
        <f>IF(M5=0,0, LOOKUP(M5-0.000000000001,{0,93,95,96,97,98,99,99.5,99.99},{1,25,37,50,66,70,83,97,100}))</f>
        <v>97</v>
      </c>
      <c r="N15" s="1235">
        <f t="shared" si="9"/>
        <v>0.16666666666666666</v>
      </c>
      <c r="O15" s="1295">
        <f>IF(O5=0,0, LOOKUP(O5-0.000000000001,{0,93,95,96,97,98,99,99.5,99.99},{1,25,37,50,66,70,83,97,100}))</f>
        <v>83</v>
      </c>
      <c r="P15" s="1295">
        <f t="shared" si="10"/>
        <v>0.1537037037037037</v>
      </c>
      <c r="Q15" s="1295">
        <f>IF(Q5=0,0, LOOKUP(Q5-0.000000000001,{0,93,95,96,97,98,99,99.5,99.99},{1,25,37,50,66,70,83,97,100}))</f>
        <v>97</v>
      </c>
      <c r="R15" s="1295">
        <f t="shared" si="11"/>
        <v>0.17077464788732394</v>
      </c>
      <c r="S15" s="1295">
        <f>IF(S5=0,0, LOOKUP(S5-0.000000000001,{0,93,95,96,97,98,99,99.5,99.99},{1,25,37,50,66,70,83,97,100}))</f>
        <v>70</v>
      </c>
      <c r="T15" s="1295">
        <f t="shared" si="12"/>
        <v>0.19230769230769232</v>
      </c>
      <c r="U15" s="1296">
        <f>IF(U5=0,0, LOOKUP(U5-0.000000000001,{0,93,95,96,97,98,99,99.5,99.99},{1,25,37,50,66,70,83,97,100}))</f>
        <v>97</v>
      </c>
      <c r="V15" s="1235">
        <f t="shared" si="13"/>
        <v>0.17477477477477477</v>
      </c>
      <c r="W15" s="1236">
        <f>IF(W5=0,0, LOOKUP(W5-0.000000000001,{0,93,95,96,97,98,99,99.5,99.99},{1,25,37,50,66,70,83,97,100}))</f>
        <v>70</v>
      </c>
      <c r="X15" s="985">
        <f t="shared" si="14"/>
        <v>0.17499999999999999</v>
      </c>
      <c r="Z15" s="654"/>
      <c r="AA15" s="1286"/>
      <c r="AB15" s="1229" t="s">
        <v>134</v>
      </c>
      <c r="AC15" s="658">
        <v>50</v>
      </c>
    </row>
    <row r="16" spans="1:29" x14ac:dyDescent="0.3">
      <c r="A16" s="43" t="s">
        <v>16</v>
      </c>
      <c r="B16" s="1230">
        <v>601.5</v>
      </c>
      <c r="C16" s="1231" t="str">
        <f t="shared" si="6"/>
        <v>RD</v>
      </c>
      <c r="D16" s="1230">
        <v>603.70000000000005</v>
      </c>
      <c r="E16" s="1231">
        <f t="shared" si="7"/>
        <v>85220</v>
      </c>
      <c r="F16" s="1230">
        <v>601.9</v>
      </c>
      <c r="G16" s="1232" t="str">
        <f t="shared" si="8"/>
        <v>MICH</v>
      </c>
      <c r="L16" s="1140">
        <v>4</v>
      </c>
      <c r="M16" s="1294">
        <f>IF(M6=0,0, LOOKUP(M6-0.000000000001,{0,93,95,96,97,98,99,99.5,99.99},{1,25,37,50,66,70,83,97,100}))</f>
        <v>97</v>
      </c>
      <c r="N16" s="1235">
        <f t="shared" si="9"/>
        <v>0.16666666666666666</v>
      </c>
      <c r="O16" s="1295">
        <f>IF(O6=0,0, LOOKUP(O6-0.000000000001,{0,93,95,96,97,98,99,99.5,99.99},{1,25,37,50,66,70,83,97,100}))</f>
        <v>97</v>
      </c>
      <c r="P16" s="1295">
        <f t="shared" si="10"/>
        <v>0.17962962962962964</v>
      </c>
      <c r="Q16" s="1295">
        <f>IF(Q6=0,0, LOOKUP(Q6-0.000000000001,{0,93,95,96,97,98,99,99.5,99.99},{1,25,37,50,66,70,83,97,100}))</f>
        <v>83</v>
      </c>
      <c r="R16" s="1295">
        <f t="shared" si="11"/>
        <v>0.14612676056338028</v>
      </c>
      <c r="S16" s="1295">
        <f>IF(S6=0,0, LOOKUP(S6-0.000000000001,{0,93,95,96,97,98,99,99.5,99.99},{1,25,37,50,66,70,83,97,100}))</f>
        <v>1</v>
      </c>
      <c r="T16" s="1295">
        <f t="shared" si="12"/>
        <v>2.7472527472527475E-3</v>
      </c>
      <c r="U16" s="1296">
        <f>IF(U6=0,0, LOOKUP(U6-0.000000000001,{0,93,95,96,97,98,99,99.5,99.99},{1,25,37,50,66,70,83,97,100}))</f>
        <v>70</v>
      </c>
      <c r="V16" s="1235">
        <f t="shared" si="13"/>
        <v>0.12612612612612611</v>
      </c>
      <c r="W16" s="1236">
        <f>IF(W6=0,0, LOOKUP(W6-0.000000000001,{0,93,95,96,97,98,99,99.5,99.99},{1,25,37,50,66,70,83,97,100}))</f>
        <v>50</v>
      </c>
      <c r="X16" s="985">
        <f t="shared" si="14"/>
        <v>0.125</v>
      </c>
      <c r="Z16" s="654"/>
      <c r="AA16" s="1286"/>
      <c r="AB16" s="1229" t="s">
        <v>135</v>
      </c>
      <c r="AC16" s="658">
        <v>37</v>
      </c>
    </row>
    <row r="17" spans="1:29" x14ac:dyDescent="0.3">
      <c r="A17" s="67" t="s">
        <v>17</v>
      </c>
      <c r="B17" s="1237">
        <v>249.4</v>
      </c>
      <c r="C17" s="1238" t="str">
        <f t="shared" si="6"/>
        <v>RD</v>
      </c>
      <c r="D17" s="1237">
        <v>248.2</v>
      </c>
      <c r="E17" s="1238">
        <f t="shared" si="7"/>
        <v>85220</v>
      </c>
      <c r="F17" s="1237">
        <v>248.1</v>
      </c>
      <c r="G17" s="1239" t="str">
        <f t="shared" si="8"/>
        <v>MICH</v>
      </c>
      <c r="L17" s="1140" t="s">
        <v>123</v>
      </c>
      <c r="M17" s="1294">
        <f>IF(M7=0,0, LOOKUP(M7-0.000000000001,{0,93,95,96,97,98,99,99.5,99.99},{1,25,37,50,66,70,83,97,100}))</f>
        <v>97</v>
      </c>
      <c r="N17" s="1235">
        <f t="shared" si="9"/>
        <v>0.16666666666666666</v>
      </c>
      <c r="O17" s="1295">
        <f>IF(O7=0,0, LOOKUP(O7-0.000000000001,{0,93,95,96,97,98,99,99.5,99.99},{1,25,37,50,66,70,83,97,100}))</f>
        <v>97</v>
      </c>
      <c r="P17" s="1295">
        <f t="shared" si="10"/>
        <v>0.17962962962962964</v>
      </c>
      <c r="Q17" s="1295">
        <f>IF(Q7=0,0, LOOKUP(Q7-0.000000000001,{0,93,95,96,97,98,99,99.5,99.99},{1,25,37,50,66,70,83,97,100}))</f>
        <v>97</v>
      </c>
      <c r="R17" s="1295">
        <f t="shared" si="11"/>
        <v>0.17077464788732394</v>
      </c>
      <c r="S17" s="1295">
        <f>IF(S7=0,0, LOOKUP(S7-0.000000000001,{0,93,95,96,97,98,99,99.5,99.99},{1,25,37,50,66,70,83,97,100}))</f>
        <v>70</v>
      </c>
      <c r="T17" s="1295">
        <f t="shared" si="12"/>
        <v>0.19230769230769232</v>
      </c>
      <c r="U17" s="1296">
        <f>IF(U7=0,0, LOOKUP(U7-0.000000000001,{0,93,95,96,97,98,99,99.5,99.99},{1,25,37,50,66,70,83,97,100}))</f>
        <v>97</v>
      </c>
      <c r="V17" s="1235">
        <f t="shared" si="13"/>
        <v>0.17477477477477477</v>
      </c>
      <c r="W17" s="1236">
        <f>IF(W7=0,0, LOOKUP(W7-0.000000000001,{0,93,95,96,97,98,99,99.5,99.99},{1,25,37,50,66,70,83,97,100}))</f>
        <v>70</v>
      </c>
      <c r="X17" s="985">
        <f t="shared" si="14"/>
        <v>0.17499999999999999</v>
      </c>
      <c r="Z17" s="654"/>
      <c r="AA17" s="1286"/>
      <c r="AB17" s="1229" t="s">
        <v>136</v>
      </c>
      <c r="AC17" s="658">
        <v>25</v>
      </c>
    </row>
    <row r="18" spans="1:29" x14ac:dyDescent="0.3">
      <c r="L18" s="1150" t="s">
        <v>118</v>
      </c>
      <c r="M18" s="1297">
        <f>IF(M8=0,0, LOOKUP(M8-0.000000000001,{0,93,95,96,97,98,99,99.5,99.99},{1,25,37,50,66,70,83,97,100}))</f>
        <v>0</v>
      </c>
      <c r="N18" s="1242">
        <f t="shared" si="9"/>
        <v>0</v>
      </c>
      <c r="O18" s="1298">
        <f>IF(O8=0,0, LOOKUP(O8-0.000000000001,{0,93,95,96,97,98,99,99.5,99.99},{1,25,37,50,66,70,83,97,100}))</f>
        <v>0</v>
      </c>
      <c r="P18" s="1298">
        <f t="shared" si="10"/>
        <v>0</v>
      </c>
      <c r="Q18" s="1298">
        <f>IF(Q8=0,0, LOOKUP(Q8-0.000000000001,{0,93,95,96,97,98,99,99.5,99.99},{1,25,37,50,66,70,83,97,100}))</f>
        <v>0</v>
      </c>
      <c r="R18" s="1298">
        <f t="shared" si="11"/>
        <v>0</v>
      </c>
      <c r="S18" s="1298">
        <f>IF(S8=0,0, LOOKUP(S8-0.000000000001,{0,93,95,96,97,98,99,99.5,99.99},{1,25,37,50,66,70,83,97,100}))</f>
        <v>0</v>
      </c>
      <c r="T18" s="1298">
        <f t="shared" si="12"/>
        <v>0</v>
      </c>
      <c r="U18" s="1299">
        <f>IF(U8=0,0, LOOKUP(U8-0.000000000001,{0,93,95,96,97,98,99,99.5,99.99},{1,25,37,50,66,70,83,97,100}))</f>
        <v>0</v>
      </c>
      <c r="V18" s="1242">
        <f t="shared" si="13"/>
        <v>0</v>
      </c>
      <c r="W18" s="1243">
        <f>IF(W8=0,0, LOOKUP(W8-0.000000000001,{0,93,95,96,97,98,99,99.5,99.99},{1,25,37,50,66,70,83,97,100}))</f>
        <v>0</v>
      </c>
      <c r="X18" s="985">
        <f t="shared" si="14"/>
        <v>0</v>
      </c>
      <c r="Z18" s="654"/>
      <c r="AA18" s="1286"/>
      <c r="AB18" s="1229" t="s">
        <v>137</v>
      </c>
      <c r="AC18" s="658">
        <v>1</v>
      </c>
    </row>
    <row r="19" spans="1:29" x14ac:dyDescent="0.3">
      <c r="L19" s="6"/>
      <c r="M19" s="1158"/>
      <c r="N19" s="1041"/>
      <c r="O19" s="1158"/>
      <c r="P19" s="1041"/>
      <c r="Q19" s="1158"/>
      <c r="R19" s="1041"/>
      <c r="S19" s="1158"/>
      <c r="T19" s="1041"/>
      <c r="U19" s="1158"/>
      <c r="V19" s="1041"/>
      <c r="W19" s="1158"/>
      <c r="X19" s="985"/>
      <c r="Z19" s="654"/>
      <c r="AA19" s="1286"/>
      <c r="AB19" s="1244">
        <v>0</v>
      </c>
      <c r="AC19" s="658">
        <v>0</v>
      </c>
    </row>
    <row r="20" spans="1:29" x14ac:dyDescent="0.3">
      <c r="A20" s="1300" t="s">
        <v>12</v>
      </c>
      <c r="B20" s="1301" t="s">
        <v>142</v>
      </c>
      <c r="C20" s="1302">
        <v>98.28</v>
      </c>
      <c r="M20" s="1303" t="s">
        <v>12</v>
      </c>
      <c r="N20" s="1126">
        <f>SUM(M21:M27)</f>
        <v>399.34347211834125</v>
      </c>
      <c r="O20" s="715" t="s">
        <v>13</v>
      </c>
      <c r="P20" s="1304">
        <f>SUM(O21:O27)</f>
        <v>398.35079342169627</v>
      </c>
      <c r="Q20" s="1304" t="s">
        <v>14</v>
      </c>
      <c r="R20" s="1304">
        <f>SUM(Q21:Q27)</f>
        <v>399.55919867947182</v>
      </c>
      <c r="S20" s="1304" t="s">
        <v>15</v>
      </c>
      <c r="T20" s="1304">
        <f>SUM(S21:S27)</f>
        <v>395.49188780420735</v>
      </c>
      <c r="U20" s="1077" t="s">
        <v>16</v>
      </c>
      <c r="V20" s="990">
        <f>SUM(U21:U27)</f>
        <v>398.67512835969444</v>
      </c>
      <c r="W20" s="1305" t="s">
        <v>17</v>
      </c>
      <c r="Z20" s="1251" t="str">
        <f>Z1</f>
        <v>AVR-4</v>
      </c>
      <c r="AA20" s="1198" t="str">
        <f>AA1</f>
        <v>AVR-6</v>
      </c>
    </row>
    <row r="21" spans="1:29" x14ac:dyDescent="0.3">
      <c r="A21" s="583" t="s">
        <v>13</v>
      </c>
      <c r="B21" s="1174" t="s">
        <v>143</v>
      </c>
      <c r="C21" s="1252">
        <v>99.71</v>
      </c>
      <c r="L21" s="1253" t="str">
        <f>I1</f>
        <v>Comb</v>
      </c>
      <c r="M21" s="1306">
        <f>100-ABS((($J2-I2)/($J2)))*100</f>
        <v>99.817169450677326</v>
      </c>
      <c r="N21" s="1307"/>
      <c r="O21" s="1308">
        <f>100-ABS((($J3-I3)/($J3)))*100</f>
        <v>99.732044774802958</v>
      </c>
      <c r="P21" s="1309"/>
      <c r="Q21" s="1309">
        <f>100-ABS((($J4-I4)/($J4)))*100</f>
        <v>99.919342737094837</v>
      </c>
      <c r="R21" s="1309"/>
      <c r="S21" s="1309">
        <f>100-ABS((($J5-I5)/($J5)))*100</f>
        <v>98.764265090059155</v>
      </c>
      <c r="T21" s="1310"/>
      <c r="U21" s="1257">
        <f>100-ABS((($J6-I6)/($J6)))*100</f>
        <v>99.451708426920788</v>
      </c>
      <c r="V21" s="1311"/>
      <c r="W21" s="877">
        <f>100-ABS((($J7-I7)/($J7)))*100</f>
        <v>98.203159062983076</v>
      </c>
      <c r="Z21" s="853">
        <f t="array" ref="Z21">SUM(O21:U21/4)</f>
        <v>99.466840257219431</v>
      </c>
      <c r="AA21" s="855">
        <f t="array" ref="AA21">SUM(M21:W21/6)</f>
        <v>99.314614923756352</v>
      </c>
    </row>
    <row r="22" spans="1:29" x14ac:dyDescent="0.3">
      <c r="A22" s="585" t="s">
        <v>14</v>
      </c>
      <c r="B22" s="1182" t="s">
        <v>144</v>
      </c>
      <c r="C22" s="1260">
        <v>99.56</v>
      </c>
      <c r="L22" s="1261" t="str">
        <f>B11</f>
        <v>RD</v>
      </c>
      <c r="M22" s="1094">
        <f>100-ABS((($J2-B12)/($J2)))*100</f>
        <v>99.775617053103971</v>
      </c>
      <c r="N22" s="1312"/>
      <c r="O22" s="1106">
        <f>100-ABS((($J3-B13)/($J3)))*100</f>
        <v>99.545356137692139</v>
      </c>
      <c r="P22" s="1313"/>
      <c r="Q22" s="1313">
        <f>100-ABS((($J4-B14)/($J4)))*100</f>
        <v>99.894957983193279</v>
      </c>
      <c r="R22" s="1313"/>
      <c r="S22" s="1313">
        <f>100-ABS((($J5-B15)/($J5)))*100</f>
        <v>98.748796920115495</v>
      </c>
      <c r="T22" s="1314"/>
      <c r="U22" s="1264">
        <f>100-ABS((($J6-B16)/($J6)))*100</f>
        <v>99.597635487556516</v>
      </c>
      <c r="V22" s="1315"/>
      <c r="W22" s="884">
        <f>100-ABS((($J7-B17)/($J7)))*100</f>
        <v>98.854492845534907</v>
      </c>
      <c r="Z22" s="853">
        <f t="array" ref="Z22">SUM(O22:U22/4)</f>
        <v>99.446686632139375</v>
      </c>
      <c r="AA22" s="855">
        <f t="array" ref="AA22">SUM(M22:W22/6)</f>
        <v>99.402809404532718</v>
      </c>
    </row>
    <row r="23" spans="1:29" x14ac:dyDescent="0.3">
      <c r="A23" s="585" t="s">
        <v>15</v>
      </c>
      <c r="B23" s="1182" t="s">
        <v>121</v>
      </c>
      <c r="C23" s="1260">
        <v>98.62</v>
      </c>
      <c r="L23" s="1261">
        <f>D11</f>
        <v>85220</v>
      </c>
      <c r="M23" s="1094">
        <f>100-ABS((($J2-D12)/($J2)))*100</f>
        <v>99.975068561455984</v>
      </c>
      <c r="N23" s="1312"/>
      <c r="O23" s="1106">
        <f>100-ABS((($J3-D13)/($J3)))*100</f>
        <v>99.49123186836978</v>
      </c>
      <c r="P23" s="1313"/>
      <c r="Q23" s="1313">
        <f>100-ABS((($J4-D14)/($J4)))*100</f>
        <v>99.819927971188477</v>
      </c>
      <c r="R23" s="1313"/>
      <c r="S23" s="1313">
        <f>100-ABS((($J5-D15)/($J5)))*100</f>
        <v>99.422521655437919</v>
      </c>
      <c r="T23" s="1314"/>
      <c r="U23" s="1264">
        <f>100-ABS((($J6-D16)/($J6)))*100</f>
        <v>99.961916116106181</v>
      </c>
      <c r="V23" s="1315"/>
      <c r="W23" s="884">
        <f>100-ABS((($J7-D17)/($J7)))*100</f>
        <v>98.378849736414438</v>
      </c>
      <c r="Z23" s="853">
        <f t="array" ref="Z23">SUM(O23:U23/4)</f>
        <v>99.673899402775589</v>
      </c>
      <c r="AA23" s="855">
        <f t="array" ref="AA23">SUM(M23:W23/6)</f>
        <v>99.508252651495468</v>
      </c>
    </row>
    <row r="24" spans="1:29" x14ac:dyDescent="0.3">
      <c r="A24" s="591" t="s">
        <v>16</v>
      </c>
      <c r="B24" s="1183" t="s">
        <v>121</v>
      </c>
      <c r="C24" s="1267">
        <v>99.53</v>
      </c>
      <c r="L24" s="1268" t="str">
        <f>F11</f>
        <v>MICH</v>
      </c>
      <c r="M24" s="1116">
        <f>100-ABS((($J2-F12)/($J2)))*100</f>
        <v>99.775617053103971</v>
      </c>
      <c r="N24" s="1316"/>
      <c r="O24" s="1317">
        <f>100-ABS((($J3-F13)/($J3)))*100</f>
        <v>99.582160640831347</v>
      </c>
      <c r="P24" s="1318"/>
      <c r="Q24" s="1318">
        <f>100-ABS((($J4-F14)/($J4)))*100</f>
        <v>99.924969987995198</v>
      </c>
      <c r="R24" s="1318"/>
      <c r="S24" s="1318">
        <f>100-ABS((($J5-F15)/($J5)))*100</f>
        <v>98.556304138594797</v>
      </c>
      <c r="T24" s="1319"/>
      <c r="U24" s="1271">
        <f>100-ABS((($J6-F16)/($J6)))*100</f>
        <v>99.663868329110997</v>
      </c>
      <c r="V24" s="1320"/>
      <c r="W24" s="907">
        <f>100-ABS((($J7-F17)/($J7)))*100</f>
        <v>98.339212810654402</v>
      </c>
      <c r="Z24" s="853">
        <f t="array" ref="Z24">SUM(O24:U24/4)</f>
        <v>99.431825774133074</v>
      </c>
      <c r="AA24" s="855">
        <f t="array" ref="AA24">SUM(M24:W24/6)</f>
        <v>99.307022160048447</v>
      </c>
    </row>
    <row r="25" spans="1:29" x14ac:dyDescent="0.3">
      <c r="A25" s="1321" t="s">
        <v>17</v>
      </c>
      <c r="B25" s="1322" t="s">
        <v>145</v>
      </c>
      <c r="C25" s="1323">
        <v>99.89</v>
      </c>
    </row>
    <row r="26" spans="1:29" x14ac:dyDescent="0.3">
      <c r="A26" s="1410" t="s">
        <v>141</v>
      </c>
      <c r="B26" s="1410"/>
      <c r="C26" s="1277">
        <f>AVERAGE(C21:C24)</f>
        <v>99.35499999999999</v>
      </c>
    </row>
    <row r="27" spans="1:29" x14ac:dyDescent="0.3">
      <c r="A27" s="1411" t="s">
        <v>41</v>
      </c>
      <c r="B27" s="1411"/>
      <c r="C27" s="1324">
        <f>AVERAGE(C20:C25)</f>
        <v>99.265000000000001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27"/>
  <sheetViews>
    <sheetView zoomScale="120" zoomScaleNormal="120" workbookViewId="0">
      <selection activeCell="I11" sqref="I11"/>
    </sheetView>
  </sheetViews>
  <sheetFormatPr defaultColWidth="8.77734375" defaultRowHeight="14.25" customHeight="1" x14ac:dyDescent="0.3"/>
  <cols>
    <col min="1" max="1" width="8.77734375" style="654"/>
    <col min="2" max="7" width="8.88671875" style="654" customWidth="1"/>
    <col min="8" max="8" width="5.88671875" style="654" customWidth="1"/>
    <col min="9" max="9" width="8.88671875" style="654" customWidth="1"/>
    <col min="10" max="10" width="9" style="654" customWidth="1"/>
    <col min="11" max="11" width="3.88671875" style="654" customWidth="1"/>
    <col min="12" max="12" width="9" style="654" customWidth="1"/>
    <col min="13" max="13" width="5.5546875" style="654" customWidth="1"/>
    <col min="14" max="14" width="6.5546875" style="985" hidden="1" customWidth="1"/>
    <col min="15" max="15" width="5.5546875" style="654" customWidth="1"/>
    <col min="16" max="16" width="6.5546875" style="654" hidden="1" customWidth="1"/>
    <col min="17" max="17" width="5.5546875" style="654" customWidth="1"/>
    <col min="18" max="18" width="6.5546875" style="654" hidden="1" customWidth="1"/>
    <col min="19" max="19" width="5.5546875" style="654" customWidth="1"/>
    <col min="20" max="20" width="6.5546875" style="654" hidden="1" customWidth="1"/>
    <col min="21" max="21" width="5.5546875" style="654" customWidth="1"/>
    <col min="22" max="22" width="7.109375" style="654" hidden="1" customWidth="1"/>
    <col min="23" max="23" width="5.5546875" style="654" customWidth="1"/>
    <col min="24" max="24" width="6.5546875" style="654" hidden="1" customWidth="1"/>
    <col min="25" max="25" width="7.33203125" style="654" customWidth="1"/>
    <col min="26" max="27" width="8.88671875" style="658" customWidth="1"/>
    <col min="28" max="16384" width="8.77734375" style="654"/>
  </cols>
  <sheetData>
    <row r="1" spans="1:29" x14ac:dyDescent="0.3">
      <c r="A1" s="1" t="s">
        <v>0</v>
      </c>
      <c r="B1" s="9" t="s">
        <v>121</v>
      </c>
      <c r="C1" s="10" t="s">
        <v>34</v>
      </c>
      <c r="D1" s="10" t="s">
        <v>119</v>
      </c>
      <c r="E1" s="10" t="s">
        <v>122</v>
      </c>
      <c r="F1" s="10">
        <v>4</v>
      </c>
      <c r="G1" s="10" t="s">
        <v>123</v>
      </c>
      <c r="H1" s="1071" t="s">
        <v>118</v>
      </c>
      <c r="I1" s="1192" t="s">
        <v>116</v>
      </c>
      <c r="J1" s="987" t="s">
        <v>125</v>
      </c>
      <c r="L1" s="1193" t="s">
        <v>139</v>
      </c>
      <c r="M1" s="1325" t="s">
        <v>12</v>
      </c>
      <c r="N1" s="1326">
        <f>SUM(M2:M8)</f>
        <v>591.47573293914752</v>
      </c>
      <c r="O1" s="1074" t="s">
        <v>13</v>
      </c>
      <c r="P1" s="1075">
        <f>SUM(O2:O8)</f>
        <v>581.83713137318705</v>
      </c>
      <c r="Q1" s="1076" t="s">
        <v>14</v>
      </c>
      <c r="R1" s="1075">
        <f>SUM(Q2:Q8)</f>
        <v>581.67300519494802</v>
      </c>
      <c r="S1" s="1075" t="s">
        <v>15</v>
      </c>
      <c r="T1" s="1075">
        <f>SUM(S2:S8)</f>
        <v>457.2945521698984</v>
      </c>
      <c r="U1" s="1077" t="s">
        <v>16</v>
      </c>
      <c r="V1" s="990">
        <f>SUM(U2:U8)</f>
        <v>581.16878710771846</v>
      </c>
      <c r="W1" s="1078" t="s">
        <v>17</v>
      </c>
      <c r="X1" s="991">
        <f>SUM(W2:W8)</f>
        <v>568.45924899090801</v>
      </c>
      <c r="Z1" s="677" t="s">
        <v>18</v>
      </c>
      <c r="AA1" s="1198" t="s">
        <v>19</v>
      </c>
    </row>
    <row r="2" spans="1:29" x14ac:dyDescent="0.3">
      <c r="A2" s="26" t="s">
        <v>12</v>
      </c>
      <c r="B2" s="992">
        <v>4.13</v>
      </c>
      <c r="C2" s="993">
        <v>4.12</v>
      </c>
      <c r="D2" s="993">
        <v>4.12</v>
      </c>
      <c r="E2" s="993">
        <v>4.13</v>
      </c>
      <c r="F2" s="993">
        <v>4.07</v>
      </c>
      <c r="G2" s="993">
        <v>4.13</v>
      </c>
      <c r="H2" s="1079">
        <v>0</v>
      </c>
      <c r="I2" s="1199">
        <f>(B2*N12)+(C2*N13)+(D2*N14)+(E2*N15)+(F2*N16)+(G2*N17)+(H2*N18)</f>
        <v>4.1138478747203582</v>
      </c>
      <c r="J2" s="1080">
        <v>4.0590000000000002</v>
      </c>
      <c r="L2" s="1081" t="s">
        <v>121</v>
      </c>
      <c r="M2" s="1327">
        <f>100-ABS((($J2-B2)/($J2)))*100</f>
        <v>98.250800689825084</v>
      </c>
      <c r="N2" s="1168">
        <f t="shared" ref="N2:N8" si="0">M2/$N$1</f>
        <v>0.16611129623458848</v>
      </c>
      <c r="O2" s="1084">
        <f>100-ABS((($J3-B3)/($J3)))*100</f>
        <v>96.920817245534252</v>
      </c>
      <c r="P2" s="1085">
        <f t="shared" ref="P2:P8" si="1">O2/$P$1</f>
        <v>0.1665772292957525</v>
      </c>
      <c r="Q2" s="1086">
        <f>100-ABS((($J4-B4)/($J4)))*100</f>
        <v>96.986197676619085</v>
      </c>
      <c r="R2" s="1085">
        <f t="shared" ref="R2:R8" si="2">Q2/$R$1</f>
        <v>0.16673663176807407</v>
      </c>
      <c r="S2" s="1086">
        <f>100-ABS((($J5-B5)/($J5)))*100</f>
        <v>76.638965835641741</v>
      </c>
      <c r="T2" s="1085">
        <f t="shared" ref="T2:T8" si="3">S2/$T$1</f>
        <v>0.16759212518929836</v>
      </c>
      <c r="U2" s="1087">
        <f>100-ABS((($J6-B6)/($J6)))*100</f>
        <v>96.69211195928753</v>
      </c>
      <c r="V2" s="1088">
        <f t="shared" ref="V2:V8" si="4">U2/$V$1</f>
        <v>0.16637526671122799</v>
      </c>
      <c r="W2" s="1328">
        <f>100-ABS((($J7-B7)/($J7)))*100</f>
        <v>94.687487258939129</v>
      </c>
      <c r="X2" s="1090">
        <f t="shared" ref="X2:X8" si="5">W2/$X$1</f>
        <v>0.16656864573322047</v>
      </c>
      <c r="Z2" s="678">
        <f t="array" ref="Z2">SUM(O2:U2/4)</f>
        <v>91.934749675833928</v>
      </c>
      <c r="AA2" s="1204">
        <f t="array" ref="AA2">SUM(M2:W2/6)</f>
        <v>93.501628869174297</v>
      </c>
    </row>
    <row r="3" spans="1:29" x14ac:dyDescent="0.3">
      <c r="A3" s="43" t="s">
        <v>13</v>
      </c>
      <c r="B3" s="1019">
        <v>46880</v>
      </c>
      <c r="C3" s="1020">
        <v>46853</v>
      </c>
      <c r="D3" s="1020">
        <v>46780</v>
      </c>
      <c r="E3" s="1020">
        <v>46850</v>
      </c>
      <c r="F3" s="1020">
        <v>46825</v>
      </c>
      <c r="G3" s="1020">
        <v>46950</v>
      </c>
      <c r="H3" s="1091">
        <v>0</v>
      </c>
      <c r="I3" s="1205">
        <f>(B3*P12)+(C3*P13)+(D3*P14)+(E3*P15)+(F3*P16)+(G3*P17)+(H3*P18)</f>
        <v>46851.144578313259</v>
      </c>
      <c r="J3" s="1092">
        <v>45479.6</v>
      </c>
      <c r="L3" s="1093" t="s">
        <v>34</v>
      </c>
      <c r="M3" s="1262">
        <f>100-ABS((($J2-C2)/($J2)))*100</f>
        <v>98.497166789849715</v>
      </c>
      <c r="N3" s="1176">
        <f t="shared" si="0"/>
        <v>0.16652782405864713</v>
      </c>
      <c r="O3" s="1096">
        <f>100-ABS((($J3-C3)/($J3)))*100</f>
        <v>96.98018452229131</v>
      </c>
      <c r="P3" s="1097">
        <f t="shared" si="1"/>
        <v>0.16667926347947148</v>
      </c>
      <c r="Q3" s="1098">
        <f>100-ABS((($J4-C4)/($J4)))*100</f>
        <v>97.047242892810715</v>
      </c>
      <c r="R3" s="1097">
        <f t="shared" si="2"/>
        <v>0.16684157942018518</v>
      </c>
      <c r="S3" s="1098">
        <f>100-ABS((($J5-C5)/($J5)))*100</f>
        <v>73.961218836565095</v>
      </c>
      <c r="T3" s="1097">
        <f t="shared" si="3"/>
        <v>0.16173649671882889</v>
      </c>
      <c r="U3" s="1099">
        <f>100-ABS((($J6-C6)/($J6)))*100</f>
        <v>96.69211195928753</v>
      </c>
      <c r="V3" s="1100">
        <f t="shared" si="4"/>
        <v>0.16637526671122799</v>
      </c>
      <c r="W3" s="884">
        <f>100-ABS((($J7-C7)/($J7)))*100</f>
        <v>94.809801443307379</v>
      </c>
      <c r="X3" s="1102">
        <f t="shared" si="5"/>
        <v>0.16678381363590722</v>
      </c>
      <c r="Z3" s="678">
        <f t="array" ref="Z3">SUM(O3:U3/4)</f>
        <v>91.294003887643271</v>
      </c>
      <c r="AA3" s="1204">
        <f t="array" ref="AA3">SUM(M3:W3/6)</f>
        <v>93.135981145750009</v>
      </c>
    </row>
    <row r="4" spans="1:29" x14ac:dyDescent="0.3">
      <c r="A4" s="43" t="s">
        <v>14</v>
      </c>
      <c r="B4" s="1019">
        <v>6750</v>
      </c>
      <c r="C4" s="1020">
        <v>6746</v>
      </c>
      <c r="D4" s="1020">
        <v>6745</v>
      </c>
      <c r="E4" s="1020">
        <v>6745</v>
      </c>
      <c r="F4" s="1020">
        <v>6745</v>
      </c>
      <c r="G4" s="1020">
        <v>6785</v>
      </c>
      <c r="H4" s="1091">
        <v>0</v>
      </c>
      <c r="I4" s="1205">
        <f>(B4*R12)+(C4*R13)+(D4*R14)+(E4*R15)+(F4*R16)+(G4*R17)+(H4*R18)</f>
        <v>6751.3626373626375</v>
      </c>
      <c r="J4" s="1092">
        <v>6552.52</v>
      </c>
      <c r="L4" s="1093" t="s">
        <v>119</v>
      </c>
      <c r="M4" s="1262">
        <f>100-ABS((($J2-D2)/($J2)))*100</f>
        <v>98.497166789849715</v>
      </c>
      <c r="N4" s="1176">
        <f t="shared" si="0"/>
        <v>0.16652782405864713</v>
      </c>
      <c r="O4" s="1113">
        <f>100-ABS((($J3-D3)/($J3)))*100</f>
        <v>97.140696048338157</v>
      </c>
      <c r="P4" s="1097">
        <f t="shared" si="1"/>
        <v>0.16695513367989687</v>
      </c>
      <c r="Q4" s="1104">
        <f>100-ABS((($J4-D4)/($J4)))*100</f>
        <v>97.062504196858626</v>
      </c>
      <c r="R4" s="1097">
        <f t="shared" si="2"/>
        <v>0.16686781633321299</v>
      </c>
      <c r="S4" s="1098">
        <f>100-ABS((($J5-D5)/($J5)))*100</f>
        <v>77.100646352723913</v>
      </c>
      <c r="T4" s="1097">
        <f t="shared" si="3"/>
        <v>0.16860171630489654</v>
      </c>
      <c r="U4" s="1099">
        <f>100-ABS((($J6-D6)/($J6)))*100</f>
        <v>96.776929601357082</v>
      </c>
      <c r="V4" s="1100">
        <f t="shared" si="4"/>
        <v>0.16652120992764133</v>
      </c>
      <c r="W4" s="1105">
        <f>100-ABS((($J7-D7)/($J7)))*100</f>
        <v>94.932115627675628</v>
      </c>
      <c r="X4" s="1102">
        <f t="shared" si="5"/>
        <v>0.16699898153859394</v>
      </c>
      <c r="Z4" s="853">
        <f t="array" ref="Z4">SUM(O4:U4/4)</f>
        <v>92.145800216398953</v>
      </c>
      <c r="AA4" s="855">
        <f t="array" ref="AA4">SUM(M4:W4/6)</f>
        <v>93.724255386184566</v>
      </c>
    </row>
    <row r="5" spans="1:29" x14ac:dyDescent="0.3">
      <c r="A5" s="43" t="s">
        <v>15</v>
      </c>
      <c r="B5" s="1019">
        <v>16.600000000000001</v>
      </c>
      <c r="C5" s="1020">
        <v>16.02</v>
      </c>
      <c r="D5" s="1020">
        <v>16.7</v>
      </c>
      <c r="E5" s="1020">
        <v>16.41</v>
      </c>
      <c r="F5" s="1020">
        <v>16.02</v>
      </c>
      <c r="G5" s="1020">
        <v>17.3</v>
      </c>
      <c r="H5" s="1091">
        <v>0</v>
      </c>
      <c r="I5" s="1209">
        <f>(B5*T12)+(C5*T13)+(D5*T14)+(E5*T15)+(F5*T16)+(G5*T17)+(H5*T18)</f>
        <v>16.508333333333333</v>
      </c>
      <c r="J5" s="1092">
        <v>21.66</v>
      </c>
      <c r="L5" s="1093" t="s">
        <v>122</v>
      </c>
      <c r="M5" s="1262">
        <f>100-ABS((($J2-E2)/($J2)))*100</f>
        <v>98.250800689825084</v>
      </c>
      <c r="N5" s="1176">
        <f t="shared" si="0"/>
        <v>0.16611129623458848</v>
      </c>
      <c r="O5" s="1096">
        <f>100-ABS((($J3-E3)/($J3)))*100</f>
        <v>96.986780886375428</v>
      </c>
      <c r="P5" s="1097">
        <f t="shared" si="1"/>
        <v>0.16669060061099583</v>
      </c>
      <c r="Q5" s="1104">
        <f>100-ABS((($J4-E4)/($J4)))*100</f>
        <v>97.062504196858626</v>
      </c>
      <c r="R5" s="1097">
        <f t="shared" si="2"/>
        <v>0.16686781633321299</v>
      </c>
      <c r="S5" s="1098">
        <f>100-ABS((($J5-E5)/($J5)))*100</f>
        <v>75.76177285318559</v>
      </c>
      <c r="T5" s="1097">
        <f t="shared" si="3"/>
        <v>0.16567390206966179</v>
      </c>
      <c r="U5" s="1099">
        <f>100-ABS((($J6-E6)/($J6)))*100</f>
        <v>96.77523324851569</v>
      </c>
      <c r="V5" s="1100">
        <f t="shared" si="4"/>
        <v>0.16651829106331306</v>
      </c>
      <c r="W5" s="884">
        <f>100-ABS((($J7-E7)/($J7)))*100</f>
        <v>94.817955722265253</v>
      </c>
      <c r="X5" s="1102">
        <f t="shared" si="5"/>
        <v>0.16679815816275298</v>
      </c>
      <c r="Z5" s="678">
        <f t="array" ref="Z5">SUM(O5:U5/4)</f>
        <v>91.771380875987305</v>
      </c>
      <c r="AA5" s="1204">
        <f t="array" ref="AA5">SUM(M5:W5/6)</f>
        <v>93.414484917222893</v>
      </c>
    </row>
    <row r="6" spans="1:29" x14ac:dyDescent="0.3">
      <c r="A6" s="43" t="s">
        <v>16</v>
      </c>
      <c r="B6" s="1019">
        <v>609</v>
      </c>
      <c r="C6" s="1020">
        <v>609</v>
      </c>
      <c r="D6" s="1020">
        <v>608.5</v>
      </c>
      <c r="E6" s="1020">
        <v>608.51</v>
      </c>
      <c r="F6" s="1020">
        <v>606</v>
      </c>
      <c r="G6" s="1020">
        <v>607</v>
      </c>
      <c r="H6" s="1091">
        <v>0</v>
      </c>
      <c r="I6" s="1205">
        <f>(B6*V12)+(C6*V13)+(D6*V14)+(E6*V15)+(F6*V16)+(G6*V17)+(H6*V18)</f>
        <v>607.85692771084337</v>
      </c>
      <c r="J6" s="1092">
        <v>589.5</v>
      </c>
      <c r="L6" s="1093">
        <v>4</v>
      </c>
      <c r="M6" s="1210">
        <f>100-ABS((($J2-F2)/($J2)))*100</f>
        <v>99.728997289972895</v>
      </c>
      <c r="N6" s="1176">
        <f t="shared" si="0"/>
        <v>0.16861046317894035</v>
      </c>
      <c r="O6" s="1096">
        <f>100-ABS((($J3-F3)/($J3)))*100</f>
        <v>97.041750587076393</v>
      </c>
      <c r="P6" s="1097">
        <f t="shared" si="1"/>
        <v>0.16678507670703188</v>
      </c>
      <c r="Q6" s="1104">
        <f>100-ABS((($J4-F4)/($J4)))*100</f>
        <v>97.062504196858626</v>
      </c>
      <c r="R6" s="1097">
        <f t="shared" si="2"/>
        <v>0.16686781633321299</v>
      </c>
      <c r="S6" s="1098">
        <f>100-ABS((($J5-F5)/($J5)))*100</f>
        <v>73.961218836565095</v>
      </c>
      <c r="T6" s="1097">
        <f t="shared" si="3"/>
        <v>0.16173649671882889</v>
      </c>
      <c r="U6" s="1114">
        <f>100-ABS((($J6-F6)/($J6)))*100</f>
        <v>97.20101781170483</v>
      </c>
      <c r="V6" s="1100">
        <f t="shared" si="4"/>
        <v>0.16725092600970812</v>
      </c>
      <c r="W6" s="884">
        <f>100-ABS((($J7-F7)/($J7)))*100</f>
        <v>94.402087495413227</v>
      </c>
      <c r="X6" s="1102">
        <f t="shared" si="5"/>
        <v>0.16606658729361812</v>
      </c>
      <c r="Z6" s="678">
        <f t="array" ref="Z6">SUM(O6:U6/4)</f>
        <v>91.44047020549101</v>
      </c>
      <c r="AA6" s="1204">
        <f t="array" ref="AA6">SUM(M6:W6/6)</f>
        <v>93.371471166089805</v>
      </c>
    </row>
    <row r="7" spans="1:29" x14ac:dyDescent="0.3">
      <c r="A7" s="67" t="s">
        <v>17</v>
      </c>
      <c r="B7" s="1025">
        <v>258.3</v>
      </c>
      <c r="C7" s="1026">
        <v>258</v>
      </c>
      <c r="D7" s="1026">
        <v>257.7</v>
      </c>
      <c r="E7" s="1026">
        <v>257.98</v>
      </c>
      <c r="F7" s="1026">
        <v>259</v>
      </c>
      <c r="G7" s="1026">
        <v>258</v>
      </c>
      <c r="H7" s="1110">
        <v>0</v>
      </c>
      <c r="I7" s="1213">
        <f>(B7*X12)+(C7*X13)+(D7*X14)+(E7*X15)+(F7*X16)+(G7*X17)+(H7*X18)</f>
        <v>258.1633333333333</v>
      </c>
      <c r="J7" s="1112">
        <v>245.27</v>
      </c>
      <c r="L7" s="1093" t="s">
        <v>123</v>
      </c>
      <c r="M7" s="1262">
        <f>100-ABS((($J2-G2)/($J2)))*100</f>
        <v>98.250800689825084</v>
      </c>
      <c r="N7" s="1176">
        <f t="shared" si="0"/>
        <v>0.16611129623458848</v>
      </c>
      <c r="O7" s="1096">
        <f>100-ABS((($J3-G3)/($J3)))*100</f>
        <v>96.766902083571537</v>
      </c>
      <c r="P7" s="1097">
        <f t="shared" si="1"/>
        <v>0.16631269622685149</v>
      </c>
      <c r="Q7" s="1098">
        <f>100-ABS((($J4-G4)/($J4)))*100</f>
        <v>96.452052034942284</v>
      </c>
      <c r="R7" s="1097">
        <f t="shared" si="2"/>
        <v>0.1658183398121017</v>
      </c>
      <c r="S7" s="1104">
        <f>100-ABS((($J5-G5)/($J5)))*100</f>
        <v>79.870729455216988</v>
      </c>
      <c r="T7" s="1097">
        <f t="shared" si="3"/>
        <v>0.17465926299848564</v>
      </c>
      <c r="U7" s="1099">
        <f>100-ABS((($J6-G6)/($J6)))*100</f>
        <v>97.031382527565739</v>
      </c>
      <c r="V7" s="1100">
        <f t="shared" si="4"/>
        <v>0.16695903957688144</v>
      </c>
      <c r="W7" s="884">
        <f>100-ABS((($J7-G7)/($J7)))*100</f>
        <v>94.809801443307379</v>
      </c>
      <c r="X7" s="1102">
        <f t="shared" si="5"/>
        <v>0.16678381363590722</v>
      </c>
      <c r="Z7" s="678">
        <f t="array" ref="Z7">SUM(O7:U7/4)</f>
        <v>92.656964100083485</v>
      </c>
      <c r="AA7" s="1204">
        <f t="array" ref="AA7">SUM(M7:W7/6)</f>
        <v>94.003588144879643</v>
      </c>
    </row>
    <row r="8" spans="1:29" x14ac:dyDescent="0.3">
      <c r="L8" s="1115" t="s">
        <v>118</v>
      </c>
      <c r="M8" s="1269">
        <f>100-ABS((($J2-H2)/($J2)))*100</f>
        <v>0</v>
      </c>
      <c r="N8" s="1186">
        <f t="shared" si="0"/>
        <v>0</v>
      </c>
      <c r="O8" s="1118">
        <f>100-ABS((($J3-H3)/($J3)))*100</f>
        <v>0</v>
      </c>
      <c r="P8" s="1119">
        <f t="shared" si="1"/>
        <v>0</v>
      </c>
      <c r="Q8" s="1120">
        <f>100-ABS((($J4-H4)/($J4)))*100</f>
        <v>0</v>
      </c>
      <c r="R8" s="1119">
        <f t="shared" si="2"/>
        <v>0</v>
      </c>
      <c r="S8" s="1120">
        <f>100-ABS((($J5-H5)/($J5)))*100</f>
        <v>0</v>
      </c>
      <c r="T8" s="1119">
        <f t="shared" si="3"/>
        <v>0</v>
      </c>
      <c r="U8" s="1121">
        <f>100-ABS((($J6-H6)/($J6)))*100</f>
        <v>0</v>
      </c>
      <c r="V8" s="1122">
        <f t="shared" si="4"/>
        <v>0</v>
      </c>
      <c r="W8" s="907">
        <f>100-ABS((($J7-H7)/($J7)))*100</f>
        <v>0</v>
      </c>
      <c r="X8" s="1123">
        <f t="shared" si="5"/>
        <v>0</v>
      </c>
      <c r="Z8" s="678">
        <f t="array" ref="Z8">SUM(O8:U8/4)</f>
        <v>0</v>
      </c>
      <c r="AA8" s="1204">
        <f t="array" ref="AA8">SUM(M8:W8/6)</f>
        <v>0</v>
      </c>
    </row>
    <row r="9" spans="1:29" x14ac:dyDescent="0.3">
      <c r="M9" s="658"/>
      <c r="N9" s="1041"/>
      <c r="O9" s="658"/>
      <c r="P9" s="658"/>
      <c r="Q9" s="658"/>
      <c r="R9" s="658"/>
      <c r="S9" s="658"/>
      <c r="T9" s="658"/>
      <c r="U9" s="658"/>
      <c r="V9" s="658"/>
      <c r="W9" s="658"/>
      <c r="AB9" s="1217" t="s">
        <v>29</v>
      </c>
      <c r="AC9" s="1217" t="s">
        <v>30</v>
      </c>
    </row>
    <row r="10" spans="1:29" x14ac:dyDescent="0.3">
      <c r="E10" s="694"/>
      <c r="M10" s="658"/>
      <c r="N10" s="1041"/>
      <c r="O10" s="658"/>
      <c r="P10" s="658"/>
      <c r="Q10" s="658"/>
      <c r="R10" s="658"/>
      <c r="S10" s="658"/>
      <c r="T10" s="658"/>
      <c r="U10" s="658"/>
      <c r="V10" s="658"/>
      <c r="W10" s="658"/>
      <c r="Z10" s="654"/>
      <c r="AA10" s="654"/>
      <c r="AB10" s="658" t="s">
        <v>129</v>
      </c>
      <c r="AC10" s="658">
        <v>100</v>
      </c>
    </row>
    <row r="11" spans="1:29" x14ac:dyDescent="0.3">
      <c r="B11" s="709" t="s">
        <v>31</v>
      </c>
      <c r="C11" s="710"/>
      <c r="D11" s="711">
        <v>85220</v>
      </c>
      <c r="E11" s="712"/>
      <c r="F11" s="711" t="s">
        <v>32</v>
      </c>
      <c r="G11" s="713"/>
      <c r="L11" s="1124" t="str">
        <f>I1</f>
        <v>Comb</v>
      </c>
      <c r="M11" s="1329" t="s">
        <v>12</v>
      </c>
      <c r="N11" s="1126">
        <f>SUM(M12:M18)</f>
        <v>447</v>
      </c>
      <c r="O11" s="1330" t="s">
        <v>13</v>
      </c>
      <c r="P11" s="1289">
        <f>SUM(O12:O18)</f>
        <v>332</v>
      </c>
      <c r="Q11" s="1289" t="s">
        <v>14</v>
      </c>
      <c r="R11" s="1289">
        <f>SUM(Q12:Q18)</f>
        <v>364</v>
      </c>
      <c r="S11" s="1289" t="s">
        <v>15</v>
      </c>
      <c r="T11" s="1289">
        <f>SUM(S12:S18)</f>
        <v>6</v>
      </c>
      <c r="U11" s="1290" t="s">
        <v>16</v>
      </c>
      <c r="V11" s="990">
        <f>SUM(U12:U18)</f>
        <v>332</v>
      </c>
      <c r="W11" s="1331" t="s">
        <v>17</v>
      </c>
      <c r="X11" s="658">
        <f>SUM(W12:W18)</f>
        <v>150</v>
      </c>
      <c r="Z11" s="654"/>
      <c r="AA11" s="654"/>
      <c r="AB11" s="658" t="s">
        <v>140</v>
      </c>
      <c r="AC11" s="658">
        <v>97</v>
      </c>
    </row>
    <row r="12" spans="1:29" x14ac:dyDescent="0.3">
      <c r="A12" s="1221" t="s">
        <v>12</v>
      </c>
      <c r="B12" s="1222">
        <v>4.12</v>
      </c>
      <c r="C12" s="1223" t="str">
        <f t="shared" ref="C12:C17" si="6">IF(ABS(J2-I2)&lt;ABS(B12-J2),$I$1,$B$11)</f>
        <v>Comb</v>
      </c>
      <c r="D12" s="1222">
        <v>4.12</v>
      </c>
      <c r="E12" s="1223" t="str">
        <f t="shared" ref="E12:E17" si="7">IF(ABS(J2-I2)&lt;ABS(J2-D12),$I$1,$D$11)</f>
        <v>Comb</v>
      </c>
      <c r="F12" s="1222">
        <v>4.12</v>
      </c>
      <c r="G12" s="1224" t="str">
        <f t="shared" ref="G12:G17" si="8">IF(ABS(I2-J2)&lt;ABS(J2-F12),$I$1,$F$11)</f>
        <v>Comb</v>
      </c>
      <c r="L12" s="1131" t="s">
        <v>121</v>
      </c>
      <c r="M12" s="1332">
        <f>IF(M2=0,0, LOOKUP(M2-0.000000000001,{0,93,95,96,97,98,99,99.5,99.99},{1,25,37,50,66,70,83,97,100}))</f>
        <v>70</v>
      </c>
      <c r="N12" s="1133">
        <f t="shared" ref="N12:N18" si="9">M12/$N$11</f>
        <v>0.15659955257270694</v>
      </c>
      <c r="O12" s="1333">
        <f>IF(O2=0,0, LOOKUP(O2-0.000000000001,{0,93,95,96,97,98,99,99.5,99.99},{1,25,37,50,66,70,83,97,100}))</f>
        <v>50</v>
      </c>
      <c r="P12" s="1292">
        <f t="shared" ref="P12:P18" si="10">O12/$P$11</f>
        <v>0.15060240963855423</v>
      </c>
      <c r="Q12" s="1334">
        <f>IF(Q2=0,0, LOOKUP(Q2-0.000000000001,{0,93,95,96,97,98,99,99.5,99.99},{1,25,37,50,66,70,83,97,100}))</f>
        <v>50</v>
      </c>
      <c r="R12" s="1292">
        <f t="shared" ref="R12:R18" si="11">Q12/$R$11</f>
        <v>0.13736263736263737</v>
      </c>
      <c r="S12" s="1334">
        <f>IF(S2=0,0, LOOKUP(S2-0.000000000001,{0,93,95,96,97,98,99,99.5,99.99},{1,25,37,50,66,70,83,97,100}))</f>
        <v>1</v>
      </c>
      <c r="T12" s="1292">
        <f t="shared" ref="T12:T18" si="12">S12/$T$11</f>
        <v>0.16666666666666666</v>
      </c>
      <c r="U12" s="1335">
        <f>IF(U2=0,0, LOOKUP(U2-0.000000000001,{0,93,95,96,97,98,99,99.5,99.99},{1,25,37,50,66,70,83,97,100}))</f>
        <v>50</v>
      </c>
      <c r="V12" s="1133">
        <f t="shared" ref="V12:V18" si="13">U12/$V$11</f>
        <v>0.15060240963855423</v>
      </c>
      <c r="W12" s="1336">
        <f>IF(W2=0,0, LOOKUP(W2-0.000000000001,{0,93,95,96,97,98,99,99.5,99.99},{1,25,37,50,66,70,83,97,100}))</f>
        <v>25</v>
      </c>
      <c r="X12" s="985">
        <f t="shared" ref="X12:X18" si="14">W12/$X$11</f>
        <v>0.16666666666666666</v>
      </c>
      <c r="Z12" s="654"/>
      <c r="AA12" s="654"/>
      <c r="AB12" s="1229" t="s">
        <v>131</v>
      </c>
      <c r="AC12" s="658">
        <v>83</v>
      </c>
    </row>
    <row r="13" spans="1:29" x14ac:dyDescent="0.3">
      <c r="A13" s="43" t="s">
        <v>13</v>
      </c>
      <c r="B13" s="1230">
        <v>46850</v>
      </c>
      <c r="C13" s="1231" t="str">
        <f t="shared" si="6"/>
        <v>RD</v>
      </c>
      <c r="D13" s="1230">
        <v>46880</v>
      </c>
      <c r="E13" s="1231" t="str">
        <f t="shared" si="7"/>
        <v>Comb</v>
      </c>
      <c r="F13" s="1230">
        <v>46867</v>
      </c>
      <c r="G13" s="1232" t="str">
        <f t="shared" si="8"/>
        <v>Comb</v>
      </c>
      <c r="L13" s="1140" t="s">
        <v>34</v>
      </c>
      <c r="M13" s="1337">
        <f>IF(M3=0,0, LOOKUP(M3-0.000000000001,{0,93,95,96,97,98,99,99.5,99.99},{1,25,37,50,66,70,83,97,100}))</f>
        <v>70</v>
      </c>
      <c r="N13" s="1142">
        <f t="shared" si="9"/>
        <v>0.15659955257270694</v>
      </c>
      <c r="O13" s="1338">
        <f>IF(O3=0,0, LOOKUP(O3-0.000000000001,{0,93,95,96,97,98,99,99.5,99.99},{1,25,37,50,66,70,83,97,100}))</f>
        <v>50</v>
      </c>
      <c r="P13" s="1295">
        <f t="shared" si="10"/>
        <v>0.15060240963855423</v>
      </c>
      <c r="Q13" s="1339">
        <f>IF(Q3=0,0, LOOKUP(Q3-0.000000000001,{0,93,95,96,97,98,99,99.5,99.99},{1,25,37,50,66,70,83,97,100}))</f>
        <v>66</v>
      </c>
      <c r="R13" s="1295">
        <f t="shared" si="11"/>
        <v>0.18131868131868131</v>
      </c>
      <c r="S13" s="1339">
        <f>IF(S3=0,0, LOOKUP(S3-0.000000000001,{0,93,95,96,97,98,99,99.5,99.99},{1,25,37,50,66,70,83,97,100}))</f>
        <v>1</v>
      </c>
      <c r="T13" s="1295">
        <f t="shared" si="12"/>
        <v>0.16666666666666666</v>
      </c>
      <c r="U13" s="1340">
        <f>IF(U3=0,0, LOOKUP(U3-0.000000000001,{0,93,95,96,97,98,99,99.5,99.99},{1,25,37,50,66,70,83,97,100}))</f>
        <v>50</v>
      </c>
      <c r="V13" s="1142">
        <f t="shared" si="13"/>
        <v>0.15060240963855423</v>
      </c>
      <c r="W13" s="1341">
        <f>IF(W3=0,0, LOOKUP(W3-0.000000000001,{0,93,95,96,97,98,99,99.5,99.99},{1,25,37,50,66,70,83,97,100}))</f>
        <v>25</v>
      </c>
      <c r="X13" s="985">
        <f t="shared" si="14"/>
        <v>0.16666666666666666</v>
      </c>
      <c r="Z13" s="654"/>
      <c r="AA13" s="654"/>
      <c r="AB13" s="1229" t="s">
        <v>132</v>
      </c>
      <c r="AC13" s="658">
        <v>70</v>
      </c>
    </row>
    <row r="14" spans="1:29" x14ac:dyDescent="0.3">
      <c r="A14" s="43" t="s">
        <v>14</v>
      </c>
      <c r="B14" s="1230">
        <v>6750</v>
      </c>
      <c r="C14" s="1231" t="str">
        <f t="shared" si="6"/>
        <v>RD</v>
      </c>
      <c r="D14" s="1230">
        <v>6742</v>
      </c>
      <c r="E14" s="1231">
        <f t="shared" si="7"/>
        <v>85220</v>
      </c>
      <c r="F14" s="1230">
        <v>6753</v>
      </c>
      <c r="G14" s="1232" t="str">
        <f t="shared" si="8"/>
        <v>Comb</v>
      </c>
      <c r="L14" s="1140" t="s">
        <v>119</v>
      </c>
      <c r="M14" s="1337">
        <f>IF(M4=0,0, LOOKUP(M4-0.000000000001,{0,93,95,96,97,98,99,99.5,99.99},{1,25,37,50,66,70,83,97,100}))</f>
        <v>70</v>
      </c>
      <c r="N14" s="1142">
        <f t="shared" si="9"/>
        <v>0.15659955257270694</v>
      </c>
      <c r="O14" s="1338">
        <f>IF(O4=0,0, LOOKUP(O4-0.000000000001,{0,93,95,96,97,98,99,99.5,99.99},{1,25,37,50,66,70,83,97,100}))</f>
        <v>66</v>
      </c>
      <c r="P14" s="1295">
        <f t="shared" si="10"/>
        <v>0.19879518072289157</v>
      </c>
      <c r="Q14" s="1339">
        <f>IF(Q4=0,0, LOOKUP(Q4-0.000000000001,{0,93,95,96,97,98,99,99.5,99.99},{1,25,37,50,66,70,83,97,100}))</f>
        <v>66</v>
      </c>
      <c r="R14" s="1295">
        <f t="shared" si="11"/>
        <v>0.18131868131868131</v>
      </c>
      <c r="S14" s="1339">
        <f>IF(S4=0,0, LOOKUP(S4-0.000000000001,{0,93,95,96,97,98,99,99.5,99.99},{1,25,37,50,66,70,83,97,100}))</f>
        <v>1</v>
      </c>
      <c r="T14" s="1295">
        <f t="shared" si="12"/>
        <v>0.16666666666666666</v>
      </c>
      <c r="U14" s="1340">
        <f>IF(U4=0,0, LOOKUP(U4-0.000000000001,{0,93,95,96,97,98,99,99.5,99.99},{1,25,37,50,66,70,83,97,100}))</f>
        <v>50</v>
      </c>
      <c r="V14" s="1142">
        <f t="shared" si="13"/>
        <v>0.15060240963855423</v>
      </c>
      <c r="W14" s="1341">
        <f>IF(W4=0,0, LOOKUP(W4-0.000000000001,{0,93,95,96,97,98,99,99.5,99.99},{1,25,37,50,66,70,83,97,100}))</f>
        <v>25</v>
      </c>
      <c r="X14" s="985">
        <f t="shared" si="14"/>
        <v>0.16666666666666666</v>
      </c>
      <c r="Z14" s="654"/>
      <c r="AA14" s="654"/>
      <c r="AB14" s="1229" t="s">
        <v>133</v>
      </c>
      <c r="AC14" s="658">
        <v>66</v>
      </c>
    </row>
    <row r="15" spans="1:29" x14ac:dyDescent="0.3">
      <c r="A15" s="43" t="s">
        <v>15</v>
      </c>
      <c r="B15" s="1230">
        <v>16.8</v>
      </c>
      <c r="C15" s="1231" t="str">
        <f t="shared" si="6"/>
        <v>RD</v>
      </c>
      <c r="D15" s="1230">
        <v>17.3</v>
      </c>
      <c r="E15" s="1231">
        <f t="shared" si="7"/>
        <v>85220</v>
      </c>
      <c r="F15" s="1230">
        <v>16.690000000000001</v>
      </c>
      <c r="G15" s="1232" t="str">
        <f t="shared" si="8"/>
        <v>MICH</v>
      </c>
      <c r="L15" s="1140" t="s">
        <v>122</v>
      </c>
      <c r="M15" s="1337">
        <f>IF(M5=0,0, LOOKUP(M5-0.000000000001,{0,93,95,96,97,98,99,99.5,99.99},{1,25,37,50,66,70,83,97,100}))</f>
        <v>70</v>
      </c>
      <c r="N15" s="1142">
        <f t="shared" si="9"/>
        <v>0.15659955257270694</v>
      </c>
      <c r="O15" s="1338">
        <f>IF(O5=0,0, LOOKUP(O5-0.000000000001,{0,93,95,96,97,98,99,99.5,99.99},{1,25,37,50,66,70,83,97,100}))</f>
        <v>50</v>
      </c>
      <c r="P15" s="1295">
        <f t="shared" si="10"/>
        <v>0.15060240963855423</v>
      </c>
      <c r="Q15" s="1339">
        <f>IF(Q5=0,0, LOOKUP(Q5-0.000000000001,{0,93,95,96,97,98,99,99.5,99.99},{1,25,37,50,66,70,83,97,100}))</f>
        <v>66</v>
      </c>
      <c r="R15" s="1295">
        <f t="shared" si="11"/>
        <v>0.18131868131868131</v>
      </c>
      <c r="S15" s="1339">
        <f>IF(S5=0,0, LOOKUP(S5-0.000000000001,{0,93,95,96,97,98,99,99.5,99.99},{1,25,37,50,66,70,83,97,100}))</f>
        <v>1</v>
      </c>
      <c r="T15" s="1295">
        <f t="shared" si="12"/>
        <v>0.16666666666666666</v>
      </c>
      <c r="U15" s="1340">
        <f>IF(U5=0,0, LOOKUP(U5-0.000000000001,{0,93,95,96,97,98,99,99.5,99.99},{1,25,37,50,66,70,83,97,100}))</f>
        <v>50</v>
      </c>
      <c r="V15" s="1142">
        <f t="shared" si="13"/>
        <v>0.15060240963855423</v>
      </c>
      <c r="W15" s="1341">
        <f>IF(W5=0,0, LOOKUP(W5-0.000000000001,{0,93,95,96,97,98,99,99.5,99.99},{1,25,37,50,66,70,83,97,100}))</f>
        <v>25</v>
      </c>
      <c r="X15" s="985">
        <f t="shared" si="14"/>
        <v>0.16666666666666666</v>
      </c>
      <c r="Z15" s="654"/>
      <c r="AA15" s="654"/>
      <c r="AB15" s="1229" t="s">
        <v>134</v>
      </c>
      <c r="AC15" s="658">
        <v>50</v>
      </c>
    </row>
    <row r="16" spans="1:29" x14ac:dyDescent="0.3">
      <c r="A16" s="43" t="s">
        <v>16</v>
      </c>
      <c r="B16" s="1230">
        <v>609.1</v>
      </c>
      <c r="C16" s="1231" t="str">
        <f t="shared" si="6"/>
        <v>Comb</v>
      </c>
      <c r="D16" s="1230">
        <v>608.1</v>
      </c>
      <c r="E16" s="1231" t="str">
        <f t="shared" si="7"/>
        <v>Comb</v>
      </c>
      <c r="F16" s="1230">
        <v>608.5</v>
      </c>
      <c r="G16" s="1232" t="str">
        <f t="shared" si="8"/>
        <v>Comb</v>
      </c>
      <c r="L16" s="1140">
        <v>4</v>
      </c>
      <c r="M16" s="1337">
        <f>IF(M6=0,0, LOOKUP(M6-0.000000000001,{0,93,95,96,97,98,99,99.5,99.99},{1,25,37,50,66,70,83,97,100}))</f>
        <v>97</v>
      </c>
      <c r="N16" s="1142">
        <f t="shared" si="9"/>
        <v>0.21700223713646533</v>
      </c>
      <c r="O16" s="1338">
        <f>IF(O6=0,0, LOOKUP(O6-0.000000000001,{0,93,95,96,97,98,99,99.5,99.99},{1,25,37,50,66,70,83,97,100}))</f>
        <v>66</v>
      </c>
      <c r="P16" s="1295">
        <f t="shared" si="10"/>
        <v>0.19879518072289157</v>
      </c>
      <c r="Q16" s="1339">
        <f>IF(Q6=0,0, LOOKUP(Q6-0.000000000001,{0,93,95,96,97,98,99,99.5,99.99},{1,25,37,50,66,70,83,97,100}))</f>
        <v>66</v>
      </c>
      <c r="R16" s="1295">
        <f t="shared" si="11"/>
        <v>0.18131868131868131</v>
      </c>
      <c r="S16" s="1339">
        <f>IF(S6=0,0, LOOKUP(S6-0.000000000001,{0,93,95,96,97,98,99,99.5,99.99},{1,25,37,50,66,70,83,97,100}))</f>
        <v>1</v>
      </c>
      <c r="T16" s="1295">
        <f t="shared" si="12"/>
        <v>0.16666666666666666</v>
      </c>
      <c r="U16" s="1340">
        <f>IF(U6=0,0, LOOKUP(U6-0.000000000001,{0,93,95,96,97,98,99,99.5,99.99},{1,25,37,50,66,70,83,97,100}))</f>
        <v>66</v>
      </c>
      <c r="V16" s="1142">
        <f t="shared" si="13"/>
        <v>0.19879518072289157</v>
      </c>
      <c r="W16" s="1341">
        <f>IF(W6=0,0, LOOKUP(W6-0.000000000001,{0,93,95,96,97,98,99,99.5,99.99},{1,25,37,50,66,70,83,97,100}))</f>
        <v>25</v>
      </c>
      <c r="X16" s="985">
        <f t="shared" si="14"/>
        <v>0.16666666666666666</v>
      </c>
      <c r="Z16" s="654"/>
      <c r="AA16" s="654"/>
      <c r="AB16" s="1229" t="s">
        <v>135</v>
      </c>
      <c r="AC16" s="658">
        <v>37</v>
      </c>
    </row>
    <row r="17" spans="1:29" x14ac:dyDescent="0.3">
      <c r="A17" s="67" t="s">
        <v>17</v>
      </c>
      <c r="B17" s="1237">
        <v>258.3</v>
      </c>
      <c r="C17" s="1238" t="str">
        <f t="shared" si="6"/>
        <v>Comb</v>
      </c>
      <c r="D17" s="1237">
        <v>257.8</v>
      </c>
      <c r="E17" s="1238">
        <f t="shared" si="7"/>
        <v>85220</v>
      </c>
      <c r="F17" s="1237">
        <v>257.8</v>
      </c>
      <c r="G17" s="1239" t="str">
        <f t="shared" si="8"/>
        <v>MICH</v>
      </c>
      <c r="L17" s="1140" t="s">
        <v>123</v>
      </c>
      <c r="M17" s="1337">
        <f>IF(M7=0,0, LOOKUP(M7-0.000000000001,{0,93,95,96,97,98,99,99.5,99.99},{1,25,37,50,66,70,83,97,100}))</f>
        <v>70</v>
      </c>
      <c r="N17" s="1142">
        <f t="shared" si="9"/>
        <v>0.15659955257270694</v>
      </c>
      <c r="O17" s="1338">
        <f>IF(O7=0,0, LOOKUP(O7-0.000000000001,{0,93,95,96,97,98,99,99.5,99.99},{1,25,37,50,66,70,83,97,100}))</f>
        <v>50</v>
      </c>
      <c r="P17" s="1295">
        <f t="shared" si="10"/>
        <v>0.15060240963855423</v>
      </c>
      <c r="Q17" s="1339">
        <f>IF(Q7=0,0, LOOKUP(Q7-0.000000000001,{0,93,95,96,97,98,99,99.5,99.99},{1,25,37,50,66,70,83,97,100}))</f>
        <v>50</v>
      </c>
      <c r="R17" s="1295">
        <f t="shared" si="11"/>
        <v>0.13736263736263737</v>
      </c>
      <c r="S17" s="1339">
        <f>IF(S7=0,0, LOOKUP(S7-0.000000000001,{0,93,95,96,97,98,99,99.5,99.99},{1,25,37,50,66,70,83,97,100}))</f>
        <v>1</v>
      </c>
      <c r="T17" s="1295">
        <f t="shared" si="12"/>
        <v>0.16666666666666666</v>
      </c>
      <c r="U17" s="1340">
        <f>IF(U7=0,0, LOOKUP(U7-0.000000000001,{0,93,95,96,97,98,99,99.5,99.99},{1,25,37,50,66,70,83,97,100}))</f>
        <v>66</v>
      </c>
      <c r="V17" s="1142">
        <f t="shared" si="13"/>
        <v>0.19879518072289157</v>
      </c>
      <c r="W17" s="1341">
        <f>IF(W7=0,0, LOOKUP(W7-0.000000000001,{0,93,95,96,97,98,99,99.5,99.99},{1,25,37,50,66,70,83,97,100}))</f>
        <v>25</v>
      </c>
      <c r="X17" s="985">
        <f t="shared" si="14"/>
        <v>0.16666666666666666</v>
      </c>
      <c r="Z17" s="654"/>
      <c r="AA17" s="654"/>
      <c r="AB17" s="1229" t="s">
        <v>136</v>
      </c>
      <c r="AC17" s="658">
        <v>25</v>
      </c>
    </row>
    <row r="18" spans="1:29" x14ac:dyDescent="0.3">
      <c r="L18" s="1150" t="s">
        <v>118</v>
      </c>
      <c r="M18" s="1342">
        <f>IF(M8=0,0, LOOKUP(M8-0.000000000001,{0,93,95,96,97,98,99,99.5,99.99},{1,25,37,50,66,70,83,97,100}))</f>
        <v>0</v>
      </c>
      <c r="N18" s="1152">
        <f t="shared" si="9"/>
        <v>0</v>
      </c>
      <c r="O18" s="1343">
        <f>IF(O8=0,0, LOOKUP(O8-0.000000000001,{0,93,95,96,97,98,99,99.5,99.99},{1,25,37,50,66,70,83,97,100}))</f>
        <v>0</v>
      </c>
      <c r="P18" s="1298">
        <f t="shared" si="10"/>
        <v>0</v>
      </c>
      <c r="Q18" s="1344">
        <f>IF(Q8=0,0, LOOKUP(Q8-0.000000000001,{0,93,95,96,97,98,99,99.5,99.99},{1,25,37,50,66,70,83,97,100}))</f>
        <v>0</v>
      </c>
      <c r="R18" s="1298">
        <f t="shared" si="11"/>
        <v>0</v>
      </c>
      <c r="S18" s="1344">
        <f>IF(S8=0,0, LOOKUP(S8-0.000000000001,{0,93,95,96,97,98,99,99.5,99.99},{1,25,37,50,66,70,83,97,100}))</f>
        <v>0</v>
      </c>
      <c r="T18" s="1298">
        <f t="shared" si="12"/>
        <v>0</v>
      </c>
      <c r="U18" s="1345">
        <f>IF(U8=0,0, LOOKUP(U8-0.000000000001,{0,93,95,96,97,98,99,99.5,99.99},{1,25,37,50,66,70,83,97,100}))</f>
        <v>0</v>
      </c>
      <c r="V18" s="1152">
        <f t="shared" si="13"/>
        <v>0</v>
      </c>
      <c r="W18" s="1346">
        <f>IF(W8=0,0, LOOKUP(W8-0.000000000001,{0,93,95,96,97,98,99,99.5,99.99},{1,25,37,50,66,70,83,97,100}))</f>
        <v>0</v>
      </c>
      <c r="X18" s="985">
        <f t="shared" si="14"/>
        <v>0</v>
      </c>
      <c r="Z18" s="654"/>
      <c r="AA18" s="654"/>
      <c r="AB18" s="1229" t="s">
        <v>137</v>
      </c>
      <c r="AC18" s="658">
        <v>1</v>
      </c>
    </row>
    <row r="19" spans="1:29" x14ac:dyDescent="0.3">
      <c r="L19" s="6"/>
      <c r="M19" s="1158"/>
      <c r="N19" s="1041"/>
      <c r="O19" s="1158"/>
      <c r="P19" s="1041"/>
      <c r="Q19" s="1158"/>
      <c r="R19" s="1041"/>
      <c r="S19" s="1158"/>
      <c r="T19" s="1041"/>
      <c r="U19" s="1158"/>
      <c r="V19" s="1041"/>
      <c r="W19" s="1158"/>
      <c r="X19" s="985"/>
      <c r="Z19" s="654"/>
      <c r="AA19" s="654"/>
      <c r="AB19" s="1244">
        <v>0</v>
      </c>
      <c r="AC19" s="658">
        <v>0</v>
      </c>
    </row>
    <row r="20" spans="1:29" x14ac:dyDescent="0.3">
      <c r="A20" s="1300" t="s">
        <v>12</v>
      </c>
      <c r="B20" s="1301">
        <v>4</v>
      </c>
      <c r="C20" s="1302">
        <v>99.73</v>
      </c>
      <c r="M20" s="1303" t="s">
        <v>12</v>
      </c>
      <c r="N20" s="1126">
        <f>SUM(M21:M27)</f>
        <v>394.14023467059968</v>
      </c>
      <c r="O20" s="1347" t="s">
        <v>13</v>
      </c>
      <c r="P20" s="1075">
        <f>SUM(O21:O27)</f>
        <v>387.84126382309154</v>
      </c>
      <c r="Q20" s="1075" t="s">
        <v>14</v>
      </c>
      <c r="R20" s="1075">
        <f>SUM(Q21:Q27)</f>
        <v>388.00030160361763</v>
      </c>
      <c r="S20" s="1075" t="s">
        <v>15</v>
      </c>
      <c r="T20" s="1075">
        <f>SUM(S21:S27)</f>
        <v>310.70329332102187</v>
      </c>
      <c r="U20" s="1077" t="s">
        <v>16</v>
      </c>
      <c r="V20" s="990">
        <f>SUM(U21:U27)</f>
        <v>387.18287909909361</v>
      </c>
      <c r="W20" s="1305" t="s">
        <v>17</v>
      </c>
      <c r="Z20" s="1251" t="str">
        <f>Z1</f>
        <v>AVR-4</v>
      </c>
      <c r="AA20" s="1198" t="str">
        <f>AA1</f>
        <v>AVR-6</v>
      </c>
    </row>
    <row r="21" spans="1:29" x14ac:dyDescent="0.3">
      <c r="A21" s="583" t="s">
        <v>13</v>
      </c>
      <c r="B21" s="1174" t="s">
        <v>119</v>
      </c>
      <c r="C21" s="1252">
        <v>97.14</v>
      </c>
      <c r="L21" s="1253" t="str">
        <f>I1</f>
        <v>Comb</v>
      </c>
      <c r="M21" s="1306">
        <f>100-ABS((($J2-I2)/($J2)))*100</f>
        <v>98.648734301050553</v>
      </c>
      <c r="N21" s="1307"/>
      <c r="O21" s="1348">
        <f>100-ABS((($J3-I3)/($J3)))*100</f>
        <v>96.984264201283082</v>
      </c>
      <c r="P21" s="1256"/>
      <c r="Q21" s="1256">
        <f>100-ABS((($J4-I4)/($J4)))*100</f>
        <v>96.965402053520833</v>
      </c>
      <c r="R21" s="1256"/>
      <c r="S21" s="1256">
        <f>100-ABS((($J5-I5)/($J5)))*100</f>
        <v>76.215758694983066</v>
      </c>
      <c r="T21" s="1256"/>
      <c r="U21" s="1257">
        <f>100-ABS((($J6-I6)/($J6)))*100</f>
        <v>96.886017351850157</v>
      </c>
      <c r="V21" s="1311"/>
      <c r="W21" s="877">
        <f>100-ABS((($J7-I7)/($J7)))*100</f>
        <v>94.743208165151344</v>
      </c>
      <c r="Z21" s="853">
        <f t="array" ref="Z21">SUM(O21:U21/4)</f>
        <v>91.762860575409277</v>
      </c>
      <c r="AA21" s="855">
        <f t="array" ref="AA21">SUM(M21:W21/6)</f>
        <v>93.407230794639844</v>
      </c>
    </row>
    <row r="22" spans="1:29" x14ac:dyDescent="0.3">
      <c r="A22" s="585" t="s">
        <v>14</v>
      </c>
      <c r="B22" s="1182" t="s">
        <v>146</v>
      </c>
      <c r="C22" s="1260">
        <v>97.06</v>
      </c>
      <c r="L22" s="1261" t="str">
        <f>B11</f>
        <v>RD</v>
      </c>
      <c r="M22" s="1094">
        <f>100-ABS((($J2-B12)/($J2)))*100</f>
        <v>98.497166789849715</v>
      </c>
      <c r="N22" s="1312"/>
      <c r="O22" s="1349">
        <f>100-ABS((($J3-B13)/($J3)))*100</f>
        <v>96.986780886375428</v>
      </c>
      <c r="P22" s="1263"/>
      <c r="Q22" s="1263">
        <f>100-ABS((($J4-B14)/($J4)))*100</f>
        <v>96.986197676619085</v>
      </c>
      <c r="R22" s="1263"/>
      <c r="S22" s="1263">
        <f>100-ABS((($J5-B15)/($J5)))*100</f>
        <v>77.5623268698061</v>
      </c>
      <c r="T22" s="1263"/>
      <c r="U22" s="1264">
        <f>100-ABS((($J6-B16)/($J6)))*100</f>
        <v>96.67514843087362</v>
      </c>
      <c r="V22" s="1315"/>
      <c r="W22" s="884">
        <f>100-ABS((($J7-B17)/($J7)))*100</f>
        <v>94.687487258939129</v>
      </c>
      <c r="Z22" s="853">
        <f t="array" ref="Z22">SUM(O22:U22/4)</f>
        <v>92.052613465918554</v>
      </c>
      <c r="AA22" s="855">
        <f t="array" ref="AA22">SUM(M22:W22/6)</f>
        <v>93.565851318743853</v>
      </c>
    </row>
    <row r="23" spans="1:29" x14ac:dyDescent="0.3">
      <c r="A23" s="585" t="s">
        <v>15</v>
      </c>
      <c r="B23" s="1182" t="s">
        <v>123</v>
      </c>
      <c r="C23" s="1260">
        <v>79.87</v>
      </c>
      <c r="L23" s="1261">
        <f>D11</f>
        <v>85220</v>
      </c>
      <c r="M23" s="1094">
        <f>100-ABS((($J2-D12)/($J2)))*100</f>
        <v>98.497166789849715</v>
      </c>
      <c r="N23" s="1312"/>
      <c r="O23" s="1349">
        <f>100-ABS((($J3-D13)/($J3)))*100</f>
        <v>96.920817245534252</v>
      </c>
      <c r="P23" s="1263"/>
      <c r="Q23" s="1263">
        <f>100-ABS((($J4-D14)/($J4)))*100</f>
        <v>97.108288109002345</v>
      </c>
      <c r="R23" s="1263"/>
      <c r="S23" s="1263">
        <f>100-ABS((($J5-D15)/($J5)))*100</f>
        <v>79.870729455216988</v>
      </c>
      <c r="T23" s="1263"/>
      <c r="U23" s="1264">
        <f>100-ABS((($J6-D16)/($J6)))*100</f>
        <v>96.844783715012724</v>
      </c>
      <c r="V23" s="1315"/>
      <c r="W23" s="884">
        <f>100-ABS((($J7-D17)/($J7)))*100</f>
        <v>94.891344232886212</v>
      </c>
      <c r="Z23" s="853">
        <f t="array" ref="Z23">SUM(O23:U23/4)</f>
        <v>92.686154631191584</v>
      </c>
      <c r="AA23" s="855">
        <f t="array" ref="AA23">SUM(M23:W23/6)</f>
        <v>94.022188257917037</v>
      </c>
    </row>
    <row r="24" spans="1:29" x14ac:dyDescent="0.3">
      <c r="A24" s="591" t="s">
        <v>16</v>
      </c>
      <c r="B24" s="1183">
        <v>4</v>
      </c>
      <c r="C24" s="1267">
        <v>97.2</v>
      </c>
      <c r="L24" s="1268" t="str">
        <f>F11</f>
        <v>MICH</v>
      </c>
      <c r="M24" s="1116">
        <f>100-ABS((($J2-F12)/($J2)))*100</f>
        <v>98.497166789849715</v>
      </c>
      <c r="N24" s="1316"/>
      <c r="O24" s="1350">
        <f>100-ABS((($J3-F13)/($J3)))*100</f>
        <v>96.949401489898761</v>
      </c>
      <c r="P24" s="1270"/>
      <c r="Q24" s="1270">
        <f>100-ABS((($J4-F14)/($J4)))*100</f>
        <v>96.940413764475352</v>
      </c>
      <c r="R24" s="1270"/>
      <c r="S24" s="1270">
        <f>100-ABS((($J5-F15)/($J5)))*100</f>
        <v>77.054478301015706</v>
      </c>
      <c r="T24" s="1270"/>
      <c r="U24" s="1271">
        <f>100-ABS((($J6-F16)/($J6)))*100</f>
        <v>96.776929601357082</v>
      </c>
      <c r="V24" s="1320"/>
      <c r="W24" s="907">
        <f>100-ABS((($J7-F17)/($J7)))*100</f>
        <v>94.891344232886212</v>
      </c>
      <c r="Z24" s="853">
        <f t="array" ref="Z24">SUM(O24:U24/4)</f>
        <v>91.930305789186733</v>
      </c>
      <c r="AA24" s="855">
        <f t="array" ref="AA24">SUM(M24:W24/6)</f>
        <v>93.518289029913802</v>
      </c>
    </row>
    <row r="25" spans="1:29" x14ac:dyDescent="0.3">
      <c r="A25" s="1321" t="s">
        <v>17</v>
      </c>
      <c r="B25" s="1322" t="s">
        <v>119</v>
      </c>
      <c r="C25" s="1323">
        <v>94.93</v>
      </c>
    </row>
    <row r="26" spans="1:29" x14ac:dyDescent="0.3">
      <c r="A26" s="1410" t="s">
        <v>141</v>
      </c>
      <c r="B26" s="1410"/>
      <c r="C26" s="1277">
        <f>AVERAGE(C21:C24)</f>
        <v>92.817499999999995</v>
      </c>
    </row>
    <row r="27" spans="1:29" x14ac:dyDescent="0.3">
      <c r="A27" s="1411" t="s">
        <v>41</v>
      </c>
      <c r="B27" s="1411"/>
      <c r="C27" s="1324">
        <f>AVERAGE(C20:C25)</f>
        <v>94.321666666666673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C27"/>
  <sheetViews>
    <sheetView zoomScale="120" zoomScaleNormal="120" workbookViewId="0">
      <selection activeCell="I11" sqref="I11"/>
    </sheetView>
  </sheetViews>
  <sheetFormatPr defaultColWidth="8.77734375" defaultRowHeight="14.25" customHeight="1" x14ac:dyDescent="0.3"/>
  <cols>
    <col min="1" max="1" width="8.77734375" style="654"/>
    <col min="2" max="7" width="8.88671875" style="654" customWidth="1"/>
    <col min="8" max="8" width="5.77734375" style="654" customWidth="1"/>
    <col min="9" max="9" width="8.88671875" style="654" customWidth="1"/>
    <col min="10" max="10" width="9" style="654" customWidth="1"/>
    <col min="11" max="11" width="3.88671875" style="654" customWidth="1"/>
    <col min="12" max="12" width="9" style="654" customWidth="1"/>
    <col min="13" max="13" width="5.77734375" style="654" customWidth="1"/>
    <col min="14" max="14" width="6.5546875" style="985" hidden="1" customWidth="1"/>
    <col min="15" max="15" width="5.77734375" style="654" customWidth="1"/>
    <col min="16" max="16" width="6.5546875" style="654" hidden="1" customWidth="1"/>
    <col min="17" max="17" width="5.77734375" style="654" customWidth="1"/>
    <col min="18" max="18" width="6.5546875" style="654" hidden="1" customWidth="1"/>
    <col min="19" max="19" width="5.77734375" style="654" customWidth="1"/>
    <col min="20" max="20" width="6.5546875" style="654" hidden="1" customWidth="1"/>
    <col min="21" max="21" width="5.77734375" style="654" customWidth="1"/>
    <col min="22" max="22" width="7.109375" style="654" hidden="1" customWidth="1"/>
    <col min="23" max="23" width="5.77734375" style="654" customWidth="1"/>
    <col min="24" max="24" width="6.5546875" style="654" hidden="1" customWidth="1"/>
    <col min="25" max="25" width="7.33203125" style="654" customWidth="1"/>
    <col min="26" max="27" width="8.88671875" style="658" customWidth="1"/>
    <col min="28" max="16384" width="8.77734375" style="654"/>
  </cols>
  <sheetData>
    <row r="1" spans="1:29" x14ac:dyDescent="0.3">
      <c r="A1" s="1" t="s">
        <v>0</v>
      </c>
      <c r="B1" s="9" t="s">
        <v>121</v>
      </c>
      <c r="C1" s="10" t="s">
        <v>34</v>
      </c>
      <c r="D1" s="10" t="s">
        <v>119</v>
      </c>
      <c r="E1" s="10" t="s">
        <v>122</v>
      </c>
      <c r="F1" s="10">
        <v>4</v>
      </c>
      <c r="G1" s="10" t="s">
        <v>123</v>
      </c>
      <c r="H1" s="1071" t="s">
        <v>118</v>
      </c>
      <c r="I1" s="1192" t="s">
        <v>116</v>
      </c>
      <c r="J1" s="987" t="s">
        <v>125</v>
      </c>
      <c r="L1" s="1193" t="s">
        <v>139</v>
      </c>
      <c r="M1" s="1279" t="s">
        <v>12</v>
      </c>
      <c r="N1" s="990">
        <f>SUM(M2:M8)</f>
        <v>596.74836204804672</v>
      </c>
      <c r="O1" s="1074" t="s">
        <v>13</v>
      </c>
      <c r="P1" s="1075">
        <f>SUM(O2:O8)</f>
        <v>597.06216738511341</v>
      </c>
      <c r="Q1" s="1076" t="s">
        <v>14</v>
      </c>
      <c r="R1" s="1075">
        <f>SUM(Q2:Q8)</f>
        <v>598.57529579587185</v>
      </c>
      <c r="S1" s="1075" t="s">
        <v>15</v>
      </c>
      <c r="T1" s="1075">
        <f>SUM(S2:S8)</f>
        <v>574.65465465465468</v>
      </c>
      <c r="U1" s="1077" t="s">
        <v>16</v>
      </c>
      <c r="V1" s="990">
        <f>SUM(U2:U8)</f>
        <v>599.10142909247656</v>
      </c>
      <c r="W1" s="1078" t="s">
        <v>17</v>
      </c>
      <c r="X1" s="991">
        <f>SUM(W2:W8)</f>
        <v>595.58173784977919</v>
      </c>
      <c r="Z1" s="677" t="s">
        <v>18</v>
      </c>
      <c r="AA1" s="1198" t="s">
        <v>19</v>
      </c>
    </row>
    <row r="2" spans="1:29" x14ac:dyDescent="0.3">
      <c r="A2" s="26" t="s">
        <v>12</v>
      </c>
      <c r="B2" s="992">
        <v>4.1500000000000004</v>
      </c>
      <c r="C2" s="993">
        <v>4.1399999999999997</v>
      </c>
      <c r="D2" s="993">
        <v>4.1399999999999997</v>
      </c>
      <c r="E2" s="993">
        <v>4.1399999999999997</v>
      </c>
      <c r="F2" s="993">
        <v>4.1399999999999997</v>
      </c>
      <c r="G2" s="993">
        <v>4.1500000000000004</v>
      </c>
      <c r="H2" s="1079">
        <v>0</v>
      </c>
      <c r="I2" s="1199">
        <f>(B2*AVR!C239)+(C2*AVR!C240)+(D2*AVR!C241)+(E2*AVR!C242)+(F2*AVR!C243)+(G2*AVR!C244)+(H2*AVR!C245)</f>
        <v>3.0867114093959769</v>
      </c>
      <c r="J2" s="1080">
        <v>4.1210000000000004</v>
      </c>
      <c r="L2" s="1081" t="s">
        <v>121</v>
      </c>
      <c r="M2" s="1082">
        <f>100-ABS((($J2-B2)/($J2)))*100</f>
        <v>99.296287308905605</v>
      </c>
      <c r="N2" s="1351">
        <f t="shared" ref="N2:N8" si="0">M2/$N$1</f>
        <v>0.16639557579700712</v>
      </c>
      <c r="O2" s="1352">
        <f>100-ABS((($J3-B3)/($J3)))*100</f>
        <v>99.78981262783833</v>
      </c>
      <c r="P2" s="1085">
        <f t="shared" ref="P2:P8" si="1">O2/$P$1</f>
        <v>0.16713471072011921</v>
      </c>
      <c r="Q2" s="1201">
        <f>100-ABS((($J4-B4)/($J4)))*100</f>
        <v>99.794811622775015</v>
      </c>
      <c r="R2" s="1085">
        <f t="shared" ref="R2:R8" si="2">Q2/$R$1</f>
        <v>0.16672056518818876</v>
      </c>
      <c r="S2" s="1086">
        <f>100-ABS((($J5-B5)/($J5)))*100</f>
        <v>95.795795795795797</v>
      </c>
      <c r="T2" s="1085">
        <f t="shared" ref="T2:T8" si="3">S2/$T$1</f>
        <v>0.1667015050167224</v>
      </c>
      <c r="U2" s="1353">
        <f>100-ABS((($J6-B6)/($J6)))*100</f>
        <v>99.81100169103749</v>
      </c>
      <c r="V2" s="1088">
        <f t="shared" ref="V2:V8" si="4">U2/$V$1</f>
        <v>0.16660117443256972</v>
      </c>
      <c r="W2" s="1089">
        <f>100-ABS((($J7-B7)/($J7)))*100</f>
        <v>99.418649717076192</v>
      </c>
      <c r="X2" s="1090">
        <f t="shared" ref="X2:X8" si="5">W2/$X$1</f>
        <v>0.16692696132021445</v>
      </c>
      <c r="Z2" s="853">
        <f t="array" ref="Z2">SUM(O2:U2/4)</f>
        <v>98.922994629592921</v>
      </c>
      <c r="AA2" s="855">
        <f t="array" ref="AA2">SUM(M2:W2/6)</f>
        <v>99.123318715763844</v>
      </c>
    </row>
    <row r="3" spans="1:29" x14ac:dyDescent="0.3">
      <c r="A3" s="43" t="s">
        <v>13</v>
      </c>
      <c r="B3" s="1019">
        <v>46660</v>
      </c>
      <c r="C3" s="1020">
        <v>46500</v>
      </c>
      <c r="D3" s="1020">
        <v>46521</v>
      </c>
      <c r="E3" s="1020">
        <v>46520</v>
      </c>
      <c r="F3" s="1020">
        <v>46485</v>
      </c>
      <c r="G3" s="1020">
        <v>46490</v>
      </c>
      <c r="H3" s="1091">
        <v>0</v>
      </c>
      <c r="I3" s="1205">
        <f>(B3*AVR!E239)+(C3*AVR!E240)+(D3*AVR!E241)+(E3*AVR!E242)+(F3*AVR!E243)+(G3*AVR!E244)+(H3*AVR!E245)</f>
        <v>34358.853846153783</v>
      </c>
      <c r="J3" s="1092">
        <v>46758.28</v>
      </c>
      <c r="L3" s="1093" t="s">
        <v>34</v>
      </c>
      <c r="M3" s="1103">
        <f>100-ABS((($J2-C2)/($J2)))*100</f>
        <v>99.538946857558869</v>
      </c>
      <c r="N3" s="1354">
        <f t="shared" si="0"/>
        <v>0.16680221210149643</v>
      </c>
      <c r="O3" s="1096">
        <f>100-ABS((($J3-C3)/($J3)))*100</f>
        <v>99.447627243773724</v>
      </c>
      <c r="P3" s="1097">
        <f t="shared" si="1"/>
        <v>0.16656159555262628</v>
      </c>
      <c r="Q3" s="1212">
        <f>100-ABS((($J4-C4)/($J4)))*100</f>
        <v>99.616127985133531</v>
      </c>
      <c r="R3" s="1097">
        <f t="shared" si="2"/>
        <v>0.16642205029975871</v>
      </c>
      <c r="S3" s="1104">
        <f>100-ABS((($J5-C5)/($J5)))*100</f>
        <v>96.096096096096105</v>
      </c>
      <c r="T3" s="1097">
        <f t="shared" si="3"/>
        <v>0.16722408026755853</v>
      </c>
      <c r="U3" s="1285">
        <f>100-ABS((($J6-C6)/($J6)))*100</f>
        <v>99.804370171424793</v>
      </c>
      <c r="V3" s="1100">
        <f t="shared" si="4"/>
        <v>0.16659010532258156</v>
      </c>
      <c r="W3" s="884">
        <f>100-ABS((($J7-C7)/($J7)))*100</f>
        <v>99.217114952329283</v>
      </c>
      <c r="X3" s="1102">
        <f t="shared" si="5"/>
        <v>0.16658857827060231</v>
      </c>
      <c r="Z3" s="678">
        <f t="array" ref="Z3">SUM(O3:U3/4)</f>
        <v>98.866107305637016</v>
      </c>
      <c r="AA3" s="1204">
        <f t="array" ref="AA3">SUM(M3:W3/6)</f>
        <v>99.092313891643371</v>
      </c>
    </row>
    <row r="4" spans="1:29" x14ac:dyDescent="0.3">
      <c r="A4" s="43" t="s">
        <v>14</v>
      </c>
      <c r="B4" s="1019">
        <v>6702</v>
      </c>
      <c r="C4" s="1020">
        <v>6690</v>
      </c>
      <c r="D4" s="1020">
        <v>6702</v>
      </c>
      <c r="E4" s="1020">
        <v>6701</v>
      </c>
      <c r="F4" s="1020">
        <v>6702</v>
      </c>
      <c r="G4" s="1020">
        <v>6702</v>
      </c>
      <c r="H4" s="1091">
        <v>0</v>
      </c>
      <c r="I4" s="1205">
        <f>(B4*AVR!G239)+(C4*AVR!G240)+(D4*AVR!G241)+(E4*AVR!G242)+(F4*AVR!G243)+(G4*AVR!G244)+(H4*AVR!G245)</f>
        <v>5024.875</v>
      </c>
      <c r="J4" s="1092">
        <v>6715.78</v>
      </c>
      <c r="L4" s="1093" t="s">
        <v>119</v>
      </c>
      <c r="M4" s="1103">
        <f>100-ABS((($J2-D2)/($J2)))*100</f>
        <v>99.538946857558869</v>
      </c>
      <c r="N4" s="1354">
        <f t="shared" si="0"/>
        <v>0.16680221210149643</v>
      </c>
      <c r="O4" s="1096">
        <f>100-ABS((($J3-D3)/($J3)))*100</f>
        <v>99.492539075432205</v>
      </c>
      <c r="P4" s="1097">
        <f t="shared" si="1"/>
        <v>0.16663681691835974</v>
      </c>
      <c r="Q4" s="1104">
        <f>100-ABS((($J4-D4)/($J4)))*100</f>
        <v>99.794811622775015</v>
      </c>
      <c r="R4" s="1097">
        <f t="shared" si="2"/>
        <v>0.16672056518818876</v>
      </c>
      <c r="S4" s="1098">
        <f>100-ABS((($J5-D5)/($J5)))*100</f>
        <v>95.675675675675677</v>
      </c>
      <c r="T4" s="1097">
        <f t="shared" si="3"/>
        <v>0.16649247491638797</v>
      </c>
      <c r="U4" s="1285">
        <f>100-ABS((($J6-D6)/($J6)))*100</f>
        <v>99.857422328326535</v>
      </c>
      <c r="V4" s="1100">
        <f t="shared" si="4"/>
        <v>0.16667865820248723</v>
      </c>
      <c r="W4" s="884">
        <f>100-ABS((($J7-D7)/($J7)))*100</f>
        <v>99.286876986280149</v>
      </c>
      <c r="X4" s="1102">
        <f t="shared" si="5"/>
        <v>0.16670571086469885</v>
      </c>
      <c r="Z4" s="678">
        <f t="array" ref="Z4">SUM(O4:U4/4)</f>
        <v>98.830074639808089</v>
      </c>
      <c r="AA4" s="1204">
        <f t="array" ref="AA4">SUM(M4:W4/6)</f>
        <v>99.079933878895901</v>
      </c>
    </row>
    <row r="5" spans="1:29" x14ac:dyDescent="0.3">
      <c r="A5" s="43" t="s">
        <v>15</v>
      </c>
      <c r="B5" s="1019">
        <v>15.95</v>
      </c>
      <c r="C5" s="1020">
        <v>16</v>
      </c>
      <c r="D5" s="1020">
        <v>15.93</v>
      </c>
      <c r="E5" s="1020">
        <v>15.93</v>
      </c>
      <c r="F5" s="1020">
        <v>15.97</v>
      </c>
      <c r="G5" s="1020">
        <v>15.9</v>
      </c>
      <c r="H5" s="1091">
        <v>0</v>
      </c>
      <c r="I5" s="1209">
        <f>(B5*AVR!I239)+(C5*AVR!I240)+(D5*AVR!I241)+(E5*AVR!I242)+(F5*AVR!I243)+(G5*AVR!I244)+(H5*AVR!I245)</f>
        <v>10.220769230769225</v>
      </c>
      <c r="J5" s="1092">
        <v>16.649999999999999</v>
      </c>
      <c r="L5" s="1093" t="s">
        <v>122</v>
      </c>
      <c r="M5" s="1103">
        <f>100-ABS((($J2-E2)/($J2)))*100</f>
        <v>99.538946857558869</v>
      </c>
      <c r="N5" s="1354">
        <f t="shared" si="0"/>
        <v>0.16680221210149643</v>
      </c>
      <c r="O5" s="1096">
        <f>100-ABS((($J3-E3)/($J3)))*100</f>
        <v>99.490400416781796</v>
      </c>
      <c r="P5" s="1097">
        <f t="shared" si="1"/>
        <v>0.16663323494856291</v>
      </c>
      <c r="Q5" s="1212">
        <f>100-ABS((($J4-E4)/($J4)))*100</f>
        <v>99.779921319638234</v>
      </c>
      <c r="R5" s="1097">
        <f t="shared" si="2"/>
        <v>0.16669568894748626</v>
      </c>
      <c r="S5" s="1098">
        <f>100-ABS((($J5-E5)/($J5)))*100</f>
        <v>95.675675675675677</v>
      </c>
      <c r="T5" s="1097">
        <f t="shared" si="3"/>
        <v>0.16649247491638797</v>
      </c>
      <c r="U5" s="1285">
        <f>100-ABS((($J6-E6)/($J6)))*100</f>
        <v>99.829238369972487</v>
      </c>
      <c r="V5" s="1100">
        <f t="shared" si="4"/>
        <v>0.16663161448503733</v>
      </c>
      <c r="W5" s="884">
        <f>100-ABS((($J7-E7)/($J7)))*100</f>
        <v>99.286876986280149</v>
      </c>
      <c r="X5" s="1102">
        <f t="shared" si="5"/>
        <v>0.16670571086469885</v>
      </c>
      <c r="Z5" s="678">
        <f t="array" ref="Z5">SUM(O5:U5/4)</f>
        <v>98.818764295220149</v>
      </c>
      <c r="AA5" s="1204">
        <f t="array" ref="AA5">SUM(M5:W5/6)</f>
        <v>99.072385808551047</v>
      </c>
    </row>
    <row r="6" spans="1:29" x14ac:dyDescent="0.3">
      <c r="A6" s="43" t="s">
        <v>16</v>
      </c>
      <c r="B6" s="1019">
        <v>604.32000000000005</v>
      </c>
      <c r="C6" s="1020">
        <v>602</v>
      </c>
      <c r="D6" s="1020">
        <v>604.04</v>
      </c>
      <c r="E6" s="1020">
        <v>602.15</v>
      </c>
      <c r="F6" s="1020">
        <v>602.15</v>
      </c>
      <c r="G6" s="1020">
        <v>603</v>
      </c>
      <c r="H6" s="1091">
        <v>0</v>
      </c>
      <c r="I6" s="1205">
        <f>(B6*AVR!K239)+(C6*AVR!K240)+(D6*AVR!K241)+(E6*AVR!K242)+(F6*AVR!K243)+(G6*AVR!K244)+(H6*AVR!K245)</f>
        <v>447.54556701031089</v>
      </c>
      <c r="J6" s="1092">
        <v>603.17999999999995</v>
      </c>
      <c r="L6" s="1093">
        <v>4</v>
      </c>
      <c r="M6" s="1103">
        <f>100-ABS((($J2-F2)/($J2)))*100</f>
        <v>99.538946857558869</v>
      </c>
      <c r="N6" s="1354">
        <f t="shared" si="0"/>
        <v>0.16680221210149643</v>
      </c>
      <c r="O6" s="1096">
        <f>100-ABS((($J3-F3)/($J3)))*100</f>
        <v>99.415547364017669</v>
      </c>
      <c r="P6" s="1097">
        <f t="shared" si="1"/>
        <v>0.16650786600567383</v>
      </c>
      <c r="Q6" s="1104">
        <f>100-ABS((($J4-F4)/($J4)))*100</f>
        <v>99.794811622775015</v>
      </c>
      <c r="R6" s="1097">
        <f t="shared" si="2"/>
        <v>0.16672056518818876</v>
      </c>
      <c r="S6" s="1098">
        <f>100-ABS((($J5-F5)/($J5)))*100</f>
        <v>95.915915915915932</v>
      </c>
      <c r="T6" s="1097">
        <f t="shared" si="3"/>
        <v>0.16691053511705686</v>
      </c>
      <c r="U6" s="1285">
        <f>100-ABS((($J6-F6)/($J6)))*100</f>
        <v>99.829238369972487</v>
      </c>
      <c r="V6" s="1100">
        <f t="shared" si="4"/>
        <v>0.16663161448503733</v>
      </c>
      <c r="W6" s="884">
        <f>100-ABS((($J7-F7)/($J7)))*100</f>
        <v>99.155104255484076</v>
      </c>
      <c r="X6" s="1102">
        <f t="shared" si="5"/>
        <v>0.16648446040918319</v>
      </c>
      <c r="Z6" s="678">
        <f t="array" ref="Z6">SUM(O6:U6/4)</f>
        <v>98.863913059748</v>
      </c>
      <c r="AA6" s="1204">
        <f t="array" ref="AA6">SUM(M6:W6/6)</f>
        <v>99.08052286310361</v>
      </c>
    </row>
    <row r="7" spans="1:29" x14ac:dyDescent="0.3">
      <c r="A7" s="67" t="s">
        <v>17</v>
      </c>
      <c r="B7" s="1025">
        <v>256.52</v>
      </c>
      <c r="C7" s="1026">
        <v>256</v>
      </c>
      <c r="D7" s="1026">
        <v>256.18</v>
      </c>
      <c r="E7" s="1026">
        <v>256.18</v>
      </c>
      <c r="F7" s="1026">
        <v>255.84</v>
      </c>
      <c r="G7" s="1026">
        <v>256</v>
      </c>
      <c r="H7" s="1110">
        <v>0</v>
      </c>
      <c r="I7" s="1213">
        <f>(B7*X12)+(C7*X13)+(D7*X14)+(E7*X15)+(F7*X16)+(G7*X17)+(H7*X18)</f>
        <v>256.12</v>
      </c>
      <c r="J7" s="1112">
        <v>258.02</v>
      </c>
      <c r="L7" s="1093" t="s">
        <v>123</v>
      </c>
      <c r="M7" s="1094">
        <f>100-ABS((($J2-G2)/($J2)))*100</f>
        <v>99.296287308905605</v>
      </c>
      <c r="N7" s="1354">
        <f t="shared" si="0"/>
        <v>0.16639557579700712</v>
      </c>
      <c r="O7" s="1096">
        <f>100-ABS((($J3-G3)/($J3)))*100</f>
        <v>99.426240657269688</v>
      </c>
      <c r="P7" s="1097">
        <f t="shared" si="1"/>
        <v>0.166525775854658</v>
      </c>
      <c r="Q7" s="1104">
        <f>100-ABS((($J4-G4)/($J4)))*100</f>
        <v>99.794811622775015</v>
      </c>
      <c r="R7" s="1097">
        <f t="shared" si="2"/>
        <v>0.16672056518818876</v>
      </c>
      <c r="S7" s="1098">
        <f>100-ABS((($J5-G5)/($J5)))*100</f>
        <v>95.495495495495504</v>
      </c>
      <c r="T7" s="1097">
        <f t="shared" si="3"/>
        <v>0.1661789297658863</v>
      </c>
      <c r="U7" s="1114">
        <f>100-ABS((($J6-G6)/($J6)))*100</f>
        <v>99.970158161742773</v>
      </c>
      <c r="V7" s="1100">
        <f t="shared" si="4"/>
        <v>0.16686683307228684</v>
      </c>
      <c r="W7" s="884">
        <f>100-ABS((($J7-G7)/($J7)))*100</f>
        <v>99.217114952329283</v>
      </c>
      <c r="X7" s="1102">
        <f t="shared" si="5"/>
        <v>0.16658857827060231</v>
      </c>
      <c r="Z7" s="678">
        <f t="array" ref="Z7">SUM(O7:U7/4)</f>
        <v>98.796532802022909</v>
      </c>
      <c r="AA7" s="1204">
        <f t="array" ref="AA7">SUM(M7:W7/6)</f>
        <v>99.005465979699309</v>
      </c>
    </row>
    <row r="8" spans="1:29" x14ac:dyDescent="0.3">
      <c r="L8" s="1115" t="s">
        <v>118</v>
      </c>
      <c r="M8" s="1116">
        <f>100-ABS((($J2-H2)/($J2)))*100</f>
        <v>0</v>
      </c>
      <c r="N8" s="1355">
        <f t="shared" si="0"/>
        <v>0</v>
      </c>
      <c r="O8" s="1118">
        <f>100-ABS((($J3-H3)/($J3)))*100</f>
        <v>0</v>
      </c>
      <c r="P8" s="1119">
        <f t="shared" si="1"/>
        <v>0</v>
      </c>
      <c r="Q8" s="1120">
        <f>100-ABS((($J4-H4)/($J4)))*100</f>
        <v>0</v>
      </c>
      <c r="R8" s="1119">
        <f t="shared" si="2"/>
        <v>0</v>
      </c>
      <c r="S8" s="1120">
        <f>100-ABS((($J5-H5)/($J5)))*100</f>
        <v>0</v>
      </c>
      <c r="T8" s="1119">
        <f t="shared" si="3"/>
        <v>0</v>
      </c>
      <c r="U8" s="1121">
        <f>100-ABS((($J6-H6)/($J6)))*100</f>
        <v>0</v>
      </c>
      <c r="V8" s="1122">
        <f t="shared" si="4"/>
        <v>0</v>
      </c>
      <c r="W8" s="907">
        <f>100-ABS((($J7-H7)/($J7)))*100</f>
        <v>0</v>
      </c>
      <c r="X8" s="1123">
        <f t="shared" si="5"/>
        <v>0</v>
      </c>
      <c r="Z8" s="678">
        <f t="array" ref="Z8">SUM(O8:U8/4)</f>
        <v>0</v>
      </c>
      <c r="AA8" s="1204">
        <f t="array" ref="AA8">SUM(M8:W8/6)</f>
        <v>0</v>
      </c>
    </row>
    <row r="9" spans="1:29" x14ac:dyDescent="0.3">
      <c r="M9" s="658"/>
      <c r="N9" s="1041"/>
      <c r="O9" s="658"/>
      <c r="P9" s="658"/>
      <c r="Q9" s="658"/>
      <c r="R9" s="658"/>
      <c r="S9" s="658"/>
      <c r="T9" s="658"/>
      <c r="U9" s="658"/>
      <c r="V9" s="658"/>
      <c r="W9" s="658"/>
      <c r="AB9" s="1217" t="s">
        <v>29</v>
      </c>
      <c r="AC9" s="1217" t="s">
        <v>30</v>
      </c>
    </row>
    <row r="10" spans="1:29" x14ac:dyDescent="0.3">
      <c r="E10" s="694"/>
      <c r="M10" s="658"/>
      <c r="N10" s="1041"/>
      <c r="O10" s="658"/>
      <c r="P10" s="658"/>
      <c r="Q10" s="658"/>
      <c r="R10" s="658"/>
      <c r="S10" s="658"/>
      <c r="T10" s="658"/>
      <c r="U10" s="658"/>
      <c r="V10" s="658"/>
      <c r="W10" s="658"/>
      <c r="Z10" s="654"/>
      <c r="AA10" s="654"/>
      <c r="AB10" s="658" t="s">
        <v>129</v>
      </c>
      <c r="AC10" s="658">
        <v>100</v>
      </c>
    </row>
    <row r="11" spans="1:29" x14ac:dyDescent="0.3">
      <c r="B11" s="709" t="s">
        <v>31</v>
      </c>
      <c r="C11" s="710"/>
      <c r="D11" s="711">
        <v>85220</v>
      </c>
      <c r="E11" s="712"/>
      <c r="F11" s="711" t="s">
        <v>32</v>
      </c>
      <c r="G11" s="713"/>
      <c r="L11" s="1124" t="str">
        <f>I1</f>
        <v>Comb</v>
      </c>
      <c r="M11" s="1356" t="s">
        <v>12</v>
      </c>
      <c r="N11" s="1126">
        <f>SUM(M12:M18)</f>
        <v>554</v>
      </c>
      <c r="O11" s="1127" t="s">
        <v>13</v>
      </c>
      <c r="P11" s="1128">
        <f>SUM(O12:O18)</f>
        <v>512</v>
      </c>
      <c r="Q11" s="1128" t="s">
        <v>14</v>
      </c>
      <c r="R11" s="1128">
        <f>SUM(Q12:Q18)</f>
        <v>582</v>
      </c>
      <c r="S11" s="1128" t="s">
        <v>15</v>
      </c>
      <c r="T11" s="1128">
        <f>SUM(S12:S18)</f>
        <v>235</v>
      </c>
      <c r="U11" s="1129" t="s">
        <v>16</v>
      </c>
      <c r="V11" s="990">
        <f>SUM(U12:U18)</f>
        <v>582</v>
      </c>
      <c r="W11" s="1357" t="s">
        <v>17</v>
      </c>
      <c r="X11" s="658">
        <f>SUM(W12:W18)</f>
        <v>498</v>
      </c>
      <c r="Z11" s="654"/>
      <c r="AA11" s="654"/>
      <c r="AB11" s="658" t="s">
        <v>140</v>
      </c>
      <c r="AC11" s="658">
        <v>97</v>
      </c>
    </row>
    <row r="12" spans="1:29" x14ac:dyDescent="0.3">
      <c r="A12" s="1221" t="s">
        <v>12</v>
      </c>
      <c r="B12" s="1222">
        <v>4.1399999999999997</v>
      </c>
      <c r="C12" s="1223" t="str">
        <f t="shared" ref="C12:C17" si="6">IF(ABS(J2-I2)&lt;ABS(B12-J2),$I$1,$B$11)</f>
        <v>RD</v>
      </c>
      <c r="D12" s="1222">
        <v>4.1500000000000004</v>
      </c>
      <c r="E12" s="1223">
        <f t="shared" ref="E12:E17" si="7">IF(ABS(J2-I2)&lt;ABS(J2-D12),$I$1,$D$11)</f>
        <v>85220</v>
      </c>
      <c r="F12" s="1222">
        <v>4.16</v>
      </c>
      <c r="G12" s="1224" t="str">
        <f t="shared" ref="G12:G17" si="8">IF(ABS(I2-J2)&lt;ABS(J2-F12),$I$1,$F$11)</f>
        <v>MICH</v>
      </c>
      <c r="L12" s="1131" t="s">
        <v>121</v>
      </c>
      <c r="M12" s="1332">
        <f>IF(M2=0,0, LOOKUP(M2-0.000000000001,{0,93,95,96,97,98,99,99.5,99.99},{1,25,37,50,66,70,83,97,100}))</f>
        <v>83</v>
      </c>
      <c r="N12" s="1358">
        <f t="shared" ref="N12:N18" si="9">M12/$N$11</f>
        <v>0.14981949458483754</v>
      </c>
      <c r="O12" s="1134">
        <f>IF(O2=0,0, LOOKUP(O2-0.000000000001,{0,93,95,96,97,98,99,99.5,99.99},{1,25,37,50,66,70,83,97,100}))</f>
        <v>97</v>
      </c>
      <c r="P12" s="1135">
        <f t="shared" ref="P12:P18" si="10">O12/$P$11</f>
        <v>0.189453125</v>
      </c>
      <c r="Q12" s="1136">
        <f>IF(Q2=0,0, LOOKUP(Q2-0.000000000001,{0,93,95,96,97,98,99,99.5,99.99},{1,25,37,50,66,70,83,97,100}))</f>
        <v>97</v>
      </c>
      <c r="R12" s="1135">
        <f t="shared" ref="R12:R18" si="11">Q12/$R$11</f>
        <v>0.16666666666666666</v>
      </c>
      <c r="S12" s="1136">
        <f>IF(S2=0,0, LOOKUP(S2-0.000000000001,{0,93,95,96,97,98,99,99.5,99.99},{1,25,37,50,66,70,83,97,100}))</f>
        <v>37</v>
      </c>
      <c r="T12" s="1135">
        <f t="shared" ref="T12:T18" si="12">S12/$T$11</f>
        <v>0.1574468085106383</v>
      </c>
      <c r="U12" s="1137">
        <f>IF(U2=0,0, LOOKUP(U2-0.000000000001,{0,93,95,96,97,98,99,99.5,99.99},{1,25,37,50,66,70,83,97,100}))</f>
        <v>97</v>
      </c>
      <c r="V12" s="1359">
        <f t="shared" ref="V12:V18" si="13">U12/$V$11</f>
        <v>0.16666666666666666</v>
      </c>
      <c r="W12" s="1360">
        <f>IF(W2=0,0, LOOKUP(W2-0.000000000001,{0,93,95,96,97,98,99,99.5,99.99},{1,25,37,50,66,70,83,97,100}))</f>
        <v>83</v>
      </c>
      <c r="X12" s="985">
        <f t="shared" ref="X12:X18" si="14">W12/$X$11</f>
        <v>0.16666666666666666</v>
      </c>
      <c r="Z12" s="654"/>
      <c r="AA12" s="654"/>
      <c r="AB12" s="1229" t="s">
        <v>131</v>
      </c>
      <c r="AC12" s="658">
        <v>83</v>
      </c>
    </row>
    <row r="13" spans="1:29" x14ac:dyDescent="0.3">
      <c r="A13" s="43" t="s">
        <v>13</v>
      </c>
      <c r="B13" s="1230">
        <v>46520</v>
      </c>
      <c r="C13" s="1231" t="str">
        <f t="shared" si="6"/>
        <v>RD</v>
      </c>
      <c r="D13" s="1230">
        <v>46480</v>
      </c>
      <c r="E13" s="1231">
        <f t="shared" si="7"/>
        <v>85220</v>
      </c>
      <c r="F13" s="1230">
        <v>46289</v>
      </c>
      <c r="G13" s="1232" t="str">
        <f t="shared" si="8"/>
        <v>MICH</v>
      </c>
      <c r="L13" s="1140" t="s">
        <v>34</v>
      </c>
      <c r="M13" s="1337">
        <f>IF(M3=0,0, LOOKUP(M3-0.000000000001,{0,93,95,96,97,98,99,99.5,99.99},{1,25,37,50,66,70,83,97,100}))</f>
        <v>97</v>
      </c>
      <c r="N13" s="1361">
        <f t="shared" si="9"/>
        <v>0.17509025270758122</v>
      </c>
      <c r="O13" s="1143">
        <f>IF(O3=0,0, LOOKUP(O3-0.000000000001,{0,93,95,96,97,98,99,99.5,99.99},{1,25,37,50,66,70,83,97,100}))</f>
        <v>83</v>
      </c>
      <c r="P13" s="1144">
        <f t="shared" si="10"/>
        <v>0.162109375</v>
      </c>
      <c r="Q13" s="1145">
        <f>IF(Q3=0,0, LOOKUP(Q3-0.000000000001,{0,93,95,96,97,98,99,99.5,99.99},{1,25,37,50,66,70,83,97,100}))</f>
        <v>97</v>
      </c>
      <c r="R13" s="1144">
        <f t="shared" si="11"/>
        <v>0.16666666666666666</v>
      </c>
      <c r="S13" s="1145">
        <f>IF(S3=0,0, LOOKUP(S3-0.000000000001,{0,93,95,96,97,98,99,99.5,99.99},{1,25,37,50,66,70,83,97,100}))</f>
        <v>50</v>
      </c>
      <c r="T13" s="1144">
        <f t="shared" si="12"/>
        <v>0.21276595744680851</v>
      </c>
      <c r="U13" s="1146">
        <f>IF(U3=0,0, LOOKUP(U3-0.000000000001,{0,93,95,96,97,98,99,99.5,99.99},{1,25,37,50,66,70,83,97,100}))</f>
        <v>97</v>
      </c>
      <c r="V13" s="1362">
        <f t="shared" si="13"/>
        <v>0.16666666666666666</v>
      </c>
      <c r="W13" s="1363">
        <f>IF(W3=0,0, LOOKUP(W3-0.000000000001,{0,93,95,96,97,98,99,99.5,99.99},{1,25,37,50,66,70,83,97,100}))</f>
        <v>83</v>
      </c>
      <c r="X13" s="985">
        <f t="shared" si="14"/>
        <v>0.16666666666666666</v>
      </c>
      <c r="Z13" s="654"/>
      <c r="AA13" s="654"/>
      <c r="AB13" s="1229" t="s">
        <v>132</v>
      </c>
      <c r="AC13" s="658">
        <v>70</v>
      </c>
    </row>
    <row r="14" spans="1:29" x14ac:dyDescent="0.3">
      <c r="A14" s="43" t="s">
        <v>14</v>
      </c>
      <c r="B14" s="1230">
        <v>6701</v>
      </c>
      <c r="C14" s="1231" t="str">
        <f t="shared" si="6"/>
        <v>RD</v>
      </c>
      <c r="D14" s="1230">
        <v>6690</v>
      </c>
      <c r="E14" s="1231">
        <f t="shared" si="7"/>
        <v>85220</v>
      </c>
      <c r="F14" s="1230">
        <v>6640</v>
      </c>
      <c r="G14" s="1232" t="str">
        <f t="shared" si="8"/>
        <v>MICH</v>
      </c>
      <c r="L14" s="1140" t="s">
        <v>119</v>
      </c>
      <c r="M14" s="1337">
        <f>IF(M4=0,0, LOOKUP(M4-0.000000000001,{0,93,95,96,97,98,99,99.5,99.99},{1,25,37,50,66,70,83,97,100}))</f>
        <v>97</v>
      </c>
      <c r="N14" s="1361">
        <f t="shared" si="9"/>
        <v>0.17509025270758122</v>
      </c>
      <c r="O14" s="1143">
        <f>IF(O4=0,0, LOOKUP(O4-0.000000000001,{0,93,95,96,97,98,99,99.5,99.99},{1,25,37,50,66,70,83,97,100}))</f>
        <v>83</v>
      </c>
      <c r="P14" s="1144">
        <f t="shared" si="10"/>
        <v>0.162109375</v>
      </c>
      <c r="Q14" s="1145">
        <f>IF(Q4=0,0, LOOKUP(Q4-0.000000000001,{0,93,95,96,97,98,99,99.5,99.99},{1,25,37,50,66,70,83,97,100}))</f>
        <v>97</v>
      </c>
      <c r="R14" s="1144">
        <f t="shared" si="11"/>
        <v>0.16666666666666666</v>
      </c>
      <c r="S14" s="1145">
        <f>IF(S4=0,0, LOOKUP(S4-0.000000000001,{0,93,95,96,97,98,99,99.5,99.99},{1,25,37,50,66,70,83,97,100}))</f>
        <v>37</v>
      </c>
      <c r="T14" s="1144">
        <f t="shared" si="12"/>
        <v>0.1574468085106383</v>
      </c>
      <c r="U14" s="1146">
        <f>IF(U4=0,0, LOOKUP(U4-0.000000000001,{0,93,95,96,97,98,99,99.5,99.99},{1,25,37,50,66,70,83,97,100}))</f>
        <v>97</v>
      </c>
      <c r="V14" s="1362">
        <f t="shared" si="13"/>
        <v>0.16666666666666666</v>
      </c>
      <c r="W14" s="1363">
        <f>IF(W4=0,0, LOOKUP(W4-0.000000000001,{0,93,95,96,97,98,99,99.5,99.99},{1,25,37,50,66,70,83,97,100}))</f>
        <v>83</v>
      </c>
      <c r="X14" s="985">
        <f t="shared" si="14"/>
        <v>0.16666666666666666</v>
      </c>
      <c r="Z14" s="654"/>
      <c r="AA14" s="654"/>
      <c r="AB14" s="1229" t="s">
        <v>133</v>
      </c>
      <c r="AC14" s="658">
        <v>66</v>
      </c>
    </row>
    <row r="15" spans="1:29" x14ac:dyDescent="0.3">
      <c r="A15" s="43" t="s">
        <v>15</v>
      </c>
      <c r="B15" s="1230">
        <v>15.93</v>
      </c>
      <c r="C15" s="1231" t="str">
        <f t="shared" si="6"/>
        <v>RD</v>
      </c>
      <c r="D15" s="1230">
        <v>16.5</v>
      </c>
      <c r="E15" s="1231">
        <f t="shared" si="7"/>
        <v>85220</v>
      </c>
      <c r="F15" s="1230">
        <v>18.02</v>
      </c>
      <c r="G15" s="1232" t="str">
        <f t="shared" si="8"/>
        <v>MICH</v>
      </c>
      <c r="L15" s="1140" t="s">
        <v>122</v>
      </c>
      <c r="M15" s="1337">
        <f>IF(M5=0,0, LOOKUP(M5-0.000000000001,{0,93,95,96,97,98,99,99.5,99.99},{1,25,37,50,66,70,83,97,100}))</f>
        <v>97</v>
      </c>
      <c r="N15" s="1361">
        <f t="shared" si="9"/>
        <v>0.17509025270758122</v>
      </c>
      <c r="O15" s="1143">
        <f>IF(O5=0,0, LOOKUP(O5-0.000000000001,{0,93,95,96,97,98,99,99.5,99.99},{1,25,37,50,66,70,83,97,100}))</f>
        <v>83</v>
      </c>
      <c r="P15" s="1144">
        <f t="shared" si="10"/>
        <v>0.162109375</v>
      </c>
      <c r="Q15" s="1145">
        <f>IF(Q5=0,0, LOOKUP(Q5-0.000000000001,{0,93,95,96,97,98,99,99.5,99.99},{1,25,37,50,66,70,83,97,100}))</f>
        <v>97</v>
      </c>
      <c r="R15" s="1144">
        <f t="shared" si="11"/>
        <v>0.16666666666666666</v>
      </c>
      <c r="S15" s="1145">
        <f>IF(S5=0,0, LOOKUP(S5-0.000000000001,{0,93,95,96,97,98,99,99.5,99.99},{1,25,37,50,66,70,83,97,100}))</f>
        <v>37</v>
      </c>
      <c r="T15" s="1144">
        <f t="shared" si="12"/>
        <v>0.1574468085106383</v>
      </c>
      <c r="U15" s="1146">
        <f>IF(U5=0,0, LOOKUP(U5-0.000000000001,{0,93,95,96,97,98,99,99.5,99.99},{1,25,37,50,66,70,83,97,100}))</f>
        <v>97</v>
      </c>
      <c r="V15" s="1362">
        <f t="shared" si="13"/>
        <v>0.16666666666666666</v>
      </c>
      <c r="W15" s="1363">
        <f>IF(W5=0,0, LOOKUP(W5-0.000000000001,{0,93,95,96,97,98,99,99.5,99.99},{1,25,37,50,66,70,83,97,100}))</f>
        <v>83</v>
      </c>
      <c r="X15" s="985">
        <f t="shared" si="14"/>
        <v>0.16666666666666666</v>
      </c>
      <c r="Z15" s="654"/>
      <c r="AA15" s="654"/>
      <c r="AB15" s="1229" t="s">
        <v>134</v>
      </c>
      <c r="AC15" s="658">
        <v>50</v>
      </c>
    </row>
    <row r="16" spans="1:29" x14ac:dyDescent="0.3">
      <c r="A16" s="43" t="s">
        <v>16</v>
      </c>
      <c r="B16" s="1230">
        <v>602.1</v>
      </c>
      <c r="C16" s="1231" t="str">
        <f t="shared" si="6"/>
        <v>RD</v>
      </c>
      <c r="D16" s="1230">
        <v>600.5</v>
      </c>
      <c r="E16" s="1231">
        <f t="shared" si="7"/>
        <v>85220</v>
      </c>
      <c r="F16" s="1230">
        <v>595.70000000000005</v>
      </c>
      <c r="G16" s="1232" t="str">
        <f t="shared" si="8"/>
        <v>MICH</v>
      </c>
      <c r="L16" s="1140">
        <v>4</v>
      </c>
      <c r="M16" s="1337">
        <f>IF(M6=0,0, LOOKUP(M6-0.000000000001,{0,93,95,96,97,98,99,99.5,99.99},{1,25,37,50,66,70,83,97,100}))</f>
        <v>97</v>
      </c>
      <c r="N16" s="1361">
        <f t="shared" si="9"/>
        <v>0.17509025270758122</v>
      </c>
      <c r="O16" s="1143">
        <f>IF(O6=0,0, LOOKUP(O6-0.000000000001,{0,93,95,96,97,98,99,99.5,99.99},{1,25,37,50,66,70,83,97,100}))</f>
        <v>83</v>
      </c>
      <c r="P16" s="1144">
        <f t="shared" si="10"/>
        <v>0.162109375</v>
      </c>
      <c r="Q16" s="1145">
        <f>IF(Q6=0,0, LOOKUP(Q6-0.000000000001,{0,93,95,96,97,98,99,99.5,99.99},{1,25,37,50,66,70,83,97,100}))</f>
        <v>97</v>
      </c>
      <c r="R16" s="1144">
        <f t="shared" si="11"/>
        <v>0.16666666666666666</v>
      </c>
      <c r="S16" s="1145">
        <f>IF(S6=0,0, LOOKUP(S6-0.000000000001,{0,93,95,96,97,98,99,99.5,99.99},{1,25,37,50,66,70,83,97,100}))</f>
        <v>37</v>
      </c>
      <c r="T16" s="1144">
        <f t="shared" si="12"/>
        <v>0.1574468085106383</v>
      </c>
      <c r="U16" s="1146">
        <f>IF(U6=0,0, LOOKUP(U6-0.000000000001,{0,93,95,96,97,98,99,99.5,99.99},{1,25,37,50,66,70,83,97,100}))</f>
        <v>97</v>
      </c>
      <c r="V16" s="1362">
        <f t="shared" si="13"/>
        <v>0.16666666666666666</v>
      </c>
      <c r="W16" s="1363">
        <f>IF(W6=0,0, LOOKUP(W6-0.000000000001,{0,93,95,96,97,98,99,99.5,99.99},{1,25,37,50,66,70,83,97,100}))</f>
        <v>83</v>
      </c>
      <c r="X16" s="985">
        <f t="shared" si="14"/>
        <v>0.16666666666666666</v>
      </c>
      <c r="Z16" s="654"/>
      <c r="AA16" s="654"/>
      <c r="AB16" s="1229" t="s">
        <v>135</v>
      </c>
      <c r="AC16" s="658">
        <v>37</v>
      </c>
    </row>
    <row r="17" spans="1:29" x14ac:dyDescent="0.3">
      <c r="A17" s="67" t="s">
        <v>17</v>
      </c>
      <c r="B17" s="1237">
        <v>256.2</v>
      </c>
      <c r="C17" s="1238" t="str">
        <f t="shared" si="6"/>
        <v>RD</v>
      </c>
      <c r="D17" s="1237">
        <v>254.9</v>
      </c>
      <c r="E17" s="1238" t="str">
        <f t="shared" si="7"/>
        <v>Comb</v>
      </c>
      <c r="F17" s="1237">
        <v>252.1</v>
      </c>
      <c r="G17" s="1239" t="str">
        <f t="shared" si="8"/>
        <v>Comb</v>
      </c>
      <c r="L17" s="1140" t="s">
        <v>123</v>
      </c>
      <c r="M17" s="1337">
        <f>IF(M7=0,0, LOOKUP(M7-0.000000000001,{0,93,95,96,97,98,99,99.5,99.99},{1,25,37,50,66,70,83,97,100}))</f>
        <v>83</v>
      </c>
      <c r="N17" s="1361">
        <f t="shared" si="9"/>
        <v>0.14981949458483754</v>
      </c>
      <c r="O17" s="1143">
        <f>IF(O7=0,0, LOOKUP(O7-0.000000000001,{0,93,95,96,97,98,99,99.5,99.99},{1,25,37,50,66,70,83,97,100}))</f>
        <v>83</v>
      </c>
      <c r="P17" s="1144">
        <f t="shared" si="10"/>
        <v>0.162109375</v>
      </c>
      <c r="Q17" s="1145">
        <f>IF(Q7=0,0, LOOKUP(Q7-0.000000000001,{0,93,95,96,97,98,99,99.5,99.99},{1,25,37,50,66,70,83,97,100}))</f>
        <v>97</v>
      </c>
      <c r="R17" s="1144">
        <f t="shared" si="11"/>
        <v>0.16666666666666666</v>
      </c>
      <c r="S17" s="1145">
        <f>IF(S7=0,0, LOOKUP(S7-0.000000000001,{0,93,95,96,97,98,99,99.5,99.99},{1,25,37,50,66,70,83,97,100}))</f>
        <v>37</v>
      </c>
      <c r="T17" s="1144">
        <f t="shared" si="12"/>
        <v>0.1574468085106383</v>
      </c>
      <c r="U17" s="1146">
        <f>IF(U7=0,0, LOOKUP(U7-0.000000000001,{0,93,95,96,97,98,99,99.5,99.99},{1,25,37,50,66,70,83,97,100}))</f>
        <v>97</v>
      </c>
      <c r="V17" s="1362">
        <f t="shared" si="13"/>
        <v>0.16666666666666666</v>
      </c>
      <c r="W17" s="1363">
        <f>IF(W7=0,0, LOOKUP(W7-0.000000000001,{0,93,95,96,97,98,99,99.5,99.99},{1,25,37,50,66,70,83,97,100}))</f>
        <v>83</v>
      </c>
      <c r="X17" s="985">
        <f t="shared" si="14"/>
        <v>0.16666666666666666</v>
      </c>
      <c r="Z17" s="654"/>
      <c r="AA17" s="654"/>
      <c r="AB17" s="1229" t="s">
        <v>136</v>
      </c>
      <c r="AC17" s="658">
        <v>25</v>
      </c>
    </row>
    <row r="18" spans="1:29" x14ac:dyDescent="0.3">
      <c r="L18" s="1150" t="s">
        <v>118</v>
      </c>
      <c r="M18" s="1342">
        <f>IF(M8=0,0, LOOKUP(M8-0.000000000001,{0,93,95,96,97,98,99,99.5,99.99},{1,25,37,50,66,70,83,97,100}))</f>
        <v>0</v>
      </c>
      <c r="N18" s="1364">
        <f t="shared" si="9"/>
        <v>0</v>
      </c>
      <c r="O18" s="1153">
        <f>IF(O8=0,0, LOOKUP(O8-0.000000000001,{0,93,95,96,97,98,99,99.5,99.99},{1,25,37,50,66,70,83,97,100}))</f>
        <v>0</v>
      </c>
      <c r="P18" s="1154">
        <f t="shared" si="10"/>
        <v>0</v>
      </c>
      <c r="Q18" s="1155">
        <f>IF(Q8=0,0, LOOKUP(Q8-0.000000000001,{0,93,95,96,97,98,99,99.5,99.99},{1,25,37,50,66,70,83,97,100}))</f>
        <v>0</v>
      </c>
      <c r="R18" s="1154">
        <f t="shared" si="11"/>
        <v>0</v>
      </c>
      <c r="S18" s="1155">
        <f>IF(S8=0,0, LOOKUP(S8-0.000000000001,{0,93,95,96,97,98,99,99.5,99.99},{1,25,37,50,66,70,83,97,100}))</f>
        <v>0</v>
      </c>
      <c r="T18" s="1154">
        <f t="shared" si="12"/>
        <v>0</v>
      </c>
      <c r="U18" s="1156">
        <f>IF(U8=0,0, LOOKUP(U8-0.000000000001,{0,93,95,96,97,98,99,99.5,99.99},{1,25,37,50,66,70,83,97,100}))</f>
        <v>0</v>
      </c>
      <c r="V18" s="1365">
        <f t="shared" si="13"/>
        <v>0</v>
      </c>
      <c r="W18" s="1366">
        <f>IF(W8=0,0, LOOKUP(W8-0.000000000001,{0,93,95,96,97,98,99,99.5,99.99},{1,25,37,50,66,70,83,97,100}))</f>
        <v>0</v>
      </c>
      <c r="X18" s="985">
        <f t="shared" si="14"/>
        <v>0</v>
      </c>
      <c r="Z18" s="654"/>
      <c r="AA18" s="654"/>
      <c r="AB18" s="1229" t="s">
        <v>137</v>
      </c>
      <c r="AC18" s="658">
        <v>1</v>
      </c>
    </row>
    <row r="19" spans="1:29" x14ac:dyDescent="0.3">
      <c r="L19" s="6"/>
      <c r="M19" s="1158"/>
      <c r="N19" s="1041"/>
      <c r="O19" s="1158"/>
      <c r="P19" s="1041"/>
      <c r="Q19" s="1158"/>
      <c r="R19" s="1041"/>
      <c r="S19" s="1158"/>
      <c r="T19" s="1041"/>
      <c r="U19" s="1158"/>
      <c r="V19" s="1041"/>
      <c r="W19" s="1158"/>
      <c r="X19" s="985"/>
      <c r="Z19" s="654"/>
      <c r="AA19" s="654"/>
      <c r="AB19" s="1244">
        <v>0</v>
      </c>
      <c r="AC19" s="658">
        <v>0</v>
      </c>
    </row>
    <row r="20" spans="1:29" x14ac:dyDescent="0.3">
      <c r="A20" s="1300" t="s">
        <v>12</v>
      </c>
      <c r="B20" s="1301" t="s">
        <v>147</v>
      </c>
      <c r="C20" s="1302">
        <v>99.54</v>
      </c>
      <c r="M20" s="1303" t="s">
        <v>12</v>
      </c>
      <c r="N20" s="1126">
        <f>SUM(M21:M27)</f>
        <v>372.7908616694001</v>
      </c>
      <c r="O20" s="1347" t="s">
        <v>13</v>
      </c>
      <c r="P20" s="1075">
        <f>SUM(O21:O27)</f>
        <v>371.37348475212048</v>
      </c>
      <c r="Q20" s="1075" t="s">
        <v>14</v>
      </c>
      <c r="R20" s="1075">
        <f>SUM(Q21:Q27)</f>
        <v>373.08957410754971</v>
      </c>
      <c r="S20" s="1075" t="s">
        <v>15</v>
      </c>
      <c r="T20" s="1075">
        <f>SUM(S21:S27)</f>
        <v>347.93254793254789</v>
      </c>
      <c r="U20" s="1077" t="s">
        <v>16</v>
      </c>
      <c r="V20" s="990">
        <f>SUM(U21:U27)</f>
        <v>372.33422311918684</v>
      </c>
      <c r="W20" s="1305" t="s">
        <v>17</v>
      </c>
      <c r="Z20" s="1251" t="str">
        <f>Z1</f>
        <v>AVR-4</v>
      </c>
      <c r="AA20" s="1198" t="str">
        <f>AA1</f>
        <v>AVR-6</v>
      </c>
    </row>
    <row r="21" spans="1:29" x14ac:dyDescent="0.3">
      <c r="A21" s="583" t="s">
        <v>13</v>
      </c>
      <c r="B21" s="1367" t="s">
        <v>121</v>
      </c>
      <c r="C21" s="1252">
        <v>99.79</v>
      </c>
      <c r="L21" s="1253" t="str">
        <f>I1</f>
        <v>Comb</v>
      </c>
      <c r="M21" s="1368">
        <f>100-ABS((($J2-I2)/($J2)))*100</f>
        <v>74.901999742683245</v>
      </c>
      <c r="N21" s="1307"/>
      <c r="O21" s="1348">
        <f>100-ABS((($J3-I3)/($J3)))*100</f>
        <v>73.481859996034473</v>
      </c>
      <c r="P21" s="1256"/>
      <c r="Q21" s="1256">
        <f>100-ABS((($J4-I4)/($J4)))*100</f>
        <v>74.821911974483982</v>
      </c>
      <c r="R21" s="1256"/>
      <c r="S21" s="1256">
        <f>100-ABS((($J5-I5)/($J5)))*100</f>
        <v>61.386001386001354</v>
      </c>
      <c r="T21" s="1256"/>
      <c r="U21" s="1257">
        <f>100-ABS((($J6-I6)/($J6)))*100</f>
        <v>74.197680130360908</v>
      </c>
      <c r="V21" s="1311"/>
      <c r="W21" s="877">
        <f>100-ABS((($J7-I7)/($J7)))*100</f>
        <v>99.263622974963184</v>
      </c>
      <c r="Z21" s="853">
        <f t="array" ref="Z21">SUM(O21:U21/4)</f>
        <v>70.97186337172019</v>
      </c>
      <c r="AA21" s="855">
        <f t="array" ref="AA21">SUM(M21:W21/6)</f>
        <v>76.342179367421181</v>
      </c>
    </row>
    <row r="22" spans="1:29" x14ac:dyDescent="0.3">
      <c r="A22" s="585" t="s">
        <v>14</v>
      </c>
      <c r="B22" s="1369" t="s">
        <v>148</v>
      </c>
      <c r="C22" s="1260">
        <v>99.79</v>
      </c>
      <c r="L22" s="1261" t="str">
        <f>B11</f>
        <v>RD</v>
      </c>
      <c r="M22" s="1370">
        <f>100-ABS((($J2-B12)/($J2)))*100</f>
        <v>99.538946857558869</v>
      </c>
      <c r="N22" s="1312"/>
      <c r="O22" s="1349">
        <f>100-ABS((($J3-B13)/($J3)))*100</f>
        <v>99.490400416781796</v>
      </c>
      <c r="P22" s="1263"/>
      <c r="Q22" s="1263">
        <f>100-ABS((($J4-B14)/($J4)))*100</f>
        <v>99.779921319638234</v>
      </c>
      <c r="R22" s="1263"/>
      <c r="S22" s="1263">
        <f>100-ABS((($J5-B15)/($J5)))*100</f>
        <v>95.675675675675677</v>
      </c>
      <c r="T22" s="1263"/>
      <c r="U22" s="1264">
        <f>100-ABS((($J6-B16)/($J6)))*100</f>
        <v>99.820948970456598</v>
      </c>
      <c r="V22" s="1315"/>
      <c r="W22" s="884">
        <f>100-ABS((($J7-B17)/($J7)))*100</f>
        <v>99.29462832338578</v>
      </c>
      <c r="Z22" s="853">
        <f t="array" ref="Z22">SUM(O22:U22/4)</f>
        <v>98.691736595638076</v>
      </c>
      <c r="AA22" s="855">
        <f t="array" ref="AA22">SUM(M22:W22/6)</f>
        <v>98.933420260582835</v>
      </c>
    </row>
    <row r="23" spans="1:29" x14ac:dyDescent="0.3">
      <c r="A23" s="585" t="s">
        <v>15</v>
      </c>
      <c r="B23" s="1369" t="s">
        <v>34</v>
      </c>
      <c r="C23" s="1260">
        <v>99.79</v>
      </c>
      <c r="L23" s="1261">
        <f>D11</f>
        <v>85220</v>
      </c>
      <c r="M23" s="1370">
        <f>100-ABS((($J2-D12)/($J2)))*100</f>
        <v>99.296287308905605</v>
      </c>
      <c r="N23" s="1312"/>
      <c r="O23" s="1349">
        <f>100-ABS((($J3-D13)/($J3)))*100</f>
        <v>99.404854070765651</v>
      </c>
      <c r="P23" s="1263"/>
      <c r="Q23" s="1263">
        <f>100-ABS((($J4-D14)/($J4)))*100</f>
        <v>99.616127985133531</v>
      </c>
      <c r="R23" s="1263"/>
      <c r="S23" s="1263">
        <f>100-ABS((($J5-D15)/($J5)))*100</f>
        <v>99.099099099099107</v>
      </c>
      <c r="T23" s="1263"/>
      <c r="U23" s="1264">
        <f>100-ABS((($J6-D16)/($J6)))*100</f>
        <v>99.555688185947815</v>
      </c>
      <c r="V23" s="1315"/>
      <c r="W23" s="884">
        <f>100-ABS((($J7-D17)/($J7)))*100</f>
        <v>98.790791411518498</v>
      </c>
      <c r="Z23" s="853">
        <f t="array" ref="Z23">SUM(O23:U23/4)</f>
        <v>99.418942335236522</v>
      </c>
      <c r="AA23" s="855">
        <f t="array" ref="AA23">SUM(M23:W23/6)</f>
        <v>99.293808010228361</v>
      </c>
    </row>
    <row r="24" spans="1:29" x14ac:dyDescent="0.3">
      <c r="A24" s="591" t="s">
        <v>16</v>
      </c>
      <c r="B24" s="1371" t="s">
        <v>123</v>
      </c>
      <c r="C24" s="1267">
        <v>99.97</v>
      </c>
      <c r="L24" s="1268" t="str">
        <f>F11</f>
        <v>MICH</v>
      </c>
      <c r="M24" s="1372">
        <f>100-ABS((($J2-F12)/($J2)))*100</f>
        <v>99.053627760252368</v>
      </c>
      <c r="N24" s="1316"/>
      <c r="O24" s="1350">
        <f>100-ABS((($J3-F13)/($J3)))*100</f>
        <v>98.996370268538541</v>
      </c>
      <c r="P24" s="1270"/>
      <c r="Q24" s="1270">
        <f>100-ABS((($J4-F14)/($J4)))*100</f>
        <v>98.871612828293962</v>
      </c>
      <c r="R24" s="1270"/>
      <c r="S24" s="1270">
        <f>100-ABS((($J5-F15)/($J5)))*100</f>
        <v>91.771771771771768</v>
      </c>
      <c r="T24" s="1270"/>
      <c r="U24" s="1271">
        <f>100-ABS((($J6-F16)/($J6)))*100</f>
        <v>98.759905832421509</v>
      </c>
      <c r="V24" s="1320"/>
      <c r="W24" s="907">
        <f>100-ABS((($J7-F17)/($J7)))*100</f>
        <v>97.705604216727394</v>
      </c>
      <c r="Z24" s="853">
        <f t="array" ref="Z24">SUM(O24:U24/4)</f>
        <v>97.099915175256456</v>
      </c>
      <c r="AA24" s="855">
        <f t="array" ref="AA24">SUM(M24:W24/6)</f>
        <v>97.526482113000924</v>
      </c>
    </row>
    <row r="25" spans="1:29" x14ac:dyDescent="0.3">
      <c r="A25" s="1321" t="s">
        <v>17</v>
      </c>
      <c r="B25" s="1322" t="s">
        <v>121</v>
      </c>
      <c r="C25" s="1323">
        <v>99.42</v>
      </c>
    </row>
    <row r="26" spans="1:29" x14ac:dyDescent="0.3">
      <c r="A26" s="1410" t="s">
        <v>141</v>
      </c>
      <c r="B26" s="1410"/>
      <c r="C26" s="1277">
        <f>AVERAGE(C21:C24)</f>
        <v>99.835000000000008</v>
      </c>
    </row>
    <row r="27" spans="1:29" x14ac:dyDescent="0.3">
      <c r="A27" s="1411" t="s">
        <v>41</v>
      </c>
      <c r="B27" s="1411"/>
      <c r="C27" s="1324">
        <f>AVERAGE(C20:C25)</f>
        <v>99.716666666666654</v>
      </c>
    </row>
  </sheetData>
  <mergeCells count="2">
    <mergeCell ref="A26:B26"/>
    <mergeCell ref="A27:B27"/>
  </mergeCells>
  <pageMargins left="0.7" right="0.7" top="0.75" bottom="0.75" header="0.511811023622047" footer="0.511811023622047"/>
  <pageSetup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D44"/>
  <sheetViews>
    <sheetView zoomScale="120" zoomScaleNormal="120" workbookViewId="0">
      <selection activeCell="C32" sqref="C32"/>
    </sheetView>
  </sheetViews>
  <sheetFormatPr defaultColWidth="7.5546875" defaultRowHeight="12.75" customHeight="1" x14ac:dyDescent="0.3"/>
  <sheetData>
    <row r="1" spans="1:30" ht="14.4" x14ac:dyDescent="0.3">
      <c r="A1" s="1412" t="s">
        <v>44</v>
      </c>
      <c r="B1" s="1412"/>
      <c r="C1" s="1412"/>
      <c r="D1" s="1412"/>
      <c r="E1" s="1412"/>
      <c r="F1" s="1412"/>
      <c r="G1" s="1413" t="s">
        <v>45</v>
      </c>
      <c r="H1" s="1413"/>
      <c r="I1" s="1413"/>
      <c r="J1" s="1413"/>
      <c r="K1" s="1413"/>
      <c r="L1" s="1413"/>
      <c r="M1" s="1412" t="s">
        <v>149</v>
      </c>
      <c r="N1" s="1412"/>
      <c r="O1" s="1412"/>
      <c r="P1" s="1412"/>
      <c r="Q1" s="1412"/>
      <c r="R1" s="1412"/>
      <c r="S1" s="1413" t="s">
        <v>47</v>
      </c>
      <c r="T1" s="1413"/>
      <c r="U1" s="1413"/>
      <c r="V1" s="1413"/>
      <c r="W1" s="1413"/>
      <c r="X1" s="1413"/>
      <c r="Y1" s="1412" t="s">
        <v>48</v>
      </c>
      <c r="Z1" s="1412"/>
      <c r="AA1" s="1412"/>
      <c r="AB1" s="1412"/>
      <c r="AC1" s="1412"/>
      <c r="AD1" s="1412"/>
    </row>
    <row r="2" spans="1:30" ht="14.4" x14ac:dyDescent="0.3">
      <c r="A2" s="982" t="s">
        <v>12</v>
      </c>
      <c r="B2" s="982" t="s">
        <v>13</v>
      </c>
      <c r="C2" s="982" t="s">
        <v>14</v>
      </c>
      <c r="D2" s="982" t="s">
        <v>15</v>
      </c>
      <c r="E2" s="982" t="s">
        <v>16</v>
      </c>
      <c r="F2" s="982" t="s">
        <v>17</v>
      </c>
      <c r="G2" s="982" t="s">
        <v>12</v>
      </c>
      <c r="H2" s="982" t="s">
        <v>13</v>
      </c>
      <c r="I2" s="982" t="s">
        <v>14</v>
      </c>
      <c r="J2" s="982" t="s">
        <v>15</v>
      </c>
      <c r="K2" s="982" t="s">
        <v>16</v>
      </c>
      <c r="L2" s="982" t="s">
        <v>17</v>
      </c>
      <c r="M2" s="982" t="s">
        <v>12</v>
      </c>
      <c r="N2" s="982" t="s">
        <v>13</v>
      </c>
      <c r="O2" s="982" t="s">
        <v>14</v>
      </c>
      <c r="P2" s="982" t="s">
        <v>15</v>
      </c>
      <c r="Q2" s="982" t="s">
        <v>16</v>
      </c>
      <c r="R2" s="982" t="s">
        <v>17</v>
      </c>
      <c r="S2" s="982" t="s">
        <v>12</v>
      </c>
      <c r="T2" s="982" t="s">
        <v>13</v>
      </c>
      <c r="U2" s="982" t="s">
        <v>14</v>
      </c>
      <c r="V2" s="982" t="s">
        <v>15</v>
      </c>
      <c r="W2" s="982" t="s">
        <v>16</v>
      </c>
      <c r="X2" s="982" t="s">
        <v>17</v>
      </c>
      <c r="Y2" s="982" t="s">
        <v>12</v>
      </c>
      <c r="Z2" s="982" t="s">
        <v>13</v>
      </c>
      <c r="AA2" s="982" t="s">
        <v>14</v>
      </c>
      <c r="AB2" s="982" t="s">
        <v>15</v>
      </c>
      <c r="AC2" s="982" t="s">
        <v>16</v>
      </c>
      <c r="AD2" s="982" t="s">
        <v>17</v>
      </c>
    </row>
    <row r="3" spans="1:30" ht="14.4" x14ac:dyDescent="0.3">
      <c r="A3" s="1373">
        <f t="shared" ref="A3:AD3" si="0">AVERAGE(A4:A7)</f>
        <v>3.8650000000000503E-2</v>
      </c>
      <c r="B3" s="1373">
        <f t="shared" si="0"/>
        <v>71.390000000013998</v>
      </c>
      <c r="C3" s="1373">
        <f t="shared" si="0"/>
        <v>-45.131111111110798</v>
      </c>
      <c r="D3" s="1373">
        <f t="shared" si="0"/>
        <v>-0.77000000000000302</v>
      </c>
      <c r="E3" s="1373">
        <f t="shared" si="0"/>
        <v>-6.1599999999999699</v>
      </c>
      <c r="F3" s="1373">
        <f t="shared" si="0"/>
        <v>3.5244444444444998</v>
      </c>
      <c r="G3" s="1373">
        <f t="shared" si="0"/>
        <v>4.6891605839415498E-2</v>
      </c>
      <c r="H3" s="1373">
        <f t="shared" si="0"/>
        <v>-756.146099999998</v>
      </c>
      <c r="I3" s="1373">
        <f t="shared" si="0"/>
        <v>-112.249475290216</v>
      </c>
      <c r="J3" s="1373">
        <f t="shared" si="0"/>
        <v>3.1596682112545702</v>
      </c>
      <c r="K3" s="1373">
        <f t="shared" si="0"/>
        <v>-14.3063524369747</v>
      </c>
      <c r="L3" s="1373">
        <f t="shared" si="0"/>
        <v>-2.69656062091497</v>
      </c>
      <c r="M3" s="1373">
        <f t="shared" si="0"/>
        <v>0</v>
      </c>
      <c r="N3" s="1373">
        <f t="shared" si="0"/>
        <v>0</v>
      </c>
      <c r="O3" s="1373">
        <f t="shared" si="0"/>
        <v>0</v>
      </c>
      <c r="P3" s="1373">
        <f t="shared" si="0"/>
        <v>0</v>
      </c>
      <c r="Q3" s="1373">
        <f t="shared" si="0"/>
        <v>0</v>
      </c>
      <c r="R3" s="1373">
        <f t="shared" si="0"/>
        <v>0</v>
      </c>
      <c r="S3" s="1373">
        <f t="shared" si="0"/>
        <v>0</v>
      </c>
      <c r="T3" s="1373">
        <f t="shared" si="0"/>
        <v>0</v>
      </c>
      <c r="U3" s="1373">
        <f t="shared" si="0"/>
        <v>0</v>
      </c>
      <c r="V3" s="1373">
        <f t="shared" si="0"/>
        <v>0</v>
      </c>
      <c r="W3" s="1373">
        <f t="shared" si="0"/>
        <v>0</v>
      </c>
      <c r="X3" s="1373">
        <f t="shared" si="0"/>
        <v>0</v>
      </c>
      <c r="Y3" s="1373">
        <f t="shared" si="0"/>
        <v>0</v>
      </c>
      <c r="Z3" s="1373">
        <f t="shared" si="0"/>
        <v>0</v>
      </c>
      <c r="AA3" s="1373">
        <f t="shared" si="0"/>
        <v>0</v>
      </c>
      <c r="AB3" s="1373">
        <f t="shared" si="0"/>
        <v>0</v>
      </c>
      <c r="AC3" s="1373">
        <f t="shared" si="0"/>
        <v>0</v>
      </c>
      <c r="AD3" s="1373">
        <f t="shared" si="0"/>
        <v>0</v>
      </c>
    </row>
    <row r="4" spans="1:30" ht="14.4" x14ac:dyDescent="0.3">
      <c r="A4" s="1374">
        <v>3.8650000000000503E-2</v>
      </c>
      <c r="B4" s="692">
        <v>71.390000000013998</v>
      </c>
      <c r="C4" s="692">
        <v>-45.131111111110798</v>
      </c>
      <c r="D4" s="692">
        <v>-0.77000000000000302</v>
      </c>
      <c r="E4" s="692">
        <v>-6.1599999999999699</v>
      </c>
      <c r="F4" s="1375">
        <v>3.5244444444444998</v>
      </c>
      <c r="G4" s="1376">
        <v>4.6891605839415498E-2</v>
      </c>
      <c r="H4" s="1376">
        <v>-756.146099999998</v>
      </c>
      <c r="I4" s="1376">
        <v>-112.249475290216</v>
      </c>
      <c r="J4" s="1376">
        <v>3.1596682112545702</v>
      </c>
      <c r="K4" s="1376">
        <v>-14.3063524369747</v>
      </c>
      <c r="L4" s="1376">
        <v>-2.69656062091497</v>
      </c>
      <c r="M4" s="1374">
        <v>0</v>
      </c>
      <c r="N4" s="692">
        <v>0</v>
      </c>
      <c r="O4" s="692">
        <v>0</v>
      </c>
      <c r="P4" s="692">
        <v>0</v>
      </c>
      <c r="Q4" s="692">
        <v>0</v>
      </c>
      <c r="R4" s="1375">
        <v>0</v>
      </c>
      <c r="S4" s="1376">
        <v>0</v>
      </c>
      <c r="T4" s="1376">
        <v>0</v>
      </c>
      <c r="U4" s="1376">
        <v>0</v>
      </c>
      <c r="V4" s="1376">
        <v>0</v>
      </c>
      <c r="W4" s="1376">
        <v>0</v>
      </c>
      <c r="X4" s="1376">
        <v>0</v>
      </c>
      <c r="Y4" s="1377">
        <v>0</v>
      </c>
      <c r="Z4" s="1376">
        <v>0</v>
      </c>
      <c r="AA4" s="1376">
        <v>0</v>
      </c>
      <c r="AB4" s="1376">
        <v>0</v>
      </c>
      <c r="AC4" s="1376">
        <v>0</v>
      </c>
      <c r="AD4" s="1378">
        <v>0</v>
      </c>
    </row>
    <row r="5" spans="1:30" ht="14.4" x14ac:dyDescent="0.3">
      <c r="A5" s="1373"/>
      <c r="F5" s="1379"/>
      <c r="M5" s="1373"/>
      <c r="R5" s="1379"/>
      <c r="Y5" s="1373"/>
      <c r="AD5" s="1379"/>
    </row>
    <row r="6" spans="1:30" ht="14.4" x14ac:dyDescent="0.3">
      <c r="A6" s="1373"/>
      <c r="F6" s="1379"/>
      <c r="M6" s="1373"/>
      <c r="R6" s="1379"/>
      <c r="Y6" s="1373"/>
      <c r="AD6" s="1379"/>
    </row>
    <row r="7" spans="1:30" ht="14.4" x14ac:dyDescent="0.3">
      <c r="A7" s="1373"/>
      <c r="F7" s="1379"/>
      <c r="M7" s="1373"/>
      <c r="R7" s="1379"/>
      <c r="Y7" s="1373"/>
      <c r="AD7" s="1379"/>
    </row>
    <row r="8" spans="1:30" ht="14.4" x14ac:dyDescent="0.3">
      <c r="A8" s="1373"/>
      <c r="F8" s="1379"/>
      <c r="M8" s="1373"/>
      <c r="R8" s="1379"/>
      <c r="Y8" s="1373"/>
      <c r="AD8" s="1379"/>
    </row>
    <row r="9" spans="1:30" ht="14.4" x14ac:dyDescent="0.3">
      <c r="A9" s="1373"/>
      <c r="F9" s="1379"/>
      <c r="M9" s="1373"/>
      <c r="R9" s="1379"/>
      <c r="Y9" s="1373"/>
      <c r="AD9" s="1379"/>
    </row>
    <row r="10" spans="1:30" ht="14.4" x14ac:dyDescent="0.3">
      <c r="A10" s="1373"/>
      <c r="F10" s="1379"/>
      <c r="M10" s="1373"/>
      <c r="R10" s="1379"/>
      <c r="Y10" s="1373"/>
      <c r="AD10" s="1379"/>
    </row>
    <row r="11" spans="1:30" ht="14.4" x14ac:dyDescent="0.3">
      <c r="A11" s="1373"/>
      <c r="F11" s="1379"/>
      <c r="M11" s="1373"/>
      <c r="R11" s="1379"/>
      <c r="Y11" s="1373"/>
      <c r="AD11" s="1379"/>
    </row>
    <row r="12" spans="1:30" ht="14.4" x14ac:dyDescent="0.3">
      <c r="A12" s="1373"/>
      <c r="F12" s="1379"/>
      <c r="M12" s="1373"/>
      <c r="R12" s="1379"/>
      <c r="Y12" s="1373"/>
      <c r="AD12" s="1379"/>
    </row>
    <row r="13" spans="1:30" ht="14.4" x14ac:dyDescent="0.3">
      <c r="A13" s="1373"/>
      <c r="F13" s="1379"/>
      <c r="M13" s="1373"/>
      <c r="R13" s="1379"/>
      <c r="Y13" s="1373"/>
      <c r="AD13" s="1379"/>
    </row>
    <row r="14" spans="1:30" ht="14.4" x14ac:dyDescent="0.3">
      <c r="A14" s="1373"/>
      <c r="F14" s="1379"/>
      <c r="M14" s="1373"/>
      <c r="R14" s="1379"/>
      <c r="Y14" s="1373"/>
      <c r="AD14" s="1379"/>
    </row>
    <row r="15" spans="1:30" ht="14.4" x14ac:dyDescent="0.3">
      <c r="A15" s="1373"/>
      <c r="F15" s="1379"/>
      <c r="M15" s="1373"/>
      <c r="R15" s="1379"/>
      <c r="Y15" s="1373"/>
      <c r="AD15" s="1379"/>
    </row>
    <row r="16" spans="1:30" ht="14.4" x14ac:dyDescent="0.3">
      <c r="A16" s="1373"/>
      <c r="F16" s="1379"/>
      <c r="M16" s="1373"/>
      <c r="R16" s="1379"/>
      <c r="Y16" s="1373"/>
      <c r="AD16" s="1379"/>
    </row>
    <row r="17" spans="1:30" ht="14.4" x14ac:dyDescent="0.3">
      <c r="A17" s="1373"/>
      <c r="F17" s="1379"/>
      <c r="M17" s="1373"/>
      <c r="R17" s="1379"/>
      <c r="Y17" s="1373"/>
      <c r="AD17" s="1379"/>
    </row>
    <row r="18" spans="1:30" ht="14.4" x14ac:dyDescent="0.3">
      <c r="A18" s="1373"/>
      <c r="F18" s="1379"/>
      <c r="M18" s="1373"/>
      <c r="R18" s="1379"/>
      <c r="Y18" s="1373"/>
      <c r="AD18" s="1379"/>
    </row>
    <row r="19" spans="1:30" ht="14.4" x14ac:dyDescent="0.3">
      <c r="A19" s="1373"/>
      <c r="F19" s="1379"/>
      <c r="M19" s="1373"/>
      <c r="R19" s="1379"/>
      <c r="Y19" s="1373"/>
      <c r="AD19" s="1379"/>
    </row>
    <row r="20" spans="1:30" ht="14.4" x14ac:dyDescent="0.3">
      <c r="A20" s="1373"/>
      <c r="F20" s="1379"/>
      <c r="M20" s="1373"/>
      <c r="R20" s="1379"/>
      <c r="Y20" s="1373"/>
      <c r="AD20" s="1379"/>
    </row>
    <row r="21" spans="1:30" ht="14.4" x14ac:dyDescent="0.3">
      <c r="A21" s="1373"/>
      <c r="F21" s="1379"/>
      <c r="M21" s="1373"/>
      <c r="R21" s="1379"/>
      <c r="Y21" s="1373"/>
      <c r="AD21" s="1379"/>
    </row>
    <row r="22" spans="1:30" ht="14.4" x14ac:dyDescent="0.3">
      <c r="A22" s="1373"/>
      <c r="F22" s="1379"/>
      <c r="M22" s="1373"/>
      <c r="R22" s="1379"/>
      <c r="Y22" s="1373"/>
      <c r="AD22" s="1379"/>
    </row>
    <row r="23" spans="1:30" ht="14.4" x14ac:dyDescent="0.3">
      <c r="A23" s="1373"/>
      <c r="F23" s="1379"/>
      <c r="M23" s="1373"/>
      <c r="R23" s="1379"/>
      <c r="Y23" s="1373"/>
      <c r="AD23" s="1379"/>
    </row>
    <row r="24" spans="1:30" ht="14.4" x14ac:dyDescent="0.3">
      <c r="A24" s="1373"/>
      <c r="F24" s="1379"/>
      <c r="M24" s="1373"/>
      <c r="R24" s="1379"/>
      <c r="Y24" s="1373"/>
      <c r="AD24" s="1379"/>
    </row>
    <row r="25" spans="1:30" ht="14.4" x14ac:dyDescent="0.3">
      <c r="A25" s="1373"/>
      <c r="F25" s="1379"/>
      <c r="M25" s="1373"/>
      <c r="R25" s="1379"/>
      <c r="Y25" s="1373"/>
      <c r="AD25" s="1379"/>
    </row>
    <row r="26" spans="1:30" ht="14.4" x14ac:dyDescent="0.3">
      <c r="A26" s="1373"/>
      <c r="F26" s="1379"/>
      <c r="M26" s="1373"/>
      <c r="R26" s="1379"/>
      <c r="Y26" s="1373"/>
      <c r="AD26" s="1379"/>
    </row>
    <row r="27" spans="1:30" ht="14.4" x14ac:dyDescent="0.3">
      <c r="A27" s="1373"/>
      <c r="F27" s="1379"/>
      <c r="M27" s="1373"/>
      <c r="R27" s="1379"/>
      <c r="Y27" s="1373"/>
      <c r="AD27" s="1379"/>
    </row>
    <row r="28" spans="1:30" ht="14.4" x14ac:dyDescent="0.3">
      <c r="A28" s="1373"/>
      <c r="F28" s="1379"/>
      <c r="M28" s="1373"/>
      <c r="R28" s="1379"/>
      <c r="Y28" s="1373"/>
      <c r="AD28" s="1379"/>
    </row>
    <row r="29" spans="1:30" ht="14.4" x14ac:dyDescent="0.3">
      <c r="A29" s="1373"/>
      <c r="F29" s="1379"/>
      <c r="M29" s="1373"/>
      <c r="R29" s="1379"/>
      <c r="Y29" s="1373"/>
      <c r="AD29" s="1379"/>
    </row>
    <row r="30" spans="1:30" ht="14.4" x14ac:dyDescent="0.3">
      <c r="A30" s="1373"/>
      <c r="F30" s="1379"/>
      <c r="M30" s="1373"/>
      <c r="R30" s="1379"/>
      <c r="Y30" s="1373"/>
      <c r="AD30" s="1379"/>
    </row>
    <row r="31" spans="1:30" ht="14.4" x14ac:dyDescent="0.3">
      <c r="A31" s="1373"/>
      <c r="F31" s="1379"/>
      <c r="M31" s="1373"/>
      <c r="R31" s="1379"/>
      <c r="Y31" s="1373"/>
      <c r="AD31" s="1379"/>
    </row>
    <row r="32" spans="1:30" ht="14.4" x14ac:dyDescent="0.3">
      <c r="A32" s="1373"/>
      <c r="F32" s="1379"/>
      <c r="M32" s="1373"/>
      <c r="R32" s="1379"/>
      <c r="Y32" s="1373"/>
      <c r="AD32" s="1379"/>
    </row>
    <row r="33" spans="1:30" ht="14.4" x14ac:dyDescent="0.3">
      <c r="A33" s="1373"/>
      <c r="F33" s="1379"/>
      <c r="M33" s="1373"/>
      <c r="R33" s="1379"/>
      <c r="Y33" s="1373"/>
      <c r="AD33" s="1379"/>
    </row>
    <row r="34" spans="1:30" ht="14.4" x14ac:dyDescent="0.3">
      <c r="A34" s="1373"/>
      <c r="F34" s="1379"/>
      <c r="M34" s="1373"/>
      <c r="R34" s="1379"/>
      <c r="Y34" s="1373"/>
      <c r="AD34" s="1379"/>
    </row>
    <row r="35" spans="1:30" ht="14.4" x14ac:dyDescent="0.3">
      <c r="A35" s="1373"/>
      <c r="F35" s="1379"/>
      <c r="M35" s="1373"/>
      <c r="R35" s="1379"/>
      <c r="Y35" s="1373"/>
      <c r="AD35" s="1379"/>
    </row>
    <row r="36" spans="1:30" ht="14.4" x14ac:dyDescent="0.3">
      <c r="A36" s="1373"/>
      <c r="F36" s="1379"/>
      <c r="M36" s="1373"/>
      <c r="R36" s="1379"/>
      <c r="Y36" s="1373"/>
      <c r="AD36" s="1379"/>
    </row>
    <row r="37" spans="1:30" ht="14.4" x14ac:dyDescent="0.3">
      <c r="A37" s="1373"/>
      <c r="F37" s="1379"/>
      <c r="M37" s="1373"/>
      <c r="R37" s="1379"/>
      <c r="Y37" s="1373"/>
      <c r="AD37" s="1379"/>
    </row>
    <row r="38" spans="1:30" ht="14.4" x14ac:dyDescent="0.3">
      <c r="A38" s="1373"/>
      <c r="F38" s="1379"/>
      <c r="M38" s="1373"/>
      <c r="R38" s="1379"/>
      <c r="Y38" s="1373"/>
      <c r="AD38" s="1379"/>
    </row>
    <row r="39" spans="1:30" ht="14.4" x14ac:dyDescent="0.3">
      <c r="A39" s="1373"/>
      <c r="F39" s="1379"/>
      <c r="M39" s="1373"/>
      <c r="R39" s="1379"/>
      <c r="Y39" s="1373"/>
      <c r="AD39" s="1379"/>
    </row>
    <row r="40" spans="1:30" ht="14.4" x14ac:dyDescent="0.3">
      <c r="A40" s="1373"/>
      <c r="F40" s="1379"/>
      <c r="M40" s="1373"/>
      <c r="R40" s="1379"/>
      <c r="Y40" s="1373"/>
      <c r="AD40" s="1379"/>
    </row>
    <row r="41" spans="1:30" ht="14.4" x14ac:dyDescent="0.3">
      <c r="A41" s="1373"/>
      <c r="F41" s="1379"/>
      <c r="Y41" s="1373"/>
      <c r="AD41" s="1379"/>
    </row>
    <row r="42" spans="1:30" ht="14.4" x14ac:dyDescent="0.3">
      <c r="A42" s="1373"/>
      <c r="F42" s="1379"/>
    </row>
    <row r="43" spans="1:30" ht="14.4" x14ac:dyDescent="0.3">
      <c r="A43" s="1373"/>
      <c r="F43" s="1379"/>
    </row>
    <row r="44" spans="1:30" ht="14.4" x14ac:dyDescent="0.3">
      <c r="A44" s="1373"/>
      <c r="F44" s="1379"/>
    </row>
  </sheetData>
  <mergeCells count="5">
    <mergeCell ref="A1:F1"/>
    <mergeCell ref="G1:L1"/>
    <mergeCell ref="M1:R1"/>
    <mergeCell ref="S1:X1"/>
    <mergeCell ref="Y1:AD1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26-1-08</vt:lpstr>
      <vt:lpstr>26-1-07</vt:lpstr>
      <vt:lpstr>AVR</vt:lpstr>
      <vt:lpstr>26-1-06</vt:lpstr>
      <vt:lpstr>26-1-05</vt:lpstr>
      <vt:lpstr>26-1-04</vt:lpstr>
      <vt:lpstr>26-1-03</vt:lpstr>
      <vt:lpstr>26-1-02</vt:lpstr>
      <vt:lpstr>26-1-01</vt:lpstr>
      <vt:lpstr>25-4-12</vt:lpstr>
      <vt:lpstr>25-4-11</vt:lpstr>
      <vt:lpstr>25-4-10</vt:lpstr>
      <vt:lpstr>25-4-09</vt:lpstr>
      <vt:lpstr>25-4-08</vt:lpstr>
      <vt:lpstr>25-4-07</vt:lpstr>
      <vt:lpstr>25-4-06</vt:lpstr>
      <vt:lpstr>25-4-05</vt:lpstr>
      <vt:lpstr>25-4-04</vt:lpstr>
      <vt:lpstr>25-4-03</vt:lpstr>
      <vt:lpstr>25-4-02</vt:lpstr>
      <vt:lpstr>25-4-01</vt:lpstr>
      <vt:lpstr>FIG</vt:lpstr>
    </vt:vector>
  </TitlesOfParts>
  <Company>NEK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Dolovcak Robert</dc:creator>
  <dc:description/>
  <cp:lastModifiedBy>Dolovcak Robert</cp:lastModifiedBy>
  <cp:revision>82</cp:revision>
  <dcterms:created xsi:type="dcterms:W3CDTF">2025-11-03T08:31:31Z</dcterms:created>
  <dcterms:modified xsi:type="dcterms:W3CDTF">2026-02-25T12:28:07Z</dcterms:modified>
  <dc:language>en-US</dc:language>
</cp:coreProperties>
</file>