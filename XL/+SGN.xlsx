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xxLinux\01 FIN\"/>
    </mc:Choice>
  </mc:AlternateContent>
  <xr:revisionPtr revIDLastSave="0" documentId="13_ncr:1_{65E1BF9A-254E-45D9-9CAA-851014E7C068}" xr6:coauthVersionLast="47" xr6:coauthVersionMax="47" xr10:uidLastSave="{00000000-0000-0000-0000-000000000000}"/>
  <bookViews>
    <workbookView xWindow="-28920" yWindow="-1980" windowWidth="29040" windowHeight="17520" tabRatio="500" activeTab="6" xr2:uid="{00000000-000D-0000-FFFF-FFFF00000000}"/>
  </bookViews>
  <sheets>
    <sheet name="TNX" sheetId="1" r:id="rId1"/>
    <sheet name="DJI" sheetId="2" r:id="rId2"/>
    <sheet name="SPX" sheetId="3" r:id="rId3"/>
    <sheet name="VIX" sheetId="4" r:id="rId4"/>
    <sheet name="QQQ" sheetId="5" r:id="rId5"/>
    <sheet name="AAPL" sheetId="6" r:id="rId6"/>
    <sheet name="Info" sheetId="7" r:id="rId7"/>
    <sheet name="DATA" sheetId="8" r:id="rId8"/>
  </sheets>
  <definedNames>
    <definedName name="solver_adj" localSheetId="5" hidden="1">AAPL!$AF$4</definedName>
    <definedName name="solver_adj" localSheetId="1" hidden="1">DJI!$AF$5</definedName>
    <definedName name="solver_adj" localSheetId="4" hidden="1">QQQ!$AM$14</definedName>
    <definedName name="solver_adj" localSheetId="2" hidden="1">SPX!$AF$5</definedName>
    <definedName name="solver_adj" localSheetId="0" hidden="1">TNX!$AF$6</definedName>
    <definedName name="solver_adj" localSheetId="3" hidden="1">VIX!$AF$4</definedName>
    <definedName name="solver_cvg" localSheetId="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cvg" localSheetId="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cvg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)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0,0001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drv" localSheetId="5" hidden="1">1</definedName>
    <definedName name="solver_drv" localSheetId="1" hidden="1">1</definedName>
    <definedName name="solver_drv" localSheetId="4" hidden="1">1</definedName>
    <definedName name="solver_drv" localSheetId="2" hidden="1">1</definedName>
    <definedName name="solver_drv" localSheetId="0" hidden="1">1</definedName>
    <definedName name="solver_drv" localSheetId="3" hidden="1">1</definedName>
    <definedName name="solver_eng" localSheetId="5" hidden="1">1</definedName>
    <definedName name="solver_eng" localSheetId="1" hidden="1">1</definedName>
    <definedName name="solver_eng" localSheetId="4" hidden="1">1</definedName>
    <definedName name="solver_eng" localSheetId="2" hidden="1">1</definedName>
    <definedName name="solver_eng" localSheetId="0" hidden="1">1</definedName>
    <definedName name="solver_eng" localSheetId="3" hidden="1">1</definedName>
    <definedName name="solver_est" localSheetId="5" hidden="1">1</definedName>
    <definedName name="solver_est" localSheetId="1" hidden="1">1</definedName>
    <definedName name="solver_est" localSheetId="4" hidden="1">1</definedName>
    <definedName name="solver_est" localSheetId="2" hidden="1">1</definedName>
    <definedName name="solver_est" localSheetId="0" hidden="1">1</definedName>
    <definedName name="solver_est" localSheetId="3" hidden="1">1</definedName>
    <definedName name="solver_itr" localSheetId="5" hidden="1">2147483647</definedName>
    <definedName name="solver_itr" localSheetId="1" hidden="1">2147483647</definedName>
    <definedName name="solver_itr" localSheetId="4" hidden="1">2147483647</definedName>
    <definedName name="solver_itr" localSheetId="2" hidden="1">2147483647</definedName>
    <definedName name="solver_itr" localSheetId="0" hidden="1">2147483647</definedName>
    <definedName name="solver_itr" localSheetId="3" hidden="1">2147483647</definedName>
    <definedName name="solver_mip" localSheetId="5" hidden="1">2147483647</definedName>
    <definedName name="solver_mip" localSheetId="1" hidden="1">2147483647</definedName>
    <definedName name="solver_mip" localSheetId="4" hidden="1">2147483647</definedName>
    <definedName name="solver_mip" localSheetId="2" hidden="1">2147483647</definedName>
    <definedName name="solver_mip" localSheetId="0" hidden="1">2147483647</definedName>
    <definedName name="solver_mip" localSheetId="3" hidden="1">2147483647</definedName>
    <definedName name="solver_mni" localSheetId="5" hidden="1">30</definedName>
    <definedName name="solver_mni" localSheetId="1" hidden="1">30</definedName>
    <definedName name="solver_mni" localSheetId="4" hidden="1">30</definedName>
    <definedName name="solver_mni" localSheetId="2" hidden="1">30</definedName>
    <definedName name="solver_mni" localSheetId="0" hidden="1">30</definedName>
    <definedName name="solver_mni" localSheetId="3" hidden="1">30</definedName>
    <definedName name="solver_mrt" localSheetId="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mrt" localSheetId="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mrt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0,075""""""""""""""""""""""""""""""""""""""""""""""""""""""""""""""""""""""""""""""""""""""""""""""""""""""""""""""""""""""""""""""""""""""""""""""""""""""""""""""""""""""""""""""""""""""""""""""""""""""""""""""""""""""""""""""""""""""""""""""""""""""","""""""""")</definedName>
    <definedName name="solver_msl" localSheetId="5" hidden="1">2</definedName>
    <definedName name="solver_msl" localSheetId="1" hidden="1">2</definedName>
    <definedName name="solver_msl" localSheetId="4" hidden="1">2</definedName>
    <definedName name="solver_msl" localSheetId="2" hidden="1">2</definedName>
    <definedName name="solver_msl" localSheetId="0" hidden="1">2</definedName>
    <definedName name="solver_msl" localSheetId="3" hidden="1">2</definedName>
    <definedName name="solver_neg" localSheetId="5" hidden="1">2</definedName>
    <definedName name="solver_neg" localSheetId="1" hidden="1">1</definedName>
    <definedName name="solver_neg" localSheetId="4" hidden="1">1</definedName>
    <definedName name="solver_neg" localSheetId="2" hidden="1">1</definedName>
    <definedName name="solver_neg" localSheetId="0" hidden="1">1</definedName>
    <definedName name="solver_neg" localSheetId="3" hidden="1">1</definedName>
    <definedName name="solver_nod" localSheetId="5" hidden="1">2147483647</definedName>
    <definedName name="solver_nod" localSheetId="1" hidden="1">2147483647</definedName>
    <definedName name="solver_nod" localSheetId="4" hidden="1">2147483647</definedName>
    <definedName name="solver_nod" localSheetId="2" hidden="1">2147483647</definedName>
    <definedName name="solver_nod" localSheetId="0" hidden="1">2147483647</definedName>
    <definedName name="solver_nod" localSheetId="3" hidden="1">2147483647</definedName>
    <definedName name="solver_num" localSheetId="5" hidden="1">0</definedName>
    <definedName name="solver_num" localSheetId="1" hidden="1">0</definedName>
    <definedName name="solver_num" localSheetId="4" hidden="1">0</definedName>
    <definedName name="solver_num" localSheetId="2" hidden="1">0</definedName>
    <definedName name="solver_num" localSheetId="0" hidden="1">0</definedName>
    <definedName name="solver_num" localSheetId="3" hidden="1">0</definedName>
    <definedName name="solver_nwt" localSheetId="5" hidden="1">1</definedName>
    <definedName name="solver_nwt" localSheetId="1" hidden="1">1</definedName>
    <definedName name="solver_nwt" localSheetId="4" hidden="1">1</definedName>
    <definedName name="solver_nwt" localSheetId="2" hidden="1">1</definedName>
    <definedName name="solver_nwt" localSheetId="0" hidden="1">1</definedName>
    <definedName name="solver_nwt" localSheetId="3" hidden="1">1</definedName>
    <definedName name="solver_opt" localSheetId="5" hidden="1">AAPL!$I$1</definedName>
    <definedName name="solver_opt" localSheetId="1" hidden="1">DJI!$I$1</definedName>
    <definedName name="solver_opt" localSheetId="4" hidden="1">QQQ!$I$1</definedName>
    <definedName name="solver_opt" localSheetId="2" hidden="1">SPX!$I$1</definedName>
    <definedName name="solver_opt" localSheetId="0" hidden="1">TNX!$I$1</definedName>
    <definedName name="solver_opt" localSheetId="3" hidden="1">VIX!$I$1</definedName>
    <definedName name="solver_pre" localSheetId="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)</definedName>
    <definedName name="solver_pre" localSheetId="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)</definedName>
    <definedName name="solver_pre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0,000001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rbv" localSheetId="5" hidden="1">1</definedName>
    <definedName name="solver_rbv" localSheetId="1" hidden="1">1</definedName>
    <definedName name="solver_rbv" localSheetId="4" hidden="1">1</definedName>
    <definedName name="solver_rbv" localSheetId="2" hidden="1">1</definedName>
    <definedName name="solver_rbv" localSheetId="0" hidden="1">1</definedName>
    <definedName name="solver_rbv" localSheetId="3" hidden="1">1</definedName>
    <definedName name="solver_rlx" localSheetId="5" hidden="1">2</definedName>
    <definedName name="solver_rlx" localSheetId="1" hidden="1">2</definedName>
    <definedName name="solver_rlx" localSheetId="4" hidden="1">2</definedName>
    <definedName name="solver_rlx" localSheetId="2" hidden="1">2</definedName>
    <definedName name="solver_rlx" localSheetId="0" hidden="1">2</definedName>
    <definedName name="solver_rlx" localSheetId="3" hidden="1">2</definedName>
    <definedName name="solver_rsd" localSheetId="5" hidden="1">0</definedName>
    <definedName name="solver_rsd" localSheetId="1" hidden="1">0</definedName>
    <definedName name="solver_rsd" localSheetId="4" hidden="1">0</definedName>
    <definedName name="solver_rsd" localSheetId="2" hidden="1">0</definedName>
    <definedName name="solver_rsd" localSheetId="0" hidden="1">0</definedName>
    <definedName name="solver_rsd" localSheetId="3" hidden="1">0</definedName>
    <definedName name="solver_scl" localSheetId="5" hidden="1">1</definedName>
    <definedName name="solver_scl" localSheetId="1" hidden="1">1</definedName>
    <definedName name="solver_scl" localSheetId="4" hidden="1">1</definedName>
    <definedName name="solver_scl" localSheetId="2" hidden="1">1</definedName>
    <definedName name="solver_scl" localSheetId="0" hidden="1">1</definedName>
    <definedName name="solver_scl" localSheetId="3" hidden="1">1</definedName>
    <definedName name="solver_sho" localSheetId="5" hidden="1">2</definedName>
    <definedName name="solver_sho" localSheetId="1" hidden="1">2</definedName>
    <definedName name="solver_sho" localSheetId="4" hidden="1">2</definedName>
    <definedName name="solver_sho" localSheetId="2" hidden="1">2</definedName>
    <definedName name="solver_sho" localSheetId="0" hidden="1">2</definedName>
    <definedName name="solver_sho" localSheetId="3" hidden="1">2</definedName>
    <definedName name="solver_ssz" localSheetId="5" hidden="1">100</definedName>
    <definedName name="solver_ssz" localSheetId="1" hidden="1">100</definedName>
    <definedName name="solver_ssz" localSheetId="4" hidden="1">100</definedName>
    <definedName name="solver_ssz" localSheetId="2" hidden="1">100</definedName>
    <definedName name="solver_ssz" localSheetId="0" hidden="1">100</definedName>
    <definedName name="solver_ssz" localSheetId="3" hidden="1">100</definedName>
    <definedName name="solver_tim" localSheetId="5" hidden="1">2147483647</definedName>
    <definedName name="solver_tim" localSheetId="1" hidden="1">2147483647</definedName>
    <definedName name="solver_tim" localSheetId="4" hidden="1">2147483647</definedName>
    <definedName name="solver_tim" localSheetId="2" hidden="1">2147483647</definedName>
    <definedName name="solver_tim" localSheetId="0" hidden="1">2147483647</definedName>
    <definedName name="solver_tim" localSheetId="3" hidden="1">2147483647</definedName>
    <definedName name="solver_tol" localSheetId="5" hidden="1">1</definedName>
    <definedName name="solver_tol" localSheetId="1" hidden="1">1</definedName>
    <definedName name="solver_tol" localSheetId="4" hidden="1">1</definedName>
    <definedName name="solver_tol" localSheetId="2" hidden="1">1</definedName>
    <definedName name="solver_tol" localSheetId="0" hidden="1">1</definedName>
    <definedName name="solver_tol" localSheetId="3" hidden="1">1</definedName>
    <definedName name="solver_typ" localSheetId="5" hidden="1">2</definedName>
    <definedName name="solver_typ" localSheetId="1" hidden="1">2</definedName>
    <definedName name="solver_typ" localSheetId="4" hidden="1">2</definedName>
    <definedName name="solver_typ" localSheetId="2" hidden="1">2</definedName>
    <definedName name="solver_typ" localSheetId="0" hidden="1">2</definedName>
    <definedName name="solver_typ" localSheetId="3" hidden="1">2</definedName>
    <definedName name="solver_val" localSheetId="5" hidden="1">0</definedName>
    <definedName name="solver_val" localSheetId="1" hidden="1">0</definedName>
    <definedName name="solver_val" localSheetId="4" hidden="1">0</definedName>
    <definedName name="solver_val" localSheetId="2" hidden="1">0</definedName>
    <definedName name="solver_val" localSheetId="0" hidden="1">0</definedName>
    <definedName name="solver_val" localSheetId="3" hidden="1">0</definedName>
    <definedName name="solver_ver" localSheetId="5" hidden="1">3</definedName>
    <definedName name="solver_ver" localSheetId="1" hidden="1">3</definedName>
    <definedName name="solver_ver" localSheetId="4" hidden="1">3</definedName>
    <definedName name="solver_ver" localSheetId="2" hidden="1">3</definedName>
    <definedName name="solver_ver" localSheetId="0" hidden="1">3</definedName>
    <definedName name="solver_ver" localSheetId="3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8" l="1"/>
  <c r="A4" i="8" s="1"/>
  <c r="A5" i="8" s="1"/>
  <c r="A6" i="8" s="1"/>
  <c r="A7" i="8" s="1"/>
  <c r="AH15" i="6"/>
  <c r="H15" i="6"/>
  <c r="AI15" i="6" s="1"/>
  <c r="G15" i="6"/>
  <c r="AH14" i="6"/>
  <c r="H14" i="6"/>
  <c r="G14" i="6"/>
  <c r="AG13" i="6"/>
  <c r="E13" i="6"/>
  <c r="D13" i="6"/>
  <c r="H12" i="6"/>
  <c r="G12" i="6"/>
  <c r="AH12" i="6" s="1"/>
  <c r="AI11" i="6"/>
  <c r="AD11" i="6"/>
  <c r="AD12" i="6" s="1"/>
  <c r="AD14" i="6" s="1"/>
  <c r="AD15" i="6" s="1"/>
  <c r="H11" i="6"/>
  <c r="E11" i="6"/>
  <c r="G11" i="6" s="1"/>
  <c r="AH11" i="6" s="1"/>
  <c r="D11" i="6"/>
  <c r="C11" i="6"/>
  <c r="C12" i="6" s="1"/>
  <c r="C13" i="6" s="1"/>
  <c r="C14" i="6" s="1"/>
  <c r="C15" i="6" s="1"/>
  <c r="AI10" i="6"/>
  <c r="AH10" i="6"/>
  <c r="Q10" i="6"/>
  <c r="Q11" i="6" s="1"/>
  <c r="Q12" i="6" s="1"/>
  <c r="Q13" i="6" s="1"/>
  <c r="Q14" i="6" s="1"/>
  <c r="Q15" i="6" s="1"/>
  <c r="H10" i="6"/>
  <c r="G10" i="6"/>
  <c r="C10" i="6"/>
  <c r="B10" i="6"/>
  <c r="B11" i="6" s="1"/>
  <c r="B12" i="6" s="1"/>
  <c r="B13" i="6" s="1"/>
  <c r="B14" i="6" s="1"/>
  <c r="B15" i="6" s="1"/>
  <c r="A10" i="6"/>
  <c r="A11" i="6" s="1"/>
  <c r="A12" i="6" s="1"/>
  <c r="A13" i="6" s="1"/>
  <c r="A14" i="6" s="1"/>
  <c r="A15" i="6" s="1"/>
  <c r="AI9" i="6"/>
  <c r="H9" i="6"/>
  <c r="G9" i="6"/>
  <c r="AH9" i="6" s="1"/>
  <c r="AH8" i="6"/>
  <c r="H8" i="6"/>
  <c r="AI8" i="6" s="1"/>
  <c r="G8" i="6"/>
  <c r="AH7" i="6"/>
  <c r="AF7" i="6"/>
  <c r="H7" i="6"/>
  <c r="G7" i="6"/>
  <c r="AH6" i="6"/>
  <c r="AG6" i="6"/>
  <c r="AG8" i="6" s="1"/>
  <c r="AG9" i="6" s="1"/>
  <c r="AF6" i="6"/>
  <c r="AF8" i="6" s="1"/>
  <c r="AF9" i="6" s="1"/>
  <c r="AF13" i="6" s="1"/>
  <c r="AD6" i="6"/>
  <c r="AD8" i="6" s="1"/>
  <c r="AD9" i="6" s="1"/>
  <c r="AD13" i="6" s="1"/>
  <c r="AC6" i="6"/>
  <c r="AC8" i="6" s="1"/>
  <c r="AC9" i="6" s="1"/>
  <c r="AC13" i="6" s="1"/>
  <c r="H6" i="6"/>
  <c r="G6" i="6"/>
  <c r="AH5" i="6"/>
  <c r="AF5" i="6"/>
  <c r="AD5" i="6"/>
  <c r="AD7" i="6" s="1"/>
  <c r="AD10" i="6" s="1"/>
  <c r="AC5" i="6"/>
  <c r="AC7" i="6" s="1"/>
  <c r="AC11" i="6" s="1"/>
  <c r="AC12" i="6" s="1"/>
  <c r="AC14" i="6" s="1"/>
  <c r="AC15" i="6" s="1"/>
  <c r="H5" i="6"/>
  <c r="AI5" i="6" s="1"/>
  <c r="G5" i="6"/>
  <c r="B5" i="6"/>
  <c r="B6" i="6" s="1"/>
  <c r="B7" i="6" s="1"/>
  <c r="B8" i="6" s="1"/>
  <c r="A5" i="6"/>
  <c r="A6" i="6" s="1"/>
  <c r="A7" i="6" s="1"/>
  <c r="A8" i="6" s="1"/>
  <c r="A9" i="6" s="1"/>
  <c r="AH4" i="6"/>
  <c r="AG4" i="6"/>
  <c r="H4" i="6"/>
  <c r="AI4" i="6" s="1"/>
  <c r="G4" i="6"/>
  <c r="C4" i="6"/>
  <c r="C5" i="6" s="1"/>
  <c r="C6" i="6" s="1"/>
  <c r="C7" i="6" s="1"/>
  <c r="C8" i="6" s="1"/>
  <c r="B4" i="6"/>
  <c r="A4" i="6"/>
  <c r="AH3" i="6"/>
  <c r="AG3" i="6"/>
  <c r="K3" i="6"/>
  <c r="H3" i="6"/>
  <c r="AI3" i="6" s="1"/>
  <c r="G3" i="6"/>
  <c r="K2" i="6"/>
  <c r="F2" i="6"/>
  <c r="AH15" i="5"/>
  <c r="H15" i="5"/>
  <c r="G15" i="5"/>
  <c r="AN14" i="5"/>
  <c r="K14" i="5" s="1"/>
  <c r="AK14" i="5"/>
  <c r="H14" i="5"/>
  <c r="AI14" i="5" s="1"/>
  <c r="G14" i="5"/>
  <c r="AH14" i="5" s="1"/>
  <c r="B14" i="5"/>
  <c r="B15" i="5" s="1"/>
  <c r="AI13" i="5"/>
  <c r="H13" i="5"/>
  <c r="G13" i="5"/>
  <c r="AH13" i="5" s="1"/>
  <c r="E13" i="5"/>
  <c r="D13" i="5"/>
  <c r="AH12" i="5"/>
  <c r="H12" i="5"/>
  <c r="AI12" i="5" s="1"/>
  <c r="G12" i="5"/>
  <c r="B12" i="5"/>
  <c r="B13" i="5" s="1"/>
  <c r="Q11" i="5"/>
  <c r="Q12" i="5" s="1"/>
  <c r="Q13" i="5" s="1"/>
  <c r="Q14" i="5" s="1"/>
  <c r="Q15" i="5" s="1"/>
  <c r="E11" i="5"/>
  <c r="D11" i="5"/>
  <c r="H11" i="5" s="1"/>
  <c r="B11" i="5"/>
  <c r="AF10" i="5"/>
  <c r="AF15" i="5" s="1"/>
  <c r="Q10" i="5"/>
  <c r="H10" i="5"/>
  <c r="G10" i="5"/>
  <c r="AH10" i="5" s="1"/>
  <c r="C10" i="5"/>
  <c r="C11" i="5" s="1"/>
  <c r="C12" i="5" s="1"/>
  <c r="C13" i="5" s="1"/>
  <c r="C14" i="5" s="1"/>
  <c r="C15" i="5" s="1"/>
  <c r="B10" i="5"/>
  <c r="A10" i="5"/>
  <c r="A11" i="5" s="1"/>
  <c r="A12" i="5" s="1"/>
  <c r="A13" i="5" s="1"/>
  <c r="A14" i="5" s="1"/>
  <c r="A15" i="5" s="1"/>
  <c r="H9" i="5"/>
  <c r="G9" i="5"/>
  <c r="AH9" i="5" s="1"/>
  <c r="AH8" i="5"/>
  <c r="AC8" i="5"/>
  <c r="AC10" i="5" s="1"/>
  <c r="AC15" i="5" s="1"/>
  <c r="H8" i="5"/>
  <c r="G8" i="5"/>
  <c r="AF7" i="5"/>
  <c r="AF9" i="5" s="1"/>
  <c r="AF11" i="5" s="1"/>
  <c r="AF12" i="5" s="1"/>
  <c r="AF13" i="5" s="1"/>
  <c r="AD7" i="5"/>
  <c r="AD9" i="5" s="1"/>
  <c r="AD11" i="5" s="1"/>
  <c r="AD12" i="5" s="1"/>
  <c r="AD13" i="5" s="1"/>
  <c r="AC7" i="5"/>
  <c r="AC9" i="5" s="1"/>
  <c r="AC11" i="5" s="1"/>
  <c r="AC12" i="5" s="1"/>
  <c r="AC13" i="5" s="1"/>
  <c r="H7" i="5"/>
  <c r="G7" i="5"/>
  <c r="AH7" i="5" s="1"/>
  <c r="A7" i="5"/>
  <c r="A8" i="5" s="1"/>
  <c r="A9" i="5" s="1"/>
  <c r="AH6" i="5"/>
  <c r="AF6" i="5"/>
  <c r="AF8" i="5" s="1"/>
  <c r="AD6" i="5"/>
  <c r="AD8" i="5" s="1"/>
  <c r="AD10" i="5" s="1"/>
  <c r="AD15" i="5" s="1"/>
  <c r="AC6" i="5"/>
  <c r="K6" i="5"/>
  <c r="H6" i="5"/>
  <c r="AI6" i="5" s="1"/>
  <c r="G6" i="5"/>
  <c r="AI5" i="5"/>
  <c r="AH5" i="5"/>
  <c r="AG5" i="5"/>
  <c r="AG6" i="5" s="1"/>
  <c r="AG8" i="5" s="1"/>
  <c r="AG10" i="5" s="1"/>
  <c r="AG15" i="5" s="1"/>
  <c r="Q5" i="5"/>
  <c r="Q6" i="5" s="1"/>
  <c r="Q7" i="5" s="1"/>
  <c r="Q8" i="5" s="1"/>
  <c r="H5" i="5"/>
  <c r="G5" i="5"/>
  <c r="B5" i="5"/>
  <c r="B6" i="5" s="1"/>
  <c r="B7" i="5" s="1"/>
  <c r="B8" i="5" s="1"/>
  <c r="AN4" i="5"/>
  <c r="Q4" i="5"/>
  <c r="H4" i="5"/>
  <c r="AI4" i="5" s="1"/>
  <c r="G4" i="5"/>
  <c r="C4" i="5"/>
  <c r="C5" i="5" s="1"/>
  <c r="C6" i="5" s="1"/>
  <c r="C7" i="5" s="1"/>
  <c r="C8" i="5" s="1"/>
  <c r="B4" i="5"/>
  <c r="A4" i="5"/>
  <c r="A5" i="5" s="1"/>
  <c r="A6" i="5" s="1"/>
  <c r="AI3" i="5"/>
  <c r="AG3" i="5"/>
  <c r="H3" i="5"/>
  <c r="G3" i="5"/>
  <c r="K2" i="5"/>
  <c r="F2" i="5"/>
  <c r="AI15" i="4"/>
  <c r="AH15" i="4"/>
  <c r="Q15" i="4"/>
  <c r="H15" i="4"/>
  <c r="G15" i="4"/>
  <c r="B15" i="4"/>
  <c r="AD14" i="4"/>
  <c r="H14" i="4"/>
  <c r="G14" i="4"/>
  <c r="AH14" i="4" s="1"/>
  <c r="AN13" i="4"/>
  <c r="Q13" i="4"/>
  <c r="Q14" i="4" s="1"/>
  <c r="E13" i="4"/>
  <c r="G13" i="4" s="1"/>
  <c r="AH13" i="4" s="1"/>
  <c r="D13" i="4"/>
  <c r="AI12" i="4"/>
  <c r="Q12" i="4"/>
  <c r="H12" i="4"/>
  <c r="G12" i="4"/>
  <c r="AH12" i="4" s="1"/>
  <c r="C12" i="4"/>
  <c r="C13" i="4" s="1"/>
  <c r="C14" i="4" s="1"/>
  <c r="C15" i="4" s="1"/>
  <c r="AI11" i="4"/>
  <c r="AG11" i="4"/>
  <c r="K11" i="4" s="1"/>
  <c r="AF11" i="4"/>
  <c r="AD11" i="4"/>
  <c r="AC11" i="4"/>
  <c r="E11" i="4"/>
  <c r="D11" i="4"/>
  <c r="H11" i="4" s="1"/>
  <c r="C11" i="4"/>
  <c r="B11" i="4"/>
  <c r="B12" i="4" s="1"/>
  <c r="B13" i="4" s="1"/>
  <c r="B14" i="4" s="1"/>
  <c r="Q10" i="4"/>
  <c r="Q11" i="4" s="1"/>
  <c r="H10" i="4"/>
  <c r="G10" i="4"/>
  <c r="AH10" i="4" s="1"/>
  <c r="C10" i="4"/>
  <c r="B10" i="4"/>
  <c r="AH9" i="4"/>
  <c r="H9" i="4"/>
  <c r="AI9" i="4" s="1"/>
  <c r="G9" i="4"/>
  <c r="AM8" i="4"/>
  <c r="AM10" i="4" s="1"/>
  <c r="AM12" i="4" s="1"/>
  <c r="AM15" i="4" s="1"/>
  <c r="AJ8" i="4"/>
  <c r="AJ10" i="4" s="1"/>
  <c r="AJ12" i="4" s="1"/>
  <c r="AJ15" i="4" s="1"/>
  <c r="H8" i="4"/>
  <c r="AI8" i="4" s="1"/>
  <c r="G8" i="4"/>
  <c r="AH8" i="4" s="1"/>
  <c r="AM7" i="4"/>
  <c r="AK7" i="4"/>
  <c r="AK8" i="4" s="1"/>
  <c r="AK10" i="4" s="1"/>
  <c r="AK12" i="4" s="1"/>
  <c r="AK15" i="4" s="1"/>
  <c r="AJ7" i="4"/>
  <c r="H7" i="4"/>
  <c r="AI7" i="4" s="1"/>
  <c r="G7" i="4"/>
  <c r="AH7" i="4" s="1"/>
  <c r="C7" i="4"/>
  <c r="C8" i="4" s="1"/>
  <c r="AF6" i="4"/>
  <c r="AF9" i="4" s="1"/>
  <c r="AF14" i="4" s="1"/>
  <c r="AD6" i="4"/>
  <c r="AD9" i="4" s="1"/>
  <c r="AC6" i="4"/>
  <c r="AC9" i="4" s="1"/>
  <c r="AC14" i="4" s="1"/>
  <c r="Q6" i="4"/>
  <c r="Q7" i="4" s="1"/>
  <c r="Q8" i="4" s="1"/>
  <c r="H6" i="4"/>
  <c r="G6" i="4"/>
  <c r="AH6" i="4" s="1"/>
  <c r="AN5" i="4"/>
  <c r="AN7" i="4" s="1"/>
  <c r="AN8" i="4" s="1"/>
  <c r="AN10" i="4" s="1"/>
  <c r="AN12" i="4" s="1"/>
  <c r="AN15" i="4" s="1"/>
  <c r="K15" i="4" s="1"/>
  <c r="AH5" i="4"/>
  <c r="Q5" i="4"/>
  <c r="H5" i="4"/>
  <c r="AI5" i="4" s="1"/>
  <c r="G5" i="4"/>
  <c r="C5" i="4"/>
  <c r="C6" i="4" s="1"/>
  <c r="AI4" i="4"/>
  <c r="AG4" i="4"/>
  <c r="Q4" i="4"/>
  <c r="H4" i="4"/>
  <c r="G4" i="4"/>
  <c r="AH4" i="4" s="1"/>
  <c r="C4" i="4"/>
  <c r="B4" i="4"/>
  <c r="B5" i="4" s="1"/>
  <c r="B6" i="4" s="1"/>
  <c r="B7" i="4" s="1"/>
  <c r="B8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G3" i="4"/>
  <c r="H3" i="4"/>
  <c r="G3" i="4"/>
  <c r="AK2" i="4"/>
  <c r="AD2" i="4"/>
  <c r="U2" i="4"/>
  <c r="K2" i="4"/>
  <c r="F2" i="4"/>
  <c r="Y1" i="4"/>
  <c r="R1" i="4"/>
  <c r="AH15" i="3"/>
  <c r="AA15" i="3"/>
  <c r="H15" i="3"/>
  <c r="G15" i="3"/>
  <c r="AH14" i="3"/>
  <c r="AA14" i="3"/>
  <c r="H14" i="3"/>
  <c r="G14" i="3"/>
  <c r="A14" i="3"/>
  <c r="A15" i="3" s="1"/>
  <c r="AA13" i="3"/>
  <c r="Q13" i="3"/>
  <c r="Q14" i="3" s="1"/>
  <c r="Q15" i="3" s="1"/>
  <c r="H13" i="3"/>
  <c r="G13" i="3"/>
  <c r="AH13" i="3" s="1"/>
  <c r="E13" i="3"/>
  <c r="D13" i="3"/>
  <c r="AN12" i="3"/>
  <c r="AH12" i="3"/>
  <c r="AA12" i="3"/>
  <c r="H12" i="3"/>
  <c r="G12" i="3"/>
  <c r="AI11" i="3"/>
  <c r="Q11" i="3"/>
  <c r="Q12" i="3" s="1"/>
  <c r="G11" i="3"/>
  <c r="AH11" i="3" s="1"/>
  <c r="E11" i="3"/>
  <c r="H11" i="3" s="1"/>
  <c r="D11" i="3"/>
  <c r="AF10" i="3"/>
  <c r="AF14" i="3" s="1"/>
  <c r="AF15" i="3" s="1"/>
  <c r="Q10" i="3"/>
  <c r="H10" i="3"/>
  <c r="G10" i="3"/>
  <c r="AH10" i="3" s="1"/>
  <c r="C10" i="3"/>
  <c r="C11" i="3" s="1"/>
  <c r="C12" i="3" s="1"/>
  <c r="C13" i="3" s="1"/>
  <c r="C14" i="3" s="1"/>
  <c r="C15" i="3" s="1"/>
  <c r="B10" i="3"/>
  <c r="B11" i="3" s="1"/>
  <c r="B12" i="3" s="1"/>
  <c r="B13" i="3" s="1"/>
  <c r="B14" i="3" s="1"/>
  <c r="B15" i="3" s="1"/>
  <c r="H9" i="3"/>
  <c r="G9" i="3"/>
  <c r="AH9" i="3" s="1"/>
  <c r="AI8" i="3"/>
  <c r="AC8" i="3"/>
  <c r="AC10" i="3" s="1"/>
  <c r="AC14" i="3" s="1"/>
  <c r="AC15" i="3" s="1"/>
  <c r="H8" i="3"/>
  <c r="G8" i="3"/>
  <c r="AH8" i="3" s="1"/>
  <c r="A8" i="3"/>
  <c r="A9" i="3" s="1"/>
  <c r="A10" i="3" s="1"/>
  <c r="A11" i="3" s="1"/>
  <c r="A12" i="3" s="1"/>
  <c r="A13" i="3" s="1"/>
  <c r="AF7" i="3"/>
  <c r="AF8" i="3" s="1"/>
  <c r="AD7" i="3"/>
  <c r="AD8" i="3" s="1"/>
  <c r="AD10" i="3" s="1"/>
  <c r="AD14" i="3" s="1"/>
  <c r="AD15" i="3" s="1"/>
  <c r="AC7" i="3"/>
  <c r="H7" i="3"/>
  <c r="G7" i="3"/>
  <c r="AH7" i="3" s="1"/>
  <c r="AG6" i="3"/>
  <c r="AG9" i="3" s="1"/>
  <c r="AG11" i="3" s="1"/>
  <c r="AG13" i="3" s="1"/>
  <c r="AF6" i="3"/>
  <c r="AF9" i="3" s="1"/>
  <c r="AF11" i="3" s="1"/>
  <c r="AF13" i="3" s="1"/>
  <c r="AD6" i="3"/>
  <c r="AD9" i="3" s="1"/>
  <c r="AD11" i="3" s="1"/>
  <c r="AD13" i="3" s="1"/>
  <c r="H6" i="3"/>
  <c r="AI6" i="3" s="1"/>
  <c r="G6" i="3"/>
  <c r="AH6" i="3" s="1"/>
  <c r="C6" i="3"/>
  <c r="C7" i="3" s="1"/>
  <c r="C8" i="3" s="1"/>
  <c r="AG5" i="3"/>
  <c r="AG7" i="3" s="1"/>
  <c r="AG8" i="3" s="1"/>
  <c r="AG10" i="3" s="1"/>
  <c r="AG14" i="3" s="1"/>
  <c r="AG15" i="3" s="1"/>
  <c r="Q5" i="3"/>
  <c r="Q6" i="3" s="1"/>
  <c r="Q7" i="3" s="1"/>
  <c r="Q8" i="3" s="1"/>
  <c r="H5" i="3"/>
  <c r="G5" i="3"/>
  <c r="AH5" i="3" s="1"/>
  <c r="A5" i="3"/>
  <c r="A6" i="3" s="1"/>
  <c r="A7" i="3" s="1"/>
  <c r="AF4" i="3"/>
  <c r="AD4" i="3"/>
  <c r="AC4" i="3"/>
  <c r="AC6" i="3" s="1"/>
  <c r="AC9" i="3" s="1"/>
  <c r="AC11" i="3" s="1"/>
  <c r="AC13" i="3" s="1"/>
  <c r="Q4" i="3"/>
  <c r="H4" i="3"/>
  <c r="G4" i="3"/>
  <c r="AH4" i="3" s="1"/>
  <c r="C4" i="3"/>
  <c r="C5" i="3" s="1"/>
  <c r="B4" i="3"/>
  <c r="B5" i="3" s="1"/>
  <c r="B6" i="3" s="1"/>
  <c r="B7" i="3" s="1"/>
  <c r="B8" i="3" s="1"/>
  <c r="A4" i="3"/>
  <c r="AG3" i="3"/>
  <c r="AG4" i="3" s="1"/>
  <c r="N3" i="3"/>
  <c r="O3" i="3" s="1"/>
  <c r="K3" i="3"/>
  <c r="L3" i="3" s="1"/>
  <c r="I3" i="3"/>
  <c r="H3" i="3"/>
  <c r="AI3" i="3" s="1"/>
  <c r="G3" i="3"/>
  <c r="L2" i="3"/>
  <c r="K2" i="3"/>
  <c r="F2" i="3"/>
  <c r="AH15" i="2"/>
  <c r="AA15" i="2"/>
  <c r="H15" i="2"/>
  <c r="AI15" i="2" s="1"/>
  <c r="G15" i="2"/>
  <c r="AI14" i="2"/>
  <c r="AH14" i="2"/>
  <c r="AA14" i="2"/>
  <c r="H14" i="2"/>
  <c r="G14" i="2"/>
  <c r="AH13" i="2"/>
  <c r="AF13" i="2"/>
  <c r="AD13" i="2"/>
  <c r="AC13" i="2"/>
  <c r="Q13" i="2"/>
  <c r="Q14" i="2" s="1"/>
  <c r="Q15" i="2" s="1"/>
  <c r="L13" i="2"/>
  <c r="O13" i="2" s="1"/>
  <c r="H13" i="2"/>
  <c r="K13" i="2" s="1"/>
  <c r="G13" i="2"/>
  <c r="AF12" i="2"/>
  <c r="AF14" i="2" s="1"/>
  <c r="H12" i="2"/>
  <c r="AI12" i="2" s="1"/>
  <c r="G12" i="2"/>
  <c r="AH12" i="2" s="1"/>
  <c r="AG11" i="2"/>
  <c r="AG13" i="2" s="1"/>
  <c r="Q11" i="2"/>
  <c r="Q12" i="2" s="1"/>
  <c r="H11" i="2"/>
  <c r="E11" i="2"/>
  <c r="D11" i="2"/>
  <c r="G11" i="2" s="1"/>
  <c r="AH11" i="2" s="1"/>
  <c r="C11" i="2"/>
  <c r="C12" i="2" s="1"/>
  <c r="C13" i="2" s="1"/>
  <c r="C14" i="2" s="1"/>
  <c r="C15" i="2" s="1"/>
  <c r="B11" i="2"/>
  <c r="B12" i="2" s="1"/>
  <c r="B13" i="2" s="1"/>
  <c r="B14" i="2" s="1"/>
  <c r="B15" i="2" s="1"/>
  <c r="AF10" i="2"/>
  <c r="Q10" i="2"/>
  <c r="H10" i="2"/>
  <c r="G10" i="2"/>
  <c r="AH10" i="2" s="1"/>
  <c r="C10" i="2"/>
  <c r="B10" i="2"/>
  <c r="AI9" i="2"/>
  <c r="AH9" i="2"/>
  <c r="AF9" i="2"/>
  <c r="AD9" i="2"/>
  <c r="AD10" i="2" s="1"/>
  <c r="AD12" i="2" s="1"/>
  <c r="AD14" i="2" s="1"/>
  <c r="AD15" i="2" s="1"/>
  <c r="AA9" i="2"/>
  <c r="H9" i="2"/>
  <c r="G9" i="2"/>
  <c r="AH8" i="2"/>
  <c r="AF8" i="2"/>
  <c r="AD8" i="2"/>
  <c r="AC8" i="2"/>
  <c r="K8" i="2" s="1"/>
  <c r="AA8" i="2"/>
  <c r="H8" i="2"/>
  <c r="AI8" i="2" s="1"/>
  <c r="G8" i="2"/>
  <c r="AM7" i="2"/>
  <c r="AK7" i="2"/>
  <c r="AJ7" i="2"/>
  <c r="AI7" i="2"/>
  <c r="AA7" i="2"/>
  <c r="H7" i="2"/>
  <c r="G7" i="2"/>
  <c r="AH7" i="2" s="1"/>
  <c r="AI6" i="2"/>
  <c r="AH6" i="2"/>
  <c r="AG6" i="2"/>
  <c r="AG8" i="2" s="1"/>
  <c r="AG9" i="2" s="1"/>
  <c r="AG10" i="2" s="1"/>
  <c r="AG12" i="2" s="1"/>
  <c r="AG14" i="2" s="1"/>
  <c r="AG15" i="2" s="1"/>
  <c r="AF6" i="2"/>
  <c r="AD6" i="2"/>
  <c r="AC6" i="2"/>
  <c r="AA6" i="2"/>
  <c r="H6" i="2"/>
  <c r="G6" i="2"/>
  <c r="AI5" i="2"/>
  <c r="AG5" i="2"/>
  <c r="AA5" i="2"/>
  <c r="N5" i="2"/>
  <c r="L5" i="2"/>
  <c r="O5" i="2" s="1"/>
  <c r="K5" i="2"/>
  <c r="H5" i="2"/>
  <c r="G5" i="2"/>
  <c r="C5" i="2"/>
  <c r="C6" i="2" s="1"/>
  <c r="C7" i="2" s="1"/>
  <c r="C8" i="2" s="1"/>
  <c r="AN4" i="2"/>
  <c r="K4" i="2" s="1"/>
  <c r="AI4" i="2"/>
  <c r="AA4" i="2"/>
  <c r="Q4" i="2"/>
  <c r="Q5" i="2" s="1"/>
  <c r="Q6" i="2" s="1"/>
  <c r="Q7" i="2" s="1"/>
  <c r="Q8" i="2" s="1"/>
  <c r="H4" i="2"/>
  <c r="G4" i="2"/>
  <c r="AH4" i="2" s="1"/>
  <c r="C4" i="2"/>
  <c r="B4" i="2"/>
  <c r="B5" i="2" s="1"/>
  <c r="B6" i="2" s="1"/>
  <c r="B7" i="2" s="1"/>
  <c r="B8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N3" i="2"/>
  <c r="AH3" i="2"/>
  <c r="AA3" i="2"/>
  <c r="K3" i="2"/>
  <c r="H3" i="2"/>
  <c r="AI3" i="2" s="1"/>
  <c r="G3" i="2"/>
  <c r="L2" i="2"/>
  <c r="K2" i="2"/>
  <c r="F2" i="2"/>
  <c r="AF15" i="1"/>
  <c r="AD15" i="1"/>
  <c r="AC15" i="1"/>
  <c r="H15" i="1"/>
  <c r="G15" i="1"/>
  <c r="AH15" i="1" s="1"/>
  <c r="AF14" i="1"/>
  <c r="AD14" i="1"/>
  <c r="AC14" i="1"/>
  <c r="K14" i="1"/>
  <c r="H14" i="1"/>
  <c r="AI14" i="1" s="1"/>
  <c r="G14" i="1"/>
  <c r="AH14" i="1" s="1"/>
  <c r="AG13" i="1"/>
  <c r="AG15" i="1" s="1"/>
  <c r="E13" i="1"/>
  <c r="D13" i="1"/>
  <c r="H13" i="1" s="1"/>
  <c r="AN12" i="1"/>
  <c r="K12" i="1" s="1"/>
  <c r="AM12" i="1"/>
  <c r="AK12" i="1"/>
  <c r="AJ12" i="1"/>
  <c r="AI12" i="1"/>
  <c r="H12" i="1"/>
  <c r="G12" i="1"/>
  <c r="AH12" i="1" s="1"/>
  <c r="AH11" i="1"/>
  <c r="AG11" i="1"/>
  <c r="AG14" i="1" s="1"/>
  <c r="AF11" i="1"/>
  <c r="AD11" i="1"/>
  <c r="AC11" i="1"/>
  <c r="E11" i="1"/>
  <c r="G11" i="1" s="1"/>
  <c r="D11" i="1"/>
  <c r="C11" i="1"/>
  <c r="C12" i="1" s="1"/>
  <c r="C13" i="1" s="1"/>
  <c r="C14" i="1" s="1"/>
  <c r="C15" i="1" s="1"/>
  <c r="B11" i="1"/>
  <c r="B12" i="1" s="1"/>
  <c r="B13" i="1" s="1"/>
  <c r="B14" i="1" s="1"/>
  <c r="B15" i="1" s="1"/>
  <c r="AM10" i="1"/>
  <c r="AK10" i="1"/>
  <c r="AJ10" i="1"/>
  <c r="AH10" i="1"/>
  <c r="Q10" i="1"/>
  <c r="Q11" i="1" s="1"/>
  <c r="Q12" i="1" s="1"/>
  <c r="Q13" i="1" s="1"/>
  <c r="Q14" i="1" s="1"/>
  <c r="Q15" i="1" s="1"/>
  <c r="H10" i="1"/>
  <c r="G10" i="1"/>
  <c r="C10" i="1"/>
  <c r="B10" i="1"/>
  <c r="AK9" i="1"/>
  <c r="AJ9" i="1"/>
  <c r="AI9" i="1"/>
  <c r="AH9" i="1"/>
  <c r="H9" i="1"/>
  <c r="G9" i="1"/>
  <c r="AN8" i="1"/>
  <c r="AN9" i="1" s="1"/>
  <c r="AM8" i="1"/>
  <c r="AM9" i="1" s="1"/>
  <c r="AK8" i="1"/>
  <c r="AJ8" i="1"/>
  <c r="AI8" i="1"/>
  <c r="AH8" i="1"/>
  <c r="H8" i="1"/>
  <c r="G8" i="1"/>
  <c r="AM7" i="1"/>
  <c r="AK7" i="1"/>
  <c r="AJ7" i="1"/>
  <c r="AH7" i="1"/>
  <c r="Q7" i="1"/>
  <c r="Q8" i="1" s="1"/>
  <c r="H7" i="1"/>
  <c r="G7" i="1"/>
  <c r="AG6" i="1"/>
  <c r="N6" i="1"/>
  <c r="H6" i="1"/>
  <c r="AI6" i="1" s="1"/>
  <c r="G6" i="1"/>
  <c r="AH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M5" i="1"/>
  <c r="AK5" i="1"/>
  <c r="AJ5" i="1"/>
  <c r="AI5" i="1"/>
  <c r="H5" i="1"/>
  <c r="G5" i="1"/>
  <c r="AH5" i="1" s="1"/>
  <c r="C5" i="1"/>
  <c r="C6" i="1" s="1"/>
  <c r="C7" i="1" s="1"/>
  <c r="C8" i="1" s="1"/>
  <c r="A5" i="1"/>
  <c r="AN4" i="1"/>
  <c r="Q4" i="1"/>
  <c r="Q5" i="1" s="1"/>
  <c r="Q6" i="1" s="1"/>
  <c r="K4" i="1"/>
  <c r="H4" i="1"/>
  <c r="AI4" i="1" s="1"/>
  <c r="G4" i="1"/>
  <c r="AH4" i="1" s="1"/>
  <c r="C4" i="1"/>
  <c r="B4" i="1"/>
  <c r="B5" i="1" s="1"/>
  <c r="B6" i="1" s="1"/>
  <c r="B7" i="1" s="1"/>
  <c r="B8" i="1" s="1"/>
  <c r="A4" i="1"/>
  <c r="AN3" i="1"/>
  <c r="AI3" i="1"/>
  <c r="AH3" i="1"/>
  <c r="K3" i="1"/>
  <c r="H3" i="1"/>
  <c r="K6" i="1" s="1"/>
  <c r="G3" i="1"/>
  <c r="L2" i="1"/>
  <c r="K2" i="1"/>
  <c r="F2" i="1"/>
  <c r="D24" i="7"/>
  <c r="E21" i="7"/>
  <c r="C17" i="7"/>
  <c r="E26" i="7"/>
  <c r="C41" i="7"/>
  <c r="E13" i="7"/>
  <c r="D23" i="7"/>
  <c r="E37" i="7"/>
  <c r="D8" i="7"/>
  <c r="E22" i="7"/>
  <c r="C37" i="7"/>
  <c r="E7" i="7"/>
  <c r="C22" i="7"/>
  <c r="D14" i="7"/>
  <c r="C24" i="7"/>
  <c r="D38" i="7"/>
  <c r="C9" i="7"/>
  <c r="E18" i="7"/>
  <c r="C33" i="7"/>
  <c r="E5" i="7"/>
  <c r="C18" i="7"/>
  <c r="D32" i="7"/>
  <c r="C5" i="7"/>
  <c r="D17" i="7"/>
  <c r="C39" i="7"/>
  <c r="E9" i="7"/>
  <c r="D21" i="7"/>
  <c r="C16" i="7"/>
  <c r="E42" i="7"/>
  <c r="C42" i="7"/>
  <c r="C7" i="7"/>
  <c r="C31" i="7"/>
  <c r="E25" i="7"/>
  <c r="C25" i="7"/>
  <c r="D39" i="7"/>
  <c r="E41" i="7"/>
  <c r="E31" i="7"/>
  <c r="D41" i="7"/>
  <c r="C14" i="7"/>
  <c r="D26" i="7"/>
  <c r="C38" i="7"/>
  <c r="E8" i="7"/>
  <c r="C23" i="7"/>
  <c r="D37" i="7"/>
  <c r="C8" i="7"/>
  <c r="D22" i="7"/>
  <c r="E34" i="7"/>
  <c r="D7" i="7"/>
  <c r="E38" i="7"/>
  <c r="D9" i="7"/>
  <c r="E23" i="7"/>
  <c r="D33" i="7"/>
  <c r="C6" i="7"/>
  <c r="E32" i="7"/>
  <c r="D5" i="7"/>
  <c r="C32" i="7"/>
  <c r="C34" i="7"/>
  <c r="C21" i="7"/>
  <c r="E30" i="7"/>
  <c r="E15" i="7"/>
  <c r="D42" i="7"/>
  <c r="D29" i="7"/>
  <c r="D2" i="7" a="1"/>
  <c r="C26" i="7"/>
  <c r="C13" i="7"/>
  <c r="E39" i="7"/>
  <c r="E24" i="7"/>
  <c r="D6" i="7"/>
  <c r="D15" i="7"/>
  <c r="E14" i="7"/>
  <c r="E16" i="7"/>
  <c r="D13" i="7"/>
  <c r="E10" i="7"/>
  <c r="C29" i="7"/>
  <c r="D18" i="7"/>
  <c r="E17" i="7"/>
  <c r="E2" i="7" a="1"/>
  <c r="E6" i="7"/>
  <c r="C2" i="7" a="1"/>
  <c r="C30" i="7"/>
  <c r="C15" i="7"/>
  <c r="D31" i="7"/>
  <c r="D16" i="7"/>
  <c r="D40" i="7"/>
  <c r="D25" i="7"/>
  <c r="D10" i="7"/>
  <c r="E33" i="7"/>
  <c r="D30" i="7"/>
  <c r="E29" i="7"/>
  <c r="D34" i="7"/>
  <c r="E40" i="7"/>
  <c r="C40" i="7"/>
  <c r="C10" i="7"/>
  <c r="E2" i="7" l="1"/>
  <c r="C2" i="7"/>
  <c r="D2" i="7"/>
  <c r="N12" i="1"/>
  <c r="L12" i="1"/>
  <c r="O12" i="1" s="1"/>
  <c r="I12" i="1"/>
  <c r="L15" i="4"/>
  <c r="O15" i="4" s="1"/>
  <c r="N15" i="4"/>
  <c r="N8" i="2"/>
  <c r="L8" i="2"/>
  <c r="O8" i="2" s="1"/>
  <c r="AF15" i="2"/>
  <c r="K13" i="3"/>
  <c r="AI13" i="3"/>
  <c r="N14" i="1"/>
  <c r="L14" i="1"/>
  <c r="O14" i="1" s="1"/>
  <c r="I14" i="1"/>
  <c r="AI9" i="5"/>
  <c r="AC9" i="2"/>
  <c r="AI10" i="2"/>
  <c r="K5" i="3"/>
  <c r="AI5" i="3"/>
  <c r="N6" i="5"/>
  <c r="L6" i="5"/>
  <c r="O6" i="5" s="1"/>
  <c r="K9" i="1"/>
  <c r="G13" i="1"/>
  <c r="AH13" i="1" s="1"/>
  <c r="AN10" i="1"/>
  <c r="K10" i="1" s="1"/>
  <c r="AN7" i="1"/>
  <c r="K7" i="1" s="1"/>
  <c r="AI10" i="1"/>
  <c r="L4" i="2"/>
  <c r="O4" i="2" s="1"/>
  <c r="I4" i="2"/>
  <c r="K11" i="2"/>
  <c r="AI11" i="2"/>
  <c r="K11" i="3"/>
  <c r="AR13" i="3"/>
  <c r="I14" i="5"/>
  <c r="L14" i="5"/>
  <c r="O14" i="5" s="1"/>
  <c r="N14" i="5"/>
  <c r="K5" i="6"/>
  <c r="N3" i="1"/>
  <c r="L3" i="1"/>
  <c r="O3" i="1" s="1"/>
  <c r="K12" i="3"/>
  <c r="AI12" i="3"/>
  <c r="K13" i="1"/>
  <c r="AI13" i="1"/>
  <c r="AI10" i="4"/>
  <c r="K10" i="4"/>
  <c r="AG7" i="5"/>
  <c r="AG9" i="5" s="1"/>
  <c r="AG11" i="5" s="1"/>
  <c r="AG12" i="5" s="1"/>
  <c r="AG13" i="5" s="1"/>
  <c r="K3" i="5"/>
  <c r="AH5" i="2"/>
  <c r="AR12" i="2"/>
  <c r="AR13" i="2"/>
  <c r="K3" i="4"/>
  <c r="AI3" i="4"/>
  <c r="N4" i="1"/>
  <c r="L4" i="1"/>
  <c r="O4" i="1" s="1"/>
  <c r="I4" i="1"/>
  <c r="N3" i="2"/>
  <c r="L3" i="2"/>
  <c r="I6" i="1"/>
  <c r="L6" i="1"/>
  <c r="O6" i="1" s="1"/>
  <c r="AN5" i="1"/>
  <c r="K5" i="1" s="1"/>
  <c r="N4" i="2"/>
  <c r="AI13" i="2"/>
  <c r="K8" i="3"/>
  <c r="K10" i="5"/>
  <c r="AI10" i="5"/>
  <c r="I3" i="1"/>
  <c r="AI7" i="1"/>
  <c r="I13" i="2"/>
  <c r="N13" i="2"/>
  <c r="K6" i="3"/>
  <c r="N11" i="4"/>
  <c r="L11" i="4"/>
  <c r="AI15" i="3"/>
  <c r="K15" i="3"/>
  <c r="K8" i="5"/>
  <c r="AI8" i="5"/>
  <c r="AR12" i="1"/>
  <c r="AH4" i="5"/>
  <c r="K7" i="5"/>
  <c r="K12" i="5"/>
  <c r="K15" i="5"/>
  <c r="AI15" i="5"/>
  <c r="AI6" i="6"/>
  <c r="K6" i="6"/>
  <c r="K6" i="4"/>
  <c r="AI6" i="4"/>
  <c r="I5" i="2"/>
  <c r="AN7" i="2"/>
  <c r="K7" i="2" s="1"/>
  <c r="K4" i="3"/>
  <c r="AI4" i="3"/>
  <c r="AI10" i="3"/>
  <c r="K10" i="3"/>
  <c r="AH3" i="4"/>
  <c r="AG6" i="4"/>
  <c r="AG9" i="4" s="1"/>
  <c r="AG14" i="4" s="1"/>
  <c r="K4" i="4"/>
  <c r="K7" i="4"/>
  <c r="K12" i="4"/>
  <c r="H13" i="4"/>
  <c r="K13" i="5"/>
  <c r="AI7" i="6"/>
  <c r="K7" i="6"/>
  <c r="K14" i="3"/>
  <c r="K14" i="4"/>
  <c r="AI14" i="4"/>
  <c r="K4" i="6"/>
  <c r="AG5" i="6"/>
  <c r="AG7" i="6" s="1"/>
  <c r="AF10" i="6"/>
  <c r="AF11" i="6"/>
  <c r="AF12" i="6" s="1"/>
  <c r="AF14" i="6" s="1"/>
  <c r="AF15" i="6" s="1"/>
  <c r="AI14" i="3"/>
  <c r="AR13" i="1"/>
  <c r="H11" i="1"/>
  <c r="K9" i="6"/>
  <c r="AC10" i="6"/>
  <c r="H13" i="6"/>
  <c r="G13" i="6"/>
  <c r="AH13" i="6" s="1"/>
  <c r="K8" i="1"/>
  <c r="K15" i="1"/>
  <c r="AI15" i="1"/>
  <c r="K6" i="2"/>
  <c r="AR12" i="3"/>
  <c r="K7" i="3"/>
  <c r="AI7" i="3"/>
  <c r="AI9" i="3"/>
  <c r="K9" i="3"/>
  <c r="AI7" i="5"/>
  <c r="AR13" i="6"/>
  <c r="K5" i="5"/>
  <c r="I3" i="6"/>
  <c r="AH3" i="3"/>
  <c r="K11" i="5"/>
  <c r="L3" i="6"/>
  <c r="O3" i="6" s="1"/>
  <c r="AI12" i="6"/>
  <c r="K9" i="4"/>
  <c r="G11" i="4"/>
  <c r="AH11" i="4" s="1"/>
  <c r="G11" i="5"/>
  <c r="AH11" i="5" s="1"/>
  <c r="AI11" i="5"/>
  <c r="N3" i="6"/>
  <c r="K8" i="6"/>
  <c r="K5" i="4"/>
  <c r="K8" i="4"/>
  <c r="AH3" i="5"/>
  <c r="K4" i="5"/>
  <c r="AI14" i="6"/>
  <c r="L5" i="1" l="1"/>
  <c r="O5" i="1" s="1"/>
  <c r="N5" i="1"/>
  <c r="L7" i="1"/>
  <c r="O7" i="1" s="1"/>
  <c r="N7" i="1"/>
  <c r="I7" i="1"/>
  <c r="L10" i="1"/>
  <c r="O10" i="1" s="1"/>
  <c r="N10" i="1"/>
  <c r="L13" i="3"/>
  <c r="O13" i="3" s="1"/>
  <c r="I13" i="3"/>
  <c r="N13" i="3"/>
  <c r="I15" i="4"/>
  <c r="O1" i="6"/>
  <c r="L15" i="1"/>
  <c r="O15" i="1" s="1"/>
  <c r="I15" i="1"/>
  <c r="N15" i="1"/>
  <c r="I14" i="3"/>
  <c r="L14" i="3"/>
  <c r="O14" i="3" s="1"/>
  <c r="N14" i="3"/>
  <c r="N7" i="2"/>
  <c r="O7" i="2" s="1"/>
  <c r="L7" i="2"/>
  <c r="I7" i="2" s="1"/>
  <c r="N15" i="5"/>
  <c r="L15" i="5"/>
  <c r="O15" i="5" s="1"/>
  <c r="L3" i="4"/>
  <c r="O3" i="4" s="1"/>
  <c r="N3" i="4"/>
  <c r="I3" i="4"/>
  <c r="I6" i="5"/>
  <c r="AC10" i="2"/>
  <c r="K9" i="2"/>
  <c r="I10" i="4"/>
  <c r="L10" i="4"/>
  <c r="O10" i="4" s="1"/>
  <c r="N10" i="4"/>
  <c r="AR12" i="5"/>
  <c r="N8" i="6"/>
  <c r="N1" i="6" s="1"/>
  <c r="N2" i="6" s="1"/>
  <c r="L8" i="6"/>
  <c r="O8" i="6" s="1"/>
  <c r="I8" i="6"/>
  <c r="AR12" i="6"/>
  <c r="N14" i="4"/>
  <c r="L14" i="4"/>
  <c r="O14" i="4" s="1"/>
  <c r="I14" i="4"/>
  <c r="I4" i="4"/>
  <c r="L4" i="4"/>
  <c r="O4" i="4" s="1"/>
  <c r="N4" i="4"/>
  <c r="L4" i="3"/>
  <c r="O4" i="3" s="1"/>
  <c r="N4" i="3"/>
  <c r="L15" i="3"/>
  <c r="O15" i="3" s="1"/>
  <c r="N15" i="3"/>
  <c r="I15" i="3"/>
  <c r="N4" i="5"/>
  <c r="L4" i="5"/>
  <c r="O4" i="5" s="1"/>
  <c r="N11" i="5"/>
  <c r="L11" i="5"/>
  <c r="O11" i="5" s="1"/>
  <c r="I11" i="5"/>
  <c r="L9" i="3"/>
  <c r="I9" i="3"/>
  <c r="N9" i="3"/>
  <c r="O9" i="3" s="1"/>
  <c r="L8" i="1"/>
  <c r="O8" i="1" s="1"/>
  <c r="N8" i="1"/>
  <c r="N7" i="6"/>
  <c r="L7" i="6"/>
  <c r="O7" i="6" s="1"/>
  <c r="I7" i="6"/>
  <c r="AR13" i="4"/>
  <c r="N12" i="5"/>
  <c r="L12" i="5"/>
  <c r="O12" i="5" s="1"/>
  <c r="O11" i="4"/>
  <c r="I11" i="4"/>
  <c r="L13" i="1"/>
  <c r="O13" i="1" s="1"/>
  <c r="N13" i="1"/>
  <c r="I13" i="1"/>
  <c r="K9" i="5"/>
  <c r="I6" i="2"/>
  <c r="N6" i="2"/>
  <c r="L6" i="2"/>
  <c r="O6" i="2" s="1"/>
  <c r="N8" i="5"/>
  <c r="L8" i="5"/>
  <c r="O8" i="5" s="1"/>
  <c r="N5" i="6"/>
  <c r="L5" i="6"/>
  <c r="O5" i="6" s="1"/>
  <c r="I5" i="6"/>
  <c r="AI11" i="1"/>
  <c r="K11" i="1"/>
  <c r="L7" i="4"/>
  <c r="O7" i="4" s="1"/>
  <c r="N7" i="4"/>
  <c r="L8" i="4"/>
  <c r="O8" i="4" s="1"/>
  <c r="I8" i="4"/>
  <c r="N8" i="4"/>
  <c r="AR12" i="4"/>
  <c r="L10" i="5"/>
  <c r="O10" i="5" s="1"/>
  <c r="N10" i="5"/>
  <c r="I10" i="5"/>
  <c r="I11" i="3"/>
  <c r="N11" i="3"/>
  <c r="L11" i="3"/>
  <c r="O11" i="3" s="1"/>
  <c r="N5" i="4"/>
  <c r="L5" i="4"/>
  <c r="O5" i="4" s="1"/>
  <c r="L7" i="3"/>
  <c r="I7" i="3" s="1"/>
  <c r="N7" i="3"/>
  <c r="O7" i="3" s="1"/>
  <c r="AG11" i="6"/>
  <c r="AG10" i="6"/>
  <c r="K10" i="6" s="1"/>
  <c r="K13" i="4"/>
  <c r="AI13" i="4"/>
  <c r="L10" i="3"/>
  <c r="O10" i="3" s="1"/>
  <c r="N10" i="3"/>
  <c r="I10" i="3"/>
  <c r="N8" i="3"/>
  <c r="L8" i="3"/>
  <c r="O8" i="3" s="1"/>
  <c r="N3" i="5"/>
  <c r="L3" i="5"/>
  <c r="I3" i="5"/>
  <c r="I8" i="2"/>
  <c r="L7" i="5"/>
  <c r="N7" i="5"/>
  <c r="O7" i="5" s="1"/>
  <c r="I7" i="5"/>
  <c r="O3" i="2"/>
  <c r="I3" i="2"/>
  <c r="AI13" i="6"/>
  <c r="K13" i="6"/>
  <c r="L13" i="5"/>
  <c r="O13" i="5" s="1"/>
  <c r="I13" i="5"/>
  <c r="N13" i="5"/>
  <c r="N6" i="4"/>
  <c r="L6" i="4"/>
  <c r="O6" i="4" s="1"/>
  <c r="I6" i="4"/>
  <c r="N6" i="3"/>
  <c r="L6" i="3"/>
  <c r="O6" i="3" s="1"/>
  <c r="N12" i="3"/>
  <c r="I12" i="3"/>
  <c r="L12" i="3"/>
  <c r="O12" i="3" s="1"/>
  <c r="N5" i="3"/>
  <c r="L5" i="3"/>
  <c r="O5" i="3" s="1"/>
  <c r="AR13" i="5"/>
  <c r="L9" i="4"/>
  <c r="O9" i="4" s="1"/>
  <c r="N9" i="4"/>
  <c r="N5" i="5"/>
  <c r="L5" i="5"/>
  <c r="O5" i="5" s="1"/>
  <c r="I5" i="5"/>
  <c r="I9" i="6"/>
  <c r="N9" i="6"/>
  <c r="L9" i="6"/>
  <c r="O9" i="6" s="1"/>
  <c r="I4" i="6"/>
  <c r="N4" i="6"/>
  <c r="L4" i="6"/>
  <c r="O4" i="6" s="1"/>
  <c r="N12" i="4"/>
  <c r="L12" i="4"/>
  <c r="O12" i="4" s="1"/>
  <c r="N6" i="6"/>
  <c r="L6" i="6"/>
  <c r="O6" i="6" s="1"/>
  <c r="I6" i="6"/>
  <c r="N1" i="1"/>
  <c r="N11" i="2"/>
  <c r="L11" i="2"/>
  <c r="O11" i="2" s="1"/>
  <c r="L9" i="1"/>
  <c r="O9" i="1" s="1"/>
  <c r="O1" i="1" s="1"/>
  <c r="N9" i="1"/>
  <c r="N1" i="4" l="1"/>
  <c r="I12" i="4"/>
  <c r="I8" i="5"/>
  <c r="O1" i="4"/>
  <c r="I11" i="2"/>
  <c r="O3" i="5"/>
  <c r="N1" i="5"/>
  <c r="I5" i="4"/>
  <c r="N11" i="1"/>
  <c r="L11" i="1"/>
  <c r="O11" i="1" s="1"/>
  <c r="I11" i="1"/>
  <c r="I4" i="3"/>
  <c r="I1" i="3" s="1"/>
  <c r="N13" i="6"/>
  <c r="L13" i="6"/>
  <c r="O13" i="6" s="1"/>
  <c r="I13" i="6"/>
  <c r="I7" i="4"/>
  <c r="N2" i="1"/>
  <c r="I10" i="6"/>
  <c r="N10" i="6"/>
  <c r="L10" i="6"/>
  <c r="O10" i="6" s="1"/>
  <c r="O1" i="3"/>
  <c r="N9" i="2"/>
  <c r="O9" i="2" s="1"/>
  <c r="O1" i="2" s="1"/>
  <c r="L9" i="2"/>
  <c r="I9" i="2" s="1"/>
  <c r="I1" i="4"/>
  <c r="I5" i="3"/>
  <c r="I13" i="4"/>
  <c r="L13" i="4"/>
  <c r="O13" i="4" s="1"/>
  <c r="N13" i="4"/>
  <c r="I9" i="4"/>
  <c r="AG12" i="6"/>
  <c r="K11" i="6"/>
  <c r="I8" i="1"/>
  <c r="I4" i="5"/>
  <c r="AC12" i="2"/>
  <c r="K10" i="2"/>
  <c r="I15" i="5"/>
  <c r="I10" i="1"/>
  <c r="N1" i="3"/>
  <c r="N2" i="3" s="1"/>
  <c r="I8" i="3"/>
  <c r="I9" i="1"/>
  <c r="I6" i="3"/>
  <c r="L9" i="5"/>
  <c r="I9" i="5" s="1"/>
  <c r="N9" i="5"/>
  <c r="O9" i="5" s="1"/>
  <c r="I12" i="5"/>
  <c r="I5" i="1"/>
  <c r="I1" i="5" l="1"/>
  <c r="L11" i="6"/>
  <c r="O11" i="6" s="1"/>
  <c r="N11" i="6"/>
  <c r="I11" i="6"/>
  <c r="I1" i="1"/>
  <c r="N2" i="4"/>
  <c r="AC14" i="2"/>
  <c r="K12" i="2"/>
  <c r="AG14" i="6"/>
  <c r="K12" i="6"/>
  <c r="O1" i="5"/>
  <c r="N2" i="5" s="1"/>
  <c r="N10" i="2"/>
  <c r="I10" i="2"/>
  <c r="L10" i="2"/>
  <c r="O10" i="2" s="1"/>
  <c r="N1" i="2"/>
  <c r="N2" i="2" s="1"/>
  <c r="N12" i="6" l="1"/>
  <c r="L12" i="6"/>
  <c r="I12" i="6" s="1"/>
  <c r="S12" i="6"/>
  <c r="N12" i="2"/>
  <c r="L12" i="2"/>
  <c r="O12" i="2" s="1"/>
  <c r="I12" i="2"/>
  <c r="AG15" i="6"/>
  <c r="K15" i="6" s="1"/>
  <c r="K14" i="6"/>
  <c r="AC15" i="2"/>
  <c r="K15" i="2" s="1"/>
  <c r="K14" i="2"/>
  <c r="N14" i="2" l="1"/>
  <c r="O14" i="2" s="1"/>
  <c r="L14" i="2"/>
  <c r="I14" i="2"/>
  <c r="I1" i="2" s="1"/>
  <c r="O12" i="6"/>
  <c r="U12" i="6"/>
  <c r="N15" i="2"/>
  <c r="O15" i="2" s="1"/>
  <c r="L15" i="2"/>
  <c r="I15" i="2" s="1"/>
  <c r="N14" i="6"/>
  <c r="L14" i="6"/>
  <c r="O14" i="6" s="1"/>
  <c r="N15" i="6"/>
  <c r="L15" i="6"/>
  <c r="O15" i="6" s="1"/>
  <c r="I15" i="6" l="1"/>
  <c r="I14" i="6"/>
  <c r="I1" i="6" s="1"/>
</calcChain>
</file>

<file path=xl/sharedStrings.xml><?xml version="1.0" encoding="utf-8"?>
<sst xmlns="http://schemas.openxmlformats.org/spreadsheetml/2006/main" count="494" uniqueCount="73">
  <si>
    <t>TNX</t>
  </si>
  <si>
    <t>CALC</t>
  </si>
  <si>
    <t>To</t>
  </si>
  <si>
    <t>REAL</t>
  </si>
  <si>
    <t>P</t>
  </si>
  <si>
    <t>Range +RR/RP</t>
  </si>
  <si>
    <t>Ratio +RR/RP</t>
  </si>
  <si>
    <t>Range -PR/PP</t>
  </si>
  <si>
    <t>Ratio -PR/PP</t>
  </si>
  <si>
    <t>NOTE</t>
  </si>
  <si>
    <t>#</t>
  </si>
  <si>
    <t>Round</t>
  </si>
  <si>
    <t>DATE</t>
  </si>
  <si>
    <t>Trend</t>
  </si>
  <si>
    <t>SGN</t>
  </si>
  <si>
    <t>Δ</t>
  </si>
  <si>
    <t>Close YF</t>
  </si>
  <si>
    <t>RD</t>
  </si>
  <si>
    <t>MICH</t>
  </si>
  <si>
    <t>LLM</t>
  </si>
  <si>
    <t>ML</t>
  </si>
  <si>
    <t xml:space="preserve">+3-day </t>
  </si>
  <si>
    <t>Kad “+” raste boostaj rast</t>
  </si>
  <si>
    <t>Kad “+” pada boostaj pad</t>
  </si>
  <si>
    <t>Kad je “-” umjereni pad</t>
  </si>
  <si>
    <t>SGN = "-"  → Probable Trend violation</t>
  </si>
  <si>
    <t>R</t>
  </si>
  <si>
    <t>+</t>
  </si>
  <si>
    <t>-</t>
  </si>
  <si>
    <t>7+</t>
  </si>
  <si>
    <t>DJI</t>
  </si>
  <si>
    <t>Range +1</t>
  </si>
  <si>
    <t>Ratio +1</t>
  </si>
  <si>
    <t>Range -1</t>
  </si>
  <si>
    <t>Ratio -1</t>
  </si>
  <si>
    <t>SPX/GSPC</t>
  </si>
  <si>
    <t>Index</t>
  </si>
  <si>
    <t>VIX</t>
  </si>
  <si>
    <t>DATE (To)</t>
  </si>
  <si>
    <t>T0</t>
  </si>
  <si>
    <t>QQQ</t>
  </si>
  <si>
    <t>AAPL</t>
  </si>
  <si>
    <t>Kolo</t>
  </si>
  <si>
    <t>Datum</t>
  </si>
  <si>
    <t>S</t>
  </si>
  <si>
    <t>SPX</t>
  </si>
  <si>
    <t>U</t>
  </si>
  <si>
    <t>W</t>
  </si>
  <si>
    <t>+3-day</t>
  </si>
  <si>
    <t>Y</t>
  </si>
  <si>
    <t>Y - LLM</t>
  </si>
  <si>
    <t>F +3 day</t>
  </si>
  <si>
    <t>YFIN</t>
  </si>
  <si>
    <t>Date</t>
  </si>
  <si>
    <t>model</t>
  </si>
  <si>
    <t>PyCaret</t>
  </si>
  <si>
    <t>ARIMAX</t>
  </si>
  <si>
    <t>PCE</t>
  </si>
  <si>
    <t>LSTM</t>
  </si>
  <si>
    <t>GARCH</t>
  </si>
  <si>
    <t>VAR</t>
  </si>
  <si>
    <t>RW</t>
  </si>
  <si>
    <t>ETS</t>
  </si>
  <si>
    <t>DynaMix</t>
  </si>
  <si>
    <t>O 5.2</t>
  </si>
  <si>
    <t>Grok 4.1</t>
  </si>
  <si>
    <t>Gemini Pro 3</t>
  </si>
  <si>
    <t>Claude</t>
  </si>
  <si>
    <t>GLM-4.7</t>
  </si>
  <si>
    <t>Kimi 2.5</t>
  </si>
  <si>
    <t>Minimax 2.1</t>
  </si>
  <si>
    <t>LeChat</t>
  </si>
  <si>
    <t>2026/02/03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</si>
</sst>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0"/>
    <numFmt numFmtId="166" formatCode="0.0"/>
    <numFmt numFmtId="167" formatCode="[$-41A]dd/mm/yyyy"/>
  </numFmts>
  <fonts count="45" x14ac:knownFonts="1">
    <font>
      <sz val="11"/>
      <color theme="1"/>
      <name val="Aptos Narrow"/>
      <family val="2"/>
      <charset val="238"/>
    </font>
    <font>
      <sz val="11"/>
      <color theme="2" tint="-0.499984740745262"/>
      <name val="Aptos Narrow"/>
      <family val="2"/>
      <charset val="238"/>
    </font>
    <font>
      <b/>
      <sz val="11"/>
      <name val="Aptos Narrow"/>
      <family val="2"/>
      <charset val="1"/>
    </font>
    <font>
      <b/>
      <sz val="11"/>
      <color theme="2" tint="-0.499984740745262"/>
      <name val="Aptos Narrow"/>
      <family val="2"/>
      <charset val="1"/>
    </font>
    <font>
      <sz val="11"/>
      <color theme="2" tint="-0.499984740745262"/>
      <name val="Aptos Narrow"/>
      <family val="2"/>
      <charset val="1"/>
    </font>
    <font>
      <sz val="11"/>
      <color rgb="FF006100"/>
      <name val="Aptos Narrow"/>
      <family val="2"/>
      <charset val="238"/>
    </font>
    <font>
      <b/>
      <sz val="11"/>
      <color rgb="FF006100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5700"/>
      <name val="Aptos Narrow"/>
      <family val="2"/>
      <charset val="238"/>
    </font>
    <font>
      <b/>
      <sz val="11"/>
      <color rgb="FF9C5700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9C0006"/>
      <name val="Aptos Narrow"/>
      <family val="2"/>
      <charset val="238"/>
    </font>
    <font>
      <b/>
      <sz val="11"/>
      <color rgb="FF9C0006"/>
      <name val="Aptos Narrow"/>
      <family val="2"/>
      <charset val="1"/>
    </font>
    <font>
      <sz val="11"/>
      <color rgb="FF9C0006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238"/>
    </font>
    <font>
      <b/>
      <sz val="9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0" tint="-0.14999847407452621"/>
      <name val="Aptos Narrow"/>
      <family val="2"/>
      <charset val="238"/>
    </font>
    <font>
      <sz val="11"/>
      <color theme="5" tint="0.39948728904080327"/>
      <name val="Aptos Narrow"/>
      <family val="2"/>
      <charset val="238"/>
    </font>
    <font>
      <b/>
      <sz val="11"/>
      <color rgb="FFFF0000"/>
      <name val="Aptos Narrow"/>
      <family val="2"/>
      <charset val="1"/>
    </font>
    <font>
      <sz val="11"/>
      <color rgb="FFCCCCCC"/>
      <name val="Aptos Narrow"/>
      <family val="2"/>
      <charset val="238"/>
    </font>
    <font>
      <sz val="11"/>
      <color theme="2" tint="-0.249977111117893"/>
      <name val="Aptos Narrow"/>
      <family val="2"/>
      <charset val="238"/>
    </font>
    <font>
      <sz val="11"/>
      <color theme="7"/>
      <name val="Aptos Narrow"/>
      <family val="2"/>
      <charset val="1"/>
    </font>
    <font>
      <sz val="11"/>
      <color theme="7"/>
      <name val="Aptos Narrow"/>
      <family val="2"/>
      <charset val="238"/>
    </font>
    <font>
      <sz val="11"/>
      <color theme="4" tint="0.59959715567491678"/>
      <name val="Aptos Narrow"/>
      <family val="2"/>
      <charset val="238"/>
    </font>
    <font>
      <sz val="11"/>
      <color theme="9" tint="-0.249977111117893"/>
      <name val="Aptos Narrow"/>
      <family val="2"/>
      <charset val="1"/>
    </font>
    <font>
      <sz val="11"/>
      <color theme="9"/>
      <name val="Aptos Narrow"/>
      <family val="2"/>
      <charset val="238"/>
    </font>
    <font>
      <sz val="11"/>
      <color theme="6" tint="0.39948728904080327"/>
      <name val="Aptos Narrow"/>
      <family val="2"/>
      <charset val="238"/>
    </font>
    <font>
      <b/>
      <sz val="10.5"/>
      <color theme="1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9.5"/>
      <color rgb="FFFF0000"/>
      <name val="Aptos Narrow"/>
      <family val="2"/>
      <charset val="1"/>
    </font>
    <font>
      <sz val="9.5"/>
      <name val="Aptos Narrow"/>
      <family val="2"/>
      <charset val="1"/>
    </font>
    <font>
      <b/>
      <sz val="9.5500000000000007"/>
      <color theme="2" tint="-0.499984740745262"/>
      <name val="Aptos Narrow"/>
      <family val="2"/>
    </font>
    <font>
      <b/>
      <sz val="9.5500000000000007"/>
      <color rgb="FF9C0006"/>
      <name val="Aptos Narrow"/>
      <family val="2"/>
    </font>
    <font>
      <b/>
      <sz val="9.5500000000000007"/>
      <color rgb="FF9C5700"/>
      <name val="Aptos Narrow"/>
      <family val="2"/>
    </font>
    <font>
      <sz val="9.5500000000000007"/>
      <color rgb="FF9C5700"/>
      <name val="Aptos Narrow"/>
      <family val="2"/>
    </font>
    <font>
      <sz val="9.5500000000000007"/>
      <color rgb="FF9C0006"/>
      <name val="Aptos Narrow"/>
      <family val="2"/>
    </font>
    <font>
      <sz val="9.5500000000000007"/>
      <color theme="2" tint="-0.499984740745262"/>
      <name val="Aptos Narrow"/>
      <family val="2"/>
    </font>
    <font>
      <sz val="11"/>
      <color theme="2" tint="-0.499984740745262"/>
      <name val="Aptos Narrow"/>
      <family val="2"/>
    </font>
    <font>
      <sz val="11"/>
      <color rgb="FF006100"/>
      <name val="Aptos Narrow"/>
      <family val="2"/>
    </font>
    <font>
      <sz val="11"/>
      <color rgb="FF9C5700"/>
      <name val="Aptos Narrow"/>
      <family val="2"/>
    </font>
    <font>
      <sz val="11"/>
      <color rgb="FF9C0006"/>
      <name val="Aptos Narrow"/>
      <family val="2"/>
    </font>
    <font>
      <b/>
      <sz val="11"/>
      <color theme="2" tint="-0.49998474074526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5" fillId="2" borderId="0" applyBorder="0" applyProtection="0"/>
    <xf numFmtId="0" fontId="8" fillId="3" borderId="0" applyBorder="0" applyProtection="0"/>
    <xf numFmtId="0" fontId="11" fillId="4" borderId="0" applyBorder="0" applyProtection="0"/>
  </cellStyleXfs>
  <cellXfs count="268">
    <xf numFmtId="0" fontId="0" fillId="0" borderId="0" xfId="0"/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5" fillId="2" borderId="1" xfId="1" applyBorder="1" applyAlignment="1" applyProtection="1">
      <alignment horizontal="center" vertical="center"/>
    </xf>
    <xf numFmtId="164" fontId="5" fillId="2" borderId="1" xfId="1" applyNumberFormat="1" applyBorder="1" applyAlignment="1" applyProtection="1">
      <alignment horizontal="center" vertical="center"/>
    </xf>
    <xf numFmtId="165" fontId="6" fillId="2" borderId="1" xfId="1" applyNumberFormat="1" applyFont="1" applyBorder="1" applyAlignment="1" applyProtection="1">
      <alignment horizontal="center" vertical="center"/>
    </xf>
    <xf numFmtId="0" fontId="6" fillId="2" borderId="1" xfId="1" applyFont="1" applyBorder="1" applyAlignment="1" applyProtection="1">
      <alignment horizontal="center" vertical="center"/>
    </xf>
    <xf numFmtId="165" fontId="7" fillId="2" borderId="1" xfId="1" applyNumberFormat="1" applyFont="1" applyBorder="1" applyAlignment="1" applyProtection="1">
      <alignment horizontal="center" vertical="center"/>
    </xf>
    <xf numFmtId="165" fontId="5" fillId="2" borderId="1" xfId="1" applyNumberFormat="1" applyBorder="1" applyAlignment="1" applyProtection="1">
      <alignment horizontal="center" vertical="center"/>
    </xf>
    <xf numFmtId="2" fontId="5" fillId="2" borderId="1" xfId="1" applyNumberFormat="1" applyBorder="1" applyAlignment="1" applyProtection="1">
      <alignment horizontal="center" vertical="center"/>
    </xf>
    <xf numFmtId="2" fontId="6" fillId="2" borderId="1" xfId="1" applyNumberFormat="1" applyFont="1" applyBorder="1" applyAlignment="1" applyProtection="1">
      <alignment horizontal="center" vertical="center"/>
    </xf>
    <xf numFmtId="0" fontId="8" fillId="3" borderId="1" xfId="2" applyBorder="1" applyAlignment="1" applyProtection="1">
      <alignment horizontal="center" vertical="center"/>
    </xf>
    <xf numFmtId="164" fontId="8" fillId="3" borderId="1" xfId="2" applyNumberFormat="1" applyBorder="1" applyAlignment="1" applyProtection="1">
      <alignment horizontal="center" vertical="center"/>
    </xf>
    <xf numFmtId="165" fontId="9" fillId="3" borderId="1" xfId="2" applyNumberFormat="1" applyFont="1" applyBorder="1" applyAlignment="1" applyProtection="1">
      <alignment horizontal="center" vertical="center"/>
    </xf>
    <xf numFmtId="0" fontId="9" fillId="3" borderId="1" xfId="2" applyFont="1" applyBorder="1" applyAlignment="1" applyProtection="1">
      <alignment horizontal="center" vertical="center"/>
    </xf>
    <xf numFmtId="165" fontId="10" fillId="3" borderId="1" xfId="2" applyNumberFormat="1" applyFont="1" applyBorder="1" applyAlignment="1" applyProtection="1">
      <alignment horizontal="center" vertical="center"/>
    </xf>
    <xf numFmtId="165" fontId="8" fillId="3" borderId="1" xfId="2" applyNumberFormat="1" applyBorder="1" applyAlignment="1" applyProtection="1">
      <alignment horizontal="center" vertical="center"/>
    </xf>
    <xf numFmtId="2" fontId="8" fillId="3" borderId="1" xfId="2" applyNumberFormat="1" applyBorder="1" applyAlignment="1" applyProtection="1">
      <alignment horizontal="center" vertical="center"/>
    </xf>
    <xf numFmtId="2" fontId="9" fillId="3" borderId="1" xfId="2" applyNumberFormat="1" applyFont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1" xfId="2" applyFont="1" applyBorder="1" applyAlignment="1" applyProtection="1">
      <alignment horizontal="center" vertical="center"/>
    </xf>
    <xf numFmtId="0" fontId="1" fillId="3" borderId="1" xfId="2" applyFont="1" applyBorder="1" applyAlignment="1" applyProtection="1">
      <alignment horizontal="center" vertical="center"/>
    </xf>
    <xf numFmtId="0" fontId="3" fillId="4" borderId="1" xfId="3" applyFont="1" applyBorder="1" applyAlignment="1" applyProtection="1">
      <alignment horizontal="center" vertical="center"/>
    </xf>
    <xf numFmtId="0" fontId="1" fillId="4" borderId="1" xfId="3" applyFont="1" applyBorder="1" applyAlignment="1" applyProtection="1">
      <alignment horizontal="center" vertical="center"/>
    </xf>
    <xf numFmtId="0" fontId="3" fillId="2" borderId="1" xfId="1" applyFont="1" applyBorder="1" applyAlignment="1" applyProtection="1">
      <alignment horizontal="center" vertical="center"/>
    </xf>
    <xf numFmtId="0" fontId="1" fillId="2" borderId="1" xfId="1" applyFont="1" applyBorder="1" applyAlignment="1" applyProtection="1">
      <alignment horizontal="center" vertical="center"/>
    </xf>
    <xf numFmtId="0" fontId="11" fillId="4" borderId="1" xfId="3" applyBorder="1" applyAlignment="1" applyProtection="1">
      <alignment horizontal="center" vertical="center"/>
    </xf>
    <xf numFmtId="164" fontId="11" fillId="4" borderId="1" xfId="3" applyNumberFormat="1" applyBorder="1" applyAlignment="1" applyProtection="1">
      <alignment horizontal="center" vertical="center"/>
    </xf>
    <xf numFmtId="165" fontId="12" fillId="4" borderId="1" xfId="3" applyNumberFormat="1" applyFont="1" applyBorder="1" applyAlignment="1" applyProtection="1">
      <alignment horizontal="center" vertical="center"/>
    </xf>
    <xf numFmtId="0" fontId="12" fillId="4" borderId="1" xfId="3" applyFont="1" applyBorder="1" applyAlignment="1" applyProtection="1">
      <alignment horizontal="center" vertical="center"/>
    </xf>
    <xf numFmtId="165" fontId="11" fillId="4" borderId="1" xfId="3" applyNumberFormat="1" applyBorder="1" applyAlignment="1" applyProtection="1">
      <alignment horizontal="center" vertical="center"/>
    </xf>
    <xf numFmtId="165" fontId="13" fillId="4" borderId="1" xfId="3" applyNumberFormat="1" applyFont="1" applyBorder="1" applyAlignment="1" applyProtection="1">
      <alignment horizontal="center" vertical="center"/>
    </xf>
    <xf numFmtId="0" fontId="11" fillId="4" borderId="1" xfId="3" applyBorder="1" applyAlignment="1" applyProtection="1">
      <alignment vertical="center"/>
    </xf>
    <xf numFmtId="0" fontId="11" fillId="4" borderId="0" xfId="3" applyBorder="1" applyAlignment="1" applyProtection="1">
      <alignment vertical="center"/>
    </xf>
    <xf numFmtId="2" fontId="11" fillId="4" borderId="1" xfId="3" applyNumberFormat="1" applyBorder="1" applyAlignment="1" applyProtection="1">
      <alignment horizontal="center" vertical="center"/>
    </xf>
    <xf numFmtId="2" fontId="12" fillId="4" borderId="1" xfId="3" applyNumberFormat="1" applyFont="1" applyBorder="1" applyAlignment="1" applyProtection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6" fillId="2" borderId="1" xfId="1" applyNumberFormat="1" applyFont="1" applyBorder="1" applyAlignment="1" applyProtection="1">
      <alignment horizontal="center" vertical="center"/>
    </xf>
    <xf numFmtId="1" fontId="7" fillId="2" borderId="1" xfId="1" applyNumberFormat="1" applyFont="1" applyBorder="1" applyAlignment="1" applyProtection="1">
      <alignment horizontal="center" vertical="center"/>
    </xf>
    <xf numFmtId="1" fontId="5" fillId="2" borderId="1" xfId="1" applyNumberFormat="1" applyBorder="1" applyAlignment="1" applyProtection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9" fillId="3" borderId="1" xfId="2" applyNumberFormat="1" applyFont="1" applyBorder="1" applyAlignment="1" applyProtection="1">
      <alignment horizontal="center" vertical="center"/>
    </xf>
    <xf numFmtId="1" fontId="10" fillId="3" borderId="1" xfId="2" applyNumberFormat="1" applyFont="1" applyBorder="1" applyAlignment="1" applyProtection="1">
      <alignment horizontal="center" vertical="center"/>
    </xf>
    <xf numFmtId="1" fontId="8" fillId="3" borderId="1" xfId="2" applyNumberFormat="1" applyBorder="1" applyAlignment="1" applyProtection="1">
      <alignment horizontal="center" vertical="center"/>
    </xf>
    <xf numFmtId="1" fontId="12" fillId="4" borderId="1" xfId="3" applyNumberFormat="1" applyFont="1" applyBorder="1" applyAlignment="1" applyProtection="1">
      <alignment horizontal="center" vertical="center"/>
    </xf>
    <xf numFmtId="1" fontId="13" fillId="4" borderId="1" xfId="3" applyNumberFormat="1" applyFont="1" applyBorder="1" applyAlignment="1" applyProtection="1">
      <alignment horizontal="center" vertical="center"/>
    </xf>
    <xf numFmtId="1" fontId="11" fillId="4" borderId="1" xfId="3" applyNumberFormat="1" applyBorder="1" applyAlignment="1" applyProtection="1">
      <alignment horizontal="center" vertical="center"/>
    </xf>
    <xf numFmtId="0" fontId="13" fillId="4" borderId="1" xfId="3" applyFont="1" applyBorder="1" applyAlignment="1" applyProtection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2" fillId="4" borderId="1" xfId="3" applyNumberFormat="1" applyFont="1" applyBorder="1" applyAlignment="1" applyProtection="1">
      <alignment horizontal="center" vertical="center"/>
    </xf>
    <xf numFmtId="2" fontId="13" fillId="4" borderId="1" xfId="3" applyNumberFormat="1" applyFont="1" applyBorder="1" applyAlignment="1" applyProtection="1">
      <alignment horizontal="center" vertical="center"/>
    </xf>
    <xf numFmtId="166" fontId="9" fillId="3" borderId="1" xfId="2" applyNumberFormat="1" applyFont="1" applyBorder="1" applyAlignment="1" applyProtection="1">
      <alignment horizontal="center" vertical="center"/>
    </xf>
    <xf numFmtId="2" fontId="10" fillId="3" borderId="1" xfId="2" applyNumberFormat="1" applyFont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horizontal="center" vertical="center"/>
    </xf>
    <xf numFmtId="164" fontId="5" fillId="0" borderId="1" xfId="1" applyNumberFormat="1" applyFill="1" applyBorder="1" applyAlignment="1" applyProtection="1">
      <alignment horizontal="center" vertical="center"/>
    </xf>
    <xf numFmtId="166" fontId="6" fillId="0" borderId="1" xfId="1" applyNumberFormat="1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 applyProtection="1">
      <alignment horizontal="center" vertical="center"/>
    </xf>
    <xf numFmtId="2" fontId="7" fillId="0" borderId="1" xfId="1" applyNumberFormat="1" applyFont="1" applyFill="1" applyBorder="1" applyAlignment="1" applyProtection="1">
      <alignment horizontal="center" vertical="center"/>
    </xf>
    <xf numFmtId="1" fontId="5" fillId="0" borderId="1" xfId="1" applyNumberFormat="1" applyFill="1" applyBorder="1" applyAlignment="1" applyProtection="1">
      <alignment horizontal="center" vertical="center"/>
    </xf>
    <xf numFmtId="1" fontId="6" fillId="0" borderId="1" xfId="1" applyNumberFormat="1" applyFont="1" applyFill="1" applyBorder="1" applyAlignment="1" applyProtection="1">
      <alignment horizontal="center" vertical="center"/>
    </xf>
    <xf numFmtId="165" fontId="6" fillId="0" borderId="1" xfId="1" applyNumberFormat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 applyProtection="1">
      <alignment horizontal="center" vertical="center"/>
    </xf>
    <xf numFmtId="2" fontId="7" fillId="2" borderId="1" xfId="1" applyNumberFormat="1" applyFont="1" applyBorder="1" applyAlignment="1" applyProtection="1">
      <alignment horizontal="center" vertical="center"/>
    </xf>
    <xf numFmtId="2" fontId="5" fillId="0" borderId="1" xfId="1" applyNumberFormat="1" applyFill="1" applyBorder="1" applyAlignment="1" applyProtection="1">
      <alignment horizontal="center" vertical="center"/>
    </xf>
    <xf numFmtId="2" fontId="6" fillId="0" borderId="1" xfId="1" applyNumberFormat="1" applyFont="1" applyFill="1" applyBorder="1" applyAlignment="1" applyProtection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166" fontId="11" fillId="4" borderId="1" xfId="3" applyNumberFormat="1" applyBorder="1" applyAlignment="1" applyProtection="1">
      <alignment horizontal="center" vertical="center"/>
    </xf>
    <xf numFmtId="166" fontId="5" fillId="2" borderId="1" xfId="1" applyNumberFormat="1" applyBorder="1" applyAlignment="1" applyProtection="1">
      <alignment horizontal="center" vertical="center"/>
    </xf>
    <xf numFmtId="166" fontId="6" fillId="2" borderId="1" xfId="1" applyNumberFormat="1" applyFont="1" applyBorder="1" applyAlignment="1" applyProtection="1">
      <alignment horizontal="center" vertical="center"/>
    </xf>
    <xf numFmtId="166" fontId="8" fillId="3" borderId="1" xfId="2" applyNumberFormat="1" applyBorder="1" applyAlignment="1" applyProtection="1">
      <alignment horizontal="center" vertical="center"/>
    </xf>
    <xf numFmtId="166" fontId="5" fillId="0" borderId="1" xfId="1" applyNumberFormat="1" applyFill="1" applyBorder="1" applyAlignment="1" applyProtection="1">
      <alignment horizontal="center" vertical="center"/>
    </xf>
    <xf numFmtId="165" fontId="7" fillId="0" borderId="1" xfId="1" applyNumberFormat="1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167" fontId="17" fillId="0" borderId="0" xfId="0" applyNumberFormat="1" applyFont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2" fontId="20" fillId="0" borderId="6" xfId="0" applyNumberFormat="1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1" fontId="18" fillId="0" borderId="8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1" fontId="18" fillId="0" borderId="10" xfId="0" applyNumberFormat="1" applyFont="1" applyBorder="1" applyAlignment="1">
      <alignment vertical="center"/>
    </xf>
    <xf numFmtId="0" fontId="18" fillId="0" borderId="11" xfId="0" applyFont="1" applyBorder="1" applyAlignment="1">
      <alignment horizontal="left" vertical="center"/>
    </xf>
    <xf numFmtId="1" fontId="18" fillId="0" borderId="12" xfId="0" applyNumberFormat="1" applyFont="1" applyBorder="1" applyAlignment="1">
      <alignment vertical="center"/>
    </xf>
    <xf numFmtId="1" fontId="18" fillId="0" borderId="13" xfId="0" applyNumberFormat="1" applyFont="1" applyBorder="1" applyAlignment="1">
      <alignment vertical="center"/>
    </xf>
    <xf numFmtId="1" fontId="18" fillId="0" borderId="14" xfId="0" applyNumberFormat="1" applyFont="1" applyBorder="1" applyAlignment="1">
      <alignment vertical="center"/>
    </xf>
    <xf numFmtId="2" fontId="18" fillId="0" borderId="12" xfId="0" applyNumberFormat="1" applyFont="1" applyBorder="1" applyAlignment="1">
      <alignment vertical="center"/>
    </xf>
    <xf numFmtId="2" fontId="18" fillId="0" borderId="13" xfId="0" applyNumberFormat="1" applyFont="1" applyBorder="1" applyAlignment="1">
      <alignment vertical="center"/>
    </xf>
    <xf numFmtId="2" fontId="18" fillId="0" borderId="14" xfId="0" applyNumberFormat="1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166" fontId="18" fillId="0" borderId="16" xfId="0" applyNumberFormat="1" applyFont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18" fillId="0" borderId="19" xfId="0" applyFont="1" applyBorder="1" applyAlignment="1">
      <alignment horizontal="left" vertical="center"/>
    </xf>
    <xf numFmtId="166" fontId="20" fillId="0" borderId="20" xfId="0" applyNumberFormat="1" applyFont="1" applyBorder="1" applyAlignment="1">
      <alignment vertical="center"/>
    </xf>
    <xf numFmtId="166" fontId="20" fillId="0" borderId="21" xfId="0" applyNumberFormat="1" applyFont="1" applyBorder="1" applyAlignment="1">
      <alignment vertical="center"/>
    </xf>
    <xf numFmtId="166" fontId="20" fillId="0" borderId="22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2" fontId="23" fillId="0" borderId="4" xfId="0" applyNumberFormat="1" applyFont="1" applyBorder="1" applyAlignment="1">
      <alignment vertical="center"/>
    </xf>
    <xf numFmtId="2" fontId="23" fillId="0" borderId="5" xfId="0" applyNumberFormat="1" applyFont="1" applyBorder="1" applyAlignment="1">
      <alignment vertical="center"/>
    </xf>
    <xf numFmtId="2" fontId="23" fillId="0" borderId="6" xfId="0" applyNumberFormat="1" applyFont="1" applyBorder="1" applyAlignment="1">
      <alignment vertical="center"/>
    </xf>
    <xf numFmtId="0" fontId="15" fillId="0" borderId="7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vertical="center"/>
    </xf>
    <xf numFmtId="1" fontId="15" fillId="0" borderId="9" xfId="0" applyNumberFormat="1" applyFont="1" applyBorder="1" applyAlignment="1">
      <alignment vertical="center"/>
    </xf>
    <xf numFmtId="1" fontId="15" fillId="0" borderId="10" xfId="0" applyNumberFormat="1" applyFont="1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1" fontId="15" fillId="0" borderId="12" xfId="0" applyNumberFormat="1" applyFont="1" applyBorder="1" applyAlignment="1">
      <alignment vertical="center"/>
    </xf>
    <xf numFmtId="1" fontId="15" fillId="0" borderId="13" xfId="0" applyNumberFormat="1" applyFont="1" applyBorder="1" applyAlignment="1">
      <alignment vertical="center"/>
    </xf>
    <xf numFmtId="1" fontId="15" fillId="0" borderId="14" xfId="0" applyNumberFormat="1" applyFont="1" applyBorder="1" applyAlignment="1">
      <alignment vertical="center"/>
    </xf>
    <xf numFmtId="2" fontId="15" fillId="0" borderId="12" xfId="0" applyNumberFormat="1" applyFont="1" applyBorder="1" applyAlignment="1">
      <alignment vertical="center"/>
    </xf>
    <xf numFmtId="2" fontId="15" fillId="0" borderId="13" xfId="0" applyNumberFormat="1" applyFont="1" applyBorder="1" applyAlignment="1">
      <alignment vertical="center"/>
    </xf>
    <xf numFmtId="2" fontId="15" fillId="0" borderId="14" xfId="0" applyNumberFormat="1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166" fontId="15" fillId="0" borderId="16" xfId="0" applyNumberFormat="1" applyFont="1" applyBorder="1" applyAlignment="1">
      <alignment vertical="center"/>
    </xf>
    <xf numFmtId="166" fontId="15" fillId="0" borderId="17" xfId="0" applyNumberFormat="1" applyFont="1" applyBorder="1" applyAlignment="1">
      <alignment vertical="center"/>
    </xf>
    <xf numFmtId="166" fontId="15" fillId="0" borderId="18" xfId="0" applyNumberFormat="1" applyFont="1" applyBorder="1" applyAlignment="1">
      <alignment vertical="center"/>
    </xf>
    <xf numFmtId="0" fontId="15" fillId="0" borderId="19" xfId="0" applyFont="1" applyBorder="1" applyAlignment="1">
      <alignment horizontal="left" vertical="center"/>
    </xf>
    <xf numFmtId="166" fontId="23" fillId="0" borderId="20" xfId="0" applyNumberFormat="1" applyFont="1" applyBorder="1" applyAlignment="1">
      <alignment vertical="center"/>
    </xf>
    <xf numFmtId="166" fontId="23" fillId="0" borderId="21" xfId="0" applyNumberFormat="1" applyFont="1" applyBorder="1" applyAlignment="1">
      <alignment vertical="center"/>
    </xf>
    <xf numFmtId="166" fontId="23" fillId="0" borderId="22" xfId="0" applyNumberFormat="1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4" fillId="0" borderId="3" xfId="0" applyFont="1" applyBorder="1" applyAlignment="1">
      <alignment horizontal="left" vertical="center"/>
    </xf>
    <xf numFmtId="2" fontId="26" fillId="0" borderId="4" xfId="0" applyNumberFormat="1" applyFont="1" applyBorder="1" applyAlignment="1">
      <alignment vertical="center"/>
    </xf>
    <xf numFmtId="2" fontId="26" fillId="0" borderId="5" xfId="0" applyNumberFormat="1" applyFont="1" applyBorder="1" applyAlignment="1">
      <alignment vertical="center"/>
    </xf>
    <xf numFmtId="2" fontId="26" fillId="0" borderId="6" xfId="0" applyNumberFormat="1" applyFont="1" applyBorder="1" applyAlignment="1">
      <alignment vertical="center"/>
    </xf>
    <xf numFmtId="0" fontId="24" fillId="0" borderId="7" xfId="0" applyFont="1" applyBorder="1" applyAlignment="1">
      <alignment horizontal="left" vertical="center"/>
    </xf>
    <xf numFmtId="1" fontId="24" fillId="0" borderId="8" xfId="0" applyNumberFormat="1" applyFont="1" applyBorder="1" applyAlignment="1">
      <alignment vertical="center"/>
    </xf>
    <xf numFmtId="1" fontId="24" fillId="0" borderId="9" xfId="0" applyNumberFormat="1" applyFont="1" applyBorder="1" applyAlignment="1">
      <alignment vertical="center"/>
    </xf>
    <xf numFmtId="1" fontId="24" fillId="0" borderId="10" xfId="0" applyNumberFormat="1" applyFont="1" applyBorder="1" applyAlignment="1">
      <alignment vertical="center"/>
    </xf>
    <xf numFmtId="0" fontId="24" fillId="0" borderId="11" xfId="0" applyFont="1" applyBorder="1" applyAlignment="1">
      <alignment horizontal="left" vertical="center"/>
    </xf>
    <xf numFmtId="1" fontId="24" fillId="0" borderId="12" xfId="0" applyNumberFormat="1" applyFont="1" applyBorder="1" applyAlignment="1">
      <alignment vertical="center"/>
    </xf>
    <xf numFmtId="1" fontId="24" fillId="0" borderId="13" xfId="0" applyNumberFormat="1" applyFont="1" applyBorder="1" applyAlignment="1">
      <alignment vertical="center"/>
    </xf>
    <xf numFmtId="1" fontId="24" fillId="0" borderId="14" xfId="0" applyNumberFormat="1" applyFont="1" applyBorder="1" applyAlignment="1">
      <alignment vertical="center"/>
    </xf>
    <xf numFmtId="2" fontId="24" fillId="0" borderId="12" xfId="0" applyNumberFormat="1" applyFont="1" applyBorder="1" applyAlignment="1">
      <alignment vertical="center"/>
    </xf>
    <xf numFmtId="2" fontId="24" fillId="0" borderId="13" xfId="0" applyNumberFormat="1" applyFont="1" applyBorder="1" applyAlignment="1">
      <alignment vertical="center"/>
    </xf>
    <xf numFmtId="2" fontId="24" fillId="0" borderId="14" xfId="0" applyNumberFormat="1" applyFont="1" applyBorder="1" applyAlignment="1">
      <alignment vertical="center"/>
    </xf>
    <xf numFmtId="0" fontId="24" fillId="0" borderId="15" xfId="0" applyFont="1" applyBorder="1" applyAlignment="1">
      <alignment horizontal="left" vertical="center"/>
    </xf>
    <xf numFmtId="166" fontId="24" fillId="0" borderId="16" xfId="0" applyNumberFormat="1" applyFont="1" applyBorder="1" applyAlignment="1">
      <alignment vertical="center"/>
    </xf>
    <xf numFmtId="166" fontId="24" fillId="0" borderId="17" xfId="0" applyNumberFormat="1" applyFont="1" applyBorder="1" applyAlignment="1">
      <alignment vertical="center"/>
    </xf>
    <xf numFmtId="166" fontId="24" fillId="0" borderId="18" xfId="0" applyNumberFormat="1" applyFont="1" applyBorder="1" applyAlignment="1">
      <alignment vertical="center"/>
    </xf>
    <xf numFmtId="0" fontId="24" fillId="0" borderId="19" xfId="0" applyFont="1" applyBorder="1" applyAlignment="1">
      <alignment horizontal="left" vertical="center"/>
    </xf>
    <xf numFmtId="166" fontId="26" fillId="0" borderId="20" xfId="0" applyNumberFormat="1" applyFont="1" applyBorder="1" applyAlignment="1">
      <alignment vertical="center"/>
    </xf>
    <xf numFmtId="166" fontId="26" fillId="0" borderId="21" xfId="0" applyNumberFormat="1" applyFont="1" applyBorder="1" applyAlignment="1">
      <alignment vertical="center"/>
    </xf>
    <xf numFmtId="166" fontId="26" fillId="0" borderId="22" xfId="0" applyNumberFormat="1" applyFont="1" applyBorder="1" applyAlignment="1">
      <alignment vertical="center"/>
    </xf>
    <xf numFmtId="0" fontId="27" fillId="0" borderId="23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/>
    </xf>
    <xf numFmtId="2" fontId="29" fillId="0" borderId="4" xfId="0" applyNumberFormat="1" applyFont="1" applyBorder="1" applyAlignment="1">
      <alignment vertical="center"/>
    </xf>
    <xf numFmtId="2" fontId="29" fillId="0" borderId="5" xfId="0" applyNumberFormat="1" applyFont="1" applyBorder="1" applyAlignment="1">
      <alignment vertical="center"/>
    </xf>
    <xf numFmtId="2" fontId="29" fillId="0" borderId="6" xfId="0" applyNumberFormat="1" applyFont="1" applyBorder="1" applyAlignment="1">
      <alignment vertical="center"/>
    </xf>
    <xf numFmtId="0" fontId="27" fillId="0" borderId="7" xfId="0" applyFont="1" applyBorder="1" applyAlignment="1">
      <alignment horizontal="left" vertical="center"/>
    </xf>
    <xf numFmtId="1" fontId="27" fillId="0" borderId="8" xfId="0" applyNumberFormat="1" applyFont="1" applyBorder="1" applyAlignment="1">
      <alignment vertical="center"/>
    </xf>
    <xf numFmtId="1" fontId="27" fillId="0" borderId="9" xfId="0" applyNumberFormat="1" applyFont="1" applyBorder="1" applyAlignment="1">
      <alignment vertical="center"/>
    </xf>
    <xf numFmtId="1" fontId="27" fillId="0" borderId="10" xfId="0" applyNumberFormat="1" applyFont="1" applyBorder="1" applyAlignment="1">
      <alignment vertical="center"/>
    </xf>
    <xf numFmtId="0" fontId="27" fillId="0" borderId="11" xfId="0" applyFont="1" applyBorder="1" applyAlignment="1">
      <alignment horizontal="left" vertical="center"/>
    </xf>
    <xf numFmtId="1" fontId="27" fillId="0" borderId="12" xfId="0" applyNumberFormat="1" applyFont="1" applyBorder="1" applyAlignment="1">
      <alignment vertical="center"/>
    </xf>
    <xf numFmtId="1" fontId="27" fillId="0" borderId="13" xfId="0" applyNumberFormat="1" applyFont="1" applyBorder="1" applyAlignment="1">
      <alignment vertical="center"/>
    </xf>
    <xf numFmtId="1" fontId="27" fillId="0" borderId="14" xfId="0" applyNumberFormat="1" applyFont="1" applyBorder="1" applyAlignment="1">
      <alignment vertical="center"/>
    </xf>
    <xf numFmtId="2" fontId="27" fillId="0" borderId="12" xfId="0" applyNumberFormat="1" applyFont="1" applyBorder="1" applyAlignment="1">
      <alignment vertical="center"/>
    </xf>
    <xf numFmtId="2" fontId="27" fillId="0" borderId="13" xfId="0" applyNumberFormat="1" applyFont="1" applyBorder="1" applyAlignment="1">
      <alignment vertical="center"/>
    </xf>
    <xf numFmtId="2" fontId="27" fillId="0" borderId="14" xfId="0" applyNumberFormat="1" applyFont="1" applyBorder="1" applyAlignment="1">
      <alignment vertical="center"/>
    </xf>
    <xf numFmtId="0" fontId="27" fillId="0" borderId="15" xfId="0" applyFont="1" applyBorder="1" applyAlignment="1">
      <alignment horizontal="left" vertical="center"/>
    </xf>
    <xf numFmtId="166" fontId="27" fillId="0" borderId="16" xfId="0" applyNumberFormat="1" applyFont="1" applyBorder="1" applyAlignment="1">
      <alignment vertical="center"/>
    </xf>
    <xf numFmtId="166" fontId="27" fillId="0" borderId="17" xfId="0" applyNumberFormat="1" applyFont="1" applyBorder="1" applyAlignment="1">
      <alignment vertical="center"/>
    </xf>
    <xf numFmtId="166" fontId="27" fillId="0" borderId="18" xfId="0" applyNumberFormat="1" applyFont="1" applyBorder="1" applyAlignment="1">
      <alignment vertical="center"/>
    </xf>
    <xf numFmtId="0" fontId="27" fillId="0" borderId="19" xfId="0" applyFont="1" applyBorder="1" applyAlignment="1">
      <alignment horizontal="left" vertical="center"/>
    </xf>
    <xf numFmtId="166" fontId="29" fillId="0" borderId="20" xfId="0" applyNumberFormat="1" applyFont="1" applyBorder="1" applyAlignment="1">
      <alignment vertical="center"/>
    </xf>
    <xf numFmtId="166" fontId="29" fillId="0" borderId="21" xfId="0" applyNumberFormat="1" applyFont="1" applyBorder="1" applyAlignment="1">
      <alignment vertical="center"/>
    </xf>
    <xf numFmtId="166" fontId="29" fillId="0" borderId="22" xfId="0" applyNumberFormat="1" applyFont="1" applyBorder="1" applyAlignment="1">
      <alignment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4" xfId="0" applyFont="1" applyBorder="1" applyAlignment="1">
      <alignment horizontal="right" vertical="center"/>
    </xf>
    <xf numFmtId="0" fontId="30" fillId="0" borderId="26" xfId="0" applyFont="1" applyBorder="1" applyAlignment="1">
      <alignment horizontal="right" vertical="center"/>
    </xf>
    <xf numFmtId="0" fontId="30" fillId="0" borderId="25" xfId="0" applyFont="1" applyBorder="1" applyAlignment="1">
      <alignment horizontal="right" vertical="center"/>
    </xf>
    <xf numFmtId="0" fontId="31" fillId="0" borderId="24" xfId="0" applyFont="1" applyBorder="1" applyAlignment="1">
      <alignment horizontal="right" vertical="center"/>
    </xf>
    <xf numFmtId="0" fontId="31" fillId="0" borderId="26" xfId="0" applyFont="1" applyBorder="1" applyAlignment="1">
      <alignment horizontal="right" vertical="center"/>
    </xf>
    <xf numFmtId="0" fontId="31" fillId="0" borderId="25" xfId="0" applyFont="1" applyBorder="1" applyAlignment="1">
      <alignment horizontal="right" vertical="center"/>
    </xf>
    <xf numFmtId="2" fontId="32" fillId="0" borderId="27" xfId="0" applyNumberFormat="1" applyFont="1" applyBorder="1" applyAlignment="1">
      <alignment horizontal="right" vertical="center"/>
    </xf>
    <xf numFmtId="0" fontId="30" fillId="0" borderId="28" xfId="0" applyFont="1" applyBorder="1" applyAlignment="1">
      <alignment horizontal="center" vertical="center"/>
    </xf>
    <xf numFmtId="2" fontId="32" fillId="0" borderId="29" xfId="0" applyNumberFormat="1" applyFont="1" applyBorder="1" applyAlignment="1">
      <alignment horizontal="right" vertical="center"/>
    </xf>
    <xf numFmtId="2" fontId="32" fillId="0" borderId="28" xfId="0" applyNumberFormat="1" applyFont="1" applyBorder="1" applyAlignment="1">
      <alignment horizontal="right" vertical="center"/>
    </xf>
    <xf numFmtId="1" fontId="33" fillId="0" borderId="30" xfId="0" applyNumberFormat="1" applyFont="1" applyBorder="1" applyAlignment="1">
      <alignment horizontal="right" vertical="center"/>
    </xf>
    <xf numFmtId="0" fontId="30" fillId="0" borderId="31" xfId="0" applyFont="1" applyBorder="1" applyAlignment="1">
      <alignment horizontal="center" vertical="center"/>
    </xf>
    <xf numFmtId="1" fontId="32" fillId="0" borderId="30" xfId="0" applyNumberFormat="1" applyFont="1" applyBorder="1" applyAlignment="1">
      <alignment horizontal="right" vertical="center"/>
    </xf>
    <xf numFmtId="1" fontId="32" fillId="0" borderId="1" xfId="0" applyNumberFormat="1" applyFont="1" applyBorder="1" applyAlignment="1">
      <alignment horizontal="right" vertical="center"/>
    </xf>
    <xf numFmtId="1" fontId="32" fillId="0" borderId="31" xfId="0" applyNumberFormat="1" applyFont="1" applyBorder="1" applyAlignment="1">
      <alignment horizontal="right" vertical="center"/>
    </xf>
    <xf numFmtId="2" fontId="33" fillId="0" borderId="30" xfId="0" applyNumberFormat="1" applyFont="1" applyBorder="1" applyAlignment="1">
      <alignment horizontal="right" vertical="center"/>
    </xf>
    <xf numFmtId="2" fontId="32" fillId="0" borderId="30" xfId="0" applyNumberFormat="1" applyFont="1" applyBorder="1" applyAlignment="1">
      <alignment horizontal="right" vertical="center"/>
    </xf>
    <xf numFmtId="2" fontId="32" fillId="0" borderId="1" xfId="0" applyNumberFormat="1" applyFont="1" applyBorder="1" applyAlignment="1">
      <alignment horizontal="right" vertical="center"/>
    </xf>
    <xf numFmtId="2" fontId="32" fillId="0" borderId="31" xfId="0" applyNumberFormat="1" applyFont="1" applyBorder="1" applyAlignment="1">
      <alignment horizontal="right" vertical="center"/>
    </xf>
    <xf numFmtId="0" fontId="32" fillId="0" borderId="1" xfId="0" applyFont="1" applyBorder="1" applyAlignment="1">
      <alignment horizontal="right" vertical="center"/>
    </xf>
    <xf numFmtId="2" fontId="33" fillId="0" borderId="32" xfId="0" applyNumberFormat="1" applyFont="1" applyBorder="1" applyAlignment="1">
      <alignment horizontal="right" vertical="center"/>
    </xf>
    <xf numFmtId="0" fontId="30" fillId="0" borderId="33" xfId="0" applyFont="1" applyBorder="1" applyAlignment="1">
      <alignment horizontal="center" vertical="center"/>
    </xf>
    <xf numFmtId="2" fontId="32" fillId="0" borderId="32" xfId="0" applyNumberFormat="1" applyFont="1" applyBorder="1" applyAlignment="1">
      <alignment horizontal="right" vertical="center"/>
    </xf>
    <xf numFmtId="2" fontId="32" fillId="0" borderId="34" xfId="0" applyNumberFormat="1" applyFont="1" applyBorder="1" applyAlignment="1">
      <alignment horizontal="right" vertical="center"/>
    </xf>
    <xf numFmtId="2" fontId="32" fillId="0" borderId="33" xfId="0" applyNumberFormat="1" applyFont="1" applyBorder="1" applyAlignment="1">
      <alignment horizontal="right" vertical="center"/>
    </xf>
    <xf numFmtId="0" fontId="32" fillId="0" borderId="34" xfId="0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165" fontId="35" fillId="4" borderId="1" xfId="3" applyNumberFormat="1" applyFont="1" applyBorder="1" applyAlignment="1" applyProtection="1">
      <alignment horizontal="center" vertical="center"/>
    </xf>
    <xf numFmtId="165" fontId="36" fillId="3" borderId="1" xfId="2" applyNumberFormat="1" applyFont="1" applyBorder="1" applyAlignment="1" applyProtection="1">
      <alignment horizontal="center" vertical="center"/>
    </xf>
    <xf numFmtId="165" fontId="37" fillId="3" borderId="1" xfId="2" applyNumberFormat="1" applyFont="1" applyBorder="1" applyAlignment="1" applyProtection="1">
      <alignment horizontal="center" vertical="center"/>
    </xf>
    <xf numFmtId="165" fontId="38" fillId="4" borderId="1" xfId="3" applyNumberFormat="1" applyFont="1" applyBorder="1" applyAlignment="1" applyProtection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" fontId="41" fillId="2" borderId="1" xfId="1" applyNumberFormat="1" applyFont="1" applyBorder="1" applyAlignment="1" applyProtection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1" fontId="42" fillId="3" borderId="1" xfId="2" applyNumberFormat="1" applyFont="1" applyBorder="1" applyAlignment="1" applyProtection="1">
      <alignment horizontal="center" vertical="center"/>
    </xf>
    <xf numFmtId="1" fontId="43" fillId="4" borderId="1" xfId="3" applyNumberFormat="1" applyFont="1" applyBorder="1" applyAlignment="1" applyProtection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43" fillId="4" borderId="1" xfId="3" applyNumberFormat="1" applyFont="1" applyBorder="1" applyAlignment="1" applyProtection="1">
      <alignment horizontal="center" vertical="center"/>
    </xf>
    <xf numFmtId="166" fontId="42" fillId="3" borderId="1" xfId="2" applyNumberFormat="1" applyFont="1" applyBorder="1" applyAlignment="1" applyProtection="1">
      <alignment horizontal="center" vertical="center"/>
    </xf>
    <xf numFmtId="166" fontId="41" fillId="0" borderId="1" xfId="1" applyNumberFormat="1" applyFont="1" applyFill="1" applyBorder="1" applyAlignment="1" applyProtection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2" fontId="42" fillId="3" borderId="1" xfId="2" applyNumberFormat="1" applyFont="1" applyBorder="1" applyAlignment="1" applyProtection="1">
      <alignment horizontal="center" vertical="center"/>
    </xf>
    <xf numFmtId="2" fontId="43" fillId="4" borderId="1" xfId="3" applyNumberFormat="1" applyFont="1" applyBorder="1" applyAlignment="1" applyProtection="1">
      <alignment horizontal="center" vertical="center"/>
    </xf>
    <xf numFmtId="2" fontId="41" fillId="2" borderId="1" xfId="1" applyNumberFormat="1" applyFont="1" applyBorder="1" applyAlignment="1" applyProtection="1">
      <alignment horizontal="center" vertical="center"/>
    </xf>
    <xf numFmtId="2" fontId="41" fillId="0" borderId="1" xfId="1" applyNumberFormat="1" applyFont="1" applyFill="1" applyBorder="1" applyAlignment="1" applyProtection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6" fontId="44" fillId="0" borderId="1" xfId="0" applyNumberFormat="1" applyFont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</cellXfs>
  <cellStyles count="4">
    <cellStyle name="Excel Built-in Bad" xfId="3" xr:uid="{00000000-0005-0000-0000-000008000000}"/>
    <cellStyle name="Excel Built-in Good" xfId="1" xr:uid="{00000000-0005-0000-0000-000006000000}"/>
    <cellStyle name="Excel Built-in Neutral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3B7D23"/>
      <rgbColor rgb="FF800080"/>
      <rgbColor rgb="FF0F9ED5"/>
      <rgbColor rgb="FFCCCCCC"/>
      <rgbColor rgb="FF747474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83CBEB"/>
      <rgbColor rgb="FFF2AA84"/>
      <rgbColor rgb="FFCC99FF"/>
      <rgbColor rgb="FFFFC7CE"/>
      <rgbColor rgb="FF3366FF"/>
      <rgbColor rgb="FF47D45A"/>
      <rgbColor rgb="FF99CC00"/>
      <rgbColor rgb="FFFFCC00"/>
      <rgbColor rgb="FFFF9900"/>
      <rgbColor rgb="FFFF6600"/>
      <rgbColor rgb="FF666699"/>
      <rgbColor rgb="FFAEAEAE"/>
      <rgbColor rgb="FF003366"/>
      <rgbColor rgb="FF4EA72E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zoomScale="105" zoomScaleNormal="105" workbookViewId="0">
      <selection activeCell="S16" sqref="S16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6" width="7.77734375" style="8" customWidth="1"/>
    <col min="7" max="8" width="5.77734375" style="5" customWidth="1"/>
    <col min="9" max="9" width="7.77734375" style="9" customWidth="1"/>
    <col min="10" max="10" width="2.77734375" style="6" customWidth="1"/>
    <col min="11" max="12" width="7.77734375" style="10" customWidth="1"/>
    <col min="13" max="13" width="2.77734375" style="6" customWidth="1"/>
    <col min="14" max="15" width="7.77734375" style="11" hidden="1" customWidth="1"/>
    <col min="16" max="16" width="2.77734375" style="6" hidden="1" customWidth="1"/>
    <col min="17" max="17" width="4.77734375" style="6" customWidth="1"/>
    <col min="18" max="18" width="7.77734375" style="6" customWidth="1"/>
    <col min="19" max="19" width="7.77734375" style="5" customWidth="1"/>
    <col min="20" max="20" width="7.77734375" style="5" hidden="1" customWidth="1"/>
    <col min="21" max="21" width="7.77734375" style="5" customWidth="1"/>
    <col min="22" max="22" width="7.77734375" style="6" hidden="1" customWidth="1"/>
    <col min="23" max="23" width="7.77734375" style="6" customWidth="1"/>
    <col min="24" max="24" width="7.77734375" style="6" hidden="1" customWidth="1"/>
    <col min="25" max="26" width="7.77734375" style="6" customWidth="1"/>
    <col min="27" max="27" width="7.77734375" style="6" hidden="1" customWidth="1"/>
    <col min="28" max="28" width="2.77734375" style="6" customWidth="1"/>
    <col min="29" max="30" width="7.77734375" style="11" customWidth="1"/>
    <col min="31" max="31" width="2.77734375" style="11" customWidth="1"/>
    <col min="32" max="33" width="7.77734375" style="11" customWidth="1"/>
    <col min="34" max="35" width="2.77734375" style="5" customWidth="1"/>
    <col min="36" max="37" width="7.77734375" style="11" customWidth="1"/>
    <col min="38" max="38" width="2.77734375" style="11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16384" width="8.77734375" style="6"/>
  </cols>
  <sheetData>
    <row r="1" spans="1:47" s="5" customFormat="1" ht="15.75" customHeight="1" x14ac:dyDescent="0.3">
      <c r="A1" s="260" t="s">
        <v>0</v>
      </c>
      <c r="B1" s="260"/>
      <c r="C1" s="13"/>
      <c r="D1" s="8"/>
      <c r="E1" s="8"/>
      <c r="F1" s="8"/>
      <c r="I1" s="9">
        <f>AVERAGE(I3:I14)</f>
        <v>2.3513553025678331E-2</v>
      </c>
      <c r="K1" s="261" t="s">
        <v>1</v>
      </c>
      <c r="L1" s="261"/>
      <c r="N1" s="3">
        <f>AVERAGE(N3:N9)</f>
        <v>5.8785907612513644E-3</v>
      </c>
      <c r="O1" s="3">
        <f>AVERAGE(O3:O9)</f>
        <v>5.8785907612513644E-3</v>
      </c>
      <c r="R1" s="5" t="s">
        <v>2</v>
      </c>
      <c r="S1" s="262" t="s">
        <v>3</v>
      </c>
      <c r="T1" s="262"/>
      <c r="U1" s="262"/>
      <c r="Y1" s="5" t="s">
        <v>4</v>
      </c>
      <c r="AC1" s="259" t="s">
        <v>5</v>
      </c>
      <c r="AD1" s="259"/>
      <c r="AE1" s="10"/>
      <c r="AF1" s="259" t="s">
        <v>6</v>
      </c>
      <c r="AG1" s="259"/>
      <c r="AJ1" s="259" t="s">
        <v>7</v>
      </c>
      <c r="AK1" s="259"/>
      <c r="AL1" s="10"/>
      <c r="AM1" s="259" t="s">
        <v>8</v>
      </c>
      <c r="AN1" s="259"/>
      <c r="AO1" s="14"/>
      <c r="AP1" s="14" t="s">
        <v>9</v>
      </c>
    </row>
    <row r="2" spans="1:47" s="5" customFormat="1" ht="15.75" customHeight="1" x14ac:dyDescent="0.3">
      <c r="A2" s="2" t="s">
        <v>10</v>
      </c>
      <c r="B2" s="2" t="s">
        <v>11</v>
      </c>
      <c r="C2" s="2" t="s">
        <v>12</v>
      </c>
      <c r="D2" s="15" t="s">
        <v>2</v>
      </c>
      <c r="E2" s="15" t="s">
        <v>4</v>
      </c>
      <c r="F2" s="15" t="str">
        <f>AA2</f>
        <v xml:space="preserve">+3-day </v>
      </c>
      <c r="G2" s="2" t="s">
        <v>13</v>
      </c>
      <c r="H2" s="2" t="s">
        <v>14</v>
      </c>
      <c r="I2" s="2" t="s">
        <v>15</v>
      </c>
      <c r="K2" s="2" t="str">
        <f>AJ2</f>
        <v>RD</v>
      </c>
      <c r="L2" s="2">
        <f>AK2</f>
        <v>85520</v>
      </c>
      <c r="N2" s="259">
        <f>N1+O1</f>
        <v>1.1757181522502729E-2</v>
      </c>
      <c r="O2" s="259"/>
      <c r="Q2" s="2" t="s">
        <v>10</v>
      </c>
      <c r="R2" s="2" t="s">
        <v>16</v>
      </c>
      <c r="S2" s="2" t="s">
        <v>17</v>
      </c>
      <c r="T2" s="2"/>
      <c r="U2" s="2">
        <v>85520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3" t="s">
        <v>17</v>
      </c>
      <c r="AD2" s="2">
        <v>85520</v>
      </c>
      <c r="AE2" s="10"/>
      <c r="AF2" s="3" t="s">
        <v>19</v>
      </c>
      <c r="AG2" s="3" t="s">
        <v>20</v>
      </c>
      <c r="AJ2" s="3" t="s">
        <v>17</v>
      </c>
      <c r="AK2" s="2">
        <v>85520</v>
      </c>
      <c r="AL2" s="10"/>
      <c r="AM2" s="3" t="s">
        <v>19</v>
      </c>
      <c r="AN2" s="3" t="s">
        <v>20</v>
      </c>
      <c r="AO2" s="14"/>
      <c r="AP2" s="14" t="s">
        <v>22</v>
      </c>
    </row>
    <row r="3" spans="1:47" ht="15.75" customHeight="1" x14ac:dyDescent="0.3">
      <c r="A3" s="16">
        <v>1</v>
      </c>
      <c r="B3" s="16">
        <v>7</v>
      </c>
      <c r="C3" s="17">
        <v>45972</v>
      </c>
      <c r="D3" s="18">
        <v>4.12</v>
      </c>
      <c r="E3" s="18">
        <v>4.1139999999999999</v>
      </c>
      <c r="F3" s="18">
        <v>4.1459999999999999</v>
      </c>
      <c r="G3" s="2" t="str">
        <f t="shared" ref="G3:G15" si="0">IF(E3&gt;D3,"R","P")</f>
        <v>P</v>
      </c>
      <c r="H3" s="2" t="str">
        <f t="shared" ref="H3:H15" si="1">IF((D3&lt;E3)*(D3&lt;F3)+(D3&gt;E3)*(D3&gt;F3),"+","-")</f>
        <v>-</v>
      </c>
      <c r="I3" s="19">
        <f t="shared" ref="I3:I15" si="2">ABS((K3+L3)/2-F3)</f>
        <v>1.0335335335298623E-3</v>
      </c>
      <c r="K3" s="19">
        <f>IF(H3=1,(Y3*AM3+Z3*AN3+AJ3),(Y3*AM3+Z3*AN3+AJ3))</f>
        <v>4.14496646646647</v>
      </c>
      <c r="L3" s="19">
        <f>K3+AK3</f>
        <v>4.14496646646647</v>
      </c>
      <c r="N3" s="20">
        <f t="shared" ref="N3:N10" si="3">ABS(K3/F3-1)</f>
        <v>2.492844991630605E-4</v>
      </c>
      <c r="O3" s="20">
        <f t="shared" ref="O3:O10" si="4">ABS(L3/F3-1)</f>
        <v>2.492844991630605E-4</v>
      </c>
      <c r="Q3" s="16">
        <v>7</v>
      </c>
      <c r="R3" s="21">
        <v>4.12</v>
      </c>
      <c r="S3" s="1">
        <v>4.1133146110435197</v>
      </c>
      <c r="T3" s="1" t="s">
        <v>19</v>
      </c>
      <c r="U3" s="1">
        <v>4.1133146110435197</v>
      </c>
      <c r="V3" s="21" t="s">
        <v>19</v>
      </c>
      <c r="W3" s="21">
        <v>4.1100000000000003</v>
      </c>
      <c r="X3" s="21" t="s">
        <v>19</v>
      </c>
      <c r="Y3" s="21">
        <v>4.1144664664664701</v>
      </c>
      <c r="Z3" s="21">
        <v>4.0991083941605799</v>
      </c>
      <c r="AA3" s="21">
        <v>4.1459999999999999</v>
      </c>
      <c r="AC3" s="20"/>
      <c r="AD3" s="20"/>
      <c r="AF3" s="20"/>
      <c r="AG3" s="20"/>
      <c r="AH3" s="2" t="str">
        <f t="shared" ref="AH3:AH15" si="5">G3</f>
        <v>P</v>
      </c>
      <c r="AI3" s="2" t="str">
        <f t="shared" ref="AI3:AI15" si="6">H3</f>
        <v>-</v>
      </c>
      <c r="AJ3" s="3">
        <v>3.0499999999999999E-2</v>
      </c>
      <c r="AK3" s="3">
        <v>0</v>
      </c>
      <c r="AL3" s="10"/>
      <c r="AM3" s="3">
        <v>1</v>
      </c>
      <c r="AN3" s="3">
        <f>1-AM3</f>
        <v>0</v>
      </c>
      <c r="AP3" s="14" t="s">
        <v>23</v>
      </c>
    </row>
    <row r="4" spans="1:47" ht="15.75" customHeight="1" x14ac:dyDescent="0.3">
      <c r="A4" s="22">
        <f t="shared" ref="A4:B8" si="7">A3+1</f>
        <v>2</v>
      </c>
      <c r="B4" s="22">
        <f t="shared" si="7"/>
        <v>8</v>
      </c>
      <c r="C4" s="23">
        <f>C3+7</f>
        <v>45979</v>
      </c>
      <c r="D4" s="24">
        <v>4.1230000000000002</v>
      </c>
      <c r="E4" s="24">
        <v>4.1189999999999998</v>
      </c>
      <c r="F4" s="24">
        <v>4.1040000000000001</v>
      </c>
      <c r="G4" s="25" t="str">
        <f t="shared" si="0"/>
        <v>P</v>
      </c>
      <c r="H4" s="25" t="str">
        <f t="shared" si="1"/>
        <v>+</v>
      </c>
      <c r="I4" s="26">
        <f t="shared" si="2"/>
        <v>1.9388695652170718E-2</v>
      </c>
      <c r="K4" s="26">
        <f>IF(H4=1,(Y4*AM4+Z4*AN4+AJ4),(Y4*AM4+Z4*AN4+AJ4))</f>
        <v>4.0846113043478294</v>
      </c>
      <c r="L4" s="26">
        <f>K4+AK4</f>
        <v>4.0846113043478294</v>
      </c>
      <c r="N4" s="27">
        <f t="shared" si="3"/>
        <v>4.7243410458505108E-3</v>
      </c>
      <c r="O4" s="27">
        <f t="shared" si="4"/>
        <v>4.7243410458505108E-3</v>
      </c>
      <c r="Q4" s="22">
        <f>Q3+1</f>
        <v>8</v>
      </c>
      <c r="R4" s="28">
        <v>4.1230000000000002</v>
      </c>
      <c r="S4" s="29">
        <v>4.1181830491088096</v>
      </c>
      <c r="T4" s="29" t="s">
        <v>17</v>
      </c>
      <c r="U4" s="29">
        <v>4.1181830491088096</v>
      </c>
      <c r="V4" s="28">
        <v>85520</v>
      </c>
      <c r="W4" s="28">
        <v>4.1459999999999999</v>
      </c>
      <c r="X4" s="28" t="s">
        <v>19</v>
      </c>
      <c r="Y4" s="28">
        <v>4.1185942716569999</v>
      </c>
      <c r="Z4" s="28">
        <v>4.1131113043478296</v>
      </c>
      <c r="AA4" s="21">
        <v>4.1040000000000001</v>
      </c>
      <c r="AC4" s="20"/>
      <c r="AD4" s="20"/>
      <c r="AF4" s="20"/>
      <c r="AG4" s="20"/>
      <c r="AH4" s="25" t="str">
        <f t="shared" si="5"/>
        <v>P</v>
      </c>
      <c r="AI4" s="25" t="str">
        <f t="shared" si="6"/>
        <v>+</v>
      </c>
      <c r="AJ4" s="24">
        <v>-2.8500000000000001E-2</v>
      </c>
      <c r="AK4" s="24">
        <v>0</v>
      </c>
      <c r="AL4" s="10"/>
      <c r="AM4" s="24">
        <v>0</v>
      </c>
      <c r="AN4" s="24">
        <f>1-AM4</f>
        <v>1</v>
      </c>
      <c r="AP4" s="14" t="s">
        <v>24</v>
      </c>
    </row>
    <row r="5" spans="1:47" ht="15.75" customHeight="1" x14ac:dyDescent="0.3">
      <c r="A5" s="22">
        <f t="shared" si="7"/>
        <v>3</v>
      </c>
      <c r="B5" s="22">
        <f t="shared" si="7"/>
        <v>9</v>
      </c>
      <c r="C5" s="23">
        <f>C4+7</f>
        <v>45986</v>
      </c>
      <c r="D5" s="24">
        <v>4.0199999999999996</v>
      </c>
      <c r="E5" s="24">
        <v>4.0140000000000002</v>
      </c>
      <c r="F5" s="24">
        <v>4.01</v>
      </c>
      <c r="G5" s="25" t="str">
        <f t="shared" si="0"/>
        <v>P</v>
      </c>
      <c r="H5" s="25" t="str">
        <f t="shared" si="1"/>
        <v>+</v>
      </c>
      <c r="I5" s="26">
        <f t="shared" si="2"/>
        <v>2.8341908713690245E-2</v>
      </c>
      <c r="K5" s="26">
        <f>IF(H5=1,(Y5*AM5+Z5*AN5+AJ5),(Y5*AM5+Z5*AN5+AJ5))</f>
        <v>3.9816580912863095</v>
      </c>
      <c r="L5" s="26">
        <f>K5+AK5</f>
        <v>3.9816580912863095</v>
      </c>
      <c r="N5" s="27">
        <f t="shared" si="3"/>
        <v>7.0678076592743944E-3</v>
      </c>
      <c r="O5" s="27">
        <f t="shared" si="4"/>
        <v>7.0678076592743944E-3</v>
      </c>
      <c r="Q5" s="22">
        <f>Q4+1</f>
        <v>9</v>
      </c>
      <c r="R5" s="28">
        <v>4.0019999999999998</v>
      </c>
      <c r="S5" s="29">
        <v>4.0134430265365699</v>
      </c>
      <c r="T5" s="29" t="s">
        <v>17</v>
      </c>
      <c r="U5" s="29">
        <v>4.0134430265365699</v>
      </c>
      <c r="V5" s="28">
        <v>85520</v>
      </c>
      <c r="W5" s="28">
        <v>4.01</v>
      </c>
      <c r="X5" s="28" t="s">
        <v>18</v>
      </c>
      <c r="Y5" s="28">
        <v>4.0137093726379396</v>
      </c>
      <c r="Z5" s="28">
        <v>4.0101580912863097</v>
      </c>
      <c r="AA5" s="21">
        <v>4.01</v>
      </c>
      <c r="AC5" s="20"/>
      <c r="AD5" s="20"/>
      <c r="AF5" s="20"/>
      <c r="AG5" s="20"/>
      <c r="AH5" s="25" t="str">
        <f t="shared" si="5"/>
        <v>P</v>
      </c>
      <c r="AI5" s="25" t="str">
        <f t="shared" si="6"/>
        <v>+</v>
      </c>
      <c r="AJ5" s="27">
        <f>AJ4</f>
        <v>-2.8500000000000001E-2</v>
      </c>
      <c r="AK5" s="27">
        <f>AK4</f>
        <v>0</v>
      </c>
      <c r="AM5" s="27">
        <f>AM4</f>
        <v>0</v>
      </c>
      <c r="AN5" s="27">
        <f>AN4</f>
        <v>1</v>
      </c>
    </row>
    <row r="6" spans="1:47" ht="15.75" customHeight="1" x14ac:dyDescent="0.3">
      <c r="A6" s="30">
        <f t="shared" si="7"/>
        <v>4</v>
      </c>
      <c r="B6" s="30">
        <f t="shared" si="7"/>
        <v>10</v>
      </c>
      <c r="C6" s="31">
        <f>C5+7</f>
        <v>45993</v>
      </c>
      <c r="D6" s="32">
        <v>4.0860000000000003</v>
      </c>
      <c r="E6" s="32">
        <v>4.0890000000000004</v>
      </c>
      <c r="F6" s="32">
        <v>4.1859999999999999</v>
      </c>
      <c r="G6" s="33" t="str">
        <f t="shared" si="0"/>
        <v>R</v>
      </c>
      <c r="H6" s="33" t="str">
        <f t="shared" si="1"/>
        <v>+</v>
      </c>
      <c r="I6" s="34">
        <f t="shared" si="2"/>
        <v>4.5971835273534545E-2</v>
      </c>
      <c r="K6" s="34">
        <f>IF(H3=1,(Y6*AF6+Z6*AG6+AC6),(Y6*AF6+Z6*AG6+AC6))</f>
        <v>4.1400281647264654</v>
      </c>
      <c r="L6" s="34">
        <f>K6+AD6</f>
        <v>4.1400281647264654</v>
      </c>
      <c r="N6" s="35">
        <f t="shared" si="3"/>
        <v>1.0982282674040778E-2</v>
      </c>
      <c r="O6" s="35">
        <f t="shared" si="4"/>
        <v>1.0982282674040778E-2</v>
      </c>
      <c r="Q6" s="30">
        <f>Q5+1</f>
        <v>10</v>
      </c>
      <c r="R6" s="36">
        <v>4.0860000000000003</v>
      </c>
      <c r="S6" s="37">
        <v>4.0885872527913696</v>
      </c>
      <c r="T6" s="37" t="s">
        <v>19</v>
      </c>
      <c r="U6" s="37">
        <v>4.0885872527913696</v>
      </c>
      <c r="V6" s="36" t="s">
        <v>19</v>
      </c>
      <c r="W6" s="36">
        <v>4.08</v>
      </c>
      <c r="X6" s="36" t="s">
        <v>19</v>
      </c>
      <c r="Y6" s="36">
        <v>4.0887647369347198</v>
      </c>
      <c r="Z6" s="36">
        <v>4.0863982816901396</v>
      </c>
      <c r="AA6" s="21">
        <v>4.1859999999999999</v>
      </c>
      <c r="AC6" s="32">
        <v>4.5999999999999999E-2</v>
      </c>
      <c r="AD6" s="32">
        <v>0</v>
      </c>
      <c r="AE6" s="10"/>
      <c r="AF6" s="32">
        <v>3.2241822674655101</v>
      </c>
      <c r="AG6" s="32">
        <f>1-AF6</f>
        <v>-2.2241822674655101</v>
      </c>
      <c r="AH6" s="33" t="str">
        <f t="shared" si="5"/>
        <v>R</v>
      </c>
      <c r="AI6" s="33" t="str">
        <f t="shared" si="6"/>
        <v>+</v>
      </c>
      <c r="AJ6" s="20"/>
      <c r="AK6" s="20"/>
      <c r="AM6" s="20"/>
      <c r="AN6" s="20"/>
      <c r="AP6" s="38" t="s">
        <v>25</v>
      </c>
    </row>
    <row r="7" spans="1:47" ht="15.75" customHeight="1" x14ac:dyDescent="0.3">
      <c r="A7" s="22">
        <f t="shared" si="7"/>
        <v>5</v>
      </c>
      <c r="B7" s="22">
        <f t="shared" si="7"/>
        <v>11</v>
      </c>
      <c r="C7" s="23">
        <f>C6+7</f>
        <v>46000</v>
      </c>
      <c r="D7" s="24">
        <v>4.21</v>
      </c>
      <c r="E7" s="24">
        <v>4.2060000000000004</v>
      </c>
      <c r="F7" s="24">
        <v>4.1859999999999999</v>
      </c>
      <c r="G7" s="25" t="str">
        <f t="shared" si="0"/>
        <v>P</v>
      </c>
      <c r="H7" s="25" t="str">
        <f t="shared" si="1"/>
        <v>+</v>
      </c>
      <c r="I7" s="26">
        <f t="shared" si="2"/>
        <v>1.5154421286029951E-2</v>
      </c>
      <c r="K7" s="26">
        <f>IF(H7=1,(Y7*AM7+Z7*AN7+AJ7),(Y7*AM7+Z7*AN7+AJ7))</f>
        <v>4.17084557871397</v>
      </c>
      <c r="L7" s="26">
        <f>K7+AK7</f>
        <v>4.17084557871397</v>
      </c>
      <c r="N7" s="27">
        <f t="shared" si="3"/>
        <v>3.6202630879192954E-3</v>
      </c>
      <c r="O7" s="27">
        <f t="shared" si="4"/>
        <v>3.6202630879192954E-3</v>
      </c>
      <c r="Q7" s="22">
        <f>Q6+1</f>
        <v>11</v>
      </c>
      <c r="R7" s="28">
        <v>4.1859999999999999</v>
      </c>
      <c r="S7" s="29">
        <v>4.20587140497127</v>
      </c>
      <c r="T7" s="29" t="s">
        <v>17</v>
      </c>
      <c r="U7" s="29">
        <v>4.20587140497127</v>
      </c>
      <c r="V7" s="28">
        <v>85520</v>
      </c>
      <c r="W7" s="28">
        <v>4.2</v>
      </c>
      <c r="X7" s="28" t="s">
        <v>18</v>
      </c>
      <c r="Y7" s="28">
        <v>4.2064005260191601</v>
      </c>
      <c r="Z7" s="28">
        <v>4.1993455787139702</v>
      </c>
      <c r="AA7" s="21">
        <v>4.1859999999999999</v>
      </c>
      <c r="AC7" s="20"/>
      <c r="AD7" s="20"/>
      <c r="AF7" s="20"/>
      <c r="AG7" s="20"/>
      <c r="AH7" s="25" t="str">
        <f t="shared" si="5"/>
        <v>P</v>
      </c>
      <c r="AI7" s="25" t="str">
        <f t="shared" si="6"/>
        <v>+</v>
      </c>
      <c r="AJ7" s="27">
        <f>AJ4</f>
        <v>-2.8500000000000001E-2</v>
      </c>
      <c r="AK7" s="27">
        <f>AK4</f>
        <v>0</v>
      </c>
      <c r="AM7" s="27">
        <f>AM4</f>
        <v>0</v>
      </c>
      <c r="AN7" s="27">
        <f>AN4</f>
        <v>1</v>
      </c>
      <c r="AP7" s="39" t="s">
        <v>26</v>
      </c>
      <c r="AQ7" s="39" t="s">
        <v>27</v>
      </c>
      <c r="AR7" s="40">
        <v>1.4</v>
      </c>
      <c r="AS7" s="40">
        <v>0.33</v>
      </c>
      <c r="AT7" s="40">
        <v>1.2654493294640801</v>
      </c>
      <c r="AU7" s="40">
        <v>-0.26544932946407501</v>
      </c>
    </row>
    <row r="8" spans="1:47" ht="15.75" customHeight="1" x14ac:dyDescent="0.3">
      <c r="A8" s="16">
        <f t="shared" si="7"/>
        <v>6</v>
      </c>
      <c r="B8" s="16">
        <f t="shared" si="7"/>
        <v>12</v>
      </c>
      <c r="C8" s="17">
        <f>C7+7</f>
        <v>46007</v>
      </c>
      <c r="D8" s="18">
        <v>4.149</v>
      </c>
      <c r="E8" s="18">
        <v>4.149</v>
      </c>
      <c r="F8" s="18">
        <v>4.149</v>
      </c>
      <c r="G8" s="2" t="str">
        <f t="shared" si="0"/>
        <v>P</v>
      </c>
      <c r="H8" s="2" t="str">
        <f t="shared" si="1"/>
        <v>-</v>
      </c>
      <c r="I8" s="19">
        <f t="shared" si="2"/>
        <v>3.0286056562999875E-2</v>
      </c>
      <c r="K8" s="19">
        <f>IF(H8=1,(Y8*AM8+Z8*AN8+AJ8),(Y8*AM8+Z8*AN8+AJ8))</f>
        <v>4.1792860565629999</v>
      </c>
      <c r="L8" s="19">
        <f>K8+AK8</f>
        <v>4.1792860565629999</v>
      </c>
      <c r="N8" s="20">
        <f t="shared" si="3"/>
        <v>7.2996038956374409E-3</v>
      </c>
      <c r="O8" s="20">
        <f t="shared" si="4"/>
        <v>7.2996038956374409E-3</v>
      </c>
      <c r="Q8" s="16">
        <f>Q7+1</f>
        <v>12</v>
      </c>
      <c r="R8" s="21">
        <v>4.149</v>
      </c>
      <c r="S8" s="1">
        <v>4.1488668738175898</v>
      </c>
      <c r="T8" s="1" t="s">
        <v>17</v>
      </c>
      <c r="U8" s="1">
        <v>4.1488668738175898</v>
      </c>
      <c r="V8" s="21">
        <v>85520</v>
      </c>
      <c r="W8" s="21">
        <v>4.1500000000000004</v>
      </c>
      <c r="X8" s="21" t="s">
        <v>19</v>
      </c>
      <c r="Y8" s="21">
        <v>4.1487860565629999</v>
      </c>
      <c r="Z8" s="21">
        <v>4.1498636199575403</v>
      </c>
      <c r="AA8" s="21">
        <v>4.149</v>
      </c>
      <c r="AC8" s="20"/>
      <c r="AD8" s="20"/>
      <c r="AF8" s="20"/>
      <c r="AG8" s="20"/>
      <c r="AH8" s="2" t="str">
        <f t="shared" si="5"/>
        <v>P</v>
      </c>
      <c r="AI8" s="2" t="str">
        <f t="shared" si="6"/>
        <v>-</v>
      </c>
      <c r="AJ8" s="20">
        <f>AJ3</f>
        <v>3.0499999999999999E-2</v>
      </c>
      <c r="AK8" s="20">
        <f>AK3</f>
        <v>0</v>
      </c>
      <c r="AM8" s="20">
        <f>AM3</f>
        <v>1</v>
      </c>
      <c r="AN8" s="20">
        <f>AN3</f>
        <v>0</v>
      </c>
      <c r="AP8" s="41" t="s">
        <v>26</v>
      </c>
      <c r="AQ8" s="41" t="s">
        <v>28</v>
      </c>
      <c r="AR8" s="42">
        <v>-0.79</v>
      </c>
      <c r="AS8" s="42">
        <v>-0.33</v>
      </c>
      <c r="AT8" s="42">
        <v>5.82746115905876E-3</v>
      </c>
      <c r="AU8" s="42">
        <v>0.99417253884094103</v>
      </c>
    </row>
    <row r="9" spans="1:47" ht="15.75" customHeight="1" x14ac:dyDescent="0.3">
      <c r="A9" s="16">
        <f t="shared" ref="A9:A15" si="8">A8+1</f>
        <v>7</v>
      </c>
      <c r="B9" s="16">
        <v>1</v>
      </c>
      <c r="C9" s="17">
        <v>46035</v>
      </c>
      <c r="D9" s="18">
        <v>4.1790000000000003</v>
      </c>
      <c r="E9" s="18">
        <v>4.1680000000000001</v>
      </c>
      <c r="F9" s="18">
        <v>4.2290000000000001</v>
      </c>
      <c r="G9" s="2" t="str">
        <f t="shared" si="0"/>
        <v>P</v>
      </c>
      <c r="H9" s="2" t="str">
        <f t="shared" si="1"/>
        <v>-</v>
      </c>
      <c r="I9" s="19">
        <f t="shared" si="2"/>
        <v>3.0476510382410282E-2</v>
      </c>
      <c r="K9" s="19">
        <f>IF(H9=1,(Y9*AM9+Z9*AN9+AJ9),(Y9*AM9+Z9*AN9+AJ9))</f>
        <v>4.1985234896175898</v>
      </c>
      <c r="L9" s="19">
        <f>K9+AK9</f>
        <v>4.1985234896175898</v>
      </c>
      <c r="N9" s="20">
        <f t="shared" si="3"/>
        <v>7.2065524668740721E-3</v>
      </c>
      <c r="O9" s="20">
        <f t="shared" si="4"/>
        <v>7.2065524668740721E-3</v>
      </c>
      <c r="Q9" s="16">
        <v>1</v>
      </c>
      <c r="R9" s="21">
        <v>4.1710000000000003</v>
      </c>
      <c r="S9" s="1">
        <v>4.1666783848326903</v>
      </c>
      <c r="T9" s="1" t="s">
        <v>19</v>
      </c>
      <c r="U9" s="1">
        <v>4.1666783848326903</v>
      </c>
      <c r="V9" s="21" t="s">
        <v>19</v>
      </c>
      <c r="W9" s="21">
        <v>4.17</v>
      </c>
      <c r="X9" s="21" t="s">
        <v>18</v>
      </c>
      <c r="Y9" s="21">
        <v>4.1680234896175898</v>
      </c>
      <c r="Z9" s="21">
        <v>4.1500887591522204</v>
      </c>
      <c r="AA9" s="21">
        <v>4.2290000000000001</v>
      </c>
      <c r="AC9" s="20"/>
      <c r="AD9" s="20"/>
      <c r="AF9" s="20"/>
      <c r="AG9" s="20"/>
      <c r="AH9" s="2" t="str">
        <f t="shared" si="5"/>
        <v>P</v>
      </c>
      <c r="AI9" s="2" t="str">
        <f t="shared" si="6"/>
        <v>-</v>
      </c>
      <c r="AJ9" s="20">
        <f>AJ8</f>
        <v>3.0499999999999999E-2</v>
      </c>
      <c r="AK9" s="20">
        <f>AK8</f>
        <v>0</v>
      </c>
      <c r="AM9" s="20">
        <f>AM8</f>
        <v>1</v>
      </c>
      <c r="AN9" s="20">
        <f>AN8</f>
        <v>0</v>
      </c>
      <c r="AP9" s="43" t="s">
        <v>4</v>
      </c>
      <c r="AQ9" s="43" t="s">
        <v>27</v>
      </c>
      <c r="AR9" s="44">
        <v>-11.5</v>
      </c>
      <c r="AS9" s="44">
        <v>-2.86</v>
      </c>
      <c r="AT9" s="44">
        <v>0.875</v>
      </c>
      <c r="AU9" s="44">
        <v>0.125</v>
      </c>
    </row>
    <row r="10" spans="1:47" ht="15.75" customHeight="1" x14ac:dyDescent="0.3">
      <c r="A10" s="22">
        <f t="shared" si="8"/>
        <v>8</v>
      </c>
      <c r="B10" s="22">
        <f t="shared" ref="B10:B15" si="9">B9+1</f>
        <v>2</v>
      </c>
      <c r="C10" s="23">
        <f t="shared" ref="C10:C15" si="10">C9+7</f>
        <v>46042</v>
      </c>
      <c r="D10" s="24">
        <v>4.3</v>
      </c>
      <c r="E10" s="24">
        <v>4.2699999999999996</v>
      </c>
      <c r="F10" s="24">
        <v>4.2309999999999999</v>
      </c>
      <c r="G10" s="25" t="str">
        <f t="shared" si="0"/>
        <v>P</v>
      </c>
      <c r="H10" s="25" t="str">
        <f t="shared" si="1"/>
        <v>+</v>
      </c>
      <c r="I10" s="26">
        <f t="shared" si="2"/>
        <v>2.8263211382109965E-2</v>
      </c>
      <c r="K10" s="26">
        <f>IF(H10=1,(Y10*AM10+Z10*AN10+AJ10),(Y10*AM10+Z10*AN10+AJ10))</f>
        <v>4.2592632113821098</v>
      </c>
      <c r="L10" s="26">
        <f>K10+AK10</f>
        <v>4.2592632113821098</v>
      </c>
      <c r="N10" s="27">
        <f t="shared" si="3"/>
        <v>6.6800310522594497E-3</v>
      </c>
      <c r="O10" s="27">
        <f t="shared" si="4"/>
        <v>6.6800310522594497E-3</v>
      </c>
      <c r="Q10" s="22">
        <f t="shared" ref="Q10:Q15" si="11">Q9+1</f>
        <v>2</v>
      </c>
      <c r="R10" s="28">
        <v>4.3</v>
      </c>
      <c r="S10" s="29">
        <v>4.24</v>
      </c>
      <c r="T10" s="29" t="s">
        <v>19</v>
      </c>
      <c r="U10" s="29">
        <v>4.25</v>
      </c>
      <c r="V10" s="28" t="s">
        <v>19</v>
      </c>
      <c r="W10" s="28">
        <v>4.28</v>
      </c>
      <c r="X10" s="28" t="s">
        <v>19</v>
      </c>
      <c r="Y10" s="28">
        <v>4.2856715063520898</v>
      </c>
      <c r="Z10" s="28">
        <v>4.28776321138211</v>
      </c>
      <c r="AA10" s="21">
        <v>4.2309999999999999</v>
      </c>
      <c r="AC10" s="20"/>
      <c r="AD10" s="20"/>
      <c r="AF10" s="20"/>
      <c r="AG10" s="20"/>
      <c r="AH10" s="25" t="str">
        <f t="shared" si="5"/>
        <v>P</v>
      </c>
      <c r="AI10" s="25" t="str">
        <f t="shared" si="6"/>
        <v>+</v>
      </c>
      <c r="AJ10" s="27">
        <f>AJ4</f>
        <v>-2.8500000000000001E-2</v>
      </c>
      <c r="AK10" s="27">
        <f>AK4</f>
        <v>0</v>
      </c>
      <c r="AM10" s="27">
        <f>AM4</f>
        <v>0</v>
      </c>
      <c r="AN10" s="27">
        <f>AN4</f>
        <v>1</v>
      </c>
      <c r="AP10" s="2" t="s">
        <v>4</v>
      </c>
      <c r="AQ10" s="2" t="s">
        <v>28</v>
      </c>
      <c r="AR10" s="16">
        <v>-0.75</v>
      </c>
      <c r="AS10" s="16">
        <v>-0.23</v>
      </c>
      <c r="AT10" s="16">
        <v>0</v>
      </c>
      <c r="AU10" s="16">
        <v>1</v>
      </c>
    </row>
    <row r="11" spans="1:47" ht="15.75" customHeight="1" x14ac:dyDescent="0.3">
      <c r="A11" s="30">
        <f t="shared" si="8"/>
        <v>9</v>
      </c>
      <c r="B11" s="30">
        <f t="shared" si="9"/>
        <v>3</v>
      </c>
      <c r="C11" s="31">
        <f t="shared" si="10"/>
        <v>46049</v>
      </c>
      <c r="D11" s="32">
        <f>R11</f>
        <v>4.2229999999999999</v>
      </c>
      <c r="E11" s="32">
        <f>Y11</f>
        <v>4.2257303149606296</v>
      </c>
      <c r="F11" s="32">
        <v>4.2389999999999999</v>
      </c>
      <c r="G11" s="33" t="str">
        <f t="shared" si="0"/>
        <v>R</v>
      </c>
      <c r="H11" s="33" t="str">
        <f t="shared" si="1"/>
        <v>+</v>
      </c>
      <c r="I11" s="34">
        <f t="shared" si="2"/>
        <v>2.2981784656305848E-2</v>
      </c>
      <c r="K11" s="34">
        <f>IF(H11=1,(Y11*AF11+Z11*AG11+AC11),(Y11*AF11+Z11*AG11+AC11))</f>
        <v>4.2619817846563057</v>
      </c>
      <c r="L11" s="34">
        <f>K11+AD11</f>
        <v>4.2619817846563057</v>
      </c>
      <c r="N11" s="35">
        <f>ABS(F11-K11)</f>
        <v>2.2981784656305848E-2</v>
      </c>
      <c r="O11" s="35">
        <f>ABS(F11-L11)</f>
        <v>2.2981784656305848E-2</v>
      </c>
      <c r="Q11" s="30">
        <f t="shared" si="11"/>
        <v>3</v>
      </c>
      <c r="R11" s="36">
        <v>4.2229999999999999</v>
      </c>
      <c r="S11" s="37">
        <v>4.2300000000000004</v>
      </c>
      <c r="T11" s="37" t="s">
        <v>19</v>
      </c>
      <c r="U11" s="37">
        <v>4.2300000000000004</v>
      </c>
      <c r="V11" s="36" t="s">
        <v>19</v>
      </c>
      <c r="W11" s="36">
        <v>4.24</v>
      </c>
      <c r="X11" s="36" t="s">
        <v>19</v>
      </c>
      <c r="Y11" s="36">
        <v>4.2257303149606296</v>
      </c>
      <c r="Z11" s="36">
        <v>4.2301132877263603</v>
      </c>
      <c r="AA11" s="21">
        <v>4.2309999999999999</v>
      </c>
      <c r="AC11" s="35">
        <f>AC6</f>
        <v>4.5999999999999999E-2</v>
      </c>
      <c r="AD11" s="35">
        <f>AD6</f>
        <v>0</v>
      </c>
      <c r="AE11" s="6"/>
      <c r="AF11" s="35">
        <f>AF6</f>
        <v>3.2241822674655101</v>
      </c>
      <c r="AG11" s="35">
        <f>AG6</f>
        <v>-2.2241822674655101</v>
      </c>
      <c r="AH11" s="33" t="str">
        <f t="shared" si="5"/>
        <v>R</v>
      </c>
      <c r="AI11" s="33" t="str">
        <f t="shared" si="6"/>
        <v>+</v>
      </c>
      <c r="AJ11" s="20"/>
      <c r="AK11" s="20"/>
      <c r="AM11" s="20"/>
      <c r="AN11" s="20"/>
    </row>
    <row r="12" spans="1:47" ht="15.75" customHeight="1" x14ac:dyDescent="0.3">
      <c r="A12" s="22">
        <f t="shared" si="8"/>
        <v>10</v>
      </c>
      <c r="B12" s="22">
        <f t="shared" si="9"/>
        <v>4</v>
      </c>
      <c r="C12" s="23">
        <f t="shared" si="10"/>
        <v>46056</v>
      </c>
      <c r="D12" s="24">
        <v>4.274</v>
      </c>
      <c r="E12" s="24">
        <v>4.2649999999999997</v>
      </c>
      <c r="F12" s="24">
        <v>4.2080000000000002</v>
      </c>
      <c r="G12" s="25" t="str">
        <f t="shared" si="0"/>
        <v>P</v>
      </c>
      <c r="H12" s="25" t="str">
        <f t="shared" si="1"/>
        <v>+</v>
      </c>
      <c r="I12" s="26">
        <f t="shared" si="2"/>
        <v>4.0582484725106838E-3</v>
      </c>
      <c r="K12" s="26">
        <f>IF(H12=1,(Y12*AM12+Z12*AN12+AJ12),(Y12*AM12+Z12*AN12+AJ12))</f>
        <v>4.2039417515274895</v>
      </c>
      <c r="L12" s="26">
        <f>K12+AK12</f>
        <v>4.2039417515274895</v>
      </c>
      <c r="N12" s="27">
        <f>ABS(F12-K12)</f>
        <v>4.0582484725106838E-3</v>
      </c>
      <c r="O12" s="27">
        <f>ABS(F12-L12)</f>
        <v>4.0582484725106838E-3</v>
      </c>
      <c r="Q12" s="22">
        <f t="shared" si="11"/>
        <v>4</v>
      </c>
      <c r="R12" s="28">
        <v>4.274</v>
      </c>
      <c r="S12" s="29">
        <v>4.2300000000000004</v>
      </c>
      <c r="T12" s="29" t="s">
        <v>17</v>
      </c>
      <c r="U12" s="29">
        <v>4.24</v>
      </c>
      <c r="V12" s="28">
        <v>85520</v>
      </c>
      <c r="W12" s="28">
        <v>4.2699999999999996</v>
      </c>
      <c r="X12" s="28" t="s">
        <v>19</v>
      </c>
      <c r="Y12" s="28">
        <v>4.26508875739645</v>
      </c>
      <c r="Z12" s="28">
        <v>4.2324417515274897</v>
      </c>
      <c r="AA12" s="21">
        <v>4.2309999999999999</v>
      </c>
      <c r="AC12" s="20"/>
      <c r="AD12" s="20"/>
      <c r="AE12" s="6"/>
      <c r="AF12" s="20"/>
      <c r="AG12" s="20"/>
      <c r="AH12" s="25" t="str">
        <f t="shared" si="5"/>
        <v>P</v>
      </c>
      <c r="AI12" s="25" t="str">
        <f t="shared" si="6"/>
        <v>+</v>
      </c>
      <c r="AJ12" s="27">
        <f>AJ4</f>
        <v>-2.8500000000000001E-2</v>
      </c>
      <c r="AK12" s="27">
        <f>AK4</f>
        <v>0</v>
      </c>
      <c r="AM12" s="27">
        <f>AM4</f>
        <v>0</v>
      </c>
      <c r="AN12" s="27">
        <f>AN4</f>
        <v>1</v>
      </c>
      <c r="AQ12" s="5" t="s">
        <v>26</v>
      </c>
      <c r="AR12" s="6">
        <f>COUNTIF(G3:G14,"R")</f>
        <v>4</v>
      </c>
    </row>
    <row r="13" spans="1:47" ht="15.75" customHeight="1" x14ac:dyDescent="0.3">
      <c r="A13" s="45">
        <f t="shared" si="8"/>
        <v>11</v>
      </c>
      <c r="B13" s="45">
        <f t="shared" si="9"/>
        <v>5</v>
      </c>
      <c r="C13" s="46">
        <f t="shared" si="10"/>
        <v>46063</v>
      </c>
      <c r="D13" s="47">
        <f>R13</f>
        <v>4.1470000000000002</v>
      </c>
      <c r="E13" s="47">
        <f>Y13</f>
        <v>4.1585178197064998</v>
      </c>
      <c r="F13" s="47">
        <v>4.05</v>
      </c>
      <c r="G13" s="48" t="str">
        <f t="shared" si="0"/>
        <v>R</v>
      </c>
      <c r="H13" s="48" t="str">
        <f t="shared" si="1"/>
        <v>-</v>
      </c>
      <c r="I13" s="49">
        <f t="shared" si="2"/>
        <v>1.0206431931003124E-2</v>
      </c>
      <c r="K13" s="50">
        <f>IF(H13=1,(Y13*AF13+Z13*AG13+AC13),(Y13*AF13+Z13*AG13+AC13))</f>
        <v>4.0502064319310032</v>
      </c>
      <c r="L13" s="50">
        <f>K13+AD13</f>
        <v>4.0702064319310027</v>
      </c>
      <c r="N13" s="51">
        <f>ABS(K13/F13-1)</f>
        <v>5.0970847161213584E-5</v>
      </c>
      <c r="O13" s="51">
        <f>ABS(L13/F13-1)</f>
        <v>4.9892424520994183E-3</v>
      </c>
      <c r="P13" s="52"/>
      <c r="Q13" s="45">
        <f t="shared" si="11"/>
        <v>5</v>
      </c>
      <c r="R13" s="53">
        <v>4.1470000000000002</v>
      </c>
      <c r="S13" s="54">
        <v>4.12</v>
      </c>
      <c r="T13" s="54" t="s">
        <v>19</v>
      </c>
      <c r="U13" s="54">
        <v>4.13</v>
      </c>
      <c r="V13" s="53" t="s">
        <v>19</v>
      </c>
      <c r="W13" s="53">
        <v>4.1500000000000004</v>
      </c>
      <c r="X13" s="53" t="s">
        <v>19</v>
      </c>
      <c r="Y13" s="53">
        <v>4.1585178197064998</v>
      </c>
      <c r="Z13" s="53">
        <v>4.1669608808290199</v>
      </c>
      <c r="AA13" s="51">
        <v>4.149</v>
      </c>
      <c r="AC13" s="47">
        <v>-0.11</v>
      </c>
      <c r="AD13" s="47">
        <v>0.02</v>
      </c>
      <c r="AF13" s="47">
        <v>0.8</v>
      </c>
      <c r="AG13" s="47">
        <f>1-AF13</f>
        <v>0.19999999999999996</v>
      </c>
      <c r="AH13" s="51" t="str">
        <f t="shared" si="5"/>
        <v>R</v>
      </c>
      <c r="AI13" s="51" t="str">
        <f t="shared" si="6"/>
        <v>-</v>
      </c>
      <c r="AJ13" s="20"/>
      <c r="AK13" s="20"/>
      <c r="AM13" s="20"/>
      <c r="AN13" s="20"/>
      <c r="AQ13" s="5" t="s">
        <v>4</v>
      </c>
      <c r="AR13" s="6">
        <f>COUNTIF(G3:G14,"P")</f>
        <v>8</v>
      </c>
    </row>
    <row r="14" spans="1:47" ht="15.75" customHeight="1" x14ac:dyDescent="0.3">
      <c r="A14" s="30">
        <f t="shared" si="8"/>
        <v>12</v>
      </c>
      <c r="B14" s="30">
        <f t="shared" si="9"/>
        <v>6</v>
      </c>
      <c r="C14" s="31">
        <f t="shared" si="10"/>
        <v>46070</v>
      </c>
      <c r="D14" s="32">
        <v>4.0519999999999996</v>
      </c>
      <c r="E14" s="32">
        <v>4.0650000000000004</v>
      </c>
      <c r="F14" s="32">
        <v>4.085</v>
      </c>
      <c r="G14" s="33" t="str">
        <f t="shared" si="0"/>
        <v>R</v>
      </c>
      <c r="H14" s="33" t="str">
        <f t="shared" si="1"/>
        <v>+</v>
      </c>
      <c r="I14" s="34">
        <f t="shared" si="2"/>
        <v>4.5999998461844882E-2</v>
      </c>
      <c r="K14" s="34">
        <f>IF(H14=1,(Y14*AF14+Z14*AG14+AC14),(Y14*AF14+Z14*AG14+AC14))</f>
        <v>4.1309999984618448</v>
      </c>
      <c r="L14" s="34">
        <f>K14+AD14</f>
        <v>4.1309999984618448</v>
      </c>
      <c r="N14" s="35">
        <f>ABS(K14/F14-1)</f>
        <v>1.1260709537783242E-2</v>
      </c>
      <c r="O14" s="35">
        <f>ABS(L14/F14-1)</f>
        <v>1.1260709537783242E-2</v>
      </c>
      <c r="Q14" s="30">
        <f t="shared" si="11"/>
        <v>6</v>
      </c>
      <c r="R14" s="36">
        <v>4.0519999999999996</v>
      </c>
      <c r="S14" s="37">
        <v>4</v>
      </c>
      <c r="T14" s="37" t="s">
        <v>19</v>
      </c>
      <c r="U14" s="37">
        <v>4.01</v>
      </c>
      <c r="V14" s="36" t="s">
        <v>19</v>
      </c>
      <c r="W14" s="36">
        <v>4.05</v>
      </c>
      <c r="X14" s="36" t="s">
        <v>19</v>
      </c>
      <c r="Y14" s="36">
        <v>4.0651808278867101</v>
      </c>
      <c r="Z14" s="36">
        <v>4.0562700606060602</v>
      </c>
      <c r="AA14" s="21">
        <v>4.149</v>
      </c>
      <c r="AC14" s="35">
        <f>AC11</f>
        <v>4.5999999999999999E-2</v>
      </c>
      <c r="AD14" s="35">
        <f>AD11</f>
        <v>0</v>
      </c>
      <c r="AE14" s="6"/>
      <c r="AF14" s="35">
        <f>AF11</f>
        <v>3.2241822674655101</v>
      </c>
      <c r="AG14" s="35">
        <f>AG11</f>
        <v>-2.2241822674655101</v>
      </c>
      <c r="AH14" s="33" t="str">
        <f t="shared" si="5"/>
        <v>R</v>
      </c>
      <c r="AI14" s="33" t="str">
        <f t="shared" si="6"/>
        <v>+</v>
      </c>
      <c r="AJ14" s="20"/>
      <c r="AK14" s="20"/>
      <c r="AM14" s="20"/>
      <c r="AN14" s="20"/>
    </row>
    <row r="15" spans="1:47" ht="15.75" customHeight="1" x14ac:dyDescent="0.3">
      <c r="A15" s="45">
        <f t="shared" si="8"/>
        <v>13</v>
      </c>
      <c r="B15" s="45">
        <f t="shared" si="9"/>
        <v>7</v>
      </c>
      <c r="C15" s="46">
        <f t="shared" si="10"/>
        <v>46077</v>
      </c>
      <c r="D15" s="47">
        <v>4.0330000000000004</v>
      </c>
      <c r="E15" s="47">
        <v>4.0389999999999997</v>
      </c>
      <c r="F15" s="47">
        <v>4</v>
      </c>
      <c r="G15" s="48" t="str">
        <f t="shared" si="0"/>
        <v>R</v>
      </c>
      <c r="H15" s="48" t="str">
        <f t="shared" si="1"/>
        <v>-</v>
      </c>
      <c r="I15" s="49">
        <f t="shared" si="2"/>
        <v>6.0448268672908867E-2</v>
      </c>
      <c r="J15" s="6" t="s">
        <v>28</v>
      </c>
      <c r="K15" s="50">
        <f>IF(H15=1,(Y15*AF15+Z15*AG15+AC15),(Y15*AF15+Z15*AG15+AC15))</f>
        <v>3.9295517313270909</v>
      </c>
      <c r="L15" s="50">
        <f>K15+AD15</f>
        <v>3.9495517313270909</v>
      </c>
      <c r="N15" s="51">
        <f>ABS(K15/F15-1)</f>
        <v>1.7612067168227274E-2</v>
      </c>
      <c r="O15" s="51">
        <f>ABS(L15/F15-1)</f>
        <v>1.261206716822727E-2</v>
      </c>
      <c r="P15" s="52"/>
      <c r="Q15" s="45">
        <f t="shared" si="11"/>
        <v>7</v>
      </c>
      <c r="R15" s="53">
        <v>4.0330000000000004</v>
      </c>
      <c r="S15" s="54">
        <v>4.0199999999999996</v>
      </c>
      <c r="T15" s="54"/>
      <c r="U15" s="54">
        <v>4.05</v>
      </c>
      <c r="V15" s="53"/>
      <c r="W15" s="53">
        <v>4.0599999999999996</v>
      </c>
      <c r="X15" s="53"/>
      <c r="Y15" s="53">
        <v>4.0388972477064202</v>
      </c>
      <c r="Z15" s="53">
        <v>4.0421696658097703</v>
      </c>
      <c r="AA15" s="51">
        <v>4.149</v>
      </c>
      <c r="AC15" s="47">
        <f>AC13</f>
        <v>-0.11</v>
      </c>
      <c r="AD15" s="47">
        <f>AD13</f>
        <v>0.02</v>
      </c>
      <c r="AF15" s="47">
        <f>AF13</f>
        <v>0.8</v>
      </c>
      <c r="AG15" s="47">
        <f>AG13</f>
        <v>0.19999999999999996</v>
      </c>
      <c r="AH15" s="51" t="str">
        <f t="shared" si="5"/>
        <v>R</v>
      </c>
      <c r="AI15" s="51" t="str">
        <f t="shared" si="6"/>
        <v>-</v>
      </c>
      <c r="AJ15" s="20"/>
      <c r="AK15" s="20"/>
      <c r="AM15" s="20"/>
      <c r="AN15" s="20"/>
    </row>
    <row r="18" spans="1:47" ht="15.75" customHeight="1" x14ac:dyDescent="0.3">
      <c r="A18" s="6">
        <v>4</v>
      </c>
      <c r="B18" s="6">
        <v>6</v>
      </c>
      <c r="C18" s="6">
        <v>11</v>
      </c>
      <c r="D18" s="55">
        <v>7</v>
      </c>
      <c r="E18" s="56">
        <v>7</v>
      </c>
      <c r="F18" s="56">
        <v>7</v>
      </c>
      <c r="G18" s="5">
        <v>5</v>
      </c>
      <c r="H18" s="5">
        <v>5</v>
      </c>
      <c r="I18" s="57" t="s">
        <v>29</v>
      </c>
      <c r="J18" s="6">
        <v>2</v>
      </c>
      <c r="K18" s="55">
        <v>7</v>
      </c>
      <c r="L18" s="55">
        <v>7</v>
      </c>
      <c r="M18" s="6">
        <v>2</v>
      </c>
      <c r="N18" s="6">
        <v>7</v>
      </c>
      <c r="O18" s="6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11">
        <v>2</v>
      </c>
      <c r="AF18" s="6">
        <v>7</v>
      </c>
      <c r="AG18" s="6">
        <v>7</v>
      </c>
      <c r="AI18" s="5">
        <v>2</v>
      </c>
      <c r="AJ18" s="6">
        <v>7</v>
      </c>
      <c r="AK18" s="6">
        <v>7</v>
      </c>
      <c r="AL18" s="11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8"/>
  <sheetViews>
    <sheetView zoomScale="105" zoomScaleNormal="105" workbookViewId="0">
      <selection activeCell="U16" sqref="U16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6" width="7.77734375" style="59" customWidth="1"/>
    <col min="7" max="7" width="5.77734375" style="59" customWidth="1"/>
    <col min="8" max="8" width="5.77734375" style="5" customWidth="1"/>
    <col min="9" max="9" width="7.77734375" style="60" customWidth="1"/>
    <col min="10" max="10" width="2.77734375" style="6" customWidth="1"/>
    <col min="11" max="12" width="7.77734375" style="248" customWidth="1"/>
    <col min="13" max="13" width="2.77734375" style="6" customWidth="1"/>
    <col min="14" max="15" width="7.77734375" style="62" hidden="1" customWidth="1"/>
    <col min="16" max="16" width="2.77734375" style="6" hidden="1" customWidth="1"/>
    <col min="17" max="17" width="4.77734375" style="6" customWidth="1"/>
    <col min="18" max="18" width="7.77734375" style="6" customWidth="1"/>
    <col min="19" max="19" width="7.77734375" style="5" customWidth="1"/>
    <col min="20" max="20" width="7.77734375" style="5" hidden="1" customWidth="1"/>
    <col min="21" max="21" width="7.77734375" style="5" customWidth="1"/>
    <col min="22" max="22" width="7.77734375" style="6" hidden="1" customWidth="1"/>
    <col min="23" max="23" width="7.77734375" style="6" customWidth="1"/>
    <col min="24" max="24" width="7.77734375" style="6" hidden="1" customWidth="1"/>
    <col min="25" max="26" width="7.77734375" style="6" customWidth="1"/>
    <col min="27" max="27" width="7.77734375" style="6" hidden="1" customWidth="1"/>
    <col min="28" max="28" width="2.77734375" style="6" customWidth="1"/>
    <col min="29" max="30" width="7.77734375" style="6" customWidth="1"/>
    <col min="31" max="31" width="2.77734375" style="6" customWidth="1"/>
    <col min="32" max="33" width="7.77734375" style="11" customWidth="1"/>
    <col min="34" max="35" width="2.77734375" style="5" customWidth="1"/>
    <col min="36" max="37" width="7.77734375" style="6" customWidth="1"/>
    <col min="38" max="38" width="2.77734375" style="6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16384" width="8.77734375" style="6"/>
  </cols>
  <sheetData>
    <row r="1" spans="1:47" s="5" customFormat="1" ht="15.75" customHeight="1" x14ac:dyDescent="0.3">
      <c r="A1" s="260" t="s">
        <v>30</v>
      </c>
      <c r="B1" s="260"/>
      <c r="C1" s="13"/>
      <c r="D1" s="59"/>
      <c r="E1" s="59"/>
      <c r="F1" s="59"/>
      <c r="G1" s="59"/>
      <c r="I1" s="60">
        <f>AVERAGE(I3:I14)</f>
        <v>354.49645764944097</v>
      </c>
      <c r="K1" s="264" t="s">
        <v>1</v>
      </c>
      <c r="L1" s="264"/>
      <c r="N1" s="4">
        <f>AVERAGE(N3:N9)</f>
        <v>246.14764952019945</v>
      </c>
      <c r="O1" s="4">
        <f>AVERAGE(O3:O9)</f>
        <v>260.06556597913317</v>
      </c>
      <c r="R1" s="5" t="s">
        <v>2</v>
      </c>
      <c r="S1" s="262" t="s">
        <v>3</v>
      </c>
      <c r="T1" s="262"/>
      <c r="U1" s="262"/>
      <c r="Y1" s="5" t="s">
        <v>4</v>
      </c>
      <c r="AC1" s="263" t="s">
        <v>31</v>
      </c>
      <c r="AD1" s="263"/>
      <c r="AF1" s="259" t="s">
        <v>32</v>
      </c>
      <c r="AG1" s="259"/>
      <c r="AJ1" s="263" t="s">
        <v>33</v>
      </c>
      <c r="AK1" s="263"/>
      <c r="AM1" s="259" t="s">
        <v>34</v>
      </c>
      <c r="AN1" s="259"/>
      <c r="AO1" s="14"/>
      <c r="AP1" s="38" t="s">
        <v>9</v>
      </c>
    </row>
    <row r="2" spans="1:47" s="5" customFormat="1" ht="15.75" customHeight="1" x14ac:dyDescent="0.3">
      <c r="A2" s="2" t="s">
        <v>10</v>
      </c>
      <c r="B2" s="2" t="s">
        <v>11</v>
      </c>
      <c r="C2" s="2" t="s">
        <v>12</v>
      </c>
      <c r="D2" s="15" t="s">
        <v>2</v>
      </c>
      <c r="E2" s="15" t="s">
        <v>4</v>
      </c>
      <c r="F2" s="15" t="str">
        <f>AA2</f>
        <v xml:space="preserve">+3-day </v>
      </c>
      <c r="G2" s="15" t="s">
        <v>13</v>
      </c>
      <c r="H2" s="2" t="s">
        <v>14</v>
      </c>
      <c r="I2" s="4" t="s">
        <v>15</v>
      </c>
      <c r="K2" s="242" t="str">
        <f>AJ2</f>
        <v>RD</v>
      </c>
      <c r="L2" s="242">
        <f>AK2</f>
        <v>85520</v>
      </c>
      <c r="N2" s="261">
        <f>N1+O1</f>
        <v>506.21321549933259</v>
      </c>
      <c r="O2" s="261"/>
      <c r="Q2" s="2" t="s">
        <v>10</v>
      </c>
      <c r="R2" s="2" t="s">
        <v>16</v>
      </c>
      <c r="S2" s="2" t="s">
        <v>17</v>
      </c>
      <c r="T2" s="2"/>
      <c r="U2" s="2">
        <v>85520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2" t="s">
        <v>17</v>
      </c>
      <c r="AD2" s="2">
        <v>85520</v>
      </c>
      <c r="AF2" s="3" t="s">
        <v>19</v>
      </c>
      <c r="AG2" s="3" t="s">
        <v>20</v>
      </c>
      <c r="AJ2" s="2" t="s">
        <v>17</v>
      </c>
      <c r="AK2" s="2">
        <v>85520</v>
      </c>
      <c r="AM2" s="3" t="s">
        <v>19</v>
      </c>
      <c r="AN2" s="3" t="s">
        <v>20</v>
      </c>
      <c r="AO2" s="14"/>
      <c r="AP2" s="38" t="s">
        <v>22</v>
      </c>
    </row>
    <row r="3" spans="1:47" ht="15.75" customHeight="1" x14ac:dyDescent="0.3">
      <c r="A3" s="22">
        <v>1</v>
      </c>
      <c r="B3" s="22">
        <v>7</v>
      </c>
      <c r="C3" s="23">
        <v>45972</v>
      </c>
      <c r="D3" s="63">
        <v>47928</v>
      </c>
      <c r="E3" s="63">
        <v>47914</v>
      </c>
      <c r="F3" s="63">
        <v>47114</v>
      </c>
      <c r="G3" s="25" t="str">
        <f t="shared" ref="G3:G15" si="0">IF(E3&gt;D3,"R","P")</f>
        <v>P</v>
      </c>
      <c r="H3" s="25" t="str">
        <f t="shared" ref="H3:H15" si="1">IF((D3&lt;E3)*(D3&lt;F3)+(D3&gt;E3)*(D3&gt;F3),"+","-")</f>
        <v>+</v>
      </c>
      <c r="I3" s="64">
        <f t="shared" ref="I3:I15" si="2">ABS((K3+L3)/2-F3)</f>
        <v>1.2872923937320593</v>
      </c>
      <c r="K3" s="243">
        <f>IF(H3=1,(Y3*AM3+Z3*AN3+AJ3),(Y3*AM3+Z3*AN3+AJ3))</f>
        <v>47131.287292393732</v>
      </c>
      <c r="L3" s="243">
        <f>K3+AK3</f>
        <v>47099.287292393732</v>
      </c>
      <c r="N3" s="65">
        <f t="shared" ref="N3:N15" si="3">ABS(F3-K3)</f>
        <v>17.287292393732059</v>
      </c>
      <c r="O3" s="65">
        <f>ABS(F3-L3)</f>
        <v>14.712707606267941</v>
      </c>
      <c r="Q3" s="22">
        <v>7</v>
      </c>
      <c r="R3" s="65">
        <v>47927.96</v>
      </c>
      <c r="S3" s="63">
        <v>47963.545996304798</v>
      </c>
      <c r="T3" s="63" t="s">
        <v>19</v>
      </c>
      <c r="U3" s="63">
        <v>47988.545996304798</v>
      </c>
      <c r="V3" s="65" t="s">
        <v>19</v>
      </c>
      <c r="W3" s="65">
        <v>48033</v>
      </c>
      <c r="X3" s="65" t="s">
        <v>19</v>
      </c>
      <c r="Y3" s="65">
        <v>47914.068096110299</v>
      </c>
      <c r="Z3" s="65">
        <v>47903.626100000001</v>
      </c>
      <c r="AA3" s="66">
        <f t="shared" ref="AA3:AA9" si="4">F3</f>
        <v>47114</v>
      </c>
      <c r="AC3" s="16"/>
      <c r="AD3" s="16"/>
      <c r="AF3" s="20"/>
      <c r="AG3" s="20"/>
      <c r="AH3" s="25" t="str">
        <f t="shared" ref="AH3:AH15" si="5">G3</f>
        <v>P</v>
      </c>
      <c r="AI3" s="25" t="str">
        <f t="shared" ref="AI3:AI15" si="6">H3</f>
        <v>+</v>
      </c>
      <c r="AJ3" s="25">
        <v>-780</v>
      </c>
      <c r="AK3" s="25">
        <v>-32</v>
      </c>
      <c r="AL3" s="5"/>
      <c r="AM3" s="24">
        <v>0.73369040869284696</v>
      </c>
      <c r="AN3" s="24">
        <f>1-AM3</f>
        <v>0.26630959130715304</v>
      </c>
      <c r="AP3" s="38" t="s">
        <v>23</v>
      </c>
    </row>
    <row r="4" spans="1:47" ht="15.75" customHeight="1" x14ac:dyDescent="0.3">
      <c r="A4" s="16">
        <f t="shared" ref="A4:B8" si="7">A3+1</f>
        <v>2</v>
      </c>
      <c r="B4" s="16">
        <f t="shared" si="7"/>
        <v>8</v>
      </c>
      <c r="C4" s="17">
        <f>C3+7</f>
        <v>45979</v>
      </c>
      <c r="D4" s="67">
        <v>46091</v>
      </c>
      <c r="E4" s="67">
        <v>46065</v>
      </c>
      <c r="F4" s="67">
        <v>46245</v>
      </c>
      <c r="G4" s="15" t="str">
        <f t="shared" si="0"/>
        <v>P</v>
      </c>
      <c r="H4" s="2" t="str">
        <f t="shared" si="1"/>
        <v>-</v>
      </c>
      <c r="I4" s="68">
        <f t="shared" si="2"/>
        <v>359.88392156860209</v>
      </c>
      <c r="K4" s="244">
        <f>IF(H4=1,(Y4*AM4+Z4*AN4+AJ4),(Y4*AM4+Z4*AN4+AJ4))</f>
        <v>46587.883921568602</v>
      </c>
      <c r="L4" s="244">
        <f>K4+AK4</f>
        <v>46621.883921568602</v>
      </c>
      <c r="N4" s="66">
        <f t="shared" si="3"/>
        <v>342.88392156860209</v>
      </c>
      <c r="O4" s="66">
        <f>ABS(F4-L4)</f>
        <v>376.88392156860209</v>
      </c>
      <c r="Q4" s="16">
        <f>Q3+1</f>
        <v>8</v>
      </c>
      <c r="R4" s="66">
        <v>46091.74</v>
      </c>
      <c r="S4" s="4">
        <v>46120.2795465171</v>
      </c>
      <c r="T4" s="4" t="s">
        <v>17</v>
      </c>
      <c r="U4" s="4">
        <v>46145.2795465171</v>
      </c>
      <c r="V4" s="66">
        <v>85520</v>
      </c>
      <c r="W4" s="66">
        <v>47147.48</v>
      </c>
      <c r="X4" s="66" t="s">
        <v>19</v>
      </c>
      <c r="Y4" s="66">
        <v>46064.510895198597</v>
      </c>
      <c r="Z4" s="66">
        <v>46179.883921568602</v>
      </c>
      <c r="AA4" s="66">
        <f t="shared" si="4"/>
        <v>46245</v>
      </c>
      <c r="AC4" s="16"/>
      <c r="AD4" s="16"/>
      <c r="AF4" s="20"/>
      <c r="AG4" s="20"/>
      <c r="AH4" s="2" t="str">
        <f t="shared" si="5"/>
        <v>P</v>
      </c>
      <c r="AI4" s="2" t="str">
        <f t="shared" si="6"/>
        <v>-</v>
      </c>
      <c r="AJ4" s="2">
        <v>408</v>
      </c>
      <c r="AK4" s="2">
        <v>34</v>
      </c>
      <c r="AL4" s="5"/>
      <c r="AM4" s="3">
        <v>0</v>
      </c>
      <c r="AN4" s="3">
        <f>1-AM4</f>
        <v>1</v>
      </c>
      <c r="AP4" s="5" t="s">
        <v>24</v>
      </c>
    </row>
    <row r="5" spans="1:47" ht="15.75" customHeight="1" x14ac:dyDescent="0.3">
      <c r="A5" s="30">
        <f t="shared" si="7"/>
        <v>3</v>
      </c>
      <c r="B5" s="30">
        <f t="shared" si="7"/>
        <v>9</v>
      </c>
      <c r="C5" s="31">
        <f>C4+7</f>
        <v>45986</v>
      </c>
      <c r="D5" s="69">
        <v>47112</v>
      </c>
      <c r="E5" s="69">
        <v>47218</v>
      </c>
      <c r="F5" s="69">
        <v>47447</v>
      </c>
      <c r="G5" s="33" t="str">
        <f t="shared" si="0"/>
        <v>R</v>
      </c>
      <c r="H5" s="33" t="str">
        <f t="shared" si="1"/>
        <v>+</v>
      </c>
      <c r="I5" s="70">
        <f t="shared" si="2"/>
        <v>141.35664442535199</v>
      </c>
      <c r="K5" s="245">
        <f>IF(H5=1,(Y5*AF5+Z5*AG5+AC5),(Y5*AF5+Z5*AG5+AC5))</f>
        <v>47572.356644425352</v>
      </c>
      <c r="L5" s="245">
        <f>K5+AD5</f>
        <v>47604.356644425352</v>
      </c>
      <c r="N5" s="71">
        <f t="shared" si="3"/>
        <v>125.35664442535199</v>
      </c>
      <c r="O5" s="71">
        <f>ABS(F5-L5)</f>
        <v>157.35664442535199</v>
      </c>
      <c r="Q5" s="30">
        <f>Q4+1</f>
        <v>9</v>
      </c>
      <c r="R5" s="71">
        <v>47112.45</v>
      </c>
      <c r="S5" s="69">
        <v>47254.8493903177</v>
      </c>
      <c r="T5" s="69" t="s">
        <v>17</v>
      </c>
      <c r="U5" s="69">
        <v>47279.8493903177</v>
      </c>
      <c r="V5" s="71">
        <v>85520</v>
      </c>
      <c r="W5" s="71">
        <v>47211</v>
      </c>
      <c r="X5" s="71" t="s">
        <v>19</v>
      </c>
      <c r="Y5" s="71">
        <v>47217.776097702801</v>
      </c>
      <c r="Z5" s="71">
        <v>46959.241950000003</v>
      </c>
      <c r="AA5" s="66">
        <f t="shared" si="4"/>
        <v>47447</v>
      </c>
      <c r="AC5" s="33">
        <v>365</v>
      </c>
      <c r="AD5" s="33">
        <v>32</v>
      </c>
      <c r="AE5" s="5"/>
      <c r="AF5" s="32">
        <v>0.95969796110096095</v>
      </c>
      <c r="AG5" s="32">
        <f>1-AF5</f>
        <v>4.030203889903905E-2</v>
      </c>
      <c r="AH5" s="33" t="str">
        <f t="shared" si="5"/>
        <v>R</v>
      </c>
      <c r="AI5" s="33" t="str">
        <f t="shared" si="6"/>
        <v>+</v>
      </c>
      <c r="AJ5" s="16"/>
      <c r="AK5" s="16"/>
      <c r="AM5" s="20"/>
      <c r="AN5" s="20"/>
    </row>
    <row r="6" spans="1:47" ht="15.75" customHeight="1" x14ac:dyDescent="0.3">
      <c r="A6" s="30">
        <f t="shared" si="7"/>
        <v>4</v>
      </c>
      <c r="B6" s="30">
        <f t="shared" si="7"/>
        <v>10</v>
      </c>
      <c r="C6" s="31">
        <f>C5+7</f>
        <v>45993</v>
      </c>
      <c r="D6" s="69">
        <v>47474</v>
      </c>
      <c r="E6" s="69">
        <v>47524</v>
      </c>
      <c r="F6" s="69">
        <v>47955</v>
      </c>
      <c r="G6" s="33" t="str">
        <f t="shared" si="0"/>
        <v>R</v>
      </c>
      <c r="H6" s="33" t="str">
        <f t="shared" si="1"/>
        <v>+</v>
      </c>
      <c r="I6" s="70">
        <f t="shared" si="2"/>
        <v>47.114722223101126</v>
      </c>
      <c r="K6" s="245">
        <f>IF(H6=1,(Y6*AF6+Z6*AG6+AC6),(Y6*AF6+Z6*AG6+AC6))</f>
        <v>47891.885277776899</v>
      </c>
      <c r="L6" s="245">
        <f>K6+AD6</f>
        <v>47923.885277776899</v>
      </c>
      <c r="N6" s="71">
        <f t="shared" si="3"/>
        <v>63.114722223101126</v>
      </c>
      <c r="O6" s="71">
        <f>ABS(F6-L6)</f>
        <v>31.114722223101126</v>
      </c>
      <c r="Q6" s="30">
        <f>Q5+1</f>
        <v>10</v>
      </c>
      <c r="R6" s="71">
        <v>47474.46</v>
      </c>
      <c r="S6" s="69">
        <v>47577.460279534302</v>
      </c>
      <c r="T6" s="69" t="s">
        <v>17</v>
      </c>
      <c r="U6" s="69">
        <v>47602.460279534302</v>
      </c>
      <c r="V6" s="71">
        <v>85520</v>
      </c>
      <c r="W6" s="71">
        <v>47642</v>
      </c>
      <c r="X6" s="71" t="s">
        <v>18</v>
      </c>
      <c r="Y6" s="71">
        <v>47524.495729813701</v>
      </c>
      <c r="Z6" s="71">
        <v>47583.786724226797</v>
      </c>
      <c r="AA6" s="66">
        <f t="shared" si="4"/>
        <v>47955</v>
      </c>
      <c r="AC6" s="30">
        <f>AC5</f>
        <v>365</v>
      </c>
      <c r="AD6" s="30">
        <f>AD5</f>
        <v>32</v>
      </c>
      <c r="AF6" s="35">
        <f>AF5</f>
        <v>0.95969796110096095</v>
      </c>
      <c r="AG6" s="35">
        <f>AG5</f>
        <v>4.030203889903905E-2</v>
      </c>
      <c r="AH6" s="33" t="str">
        <f t="shared" si="5"/>
        <v>R</v>
      </c>
      <c r="AI6" s="33" t="str">
        <f t="shared" si="6"/>
        <v>+</v>
      </c>
      <c r="AJ6" s="16"/>
      <c r="AK6" s="16"/>
      <c r="AM6" s="20"/>
      <c r="AN6" s="20"/>
      <c r="AP6" s="38" t="s">
        <v>25</v>
      </c>
    </row>
    <row r="7" spans="1:47" ht="15.75" customHeight="1" x14ac:dyDescent="0.3">
      <c r="A7" s="16">
        <f t="shared" si="7"/>
        <v>5</v>
      </c>
      <c r="B7" s="16">
        <f t="shared" si="7"/>
        <v>11</v>
      </c>
      <c r="C7" s="17">
        <f>C6+7</f>
        <v>46000</v>
      </c>
      <c r="D7" s="67">
        <v>47560</v>
      </c>
      <c r="E7" s="67">
        <v>47524</v>
      </c>
      <c r="F7" s="67">
        <v>48458</v>
      </c>
      <c r="G7" s="15" t="str">
        <f t="shared" si="0"/>
        <v>P</v>
      </c>
      <c r="H7" s="2" t="str">
        <f t="shared" si="1"/>
        <v>-</v>
      </c>
      <c r="I7" s="68">
        <f t="shared" si="2"/>
        <v>359.85778934579866</v>
      </c>
      <c r="K7" s="244">
        <f>IF(H7=1,(Y7*AM7+Z7*AN7+AJ7),(Y7*AM7+Z7*AN7+AJ7))</f>
        <v>48081.142210654201</v>
      </c>
      <c r="L7" s="244">
        <f>K7+AK7</f>
        <v>48115.142210654201</v>
      </c>
      <c r="N7" s="66">
        <f t="shared" si="3"/>
        <v>376.85778934579866</v>
      </c>
      <c r="O7" s="66">
        <f>N7+AK7</f>
        <v>410.85778934579866</v>
      </c>
      <c r="Q7" s="16">
        <f>Q6+1</f>
        <v>11</v>
      </c>
      <c r="R7" s="66">
        <v>47560.29</v>
      </c>
      <c r="S7" s="4">
        <v>47790.624825240899</v>
      </c>
      <c r="T7" s="4" t="s">
        <v>17</v>
      </c>
      <c r="U7" s="4">
        <v>47815.624825240899</v>
      </c>
      <c r="V7" s="66">
        <v>85520</v>
      </c>
      <c r="W7" s="66">
        <v>47856</v>
      </c>
      <c r="X7" s="66" t="s">
        <v>18</v>
      </c>
      <c r="Y7" s="66">
        <v>47744.176541798101</v>
      </c>
      <c r="Z7" s="66">
        <v>47673.142210654201</v>
      </c>
      <c r="AA7" s="66">
        <f t="shared" si="4"/>
        <v>48458</v>
      </c>
      <c r="AC7" s="16"/>
      <c r="AD7" s="16"/>
      <c r="AF7" s="20"/>
      <c r="AG7" s="20"/>
      <c r="AH7" s="2" t="str">
        <f t="shared" si="5"/>
        <v>P</v>
      </c>
      <c r="AI7" s="2" t="str">
        <f t="shared" si="6"/>
        <v>-</v>
      </c>
      <c r="AJ7" s="16">
        <f>AJ4</f>
        <v>408</v>
      </c>
      <c r="AK7" s="16">
        <f>AK4</f>
        <v>34</v>
      </c>
      <c r="AM7" s="16">
        <f>AM4</f>
        <v>0</v>
      </c>
      <c r="AN7" s="16">
        <f>AN4</f>
        <v>1</v>
      </c>
      <c r="AP7" s="39" t="s">
        <v>26</v>
      </c>
      <c r="AQ7" s="39" t="s">
        <v>27</v>
      </c>
      <c r="AR7" s="40">
        <v>153.6</v>
      </c>
      <c r="AS7" s="40">
        <v>36</v>
      </c>
      <c r="AT7" s="40">
        <v>0.95791241744035005</v>
      </c>
      <c r="AU7" s="40">
        <v>4.2087582559650401E-2</v>
      </c>
    </row>
    <row r="8" spans="1:47" ht="15.75" customHeight="1" x14ac:dyDescent="0.3">
      <c r="A8" s="30">
        <f t="shared" si="7"/>
        <v>6</v>
      </c>
      <c r="B8" s="30">
        <f t="shared" si="7"/>
        <v>12</v>
      </c>
      <c r="C8" s="31">
        <f>C7+7</f>
        <v>46007</v>
      </c>
      <c r="D8" s="69">
        <v>48114</v>
      </c>
      <c r="E8" s="69">
        <v>48216</v>
      </c>
      <c r="F8" s="69">
        <v>48134.89</v>
      </c>
      <c r="G8" s="33" t="str">
        <f t="shared" si="0"/>
        <v>R</v>
      </c>
      <c r="H8" s="33" t="str">
        <f t="shared" si="1"/>
        <v>+</v>
      </c>
      <c r="I8" s="70">
        <f t="shared" si="2"/>
        <v>464.53317667935335</v>
      </c>
      <c r="K8" s="245">
        <f t="shared" ref="K8:K15" si="8">IF(H8=1,(Y8*AF8+Z8*AG8+AC8),(Y8*AF8+Z8*AG8+AC8))</f>
        <v>48583.423176679353</v>
      </c>
      <c r="L8" s="245">
        <f t="shared" ref="L8:L15" si="9">K8+AD8</f>
        <v>48615.423176679353</v>
      </c>
      <c r="N8" s="71">
        <f t="shared" si="3"/>
        <v>448.53317667935335</v>
      </c>
      <c r="O8" s="71">
        <f>ABS(F8-L8)</f>
        <v>480.53317667935335</v>
      </c>
      <c r="Q8" s="30">
        <f>Q7+1</f>
        <v>12</v>
      </c>
      <c r="R8" s="71">
        <v>48114.26</v>
      </c>
      <c r="S8" s="69">
        <v>48268.9411471934</v>
      </c>
      <c r="T8" s="69" t="s">
        <v>19</v>
      </c>
      <c r="U8" s="69">
        <v>48293.9411471934</v>
      </c>
      <c r="V8" s="71" t="s">
        <v>19</v>
      </c>
      <c r="W8" s="71">
        <v>48321</v>
      </c>
      <c r="X8" s="71" t="s">
        <v>19</v>
      </c>
      <c r="Y8" s="71">
        <v>48216.270634759698</v>
      </c>
      <c r="Z8" s="71">
        <v>48269.680883433401</v>
      </c>
      <c r="AA8" s="66">
        <f t="shared" si="4"/>
        <v>48134.89</v>
      </c>
      <c r="AC8" s="30">
        <f>AC5</f>
        <v>365</v>
      </c>
      <c r="AD8" s="30">
        <f>AD6</f>
        <v>32</v>
      </c>
      <c r="AF8" s="35">
        <f>AF5</f>
        <v>0.95969796110096095</v>
      </c>
      <c r="AG8" s="35">
        <f>AG6</f>
        <v>4.030203889903905E-2</v>
      </c>
      <c r="AH8" s="33" t="str">
        <f t="shared" si="5"/>
        <v>R</v>
      </c>
      <c r="AI8" s="33" t="str">
        <f t="shared" si="6"/>
        <v>+</v>
      </c>
      <c r="AJ8" s="16"/>
      <c r="AK8" s="16"/>
      <c r="AM8" s="20"/>
      <c r="AN8" s="20"/>
      <c r="AP8" s="41" t="s">
        <v>26</v>
      </c>
      <c r="AQ8" s="41" t="s">
        <v>28</v>
      </c>
      <c r="AR8" s="42">
        <v>-782</v>
      </c>
      <c r="AS8" s="42">
        <v>-32</v>
      </c>
      <c r="AT8" s="42">
        <v>0.66</v>
      </c>
      <c r="AU8" s="42">
        <v>0.34</v>
      </c>
    </row>
    <row r="9" spans="1:47" ht="15.75" customHeight="1" x14ac:dyDescent="0.3">
      <c r="A9" s="30">
        <f t="shared" ref="A9:A15" si="10">A8+1</f>
        <v>7</v>
      </c>
      <c r="B9" s="30">
        <v>1</v>
      </c>
      <c r="C9" s="31">
        <v>46035</v>
      </c>
      <c r="D9" s="69">
        <v>49192</v>
      </c>
      <c r="E9" s="69">
        <v>49388</v>
      </c>
      <c r="F9" s="69">
        <v>49359.33</v>
      </c>
      <c r="G9" s="33" t="str">
        <f t="shared" si="0"/>
        <v>R</v>
      </c>
      <c r="H9" s="33" t="str">
        <f t="shared" si="1"/>
        <v>+</v>
      </c>
      <c r="I9" s="70">
        <f t="shared" si="2"/>
        <v>365.00000000545697</v>
      </c>
      <c r="K9" s="245">
        <f t="shared" si="8"/>
        <v>49708.330000005459</v>
      </c>
      <c r="L9" s="245">
        <f t="shared" si="9"/>
        <v>49740.330000005459</v>
      </c>
      <c r="N9" s="71">
        <f t="shared" si="3"/>
        <v>349.00000000545697</v>
      </c>
      <c r="O9" s="71">
        <f>N9+AK9</f>
        <v>349.00000000545697</v>
      </c>
      <c r="Q9" s="30">
        <v>1</v>
      </c>
      <c r="R9" s="71">
        <v>49191.99</v>
      </c>
      <c r="S9" s="69">
        <v>49382.467174171201</v>
      </c>
      <c r="T9" s="69" t="s">
        <v>17</v>
      </c>
      <c r="U9" s="69">
        <v>49407.467174171201</v>
      </c>
      <c r="V9" s="71" t="s">
        <v>19</v>
      </c>
      <c r="W9" s="71">
        <v>49390</v>
      </c>
      <c r="X9" s="71" t="s">
        <v>19</v>
      </c>
      <c r="Y9" s="71">
        <v>49388.472893936298</v>
      </c>
      <c r="Z9" s="71">
        <v>48268.358498634101</v>
      </c>
      <c r="AA9" s="66">
        <f t="shared" si="4"/>
        <v>49359.33</v>
      </c>
      <c r="AC9" s="30">
        <f>AC8</f>
        <v>365</v>
      </c>
      <c r="AD9" s="30">
        <f>AD8</f>
        <v>32</v>
      </c>
      <c r="AF9" s="35">
        <f>AF8</f>
        <v>0.95969796110096095</v>
      </c>
      <c r="AG9" s="35">
        <f>AG8</f>
        <v>4.030203889903905E-2</v>
      </c>
      <c r="AH9" s="33" t="str">
        <f t="shared" si="5"/>
        <v>R</v>
      </c>
      <c r="AI9" s="33" t="str">
        <f t="shared" si="6"/>
        <v>+</v>
      </c>
      <c r="AJ9" s="16"/>
      <c r="AK9" s="16"/>
      <c r="AM9" s="20"/>
      <c r="AN9" s="20"/>
      <c r="AP9" s="43" t="s">
        <v>4</v>
      </c>
      <c r="AQ9" s="43" t="s">
        <v>27</v>
      </c>
      <c r="AR9" s="44">
        <v>430</v>
      </c>
      <c r="AS9" s="44">
        <v>34</v>
      </c>
      <c r="AT9" s="44">
        <v>0.875</v>
      </c>
      <c r="AU9" s="44">
        <v>0.125</v>
      </c>
    </row>
    <row r="10" spans="1:47" ht="15.75" customHeight="1" x14ac:dyDescent="0.3">
      <c r="A10" s="30">
        <f t="shared" si="10"/>
        <v>8</v>
      </c>
      <c r="B10" s="30">
        <f t="shared" ref="B10:B15" si="11">B9+1</f>
        <v>2</v>
      </c>
      <c r="C10" s="31">
        <f t="shared" ref="C10:C15" si="12">C9+7</f>
        <v>46042</v>
      </c>
      <c r="D10" s="69">
        <v>48488.47</v>
      </c>
      <c r="E10" s="69">
        <v>48630</v>
      </c>
      <c r="F10" s="69">
        <v>49098.71</v>
      </c>
      <c r="G10" s="33" t="str">
        <f t="shared" si="0"/>
        <v>R</v>
      </c>
      <c r="H10" s="33" t="str">
        <f t="shared" si="1"/>
        <v>+</v>
      </c>
      <c r="I10" s="70">
        <f t="shared" si="2"/>
        <v>51.641096841463877</v>
      </c>
      <c r="K10" s="245">
        <f t="shared" si="8"/>
        <v>49031.068903158535</v>
      </c>
      <c r="L10" s="245">
        <f t="shared" si="9"/>
        <v>49063.068903158535</v>
      </c>
      <c r="N10" s="71">
        <f t="shared" si="3"/>
        <v>67.641096841463877</v>
      </c>
      <c r="O10" s="71">
        <f>ABS(F10-L10)</f>
        <v>35.641096841463877</v>
      </c>
      <c r="Q10" s="30">
        <f t="shared" ref="Q10:Q15" si="13">Q9+1</f>
        <v>2</v>
      </c>
      <c r="R10" s="71">
        <v>48488.47</v>
      </c>
      <c r="S10" s="69">
        <v>48824</v>
      </c>
      <c r="T10" s="69" t="s">
        <v>17</v>
      </c>
      <c r="U10" s="69">
        <v>48858</v>
      </c>
      <c r="V10" s="71"/>
      <c r="W10" s="71">
        <v>48540</v>
      </c>
      <c r="X10" s="71" t="s">
        <v>18</v>
      </c>
      <c r="Y10" s="71">
        <v>48671.1489230769</v>
      </c>
      <c r="Z10" s="71">
        <v>48545.100215439903</v>
      </c>
      <c r="AA10" s="66">
        <v>49098.71</v>
      </c>
      <c r="AC10" s="30">
        <f>AC9</f>
        <v>365</v>
      </c>
      <c r="AD10" s="30">
        <f>AD9</f>
        <v>32</v>
      </c>
      <c r="AF10" s="35">
        <f>AF9</f>
        <v>0.95969796110096095</v>
      </c>
      <c r="AG10" s="35">
        <f>AG9</f>
        <v>4.030203889903905E-2</v>
      </c>
      <c r="AH10" s="33" t="str">
        <f t="shared" si="5"/>
        <v>R</v>
      </c>
      <c r="AI10" s="33" t="str">
        <f t="shared" si="6"/>
        <v>+</v>
      </c>
      <c r="AJ10" s="16"/>
      <c r="AK10" s="16"/>
      <c r="AM10" s="20"/>
      <c r="AN10" s="20"/>
      <c r="AP10" s="2" t="s">
        <v>4</v>
      </c>
      <c r="AQ10" s="2" t="s">
        <v>28</v>
      </c>
      <c r="AR10" s="16">
        <v>-825</v>
      </c>
      <c r="AS10" s="16">
        <v>-32</v>
      </c>
      <c r="AT10" s="16">
        <v>0.75</v>
      </c>
      <c r="AU10" s="16">
        <v>0.25</v>
      </c>
    </row>
    <row r="11" spans="1:47" ht="15.75" customHeight="1" x14ac:dyDescent="0.3">
      <c r="A11" s="45">
        <f t="shared" si="10"/>
        <v>9</v>
      </c>
      <c r="B11" s="45">
        <f t="shared" si="11"/>
        <v>3</v>
      </c>
      <c r="C11" s="46">
        <f t="shared" si="12"/>
        <v>46049</v>
      </c>
      <c r="D11" s="72">
        <f>R11</f>
        <v>49003.41</v>
      </c>
      <c r="E11" s="72">
        <f>Y11</f>
        <v>49192.708895131203</v>
      </c>
      <c r="F11" s="72">
        <v>48892.47</v>
      </c>
      <c r="G11" s="48" t="str">
        <f t="shared" si="0"/>
        <v>R</v>
      </c>
      <c r="H11" s="48" t="str">
        <f t="shared" si="1"/>
        <v>-</v>
      </c>
      <c r="I11" s="73">
        <f t="shared" si="2"/>
        <v>37.097334315600165</v>
      </c>
      <c r="K11" s="246">
        <f t="shared" si="8"/>
        <v>48830.372665684401</v>
      </c>
      <c r="L11" s="246">
        <f t="shared" si="9"/>
        <v>48880.372665684401</v>
      </c>
      <c r="N11" s="74">
        <f t="shared" si="3"/>
        <v>62.097334315600165</v>
      </c>
      <c r="O11" s="74">
        <f>ABS(F11-L11)</f>
        <v>12.097334315600165</v>
      </c>
      <c r="Q11" s="45">
        <f t="shared" si="13"/>
        <v>3</v>
      </c>
      <c r="R11" s="74">
        <v>49003.41</v>
      </c>
      <c r="S11" s="72">
        <v>49344</v>
      </c>
      <c r="T11" s="72" t="s">
        <v>19</v>
      </c>
      <c r="U11" s="72">
        <v>49380</v>
      </c>
      <c r="V11" s="74" t="s">
        <v>19</v>
      </c>
      <c r="W11" s="74">
        <v>48272</v>
      </c>
      <c r="X11" s="74" t="s">
        <v>19</v>
      </c>
      <c r="Y11" s="74">
        <v>49192.708895131203</v>
      </c>
      <c r="Z11" s="74">
        <v>49130.372665684401</v>
      </c>
      <c r="AA11" s="66">
        <v>49098.71</v>
      </c>
      <c r="AC11" s="48">
        <v>-300</v>
      </c>
      <c r="AD11" s="48">
        <v>50</v>
      </c>
      <c r="AE11" s="5"/>
      <c r="AF11" s="47">
        <v>0</v>
      </c>
      <c r="AG11" s="47">
        <f>1-AF11</f>
        <v>1</v>
      </c>
      <c r="AH11" s="48" t="str">
        <f t="shared" si="5"/>
        <v>R</v>
      </c>
      <c r="AI11" s="48" t="str">
        <f t="shared" si="6"/>
        <v>-</v>
      </c>
      <c r="AJ11" s="16"/>
      <c r="AK11" s="16"/>
      <c r="AM11" s="20"/>
      <c r="AN11" s="20"/>
    </row>
    <row r="12" spans="1:47" ht="15.75" customHeight="1" x14ac:dyDescent="0.3">
      <c r="A12" s="30">
        <f t="shared" si="10"/>
        <v>10</v>
      </c>
      <c r="B12" s="30">
        <f t="shared" si="11"/>
        <v>4</v>
      </c>
      <c r="C12" s="31">
        <f t="shared" si="12"/>
        <v>46056</v>
      </c>
      <c r="D12" s="69">
        <v>49003</v>
      </c>
      <c r="E12" s="69">
        <v>49193</v>
      </c>
      <c r="F12" s="69">
        <v>50115.87</v>
      </c>
      <c r="G12" s="33" t="str">
        <f t="shared" si="0"/>
        <v>R</v>
      </c>
      <c r="H12" s="33" t="str">
        <f t="shared" si="1"/>
        <v>+</v>
      </c>
      <c r="I12" s="70">
        <f t="shared" si="2"/>
        <v>464.51985358135425</v>
      </c>
      <c r="K12" s="245">
        <f t="shared" si="8"/>
        <v>49635.350146418648</v>
      </c>
      <c r="L12" s="245">
        <f t="shared" si="9"/>
        <v>49667.350146418648</v>
      </c>
      <c r="N12" s="71">
        <f t="shared" si="3"/>
        <v>480.51985358135425</v>
      </c>
      <c r="O12" s="71">
        <f>ABS(F12-L12)</f>
        <v>448.51985358135425</v>
      </c>
      <c r="Q12" s="30">
        <f t="shared" si="13"/>
        <v>4</v>
      </c>
      <c r="R12" s="71">
        <v>49240.99</v>
      </c>
      <c r="S12" s="69">
        <v>49380</v>
      </c>
      <c r="T12" s="69" t="s">
        <v>19</v>
      </c>
      <c r="U12" s="69">
        <v>49321.5907683595</v>
      </c>
      <c r="V12" s="71" t="s">
        <v>19</v>
      </c>
      <c r="W12" s="71">
        <v>49309</v>
      </c>
      <c r="X12" s="71" t="s">
        <v>19</v>
      </c>
      <c r="Y12" s="71">
        <v>49268.7429588015</v>
      </c>
      <c r="Z12" s="71">
        <v>49308.621527257499</v>
      </c>
      <c r="AA12" s="66">
        <v>49098.71</v>
      </c>
      <c r="AC12" s="30">
        <f t="shared" ref="AC12:AD14" si="14">AC10</f>
        <v>365</v>
      </c>
      <c r="AD12" s="30">
        <f t="shared" si="14"/>
        <v>32</v>
      </c>
      <c r="AF12" s="35">
        <f t="shared" ref="AF12:AG14" si="15">AF10</f>
        <v>0.95969796110096095</v>
      </c>
      <c r="AG12" s="35">
        <f t="shared" si="15"/>
        <v>4.030203889903905E-2</v>
      </c>
      <c r="AH12" s="33" t="str">
        <f t="shared" si="5"/>
        <v>R</v>
      </c>
      <c r="AI12" s="33" t="str">
        <f t="shared" si="6"/>
        <v>+</v>
      </c>
      <c r="AJ12" s="16"/>
      <c r="AK12" s="16"/>
      <c r="AM12" s="20"/>
      <c r="AN12" s="20"/>
      <c r="AQ12" s="5" t="s">
        <v>26</v>
      </c>
      <c r="AR12" s="6">
        <f>COUNTIF(G3:G14,"R")</f>
        <v>9</v>
      </c>
    </row>
    <row r="13" spans="1:47" ht="15.75" customHeight="1" x14ac:dyDescent="0.3">
      <c r="A13" s="45">
        <f t="shared" si="10"/>
        <v>11</v>
      </c>
      <c r="B13" s="45">
        <f t="shared" si="11"/>
        <v>5</v>
      </c>
      <c r="C13" s="46">
        <f t="shared" si="12"/>
        <v>46063</v>
      </c>
      <c r="D13" s="72">
        <v>50188.14</v>
      </c>
      <c r="E13" s="72">
        <v>50352</v>
      </c>
      <c r="F13" s="72">
        <v>48500</v>
      </c>
      <c r="G13" s="48" t="str">
        <f t="shared" si="0"/>
        <v>R</v>
      </c>
      <c r="H13" s="48" t="str">
        <f t="shared" si="1"/>
        <v>-</v>
      </c>
      <c r="I13" s="73">
        <f t="shared" si="2"/>
        <v>1534.3217542857019</v>
      </c>
      <c r="K13" s="246">
        <f t="shared" si="8"/>
        <v>50009.321754285702</v>
      </c>
      <c r="L13" s="246">
        <f t="shared" si="9"/>
        <v>50059.321754285702</v>
      </c>
      <c r="N13" s="74">
        <f t="shared" si="3"/>
        <v>1509.3217542857019</v>
      </c>
      <c r="O13" s="74">
        <f>ABS(F13-L13)</f>
        <v>1559.3217542857019</v>
      </c>
      <c r="Q13" s="45">
        <f t="shared" si="13"/>
        <v>5</v>
      </c>
      <c r="R13" s="74">
        <v>50188.14</v>
      </c>
      <c r="S13" s="72">
        <v>50650</v>
      </c>
      <c r="T13" s="72" t="s">
        <v>19</v>
      </c>
      <c r="U13" s="72">
        <v>50715</v>
      </c>
      <c r="V13" s="74" t="s">
        <v>19</v>
      </c>
      <c r="W13" s="74">
        <v>50321</v>
      </c>
      <c r="X13" s="74" t="s">
        <v>18</v>
      </c>
      <c r="Y13" s="74">
        <v>50351.887945205497</v>
      </c>
      <c r="Z13" s="74">
        <v>50309.321754285702</v>
      </c>
      <c r="AA13" s="66">
        <v>50115.87</v>
      </c>
      <c r="AC13" s="75">
        <f t="shared" si="14"/>
        <v>-300</v>
      </c>
      <c r="AD13" s="75">
        <f t="shared" si="14"/>
        <v>50</v>
      </c>
      <c r="AE13" s="57"/>
      <c r="AF13" s="50">
        <f t="shared" si="15"/>
        <v>0</v>
      </c>
      <c r="AG13" s="50">
        <f t="shared" si="15"/>
        <v>1</v>
      </c>
      <c r="AH13" s="48" t="str">
        <f t="shared" si="5"/>
        <v>R</v>
      </c>
      <c r="AI13" s="48" t="str">
        <f t="shared" si="6"/>
        <v>-</v>
      </c>
      <c r="AJ13" s="16"/>
      <c r="AK13" s="16"/>
      <c r="AM13" s="20"/>
      <c r="AN13" s="20"/>
      <c r="AQ13" s="5" t="s">
        <v>4</v>
      </c>
      <c r="AR13" s="6">
        <f>COUNTIF(G3:G14,"P")</f>
        <v>3</v>
      </c>
    </row>
    <row r="14" spans="1:47" ht="15.75" customHeight="1" x14ac:dyDescent="0.3">
      <c r="A14" s="30">
        <f t="shared" si="10"/>
        <v>12</v>
      </c>
      <c r="B14" s="30">
        <f t="shared" si="11"/>
        <v>6</v>
      </c>
      <c r="C14" s="31">
        <f t="shared" si="12"/>
        <v>46070</v>
      </c>
      <c r="D14" s="69">
        <v>49533.19</v>
      </c>
      <c r="E14" s="69">
        <v>49671</v>
      </c>
      <c r="F14" s="69">
        <v>49625.97</v>
      </c>
      <c r="G14" s="33" t="str">
        <f t="shared" si="0"/>
        <v>R</v>
      </c>
      <c r="H14" s="33" t="str">
        <f t="shared" si="1"/>
        <v>+</v>
      </c>
      <c r="I14" s="70">
        <f t="shared" si="2"/>
        <v>427.34390612777497</v>
      </c>
      <c r="K14" s="245">
        <f t="shared" si="8"/>
        <v>50037.313906127776</v>
      </c>
      <c r="L14" s="245">
        <f t="shared" si="9"/>
        <v>50069.313906127776</v>
      </c>
      <c r="N14" s="71">
        <f t="shared" si="3"/>
        <v>411.34390612777497</v>
      </c>
      <c r="O14" s="71">
        <f>N14+AK14</f>
        <v>411.34390612777497</v>
      </c>
      <c r="Q14" s="30">
        <f t="shared" si="13"/>
        <v>6</v>
      </c>
      <c r="R14" s="71">
        <v>49533.19</v>
      </c>
      <c r="S14" s="69">
        <v>49450</v>
      </c>
      <c r="T14" s="69" t="s">
        <v>19</v>
      </c>
      <c r="U14" s="69">
        <v>49485</v>
      </c>
      <c r="V14" s="71" t="s">
        <v>19</v>
      </c>
      <c r="W14" s="71">
        <v>50000</v>
      </c>
      <c r="X14" s="71" t="s">
        <v>19</v>
      </c>
      <c r="Y14" s="71">
        <v>49671.392694064001</v>
      </c>
      <c r="Z14" s="71">
        <v>49694.250397766802</v>
      </c>
      <c r="AA14" s="66">
        <f>F14</f>
        <v>49625.97</v>
      </c>
      <c r="AC14" s="30">
        <f t="shared" si="14"/>
        <v>365</v>
      </c>
      <c r="AD14" s="30">
        <f t="shared" si="14"/>
        <v>32</v>
      </c>
      <c r="AF14" s="35">
        <f t="shared" si="15"/>
        <v>0.95969796110096095</v>
      </c>
      <c r="AG14" s="35">
        <f t="shared" si="15"/>
        <v>4.030203889903905E-2</v>
      </c>
      <c r="AH14" s="33" t="str">
        <f t="shared" si="5"/>
        <v>R</v>
      </c>
      <c r="AI14" s="33" t="str">
        <f t="shared" si="6"/>
        <v>+</v>
      </c>
      <c r="AJ14" s="16"/>
      <c r="AK14" s="16"/>
      <c r="AM14" s="20"/>
      <c r="AN14" s="20"/>
    </row>
    <row r="15" spans="1:47" ht="15.75" customHeight="1" x14ac:dyDescent="0.3">
      <c r="A15" s="30">
        <f t="shared" si="10"/>
        <v>13</v>
      </c>
      <c r="B15" s="30">
        <f t="shared" si="11"/>
        <v>7</v>
      </c>
      <c r="C15" s="31">
        <f t="shared" si="12"/>
        <v>46077</v>
      </c>
      <c r="D15" s="69">
        <v>49174</v>
      </c>
      <c r="E15" s="69">
        <v>49251</v>
      </c>
      <c r="F15" s="69">
        <v>49200</v>
      </c>
      <c r="G15" s="33" t="str">
        <f t="shared" si="0"/>
        <v>R</v>
      </c>
      <c r="H15" s="33" t="str">
        <f t="shared" si="1"/>
        <v>+</v>
      </c>
      <c r="I15" s="70">
        <f t="shared" si="2"/>
        <v>431.25860793485481</v>
      </c>
      <c r="J15" s="6" t="s">
        <v>27</v>
      </c>
      <c r="K15" s="245">
        <f t="shared" si="8"/>
        <v>49615.258607934855</v>
      </c>
      <c r="L15" s="245">
        <f t="shared" si="9"/>
        <v>49647.258607934855</v>
      </c>
      <c r="N15" s="71">
        <f t="shared" si="3"/>
        <v>415.25860793485481</v>
      </c>
      <c r="O15" s="71">
        <f>N15+AK15</f>
        <v>415.25860793485481</v>
      </c>
      <c r="Q15" s="30">
        <f t="shared" si="13"/>
        <v>7</v>
      </c>
      <c r="R15" s="71">
        <v>49174.5</v>
      </c>
      <c r="S15" s="69">
        <v>49515</v>
      </c>
      <c r="T15" s="69"/>
      <c r="U15" s="69">
        <v>49483</v>
      </c>
      <c r="V15" s="71">
        <v>85520</v>
      </c>
      <c r="W15" s="71">
        <v>49310</v>
      </c>
      <c r="X15" s="71"/>
      <c r="Y15" s="71">
        <v>49251.4836121673</v>
      </c>
      <c r="Z15" s="71">
        <v>49221.088022616401</v>
      </c>
      <c r="AA15" s="66">
        <f>F15</f>
        <v>49200</v>
      </c>
      <c r="AC15" s="30">
        <f>AC14</f>
        <v>365</v>
      </c>
      <c r="AD15" s="30">
        <f>AD14</f>
        <v>32</v>
      </c>
      <c r="AF15" s="30">
        <f>AF14</f>
        <v>0.95969796110096095</v>
      </c>
      <c r="AG15" s="30">
        <f>AG14</f>
        <v>4.030203889903905E-2</v>
      </c>
      <c r="AH15" s="33" t="str">
        <f t="shared" si="5"/>
        <v>R</v>
      </c>
      <c r="AI15" s="33" t="str">
        <f t="shared" si="6"/>
        <v>+</v>
      </c>
      <c r="AJ15" s="16"/>
      <c r="AK15" s="16"/>
      <c r="AM15" s="20"/>
      <c r="AN15" s="20"/>
    </row>
    <row r="18" spans="1:47" ht="15.75" customHeight="1" x14ac:dyDescent="0.3">
      <c r="A18" s="6">
        <v>4</v>
      </c>
      <c r="B18" s="6">
        <v>6</v>
      </c>
      <c r="C18" s="6">
        <v>11</v>
      </c>
      <c r="D18" s="55">
        <v>7</v>
      </c>
      <c r="E18" s="56">
        <v>7</v>
      </c>
      <c r="F18" s="56">
        <v>7</v>
      </c>
      <c r="G18" s="5">
        <v>5</v>
      </c>
      <c r="H18" s="5">
        <v>5</v>
      </c>
      <c r="I18" s="60" t="s">
        <v>29</v>
      </c>
      <c r="J18" s="6">
        <v>2</v>
      </c>
      <c r="K18" s="247">
        <v>7</v>
      </c>
      <c r="L18" s="247">
        <v>7</v>
      </c>
      <c r="M18" s="6">
        <v>2</v>
      </c>
      <c r="N18" s="62">
        <v>7</v>
      </c>
      <c r="O18" s="62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6">
        <v>2</v>
      </c>
      <c r="AF18" s="6">
        <v>7</v>
      </c>
      <c r="AG18" s="6">
        <v>7</v>
      </c>
      <c r="AI18" s="5">
        <v>2</v>
      </c>
      <c r="AJ18" s="6">
        <v>7</v>
      </c>
      <c r="AK18" s="6">
        <v>7</v>
      </c>
      <c r="AL18" s="6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8"/>
  <sheetViews>
    <sheetView zoomScale="105" zoomScaleNormal="105" workbookViewId="0">
      <selection activeCell="AM18" sqref="AM18:AN18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6" width="7.77734375" style="76" customWidth="1"/>
    <col min="7" max="8" width="5.77734375" style="5" customWidth="1"/>
    <col min="9" max="9" width="7.77734375" style="77" customWidth="1"/>
    <col min="10" max="10" width="2.77734375" style="6" customWidth="1"/>
    <col min="11" max="12" width="7.77734375" style="253" customWidth="1"/>
    <col min="13" max="13" width="2.77734375" style="6" customWidth="1"/>
    <col min="14" max="15" width="7.77734375" style="58" hidden="1" customWidth="1"/>
    <col min="16" max="16" width="2.77734375" style="6" hidden="1" customWidth="1"/>
    <col min="17" max="17" width="4.77734375" style="6" customWidth="1"/>
    <col min="18" max="18" width="7.77734375" style="62" customWidth="1"/>
    <col min="19" max="19" width="7.77734375" style="61" customWidth="1"/>
    <col min="20" max="20" width="7.77734375" style="61" hidden="1" customWidth="1"/>
    <col min="21" max="21" width="7.77734375" style="61" customWidth="1"/>
    <col min="22" max="22" width="7.77734375" style="62" hidden="1" customWidth="1"/>
    <col min="23" max="23" width="7.77734375" style="62" customWidth="1"/>
    <col min="24" max="24" width="7.77734375" style="62" hidden="1" customWidth="1"/>
    <col min="25" max="26" width="7.77734375" style="62" customWidth="1"/>
    <col min="27" max="27" width="7.77734375" style="62" hidden="1" customWidth="1"/>
    <col min="28" max="28" width="2.77734375" style="6" customWidth="1"/>
    <col min="29" max="30" width="7.77734375" style="6" customWidth="1"/>
    <col min="31" max="31" width="2.77734375" style="6" customWidth="1"/>
    <col min="32" max="33" width="7.77734375" style="11" customWidth="1"/>
    <col min="34" max="35" width="2.77734375" style="5" customWidth="1"/>
    <col min="36" max="37" width="7.77734375" style="6" customWidth="1"/>
    <col min="38" max="38" width="2.77734375" style="6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16384" width="8.77734375" style="6"/>
  </cols>
  <sheetData>
    <row r="1" spans="1:47" s="5" customFormat="1" ht="15.75" customHeight="1" x14ac:dyDescent="0.3">
      <c r="A1" s="260" t="s">
        <v>35</v>
      </c>
      <c r="B1" s="260"/>
      <c r="C1" s="13"/>
      <c r="D1" s="76"/>
      <c r="E1" s="76"/>
      <c r="F1" s="76"/>
      <c r="I1" s="77">
        <f>AVERAGE(I3:I14)</f>
        <v>38.825295270398861</v>
      </c>
      <c r="K1" s="266" t="s">
        <v>1</v>
      </c>
      <c r="L1" s="266"/>
      <c r="N1" s="1">
        <f>AVERAGE(N3:N9)</f>
        <v>48.295593386530527</v>
      </c>
      <c r="O1" s="1">
        <f>AVERAGE(O3:O9)</f>
        <v>50.781307672244758</v>
      </c>
      <c r="R1" s="61" t="s">
        <v>2</v>
      </c>
      <c r="S1" s="262" t="s">
        <v>3</v>
      </c>
      <c r="T1" s="262"/>
      <c r="U1" s="262"/>
      <c r="V1" s="61"/>
      <c r="W1" s="61"/>
      <c r="X1" s="61"/>
      <c r="Y1" s="61" t="s">
        <v>4</v>
      </c>
      <c r="Z1" s="61"/>
      <c r="AA1" s="61"/>
      <c r="AC1" s="263" t="s">
        <v>5</v>
      </c>
      <c r="AD1" s="263"/>
      <c r="AF1" s="259" t="s">
        <v>6</v>
      </c>
      <c r="AG1" s="259"/>
      <c r="AJ1" s="263" t="s">
        <v>7</v>
      </c>
      <c r="AK1" s="263"/>
      <c r="AM1" s="259" t="s">
        <v>8</v>
      </c>
      <c r="AN1" s="259"/>
      <c r="AO1" s="14"/>
      <c r="AP1" s="38" t="s">
        <v>9</v>
      </c>
    </row>
    <row r="2" spans="1:47" s="5" customFormat="1" ht="15.75" customHeight="1" x14ac:dyDescent="0.3">
      <c r="A2" s="2" t="s">
        <v>36</v>
      </c>
      <c r="B2" s="2" t="s">
        <v>11</v>
      </c>
      <c r="C2" s="2" t="s">
        <v>12</v>
      </c>
      <c r="D2" s="79" t="s">
        <v>2</v>
      </c>
      <c r="E2" s="79" t="s">
        <v>4</v>
      </c>
      <c r="F2" s="79" t="str">
        <f>AA2</f>
        <v xml:space="preserve">+3-day </v>
      </c>
      <c r="G2" s="2" t="s">
        <v>13</v>
      </c>
      <c r="H2" s="2" t="s">
        <v>14</v>
      </c>
      <c r="I2" s="2" t="s">
        <v>15</v>
      </c>
      <c r="K2" s="249" t="str">
        <f>AJ2</f>
        <v>RD</v>
      </c>
      <c r="L2" s="249">
        <f>AK2</f>
        <v>85520</v>
      </c>
      <c r="N2" s="265">
        <f>N1+O1</f>
        <v>99.076901058775292</v>
      </c>
      <c r="O2" s="265"/>
      <c r="Q2" s="2" t="s">
        <v>10</v>
      </c>
      <c r="R2" s="2" t="s">
        <v>16</v>
      </c>
      <c r="S2" s="2" t="s">
        <v>17</v>
      </c>
      <c r="T2" s="2"/>
      <c r="U2" s="2">
        <v>85520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2" t="s">
        <v>17</v>
      </c>
      <c r="AD2" s="2">
        <v>85520</v>
      </c>
      <c r="AF2" s="3" t="s">
        <v>19</v>
      </c>
      <c r="AG2" s="3" t="s">
        <v>20</v>
      </c>
      <c r="AJ2" s="2" t="s">
        <v>17</v>
      </c>
      <c r="AK2" s="2">
        <v>85520</v>
      </c>
      <c r="AM2" s="3" t="s">
        <v>19</v>
      </c>
      <c r="AN2" s="3" t="s">
        <v>20</v>
      </c>
      <c r="AO2" s="14"/>
      <c r="AP2" s="38" t="s">
        <v>22</v>
      </c>
    </row>
    <row r="3" spans="1:47" ht="15.75" customHeight="1" x14ac:dyDescent="0.3">
      <c r="A3" s="45">
        <v>1</v>
      </c>
      <c r="B3" s="45">
        <v>7</v>
      </c>
      <c r="C3" s="46">
        <v>45972</v>
      </c>
      <c r="D3" s="80">
        <v>6847</v>
      </c>
      <c r="E3" s="80">
        <v>6858</v>
      </c>
      <c r="F3" s="80">
        <v>6734</v>
      </c>
      <c r="G3" s="48" t="str">
        <f t="shared" ref="G3:G15" si="0">IF(E3&gt;D3,"R","P")</f>
        <v>R</v>
      </c>
      <c r="H3" s="48" t="str">
        <f t="shared" ref="H3:H15" si="1">IF((D3&lt;E3)*(D3&lt;F3)+(D3&gt;E3)*(D3&gt;F3),"+","-")</f>
        <v>-</v>
      </c>
      <c r="I3" s="81">
        <f t="shared" ref="I3:I15" si="2">ABS((K3+L3)/2-F3)</f>
        <v>45.688694213244162</v>
      </c>
      <c r="K3" s="250">
        <f t="shared" ref="K3:K11" si="3">IF(H3=1,(Y3*AF3+Z3*AG3+AC3),(Y3*AF3+Z3*AG3+AC3))</f>
        <v>6784.0386942132445</v>
      </c>
      <c r="L3" s="250">
        <f t="shared" ref="L3:L11" si="4">K3+AD3</f>
        <v>6775.3386942132447</v>
      </c>
      <c r="N3" s="53">
        <f t="shared" ref="N3:N15" si="5">ABS(F3-K3)</f>
        <v>50.038694213244526</v>
      </c>
      <c r="O3" s="53">
        <f>N3+AK3</f>
        <v>50.038694213244526</v>
      </c>
      <c r="Q3" s="45">
        <v>7</v>
      </c>
      <c r="R3" s="74">
        <v>6846.61</v>
      </c>
      <c r="S3" s="72">
        <v>6862.4252950560103</v>
      </c>
      <c r="T3" s="72" t="s">
        <v>19</v>
      </c>
      <c r="U3" s="72">
        <v>6864.4252950560103</v>
      </c>
      <c r="V3" s="74" t="s">
        <v>19</v>
      </c>
      <c r="W3" s="74">
        <v>6864</v>
      </c>
      <c r="X3" s="74" t="s">
        <v>19</v>
      </c>
      <c r="Y3" s="74">
        <v>6858.3057324840802</v>
      </c>
      <c r="Z3" s="74">
        <v>6846.3494752902197</v>
      </c>
      <c r="AA3" s="66">
        <v>6734.1</v>
      </c>
      <c r="AC3" s="48">
        <v>-71.7</v>
      </c>
      <c r="AD3" s="48">
        <v>-8.6999999999999993</v>
      </c>
      <c r="AE3" s="5"/>
      <c r="AF3" s="47">
        <v>0.78529750328939496</v>
      </c>
      <c r="AG3" s="47">
        <f>1-AF3</f>
        <v>0.21470249671060504</v>
      </c>
      <c r="AH3" s="48" t="str">
        <f t="shared" ref="AH3:AH15" si="6">G3</f>
        <v>R</v>
      </c>
      <c r="AI3" s="48" t="str">
        <f t="shared" ref="AI3:AI15" si="7">H3</f>
        <v>-</v>
      </c>
      <c r="AJ3" s="16"/>
      <c r="AK3" s="16"/>
      <c r="AM3" s="20"/>
      <c r="AN3" s="20"/>
      <c r="AP3" s="38" t="s">
        <v>23</v>
      </c>
    </row>
    <row r="4" spans="1:47" ht="15.75" customHeight="1" x14ac:dyDescent="0.3">
      <c r="A4" s="45">
        <f t="shared" ref="A4:B8" si="8">A3+1</f>
        <v>2</v>
      </c>
      <c r="B4" s="45">
        <f t="shared" si="8"/>
        <v>8</v>
      </c>
      <c r="C4" s="46">
        <f>C3+7</f>
        <v>45979</v>
      </c>
      <c r="D4" s="80">
        <v>6617</v>
      </c>
      <c r="E4" s="80">
        <v>6627</v>
      </c>
      <c r="F4" s="80">
        <v>6603</v>
      </c>
      <c r="G4" s="48" t="str">
        <f t="shared" si="0"/>
        <v>R</v>
      </c>
      <c r="H4" s="48" t="str">
        <f t="shared" si="1"/>
        <v>-</v>
      </c>
      <c r="I4" s="81">
        <f t="shared" si="2"/>
        <v>47.569486759943175</v>
      </c>
      <c r="K4" s="250">
        <f t="shared" si="3"/>
        <v>6559.7805132400563</v>
      </c>
      <c r="L4" s="250">
        <f t="shared" si="4"/>
        <v>6551.0805132400565</v>
      </c>
      <c r="N4" s="53">
        <f t="shared" si="5"/>
        <v>43.21948675994372</v>
      </c>
      <c r="O4" s="53">
        <f>ABS(F4-L4)</f>
        <v>51.919486759943538</v>
      </c>
      <c r="Q4" s="45">
        <f>Q3+1</f>
        <v>8</v>
      </c>
      <c r="R4" s="74">
        <v>6617.32</v>
      </c>
      <c r="S4" s="72">
        <v>6630.6051095191597</v>
      </c>
      <c r="T4" s="72" t="s">
        <v>19</v>
      </c>
      <c r="U4" s="72">
        <v>6632.6051095191597</v>
      </c>
      <c r="V4" s="74" t="s">
        <v>19</v>
      </c>
      <c r="W4" s="74">
        <v>6734.1</v>
      </c>
      <c r="X4" s="74" t="s">
        <v>19</v>
      </c>
      <c r="Y4" s="74">
        <v>6626.8220810166804</v>
      </c>
      <c r="Z4" s="74">
        <v>6648.5192307692296</v>
      </c>
      <c r="AA4" s="66">
        <v>6602.98</v>
      </c>
      <c r="AC4" s="45">
        <f>AC3</f>
        <v>-71.7</v>
      </c>
      <c r="AD4" s="45">
        <f>AD3</f>
        <v>-8.6999999999999993</v>
      </c>
      <c r="AF4" s="49">
        <f>AF3</f>
        <v>0.78529750328939496</v>
      </c>
      <c r="AG4" s="49">
        <f>AG3</f>
        <v>0.21470249671060504</v>
      </c>
      <c r="AH4" s="48" t="str">
        <f t="shared" si="6"/>
        <v>R</v>
      </c>
      <c r="AI4" s="48" t="str">
        <f t="shared" si="7"/>
        <v>-</v>
      </c>
      <c r="AJ4" s="16"/>
      <c r="AK4" s="16"/>
      <c r="AM4" s="20"/>
      <c r="AN4" s="20"/>
      <c r="AP4" s="38" t="s">
        <v>24</v>
      </c>
    </row>
    <row r="5" spans="1:47" ht="15.75" customHeight="1" x14ac:dyDescent="0.3">
      <c r="A5" s="30">
        <f t="shared" si="8"/>
        <v>3</v>
      </c>
      <c r="B5" s="30">
        <f t="shared" si="8"/>
        <v>9</v>
      </c>
      <c r="C5" s="31">
        <f>C4+7</f>
        <v>45986</v>
      </c>
      <c r="D5" s="82">
        <v>6766</v>
      </c>
      <c r="E5" s="82">
        <v>6780</v>
      </c>
      <c r="F5" s="82">
        <v>6849</v>
      </c>
      <c r="G5" s="33" t="str">
        <f t="shared" si="0"/>
        <v>R</v>
      </c>
      <c r="H5" s="33" t="str">
        <f t="shared" si="1"/>
        <v>+</v>
      </c>
      <c r="I5" s="83">
        <f t="shared" si="2"/>
        <v>47.39871707428938</v>
      </c>
      <c r="K5" s="251">
        <f t="shared" si="3"/>
        <v>6798.1012829257106</v>
      </c>
      <c r="L5" s="251">
        <f t="shared" si="4"/>
        <v>6805.1012829257106</v>
      </c>
      <c r="N5" s="36">
        <f t="shared" si="5"/>
        <v>50.89871707428938</v>
      </c>
      <c r="O5" s="36">
        <f>ABS(F5-L5)</f>
        <v>43.89871707428938</v>
      </c>
      <c r="Q5" s="30">
        <f>Q4+1</f>
        <v>9</v>
      </c>
      <c r="R5" s="71">
        <v>6765.88</v>
      </c>
      <c r="S5" s="69">
        <v>6784.1032005718598</v>
      </c>
      <c r="T5" s="69" t="s">
        <v>17</v>
      </c>
      <c r="U5" s="69">
        <v>6786.1032005718598</v>
      </c>
      <c r="V5" s="71">
        <v>85520</v>
      </c>
      <c r="W5" s="71">
        <v>6777</v>
      </c>
      <c r="X5" s="71" t="s">
        <v>19</v>
      </c>
      <c r="Y5" s="71">
        <v>6779.6211180124201</v>
      </c>
      <c r="Z5" s="71">
        <v>6731.4128620689698</v>
      </c>
      <c r="AA5" s="66">
        <v>6849.08</v>
      </c>
      <c r="AC5" s="33">
        <v>45.25</v>
      </c>
      <c r="AD5" s="33">
        <v>7</v>
      </c>
      <c r="AE5" s="5"/>
      <c r="AF5" s="32">
        <v>0.44470434445687701</v>
      </c>
      <c r="AG5" s="32">
        <f>1-AF5</f>
        <v>0.55529565554312299</v>
      </c>
      <c r="AH5" s="33" t="str">
        <f t="shared" si="6"/>
        <v>R</v>
      </c>
      <c r="AI5" s="33" t="str">
        <f t="shared" si="7"/>
        <v>+</v>
      </c>
      <c r="AJ5" s="16"/>
      <c r="AK5" s="16"/>
      <c r="AM5" s="20"/>
      <c r="AN5" s="20"/>
    </row>
    <row r="6" spans="1:47" ht="15.75" customHeight="1" x14ac:dyDescent="0.3">
      <c r="A6" s="45">
        <f t="shared" si="8"/>
        <v>4</v>
      </c>
      <c r="B6" s="45">
        <f t="shared" si="8"/>
        <v>10</v>
      </c>
      <c r="C6" s="46">
        <f>C5+7</f>
        <v>45993</v>
      </c>
      <c r="D6" s="80">
        <v>6829</v>
      </c>
      <c r="E6" s="80">
        <v>6846</v>
      </c>
      <c r="F6" s="80">
        <v>6813</v>
      </c>
      <c r="G6" s="48" t="str">
        <f t="shared" si="0"/>
        <v>R</v>
      </c>
      <c r="H6" s="48" t="str">
        <f t="shared" si="1"/>
        <v>-</v>
      </c>
      <c r="I6" s="81">
        <f t="shared" si="2"/>
        <v>45.27020429730328</v>
      </c>
      <c r="K6" s="250">
        <f t="shared" si="3"/>
        <v>6772.0797957026971</v>
      </c>
      <c r="L6" s="250">
        <f t="shared" si="4"/>
        <v>6763.3797957026973</v>
      </c>
      <c r="N6" s="53">
        <f t="shared" si="5"/>
        <v>40.920204297302917</v>
      </c>
      <c r="O6" s="53">
        <f>ABS(F6-L6)</f>
        <v>49.620204297302735</v>
      </c>
      <c r="Q6" s="45">
        <f>Q5+1</f>
        <v>10</v>
      </c>
      <c r="R6" s="74">
        <v>6829.37</v>
      </c>
      <c r="S6" s="72">
        <v>6849.9033016435196</v>
      </c>
      <c r="T6" s="72" t="s">
        <v>19</v>
      </c>
      <c r="U6" s="72">
        <v>6851.9033016435196</v>
      </c>
      <c r="V6" s="74" t="s">
        <v>19</v>
      </c>
      <c r="W6" s="74">
        <v>6855</v>
      </c>
      <c r="X6" s="74" t="s">
        <v>19</v>
      </c>
      <c r="Y6" s="74">
        <v>6845.8087986463597</v>
      </c>
      <c r="Z6" s="74">
        <v>6836.35849893048</v>
      </c>
      <c r="AA6" s="66">
        <v>6827.42</v>
      </c>
      <c r="AC6" s="45">
        <f>AC4</f>
        <v>-71.7</v>
      </c>
      <c r="AD6" s="45">
        <f>AD4</f>
        <v>-8.6999999999999993</v>
      </c>
      <c r="AF6" s="49">
        <f>AF4</f>
        <v>0.78529750328939496</v>
      </c>
      <c r="AG6" s="49">
        <f>AG4</f>
        <v>0.21470249671060504</v>
      </c>
      <c r="AH6" s="48" t="str">
        <f t="shared" si="6"/>
        <v>R</v>
      </c>
      <c r="AI6" s="48" t="str">
        <f t="shared" si="7"/>
        <v>-</v>
      </c>
      <c r="AJ6" s="16"/>
      <c r="AK6" s="16"/>
      <c r="AM6" s="20"/>
      <c r="AN6" s="20"/>
      <c r="AP6" s="38" t="s">
        <v>25</v>
      </c>
    </row>
    <row r="7" spans="1:47" ht="15.75" customHeight="1" x14ac:dyDescent="0.3">
      <c r="A7" s="30">
        <f t="shared" si="8"/>
        <v>5</v>
      </c>
      <c r="B7" s="30">
        <f t="shared" si="8"/>
        <v>11</v>
      </c>
      <c r="C7" s="31">
        <f>C6+7</f>
        <v>46000</v>
      </c>
      <c r="D7" s="82">
        <v>6840</v>
      </c>
      <c r="E7" s="82">
        <v>6863</v>
      </c>
      <c r="F7" s="82">
        <v>6846</v>
      </c>
      <c r="G7" s="33" t="str">
        <f t="shared" si="0"/>
        <v>R</v>
      </c>
      <c r="H7" s="33" t="str">
        <f t="shared" si="1"/>
        <v>+</v>
      </c>
      <c r="I7" s="83">
        <f t="shared" si="2"/>
        <v>45.250000002806701</v>
      </c>
      <c r="K7" s="251">
        <f t="shared" si="3"/>
        <v>6887.7500000028067</v>
      </c>
      <c r="L7" s="251">
        <f t="shared" si="4"/>
        <v>6894.7500000028067</v>
      </c>
      <c r="N7" s="36">
        <f t="shared" si="5"/>
        <v>41.750000002806701</v>
      </c>
      <c r="O7" s="36">
        <f>N7+AK7</f>
        <v>41.750000002806701</v>
      </c>
      <c r="Q7" s="30">
        <f>Q6+1</f>
        <v>11</v>
      </c>
      <c r="R7" s="71">
        <v>6840.51</v>
      </c>
      <c r="S7" s="69">
        <v>6867.7290380806699</v>
      </c>
      <c r="T7" s="69" t="s">
        <v>19</v>
      </c>
      <c r="U7" s="69">
        <v>6869.7290380806699</v>
      </c>
      <c r="V7" s="71" t="s">
        <v>19</v>
      </c>
      <c r="W7" s="71">
        <v>6881</v>
      </c>
      <c r="X7" s="71" t="s">
        <v>19</v>
      </c>
      <c r="Y7" s="71">
        <v>6863.3534994068796</v>
      </c>
      <c r="Z7" s="71">
        <v>6825.7996320284701</v>
      </c>
      <c r="AA7" s="66">
        <v>6827.42</v>
      </c>
      <c r="AC7" s="30">
        <f>AC5</f>
        <v>45.25</v>
      </c>
      <c r="AD7" s="30">
        <f>AD5</f>
        <v>7</v>
      </c>
      <c r="AF7" s="35">
        <f>AF5</f>
        <v>0.44470434445687701</v>
      </c>
      <c r="AG7" s="35">
        <f>AG5</f>
        <v>0.55529565554312299</v>
      </c>
      <c r="AH7" s="33" t="str">
        <f t="shared" si="6"/>
        <v>R</v>
      </c>
      <c r="AI7" s="33" t="str">
        <f t="shared" si="7"/>
        <v>+</v>
      </c>
      <c r="AJ7" s="16"/>
      <c r="AK7" s="16"/>
      <c r="AM7" s="20"/>
      <c r="AN7" s="20"/>
      <c r="AP7" s="39" t="s">
        <v>26</v>
      </c>
      <c r="AQ7" s="39" t="s">
        <v>27</v>
      </c>
      <c r="AR7" s="40">
        <v>-1</v>
      </c>
      <c r="AS7" s="40">
        <v>7</v>
      </c>
      <c r="AT7" s="40">
        <v>1</v>
      </c>
      <c r="AU7" s="40">
        <v>0</v>
      </c>
    </row>
    <row r="8" spans="1:47" ht="15.75" customHeight="1" x14ac:dyDescent="0.3">
      <c r="A8" s="30">
        <f t="shared" si="8"/>
        <v>6</v>
      </c>
      <c r="B8" s="30">
        <f t="shared" si="8"/>
        <v>12</v>
      </c>
      <c r="C8" s="31">
        <f>C7+7</f>
        <v>46007</v>
      </c>
      <c r="D8" s="82">
        <v>6800</v>
      </c>
      <c r="E8" s="82">
        <v>6813</v>
      </c>
      <c r="F8" s="82">
        <v>6816</v>
      </c>
      <c r="G8" s="33" t="str">
        <f t="shared" si="0"/>
        <v>R</v>
      </c>
      <c r="H8" s="33" t="str">
        <f t="shared" si="1"/>
        <v>+</v>
      </c>
      <c r="I8" s="83">
        <f t="shared" si="2"/>
        <v>47.392049733976819</v>
      </c>
      <c r="K8" s="251">
        <f t="shared" si="3"/>
        <v>6859.8920497339768</v>
      </c>
      <c r="L8" s="251">
        <f t="shared" si="4"/>
        <v>6866.8920497339768</v>
      </c>
      <c r="N8" s="36">
        <f t="shared" si="5"/>
        <v>43.892049733976819</v>
      </c>
      <c r="O8" s="36">
        <f>ABS(F8-L8)</f>
        <v>50.892049733976819</v>
      </c>
      <c r="Q8" s="30">
        <f>Q7+1</f>
        <v>12</v>
      </c>
      <c r="R8" s="71">
        <v>6800.26</v>
      </c>
      <c r="S8" s="69">
        <v>6817.40120798506</v>
      </c>
      <c r="T8" s="69" t="s">
        <v>17</v>
      </c>
      <c r="U8" s="69">
        <v>6819.40120798506</v>
      </c>
      <c r="V8" s="71">
        <v>85520</v>
      </c>
      <c r="W8" s="71">
        <v>6825</v>
      </c>
      <c r="X8" s="71" t="s">
        <v>18</v>
      </c>
      <c r="Y8" s="71">
        <v>6813.4231582996699</v>
      </c>
      <c r="Z8" s="71">
        <v>6815.6181897610904</v>
      </c>
      <c r="AA8" s="66">
        <v>6834.49</v>
      </c>
      <c r="AC8" s="30">
        <f>AC7</f>
        <v>45.25</v>
      </c>
      <c r="AD8" s="30">
        <f>AD7</f>
        <v>7</v>
      </c>
      <c r="AF8" s="35">
        <f>AF7</f>
        <v>0.44470434445687701</v>
      </c>
      <c r="AG8" s="35">
        <f>AG7</f>
        <v>0.55529565554312299</v>
      </c>
      <c r="AH8" s="33" t="str">
        <f t="shared" si="6"/>
        <v>R</v>
      </c>
      <c r="AI8" s="33" t="str">
        <f t="shared" si="7"/>
        <v>+</v>
      </c>
      <c r="AJ8" s="16"/>
      <c r="AK8" s="16"/>
      <c r="AM8" s="20"/>
      <c r="AN8" s="20"/>
      <c r="AP8" s="41" t="s">
        <v>26</v>
      </c>
      <c r="AQ8" s="41" t="s">
        <v>28</v>
      </c>
      <c r="AR8" s="42"/>
      <c r="AS8" s="42"/>
      <c r="AT8" s="42"/>
      <c r="AU8" s="42"/>
    </row>
    <row r="9" spans="1:47" ht="15.75" customHeight="1" x14ac:dyDescent="0.3">
      <c r="A9" s="45">
        <f t="shared" ref="A9:A15" si="9">A8+1</f>
        <v>7</v>
      </c>
      <c r="B9" s="45">
        <v>1</v>
      </c>
      <c r="C9" s="46">
        <v>46035</v>
      </c>
      <c r="D9" s="80">
        <v>6956</v>
      </c>
      <c r="E9" s="80">
        <v>6979</v>
      </c>
      <c r="F9" s="80">
        <v>6940</v>
      </c>
      <c r="G9" s="48" t="str">
        <f t="shared" si="0"/>
        <v>R</v>
      </c>
      <c r="H9" s="48" t="str">
        <f t="shared" si="1"/>
        <v>-</v>
      </c>
      <c r="I9" s="81">
        <f t="shared" si="2"/>
        <v>71.700001624149081</v>
      </c>
      <c r="K9" s="250">
        <f t="shared" si="3"/>
        <v>6872.6499983758504</v>
      </c>
      <c r="L9" s="250">
        <f t="shared" si="4"/>
        <v>6863.9499983758506</v>
      </c>
      <c r="N9" s="53">
        <f t="shared" si="5"/>
        <v>67.350001624149627</v>
      </c>
      <c r="O9" s="53">
        <f>N9+AK9</f>
        <v>67.350001624149627</v>
      </c>
      <c r="Q9" s="45">
        <v>1</v>
      </c>
      <c r="R9" s="74">
        <v>6955.82</v>
      </c>
      <c r="S9" s="72">
        <v>6985.0463412413701</v>
      </c>
      <c r="T9" s="72" t="s">
        <v>19</v>
      </c>
      <c r="U9" s="72">
        <v>6987.0463412413701</v>
      </c>
      <c r="V9" s="74" t="s">
        <v>19</v>
      </c>
      <c r="W9" s="74">
        <v>6985</v>
      </c>
      <c r="X9" s="74" t="s">
        <v>19</v>
      </c>
      <c r="Y9" s="74">
        <v>6979.4132333140997</v>
      </c>
      <c r="Z9" s="74">
        <v>6816.1024405872204</v>
      </c>
      <c r="AA9" s="66">
        <v>6977.26</v>
      </c>
      <c r="AC9" s="45">
        <f>AC6</f>
        <v>-71.7</v>
      </c>
      <c r="AD9" s="45">
        <f>AD6</f>
        <v>-8.6999999999999993</v>
      </c>
      <c r="AF9" s="49">
        <f>AF6</f>
        <v>0.78529750328939496</v>
      </c>
      <c r="AG9" s="49">
        <f>AG6</f>
        <v>0.21470249671060504</v>
      </c>
      <c r="AH9" s="48" t="str">
        <f t="shared" si="6"/>
        <v>R</v>
      </c>
      <c r="AI9" s="48" t="str">
        <f t="shared" si="7"/>
        <v>-</v>
      </c>
      <c r="AJ9" s="16"/>
      <c r="AK9" s="16"/>
      <c r="AM9" s="20"/>
      <c r="AN9" s="20"/>
      <c r="AP9" s="43" t="s">
        <v>4</v>
      </c>
      <c r="AQ9" s="43" t="s">
        <v>27</v>
      </c>
      <c r="AR9" s="44"/>
      <c r="AS9" s="44"/>
      <c r="AT9" s="44"/>
      <c r="AU9" s="44"/>
    </row>
    <row r="10" spans="1:47" ht="15.75" customHeight="1" x14ac:dyDescent="0.3">
      <c r="A10" s="30">
        <f t="shared" si="9"/>
        <v>8</v>
      </c>
      <c r="B10" s="30">
        <f t="shared" ref="B10:B15" si="10">B9+1</f>
        <v>2</v>
      </c>
      <c r="C10" s="31">
        <f t="shared" ref="C10:C15" si="11">C9+7</f>
        <v>46042</v>
      </c>
      <c r="D10" s="82">
        <v>6794.06</v>
      </c>
      <c r="E10" s="82">
        <v>6824</v>
      </c>
      <c r="F10" s="82">
        <v>6915.62</v>
      </c>
      <c r="G10" s="33" t="str">
        <f t="shared" si="0"/>
        <v>R</v>
      </c>
      <c r="H10" s="33" t="str">
        <f t="shared" si="1"/>
        <v>+</v>
      </c>
      <c r="I10" s="83">
        <f t="shared" si="2"/>
        <v>19.896366275462242</v>
      </c>
      <c r="K10" s="251">
        <f t="shared" si="3"/>
        <v>6892.2236337245376</v>
      </c>
      <c r="L10" s="251">
        <f t="shared" si="4"/>
        <v>6899.2236337245376</v>
      </c>
      <c r="N10" s="36">
        <f t="shared" si="5"/>
        <v>23.396366275462242</v>
      </c>
      <c r="O10" s="36">
        <f t="shared" ref="O10:O15" si="12">ABS(F10-L10)</f>
        <v>16.396366275462242</v>
      </c>
      <c r="Q10" s="30">
        <f t="shared" ref="Q10:Q15" si="13">Q9+1</f>
        <v>2</v>
      </c>
      <c r="R10" s="71">
        <v>6794.06</v>
      </c>
      <c r="S10" s="69">
        <v>6811</v>
      </c>
      <c r="T10" s="69" t="s">
        <v>19</v>
      </c>
      <c r="U10" s="69">
        <v>6814</v>
      </c>
      <c r="V10" s="71">
        <v>85520</v>
      </c>
      <c r="W10" s="71">
        <v>6802</v>
      </c>
      <c r="X10" s="71" t="s">
        <v>19</v>
      </c>
      <c r="Y10" s="71">
        <v>6825.7403314917101</v>
      </c>
      <c r="Z10" s="71">
        <v>6863.9781639344301</v>
      </c>
      <c r="AA10" s="66">
        <v>6915.62</v>
      </c>
      <c r="AC10" s="30">
        <f>AC8</f>
        <v>45.25</v>
      </c>
      <c r="AD10" s="30">
        <f>AD8</f>
        <v>7</v>
      </c>
      <c r="AF10" s="35">
        <f>AF8</f>
        <v>0.44470434445687701</v>
      </c>
      <c r="AG10" s="35">
        <f>AG8</f>
        <v>0.55529565554312299</v>
      </c>
      <c r="AH10" s="33" t="str">
        <f t="shared" si="6"/>
        <v>R</v>
      </c>
      <c r="AI10" s="33" t="str">
        <f t="shared" si="7"/>
        <v>+</v>
      </c>
      <c r="AJ10" s="16"/>
      <c r="AK10" s="16"/>
      <c r="AM10" s="20"/>
      <c r="AN10" s="20"/>
      <c r="AP10" s="2" t="s">
        <v>4</v>
      </c>
      <c r="AQ10" s="2" t="s">
        <v>28</v>
      </c>
      <c r="AR10" s="16">
        <v>-21.75</v>
      </c>
      <c r="AS10" s="16">
        <v>-8.6999999999999993</v>
      </c>
      <c r="AT10" s="16">
        <v>0.92</v>
      </c>
      <c r="AU10" s="16">
        <v>0.08</v>
      </c>
    </row>
    <row r="11" spans="1:47" ht="15.75" customHeight="1" x14ac:dyDescent="0.3">
      <c r="A11" s="45">
        <f t="shared" si="9"/>
        <v>9</v>
      </c>
      <c r="B11" s="45">
        <f t="shared" si="10"/>
        <v>3</v>
      </c>
      <c r="C11" s="46">
        <f t="shared" si="11"/>
        <v>46049</v>
      </c>
      <c r="D11" s="80">
        <f>R11</f>
        <v>6978.6</v>
      </c>
      <c r="E11" s="80">
        <f>Z11</f>
        <v>6994.7628018518399</v>
      </c>
      <c r="F11" s="80">
        <v>6939.02</v>
      </c>
      <c r="G11" s="48" t="str">
        <f t="shared" si="0"/>
        <v>R</v>
      </c>
      <c r="H11" s="48" t="str">
        <f t="shared" si="1"/>
        <v>-</v>
      </c>
      <c r="I11" s="81">
        <f t="shared" si="2"/>
        <v>18.687555294185586</v>
      </c>
      <c r="K11" s="250">
        <f t="shared" si="3"/>
        <v>6924.6824447058152</v>
      </c>
      <c r="L11" s="250">
        <f t="shared" si="4"/>
        <v>6915.9824447058154</v>
      </c>
      <c r="N11" s="53">
        <f t="shared" si="5"/>
        <v>14.337555294185222</v>
      </c>
      <c r="O11" s="53">
        <f t="shared" si="12"/>
        <v>23.03755529418504</v>
      </c>
      <c r="Q11" s="45">
        <f t="shared" si="13"/>
        <v>3</v>
      </c>
      <c r="R11" s="74">
        <v>6978.6</v>
      </c>
      <c r="S11" s="72">
        <v>7000</v>
      </c>
      <c r="T11" s="72" t="s">
        <v>19</v>
      </c>
      <c r="U11" s="72">
        <v>7005</v>
      </c>
      <c r="V11" s="74" t="s">
        <v>19</v>
      </c>
      <c r="W11" s="74">
        <v>6995</v>
      </c>
      <c r="X11" s="74" t="s">
        <v>19</v>
      </c>
      <c r="Y11" s="74">
        <v>6996.82525951558</v>
      </c>
      <c r="Z11" s="74">
        <v>6994.7628018518399</v>
      </c>
      <c r="AA11" s="66">
        <v>6915.62</v>
      </c>
      <c r="AC11" s="45">
        <f>AC9</f>
        <v>-71.7</v>
      </c>
      <c r="AD11" s="45">
        <f>AD9</f>
        <v>-8.6999999999999993</v>
      </c>
      <c r="AF11" s="49">
        <f>AF9</f>
        <v>0.78529750328939496</v>
      </c>
      <c r="AG11" s="49">
        <f>AG9</f>
        <v>0.21470249671060504</v>
      </c>
      <c r="AH11" s="48" t="str">
        <f t="shared" si="6"/>
        <v>R</v>
      </c>
      <c r="AI11" s="48" t="str">
        <f t="shared" si="7"/>
        <v>-</v>
      </c>
      <c r="AJ11" s="16"/>
      <c r="AK11" s="16"/>
      <c r="AM11" s="20"/>
      <c r="AN11" s="20"/>
    </row>
    <row r="12" spans="1:47" ht="15.75" customHeight="1" x14ac:dyDescent="0.3">
      <c r="A12" s="84">
        <f t="shared" si="9"/>
        <v>10</v>
      </c>
      <c r="B12" s="84">
        <f t="shared" si="10"/>
        <v>4</v>
      </c>
      <c r="C12" s="85">
        <f t="shared" si="11"/>
        <v>46056</v>
      </c>
      <c r="D12" s="86">
        <v>6917.81</v>
      </c>
      <c r="E12" s="86">
        <v>6915.2440147329698</v>
      </c>
      <c r="F12" s="86">
        <v>6932.31</v>
      </c>
      <c r="G12" s="87" t="str">
        <f t="shared" si="0"/>
        <v>P</v>
      </c>
      <c r="H12" s="87" t="str">
        <f t="shared" si="1"/>
        <v>-</v>
      </c>
      <c r="I12" s="88">
        <f t="shared" si="2"/>
        <v>5.3065783231431851E-3</v>
      </c>
      <c r="K12" s="252">
        <f>IF(H12=1,(Y12*AM12+Z12*AN12+AJ12),(Y12*AM12+Z12*AN12+AJ12))</f>
        <v>6933.4396934216775</v>
      </c>
      <c r="L12" s="252">
        <f>K12+AK12</f>
        <v>6931.169693421677</v>
      </c>
      <c r="N12" s="89">
        <f t="shared" si="5"/>
        <v>1.1296934216770751</v>
      </c>
      <c r="O12" s="89">
        <f t="shared" si="12"/>
        <v>1.1403065783233615</v>
      </c>
      <c r="Q12" s="84">
        <f t="shared" si="13"/>
        <v>4</v>
      </c>
      <c r="R12" s="89">
        <v>6917.81</v>
      </c>
      <c r="S12" s="90">
        <v>6912.6096934216703</v>
      </c>
      <c r="T12" s="90" t="s">
        <v>19</v>
      </c>
      <c r="U12" s="90">
        <v>6916</v>
      </c>
      <c r="V12" s="89" t="s">
        <v>19</v>
      </c>
      <c r="W12" s="89">
        <v>6928</v>
      </c>
      <c r="X12" s="89" t="s">
        <v>18</v>
      </c>
      <c r="Y12" s="89">
        <v>6915.2440147329698</v>
      </c>
      <c r="Z12" s="89">
        <v>6912.2370646991603</v>
      </c>
      <c r="AA12" s="66">
        <f>F12</f>
        <v>6932.31</v>
      </c>
      <c r="AC12" s="16"/>
      <c r="AD12" s="16"/>
      <c r="AF12" s="20"/>
      <c r="AG12" s="20"/>
      <c r="AH12" s="87" t="str">
        <f t="shared" si="6"/>
        <v>P</v>
      </c>
      <c r="AI12" s="87" t="str">
        <f t="shared" si="7"/>
        <v>-</v>
      </c>
      <c r="AJ12" s="87">
        <v>19.2</v>
      </c>
      <c r="AK12" s="87">
        <v>-2.27</v>
      </c>
      <c r="AL12" s="5"/>
      <c r="AM12" s="91">
        <v>0.66600000000000004</v>
      </c>
      <c r="AN12" s="91">
        <f>1-AM12</f>
        <v>0.33399999999999996</v>
      </c>
      <c r="AQ12" s="5" t="s">
        <v>26</v>
      </c>
      <c r="AR12" s="6">
        <f>COUNTIF(G3:G14,"R")</f>
        <v>11</v>
      </c>
    </row>
    <row r="13" spans="1:47" ht="15.75" customHeight="1" x14ac:dyDescent="0.3">
      <c r="A13" s="45">
        <f t="shared" si="9"/>
        <v>11</v>
      </c>
      <c r="B13" s="45">
        <f t="shared" si="10"/>
        <v>5</v>
      </c>
      <c r="C13" s="46">
        <f t="shared" si="11"/>
        <v>46063</v>
      </c>
      <c r="D13" s="80">
        <f>R13</f>
        <v>6941.81</v>
      </c>
      <c r="E13" s="80">
        <f>Y13</f>
        <v>6980.9682889733804</v>
      </c>
      <c r="F13" s="80">
        <v>6836</v>
      </c>
      <c r="G13" s="48" t="str">
        <f t="shared" si="0"/>
        <v>R</v>
      </c>
      <c r="H13" s="48" t="str">
        <f t="shared" si="1"/>
        <v>-</v>
      </c>
      <c r="I13" s="81">
        <f t="shared" si="2"/>
        <v>71.071451435855124</v>
      </c>
      <c r="K13" s="250">
        <f>IF(H13=1,(Y13*AF13+Z13*AG13+AC13),(Y13*AF13+Z13*AG13+AC13))</f>
        <v>6911.4214514358546</v>
      </c>
      <c r="L13" s="250">
        <f>K13+AD13</f>
        <v>6902.7214514358548</v>
      </c>
      <c r="N13" s="53">
        <f t="shared" si="5"/>
        <v>75.421451435854578</v>
      </c>
      <c r="O13" s="53">
        <f t="shared" si="12"/>
        <v>66.72145143585476</v>
      </c>
      <c r="Q13" s="45">
        <f t="shared" si="13"/>
        <v>5</v>
      </c>
      <c r="R13" s="74">
        <v>6941.81</v>
      </c>
      <c r="S13" s="72">
        <v>6930</v>
      </c>
      <c r="T13" s="72" t="s">
        <v>17</v>
      </c>
      <c r="U13" s="72">
        <v>6939</v>
      </c>
      <c r="V13" s="74">
        <v>85520</v>
      </c>
      <c r="W13" s="74">
        <v>6957</v>
      </c>
      <c r="X13" s="74" t="s">
        <v>18</v>
      </c>
      <c r="Y13" s="74">
        <v>6980.9682889733804</v>
      </c>
      <c r="Z13" s="74">
        <v>6990.9968750190101</v>
      </c>
      <c r="AA13" s="66">
        <f>F13</f>
        <v>6836</v>
      </c>
      <c r="AC13" s="45">
        <f>AC11</f>
        <v>-71.7</v>
      </c>
      <c r="AD13" s="45">
        <f>AD11</f>
        <v>-8.6999999999999993</v>
      </c>
      <c r="AF13" s="49">
        <f>AF11</f>
        <v>0.78529750328939496</v>
      </c>
      <c r="AG13" s="49">
        <f>AG11</f>
        <v>0.21470249671060504</v>
      </c>
      <c r="AH13" s="48" t="str">
        <f t="shared" si="6"/>
        <v>R</v>
      </c>
      <c r="AI13" s="48" t="str">
        <f t="shared" si="7"/>
        <v>-</v>
      </c>
      <c r="AJ13" s="92"/>
      <c r="AK13" s="92"/>
      <c r="AL13" s="57"/>
      <c r="AM13" s="92"/>
      <c r="AN13" s="92"/>
      <c r="AQ13" s="5" t="s">
        <v>4</v>
      </c>
      <c r="AR13" s="6">
        <f>COUNTIF(G3:G14,"P")</f>
        <v>1</v>
      </c>
    </row>
    <row r="14" spans="1:47" ht="15.75" customHeight="1" x14ac:dyDescent="0.3">
      <c r="A14" s="30">
        <f t="shared" si="9"/>
        <v>12</v>
      </c>
      <c r="B14" s="30">
        <f t="shared" si="10"/>
        <v>6</v>
      </c>
      <c r="C14" s="31">
        <f t="shared" si="11"/>
        <v>46070</v>
      </c>
      <c r="D14" s="82">
        <v>6843.22</v>
      </c>
      <c r="E14" s="82">
        <v>6855</v>
      </c>
      <c r="F14" s="82">
        <v>6909.52</v>
      </c>
      <c r="G14" s="33" t="str">
        <f t="shared" si="0"/>
        <v>R</v>
      </c>
      <c r="H14" s="33" t="str">
        <f t="shared" si="1"/>
        <v>+</v>
      </c>
      <c r="I14" s="83">
        <f t="shared" si="2"/>
        <v>5.9737099552476138</v>
      </c>
      <c r="K14" s="251">
        <f>IF(H14=1,(Y14*AF14+Z14*AG14+AC14),(Y14*AF14+Z14*AG14+AC14))</f>
        <v>6900.0462900447528</v>
      </c>
      <c r="L14" s="251">
        <f>K14+AD14</f>
        <v>6907.0462900447528</v>
      </c>
      <c r="N14" s="36">
        <f t="shared" si="5"/>
        <v>9.4737099552476138</v>
      </c>
      <c r="O14" s="36">
        <f t="shared" si="12"/>
        <v>2.4737099552476138</v>
      </c>
      <c r="Q14" s="30">
        <f t="shared" si="13"/>
        <v>6</v>
      </c>
      <c r="R14" s="71">
        <v>6843.22</v>
      </c>
      <c r="S14" s="69">
        <v>6803</v>
      </c>
      <c r="T14" s="69" t="s">
        <v>19</v>
      </c>
      <c r="U14" s="69">
        <v>6790</v>
      </c>
      <c r="V14" s="71" t="s">
        <v>19</v>
      </c>
      <c r="W14" s="71">
        <v>6957</v>
      </c>
      <c r="X14" s="71" t="s">
        <v>19</v>
      </c>
      <c r="Y14" s="71">
        <v>6854.8961864406901</v>
      </c>
      <c r="Z14" s="71">
        <v>6854.7162887682698</v>
      </c>
      <c r="AA14" s="66">
        <f>F14</f>
        <v>6909.52</v>
      </c>
      <c r="AC14" s="30">
        <f>AC10</f>
        <v>45.25</v>
      </c>
      <c r="AD14" s="30">
        <f>AD10</f>
        <v>7</v>
      </c>
      <c r="AF14" s="30">
        <f>AF10</f>
        <v>0.44470434445687701</v>
      </c>
      <c r="AG14" s="30">
        <f>AG10</f>
        <v>0.55529565554312299</v>
      </c>
      <c r="AH14" s="33" t="str">
        <f t="shared" si="6"/>
        <v>R</v>
      </c>
      <c r="AI14" s="33" t="str">
        <f t="shared" si="7"/>
        <v>+</v>
      </c>
      <c r="AJ14" s="92"/>
      <c r="AK14" s="92"/>
      <c r="AL14" s="57"/>
      <c r="AM14" s="92"/>
      <c r="AN14" s="92"/>
    </row>
    <row r="15" spans="1:47" ht="15.75" customHeight="1" x14ac:dyDescent="0.3">
      <c r="A15" s="30">
        <f t="shared" si="9"/>
        <v>13</v>
      </c>
      <c r="B15" s="30">
        <f t="shared" si="10"/>
        <v>7</v>
      </c>
      <c r="C15" s="31">
        <f t="shared" si="11"/>
        <v>46077</v>
      </c>
      <c r="D15" s="82">
        <v>6890</v>
      </c>
      <c r="E15" s="82">
        <v>6907</v>
      </c>
      <c r="F15" s="82">
        <v>6900</v>
      </c>
      <c r="G15" s="33" t="str">
        <f t="shared" si="0"/>
        <v>R</v>
      </c>
      <c r="H15" s="33" t="str">
        <f t="shared" si="1"/>
        <v>+</v>
      </c>
      <c r="I15" s="83">
        <f t="shared" si="2"/>
        <v>59.042083674234163</v>
      </c>
      <c r="J15" s="6" t="s">
        <v>27</v>
      </c>
      <c r="K15" s="251">
        <f>IF(H15=1,(Y15*AF15+Z15*AG15+AC15),(Y15*AF15+Z15*AG15+AC15))</f>
        <v>6955.5420836742342</v>
      </c>
      <c r="L15" s="251">
        <f>K15+AD15</f>
        <v>6962.5420836742342</v>
      </c>
      <c r="N15" s="36">
        <f t="shared" si="5"/>
        <v>55.542083674234163</v>
      </c>
      <c r="O15" s="36">
        <f t="shared" si="12"/>
        <v>62.542083674234163</v>
      </c>
      <c r="Q15" s="30">
        <f t="shared" si="13"/>
        <v>7</v>
      </c>
      <c r="R15" s="71">
        <v>6890.07</v>
      </c>
      <c r="S15" s="69">
        <v>6907</v>
      </c>
      <c r="T15" s="69"/>
      <c r="U15" s="69">
        <v>6913</v>
      </c>
      <c r="V15" s="71"/>
      <c r="W15" s="71">
        <v>6919</v>
      </c>
      <c r="X15" s="71"/>
      <c r="Y15" s="71">
        <v>6907.2032967033001</v>
      </c>
      <c r="Z15" s="71">
        <v>6912.76571546185</v>
      </c>
      <c r="AA15" s="66">
        <f>F15</f>
        <v>6900</v>
      </c>
      <c r="AC15" s="30">
        <f>AC14</f>
        <v>45.25</v>
      </c>
      <c r="AD15" s="30">
        <f>AD14</f>
        <v>7</v>
      </c>
      <c r="AF15" s="30">
        <f>AF14</f>
        <v>0.44470434445687701</v>
      </c>
      <c r="AG15" s="30">
        <f>AG14</f>
        <v>0.55529565554312299</v>
      </c>
      <c r="AH15" s="33" t="str">
        <f t="shared" si="6"/>
        <v>R</v>
      </c>
      <c r="AI15" s="33" t="str">
        <f t="shared" si="7"/>
        <v>+</v>
      </c>
      <c r="AJ15" s="92"/>
      <c r="AK15" s="92"/>
      <c r="AL15" s="57"/>
      <c r="AM15" s="92"/>
      <c r="AN15" s="92"/>
    </row>
    <row r="18" spans="1:47" ht="15.75" customHeight="1" x14ac:dyDescent="0.3">
      <c r="A18" s="6">
        <v>4</v>
      </c>
      <c r="B18" s="6">
        <v>6</v>
      </c>
      <c r="C18" s="6">
        <v>11</v>
      </c>
      <c r="D18" s="78">
        <v>7</v>
      </c>
      <c r="E18" s="76">
        <v>7</v>
      </c>
      <c r="F18" s="76">
        <v>7</v>
      </c>
      <c r="G18" s="5">
        <v>5</v>
      </c>
      <c r="H18" s="5">
        <v>5</v>
      </c>
      <c r="I18" s="77" t="s">
        <v>29</v>
      </c>
      <c r="J18" s="6">
        <v>2</v>
      </c>
      <c r="K18" s="253">
        <v>7</v>
      </c>
      <c r="L18" s="253">
        <v>7</v>
      </c>
      <c r="M18" s="6">
        <v>2</v>
      </c>
      <c r="N18" s="58">
        <v>7</v>
      </c>
      <c r="O18" s="58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6">
        <v>2</v>
      </c>
      <c r="AF18" s="6">
        <v>7</v>
      </c>
      <c r="AG18" s="6">
        <v>7</v>
      </c>
      <c r="AI18" s="5">
        <v>2</v>
      </c>
      <c r="AJ18" s="6">
        <v>7</v>
      </c>
      <c r="AK18" s="6">
        <v>7</v>
      </c>
      <c r="AL18" s="6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8"/>
  <sheetViews>
    <sheetView zoomScale="105" zoomScaleNormal="105" workbookViewId="0">
      <selection activeCell="U16" sqref="U16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4" width="7.77734375" style="58" customWidth="1"/>
    <col min="5" max="6" width="7.77734375" style="56" customWidth="1"/>
    <col min="7" max="8" width="5.77734375" style="5" customWidth="1"/>
    <col min="9" max="9" width="7.77734375" style="77" customWidth="1"/>
    <col min="10" max="10" width="2.77734375" style="6" customWidth="1"/>
    <col min="11" max="12" width="7.77734375" style="247" customWidth="1"/>
    <col min="13" max="13" width="2.77734375" style="6" customWidth="1"/>
    <col min="14" max="15" width="7.77734375" style="11" hidden="1" customWidth="1"/>
    <col min="16" max="16" width="2.77734375" style="6" hidden="1" customWidth="1"/>
    <col min="17" max="17" width="4.77734375" style="6" customWidth="1"/>
    <col min="18" max="18" width="7.77734375" style="58" customWidth="1"/>
    <col min="19" max="19" width="7.77734375" style="55" customWidth="1"/>
    <col min="20" max="20" width="7.77734375" style="55" hidden="1" customWidth="1"/>
    <col min="21" max="21" width="7.77734375" style="55" customWidth="1"/>
    <col min="22" max="22" width="7.77734375" style="58" hidden="1" customWidth="1"/>
    <col min="23" max="23" width="7.77734375" style="58" customWidth="1"/>
    <col min="24" max="24" width="7.77734375" style="58" hidden="1" customWidth="1"/>
    <col min="25" max="26" width="7.77734375" style="58" customWidth="1"/>
    <col min="27" max="27" width="7.77734375" style="58" hidden="1" customWidth="1"/>
    <col min="28" max="28" width="2.77734375" style="6" customWidth="1"/>
    <col min="29" max="30" width="7.77734375" style="6" customWidth="1"/>
    <col min="31" max="31" width="2.77734375" style="6" customWidth="1"/>
    <col min="32" max="33" width="7.77734375" style="11" customWidth="1"/>
    <col min="34" max="35" width="2.77734375" style="5" customWidth="1"/>
    <col min="36" max="37" width="7.77734375" style="6" customWidth="1"/>
    <col min="38" max="38" width="2.77734375" style="6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16384" width="8.77734375" style="6"/>
  </cols>
  <sheetData>
    <row r="1" spans="1:47" s="5" customFormat="1" ht="15.75" customHeight="1" x14ac:dyDescent="0.3">
      <c r="A1" s="260" t="s">
        <v>37</v>
      </c>
      <c r="B1" s="260"/>
      <c r="C1" s="13"/>
      <c r="D1" s="55"/>
      <c r="E1" s="56"/>
      <c r="F1" s="56"/>
      <c r="I1" s="77">
        <f>AVERAGE(I3:I14)</f>
        <v>0.75804237250945439</v>
      </c>
      <c r="K1" s="267" t="s">
        <v>1</v>
      </c>
      <c r="L1" s="267"/>
      <c r="N1" s="3">
        <f>AVERAGE(N3:N9)</f>
        <v>0.53747097728094828</v>
      </c>
      <c r="O1" s="3">
        <f>AVERAGE(O3:O9)</f>
        <v>0.58461383442380566</v>
      </c>
      <c r="R1" s="55" t="str">
        <f>D2</f>
        <v>T0</v>
      </c>
      <c r="S1" s="262" t="s">
        <v>3</v>
      </c>
      <c r="T1" s="262"/>
      <c r="U1" s="262"/>
      <c r="V1" s="55"/>
      <c r="W1" s="55"/>
      <c r="X1" s="55"/>
      <c r="Y1" s="55" t="str">
        <f>E2</f>
        <v>P</v>
      </c>
      <c r="Z1" s="55"/>
      <c r="AA1" s="55"/>
      <c r="AC1" s="263" t="s">
        <v>5</v>
      </c>
      <c r="AD1" s="263"/>
      <c r="AF1" s="259" t="s">
        <v>6</v>
      </c>
      <c r="AG1" s="259"/>
      <c r="AJ1" s="263" t="s">
        <v>7</v>
      </c>
      <c r="AK1" s="263"/>
      <c r="AM1" s="259" t="s">
        <v>8</v>
      </c>
      <c r="AN1" s="259"/>
      <c r="AO1" s="14"/>
      <c r="AP1" s="38" t="s">
        <v>22</v>
      </c>
    </row>
    <row r="2" spans="1:47" s="5" customFormat="1" ht="15.75" customHeight="1" x14ac:dyDescent="0.3">
      <c r="A2" s="2" t="s">
        <v>10</v>
      </c>
      <c r="B2" s="2" t="s">
        <v>11</v>
      </c>
      <c r="C2" s="2" t="s">
        <v>38</v>
      </c>
      <c r="D2" s="2" t="s">
        <v>39</v>
      </c>
      <c r="E2" s="15" t="s">
        <v>4</v>
      </c>
      <c r="F2" s="15" t="str">
        <f>AA2</f>
        <v xml:space="preserve">+3-day </v>
      </c>
      <c r="G2" s="2" t="s">
        <v>13</v>
      </c>
      <c r="H2" s="2" t="s">
        <v>14</v>
      </c>
      <c r="I2" s="1" t="s">
        <v>15</v>
      </c>
      <c r="K2" s="242" t="str">
        <f>AJ2</f>
        <v>RD</v>
      </c>
      <c r="L2" s="242">
        <v>85220</v>
      </c>
      <c r="N2" s="259">
        <f>N1+O1</f>
        <v>1.1220848117047539</v>
      </c>
      <c r="O2" s="259"/>
      <c r="Q2" s="2" t="s">
        <v>10</v>
      </c>
      <c r="R2" s="2" t="s">
        <v>16</v>
      </c>
      <c r="S2" s="2" t="s">
        <v>17</v>
      </c>
      <c r="T2" s="2"/>
      <c r="U2" s="2">
        <f>L2</f>
        <v>85220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2" t="s">
        <v>17</v>
      </c>
      <c r="AD2" s="2">
        <f>L2</f>
        <v>85220</v>
      </c>
      <c r="AF2" s="3" t="s">
        <v>19</v>
      </c>
      <c r="AG2" s="3" t="s">
        <v>20</v>
      </c>
      <c r="AJ2" s="2" t="s">
        <v>17</v>
      </c>
      <c r="AK2" s="2">
        <f>L2</f>
        <v>85220</v>
      </c>
      <c r="AM2" s="3" t="s">
        <v>19</v>
      </c>
      <c r="AN2" s="3" t="s">
        <v>20</v>
      </c>
      <c r="AO2" s="14"/>
      <c r="AP2" s="38" t="s">
        <v>23</v>
      </c>
    </row>
    <row r="3" spans="1:47" ht="15.75" customHeight="1" x14ac:dyDescent="0.3">
      <c r="A3" s="30">
        <v>1</v>
      </c>
      <c r="B3" s="30">
        <v>7</v>
      </c>
      <c r="C3" s="31">
        <v>45972</v>
      </c>
      <c r="D3" s="36">
        <v>17.28</v>
      </c>
      <c r="E3" s="37">
        <v>17.850000000000001</v>
      </c>
      <c r="F3" s="37">
        <v>19.829999999999998</v>
      </c>
      <c r="G3" s="33" t="str">
        <f t="shared" ref="G3:G15" si="0">IF(E3&gt;D3,"R","P")</f>
        <v>R</v>
      </c>
      <c r="H3" s="33" t="str">
        <f t="shared" ref="H3:H15" si="1">IF((D3&lt;E3)*(D3&lt;F3)+(D3&gt;E3)*(D3&gt;F3),"+","-")</f>
        <v>+</v>
      </c>
      <c r="I3" s="83">
        <f t="shared" ref="I3:I15" si="2">ABS((K3+L3)/2-F3)</f>
        <v>0.3099999892157399</v>
      </c>
      <c r="K3" s="254">
        <f>IF(H3=1,(Y3*AF3+Z3*AG3+AC3),(Y3*AF3+Z3*AG3+AC3))</f>
        <v>19.999999989215738</v>
      </c>
      <c r="L3" s="254">
        <f>K3+AD3</f>
        <v>20.279999989215739</v>
      </c>
      <c r="N3" s="35">
        <f t="shared" ref="N3:N15" si="3">ABS(F3-K3)</f>
        <v>0.16999998921573933</v>
      </c>
      <c r="O3" s="35">
        <f t="shared" ref="O3:O15" si="4">ABS(F3-L3)</f>
        <v>0.44999998921574047</v>
      </c>
      <c r="Q3" s="30">
        <v>7</v>
      </c>
      <c r="R3" s="36">
        <v>17.28</v>
      </c>
      <c r="S3" s="37">
        <v>17.720331788745401</v>
      </c>
      <c r="T3" s="37"/>
      <c r="U3" s="37">
        <v>18.0503317887454</v>
      </c>
      <c r="V3" s="36">
        <v>85520</v>
      </c>
      <c r="W3" s="36">
        <v>17.43</v>
      </c>
      <c r="X3" s="36"/>
      <c r="Y3" s="36">
        <v>17.84751697994</v>
      </c>
      <c r="Z3" s="36">
        <v>16.670331788745401</v>
      </c>
      <c r="AA3" s="21">
        <v>19.829999999999998</v>
      </c>
      <c r="AC3" s="33">
        <v>0.38</v>
      </c>
      <c r="AD3" s="33">
        <v>0.28000000000000003</v>
      </c>
      <c r="AE3" s="5"/>
      <c r="AF3" s="32">
        <v>2.5056959793021498</v>
      </c>
      <c r="AG3" s="32">
        <f>1-AF3</f>
        <v>-1.5056959793021498</v>
      </c>
      <c r="AH3" s="33" t="str">
        <f t="shared" ref="AH3:AH15" si="5">G3</f>
        <v>R</v>
      </c>
      <c r="AI3" s="33" t="str">
        <f t="shared" ref="AI3:AI15" si="6">H3</f>
        <v>+</v>
      </c>
      <c r="AJ3" s="16"/>
      <c r="AK3" s="16"/>
      <c r="AM3" s="20"/>
      <c r="AN3" s="20"/>
      <c r="AP3" s="38" t="s">
        <v>24</v>
      </c>
    </row>
    <row r="4" spans="1:47" ht="15.75" customHeight="1" x14ac:dyDescent="0.3">
      <c r="A4" s="45">
        <f t="shared" ref="A4:B8" si="7">A3+1</f>
        <v>2</v>
      </c>
      <c r="B4" s="45">
        <f t="shared" si="7"/>
        <v>8</v>
      </c>
      <c r="C4" s="46">
        <f>C3+7</f>
        <v>45979</v>
      </c>
      <c r="D4" s="53">
        <v>24.69</v>
      </c>
      <c r="E4" s="54">
        <v>24.79</v>
      </c>
      <c r="F4" s="54">
        <v>23.43</v>
      </c>
      <c r="G4" s="48" t="str">
        <f t="shared" si="0"/>
        <v>R</v>
      </c>
      <c r="H4" s="48" t="str">
        <f t="shared" si="1"/>
        <v>-</v>
      </c>
      <c r="I4" s="81">
        <f t="shared" si="2"/>
        <v>0.25707547169810141</v>
      </c>
      <c r="K4" s="255">
        <f>IF(H4=1,(Y4*AF4+Z4*AG4+AC4),(Y4*AF4+Z4*AG4+AC4))</f>
        <v>23.357924528301897</v>
      </c>
      <c r="L4" s="255">
        <f>K4+AD4</f>
        <v>22.987924528301896</v>
      </c>
      <c r="N4" s="49">
        <f t="shared" si="3"/>
        <v>7.2075471698102689E-2</v>
      </c>
      <c r="O4" s="49">
        <f t="shared" si="4"/>
        <v>0.44207547169810368</v>
      </c>
      <c r="Q4" s="45">
        <f>Q3+1</f>
        <v>8</v>
      </c>
      <c r="R4" s="53">
        <v>24.69</v>
      </c>
      <c r="S4" s="54">
        <v>25.347924528301899</v>
      </c>
      <c r="T4" s="54"/>
      <c r="U4" s="54">
        <v>25.672924528301898</v>
      </c>
      <c r="V4" s="53"/>
      <c r="W4" s="53">
        <v>19.829999999999998</v>
      </c>
      <c r="X4" s="53"/>
      <c r="Y4" s="53">
        <v>24.791169900879499</v>
      </c>
      <c r="Z4" s="53">
        <v>24.297924528301898</v>
      </c>
      <c r="AA4" s="21">
        <v>23.43</v>
      </c>
      <c r="AC4" s="48">
        <v>-0.94</v>
      </c>
      <c r="AD4" s="48">
        <v>-0.37</v>
      </c>
      <c r="AE4" s="5"/>
      <c r="AF4" s="47">
        <v>0</v>
      </c>
      <c r="AG4" s="47">
        <f>1-AF4</f>
        <v>1</v>
      </c>
      <c r="AH4" s="48" t="str">
        <f t="shared" si="5"/>
        <v>R</v>
      </c>
      <c r="AI4" s="48" t="str">
        <f t="shared" si="6"/>
        <v>-</v>
      </c>
      <c r="AJ4" s="16"/>
      <c r="AK4" s="16"/>
      <c r="AM4" s="20"/>
      <c r="AN4" s="20"/>
    </row>
    <row r="5" spans="1:47" ht="15.75" customHeight="1" x14ac:dyDescent="0.3">
      <c r="A5" s="22">
        <f t="shared" si="7"/>
        <v>3</v>
      </c>
      <c r="B5" s="22">
        <f t="shared" si="7"/>
        <v>9</v>
      </c>
      <c r="C5" s="23">
        <f>C4+7</f>
        <v>45986</v>
      </c>
      <c r="D5" s="28">
        <v>18.559999999999999</v>
      </c>
      <c r="E5" s="29">
        <v>18.52</v>
      </c>
      <c r="F5" s="29">
        <v>16.350000000000001</v>
      </c>
      <c r="G5" s="25" t="str">
        <f t="shared" si="0"/>
        <v>P</v>
      </c>
      <c r="H5" s="25" t="str">
        <f t="shared" si="1"/>
        <v>+</v>
      </c>
      <c r="I5" s="93">
        <f t="shared" si="2"/>
        <v>0.3514386770548974</v>
      </c>
      <c r="K5" s="256">
        <f>IF(H5=1,(Y5*AM5+Z5*AN5+AJ5),(Y5*AM5+Z5*AN5+AJ5))</f>
        <v>16.541438677054899</v>
      </c>
      <c r="L5" s="256">
        <f>K5+AK5</f>
        <v>16.861438677054899</v>
      </c>
      <c r="N5" s="27">
        <f t="shared" si="3"/>
        <v>0.19143867705489725</v>
      </c>
      <c r="O5" s="27">
        <f t="shared" si="4"/>
        <v>0.51143867705489754</v>
      </c>
      <c r="Q5" s="22">
        <f>Q4+1</f>
        <v>9</v>
      </c>
      <c r="R5" s="28">
        <v>18.59</v>
      </c>
      <c r="S5" s="29">
        <v>17.681438677054899</v>
      </c>
      <c r="T5" s="29"/>
      <c r="U5" s="29">
        <v>17.431438677054899</v>
      </c>
      <c r="V5" s="28">
        <v>85520</v>
      </c>
      <c r="W5" s="28">
        <v>18.7</v>
      </c>
      <c r="X5" s="28"/>
      <c r="Y5" s="28">
        <v>18.5221232244973</v>
      </c>
      <c r="Z5" s="28">
        <v>18.806438677054899</v>
      </c>
      <c r="AA5" s="21">
        <v>16.350000000000001</v>
      </c>
      <c r="AC5" s="16"/>
      <c r="AD5" s="16"/>
      <c r="AF5" s="20"/>
      <c r="AG5" s="20"/>
      <c r="AH5" s="25" t="str">
        <f t="shared" si="5"/>
        <v>P</v>
      </c>
      <c r="AI5" s="25" t="str">
        <f t="shared" si="6"/>
        <v>+</v>
      </c>
      <c r="AJ5" s="25">
        <v>-2.2650000000000001</v>
      </c>
      <c r="AK5" s="25">
        <v>0.32</v>
      </c>
      <c r="AL5" s="5"/>
      <c r="AM5" s="24">
        <v>0</v>
      </c>
      <c r="AN5" s="24">
        <f>1-AM5</f>
        <v>1</v>
      </c>
    </row>
    <row r="6" spans="1:47" ht="15.75" customHeight="1" x14ac:dyDescent="0.3">
      <c r="A6" s="45">
        <f t="shared" si="7"/>
        <v>4</v>
      </c>
      <c r="B6" s="45">
        <f t="shared" si="7"/>
        <v>10</v>
      </c>
      <c r="C6" s="46">
        <f>C5+7</f>
        <v>45993</v>
      </c>
      <c r="D6" s="53">
        <v>16.59</v>
      </c>
      <c r="E6" s="54">
        <v>16.64</v>
      </c>
      <c r="F6" s="54">
        <v>15.41</v>
      </c>
      <c r="G6" s="48" t="str">
        <f t="shared" si="0"/>
        <v>R</v>
      </c>
      <c r="H6" s="48" t="str">
        <f t="shared" si="1"/>
        <v>-</v>
      </c>
      <c r="I6" s="81">
        <f t="shared" si="2"/>
        <v>0.22821036219869839</v>
      </c>
      <c r="K6" s="255">
        <f>IF(H6=1,(Y6*AF6+Z6*AG6+AC6),(Y6*AF6+Z6*AG6+AC6))</f>
        <v>15.823210362198699</v>
      </c>
      <c r="L6" s="255">
        <f>K6+AD6</f>
        <v>15.4532103621987</v>
      </c>
      <c r="N6" s="49">
        <f t="shared" si="3"/>
        <v>0.41321036219869889</v>
      </c>
      <c r="O6" s="49">
        <f t="shared" si="4"/>
        <v>4.321036219869967E-2</v>
      </c>
      <c r="Q6" s="45">
        <f>Q5+1</f>
        <v>10</v>
      </c>
      <c r="R6" s="53">
        <v>16.59</v>
      </c>
      <c r="S6" s="54">
        <v>15.7132103621987</v>
      </c>
      <c r="T6" s="54"/>
      <c r="U6" s="54">
        <v>15.483210362198699</v>
      </c>
      <c r="V6" s="53">
        <v>85520</v>
      </c>
      <c r="W6" s="53">
        <v>16.739999999999998</v>
      </c>
      <c r="X6" s="53"/>
      <c r="Y6" s="53">
        <v>16.635468543774799</v>
      </c>
      <c r="Z6" s="53">
        <v>16.763210362198699</v>
      </c>
      <c r="AA6" s="21">
        <v>15.41</v>
      </c>
      <c r="AC6" s="45">
        <f>AC4</f>
        <v>-0.94</v>
      </c>
      <c r="AD6" s="45">
        <f>AD4</f>
        <v>-0.37</v>
      </c>
      <c r="AF6" s="49">
        <f>AF4</f>
        <v>0</v>
      </c>
      <c r="AG6" s="49">
        <f>AG4</f>
        <v>1</v>
      </c>
      <c r="AH6" s="48" t="str">
        <f t="shared" si="5"/>
        <v>R</v>
      </c>
      <c r="AI6" s="48" t="str">
        <f t="shared" si="6"/>
        <v>-</v>
      </c>
      <c r="AJ6" s="16"/>
      <c r="AK6" s="16"/>
      <c r="AM6" s="20"/>
      <c r="AN6" s="20"/>
      <c r="AP6" s="38" t="s">
        <v>25</v>
      </c>
    </row>
    <row r="7" spans="1:47" ht="15.75" customHeight="1" x14ac:dyDescent="0.3">
      <c r="A7" s="22">
        <f t="shared" si="7"/>
        <v>5</v>
      </c>
      <c r="B7" s="22">
        <f t="shared" si="7"/>
        <v>11</v>
      </c>
      <c r="C7" s="23">
        <f>C6+7</f>
        <v>46000</v>
      </c>
      <c r="D7" s="28">
        <v>19.93</v>
      </c>
      <c r="E7" s="29">
        <v>16.850000000000001</v>
      </c>
      <c r="F7" s="29">
        <v>15.74</v>
      </c>
      <c r="G7" s="25" t="str">
        <f t="shared" si="0"/>
        <v>P</v>
      </c>
      <c r="H7" s="25" t="str">
        <f t="shared" si="1"/>
        <v>+</v>
      </c>
      <c r="I7" s="93">
        <f t="shared" si="2"/>
        <v>1.0956381571116989</v>
      </c>
      <c r="K7" s="256">
        <f>IF(H7=1,(Y7*AM7+Z7*AN7+AJ7),(Y7*AM7+Z7*AN7+AJ7))</f>
        <v>14.484361842888301</v>
      </c>
      <c r="L7" s="256">
        <f>K7+AK7</f>
        <v>14.804361842888301</v>
      </c>
      <c r="N7" s="27">
        <f t="shared" si="3"/>
        <v>1.255638157111699</v>
      </c>
      <c r="O7" s="27">
        <f t="shared" si="4"/>
        <v>0.93563815711169873</v>
      </c>
      <c r="Q7" s="22">
        <f>Q6+1</f>
        <v>11</v>
      </c>
      <c r="R7" s="28">
        <v>16.940000000000001</v>
      </c>
      <c r="S7" s="29">
        <v>17.976145662847799</v>
      </c>
      <c r="T7" s="29"/>
      <c r="U7" s="29">
        <v>18.226145662847799</v>
      </c>
      <c r="V7" s="28"/>
      <c r="W7" s="28">
        <v>16.38</v>
      </c>
      <c r="X7" s="28"/>
      <c r="Y7" s="28">
        <v>16.851145662847799</v>
      </c>
      <c r="Z7" s="28">
        <v>16.749361842888302</v>
      </c>
      <c r="AA7" s="21">
        <v>15.74</v>
      </c>
      <c r="AC7" s="16"/>
      <c r="AD7" s="16"/>
      <c r="AF7" s="20"/>
      <c r="AG7" s="20"/>
      <c r="AH7" s="25" t="str">
        <f t="shared" si="5"/>
        <v>P</v>
      </c>
      <c r="AI7" s="25" t="str">
        <f t="shared" si="6"/>
        <v>+</v>
      </c>
      <c r="AJ7" s="22">
        <f>AJ5</f>
        <v>-2.2650000000000001</v>
      </c>
      <c r="AK7" s="22">
        <f>AK5</f>
        <v>0.32</v>
      </c>
      <c r="AM7" s="27">
        <f>AM5</f>
        <v>0</v>
      </c>
      <c r="AN7" s="27">
        <f>AN5</f>
        <v>1</v>
      </c>
      <c r="AP7" s="39" t="s">
        <v>26</v>
      </c>
      <c r="AQ7" s="39" t="s">
        <v>27</v>
      </c>
      <c r="AR7" s="40">
        <v>1.25</v>
      </c>
      <c r="AS7" s="40">
        <v>0.42</v>
      </c>
      <c r="AT7" s="40">
        <v>1</v>
      </c>
      <c r="AU7" s="40">
        <v>0</v>
      </c>
    </row>
    <row r="8" spans="1:47" ht="15.75" customHeight="1" x14ac:dyDescent="0.3">
      <c r="A8" s="22">
        <f t="shared" si="7"/>
        <v>6</v>
      </c>
      <c r="B8" s="22">
        <f t="shared" si="7"/>
        <v>12</v>
      </c>
      <c r="C8" s="23">
        <f>C7+7</f>
        <v>46007</v>
      </c>
      <c r="D8" s="28">
        <v>16.48</v>
      </c>
      <c r="E8" s="29">
        <v>16.45</v>
      </c>
      <c r="F8" s="29">
        <v>14.91</v>
      </c>
      <c r="G8" s="25" t="str">
        <f t="shared" si="0"/>
        <v>P</v>
      </c>
      <c r="H8" s="25" t="str">
        <f t="shared" si="1"/>
        <v>+</v>
      </c>
      <c r="I8" s="93">
        <f t="shared" si="2"/>
        <v>1.1741695459667998</v>
      </c>
      <c r="K8" s="256">
        <f>IF(H8=1,(Y8*AM8+Z8*AN8+AJ8),(Y8*AM8+Z8*AN8+AJ8))</f>
        <v>13.5758304540332</v>
      </c>
      <c r="L8" s="256">
        <f>K8+AK8</f>
        <v>13.8958304540332</v>
      </c>
      <c r="N8" s="27">
        <f t="shared" si="3"/>
        <v>1.3341695459667999</v>
      </c>
      <c r="O8" s="27">
        <f t="shared" si="4"/>
        <v>1.0141695459667996</v>
      </c>
      <c r="Q8" s="22">
        <f>Q7+1</f>
        <v>12</v>
      </c>
      <c r="R8" s="28">
        <v>16.46</v>
      </c>
      <c r="S8" s="29">
        <v>17.681330027051398</v>
      </c>
      <c r="T8" s="29"/>
      <c r="U8" s="29">
        <v>17.931330027051398</v>
      </c>
      <c r="V8" s="28"/>
      <c r="W8" s="28">
        <v>15.96</v>
      </c>
      <c r="X8" s="28"/>
      <c r="Y8" s="28">
        <v>16.556330027051398</v>
      </c>
      <c r="Z8" s="28">
        <v>15.840830454033201</v>
      </c>
      <c r="AA8" s="21">
        <v>14.91</v>
      </c>
      <c r="AC8" s="16"/>
      <c r="AD8" s="16"/>
      <c r="AF8" s="20"/>
      <c r="AG8" s="20"/>
      <c r="AH8" s="25" t="str">
        <f t="shared" si="5"/>
        <v>P</v>
      </c>
      <c r="AI8" s="25" t="str">
        <f t="shared" si="6"/>
        <v>+</v>
      </c>
      <c r="AJ8" s="22">
        <f>AJ7</f>
        <v>-2.2650000000000001</v>
      </c>
      <c r="AK8" s="22">
        <f>AK7</f>
        <v>0.32</v>
      </c>
      <c r="AM8" s="27">
        <f>AM7</f>
        <v>0</v>
      </c>
      <c r="AN8" s="27">
        <f>AN7</f>
        <v>1</v>
      </c>
      <c r="AP8" s="41" t="s">
        <v>26</v>
      </c>
      <c r="AQ8" s="41" t="s">
        <v>28</v>
      </c>
      <c r="AR8" s="42">
        <v>-0.74</v>
      </c>
      <c r="AS8" s="42">
        <v>-0.37</v>
      </c>
      <c r="AT8" s="42">
        <v>0.77500000000000002</v>
      </c>
      <c r="AU8" s="42">
        <v>0.22500000000000001</v>
      </c>
    </row>
    <row r="9" spans="1:47" ht="15.75" customHeight="1" x14ac:dyDescent="0.3">
      <c r="A9" s="45">
        <f t="shared" ref="A9:A15" si="8">A8+1</f>
        <v>7</v>
      </c>
      <c r="B9" s="45">
        <v>1</v>
      </c>
      <c r="C9" s="46">
        <v>46035</v>
      </c>
      <c r="D9" s="53">
        <v>15.98</v>
      </c>
      <c r="E9" s="54">
        <v>16.45</v>
      </c>
      <c r="F9" s="54">
        <v>15.86</v>
      </c>
      <c r="G9" s="48" t="str">
        <f t="shared" si="0"/>
        <v>R</v>
      </c>
      <c r="H9" s="48" t="str">
        <f t="shared" si="1"/>
        <v>-</v>
      </c>
      <c r="I9" s="81">
        <f t="shared" si="2"/>
        <v>0.51076463772070113</v>
      </c>
      <c r="K9" s="255">
        <f>IF(H9=1,(Y9*AF9+Z9*AG9+AC9),(Y9*AF9+Z9*AG9+AC9))</f>
        <v>15.534235362279299</v>
      </c>
      <c r="L9" s="255">
        <f>K9+AD9</f>
        <v>15.1642353622793</v>
      </c>
      <c r="N9" s="49">
        <f t="shared" si="3"/>
        <v>0.32576463772070063</v>
      </c>
      <c r="O9" s="49">
        <f t="shared" si="4"/>
        <v>0.69576463772069985</v>
      </c>
      <c r="Q9" s="45">
        <v>1</v>
      </c>
      <c r="R9" s="53">
        <v>16.04</v>
      </c>
      <c r="S9" s="54">
        <v>17.574972948602301</v>
      </c>
      <c r="T9" s="54"/>
      <c r="U9" s="54">
        <v>17.824972948602301</v>
      </c>
      <c r="V9" s="53"/>
      <c r="W9" s="53">
        <v>16.559999999999999</v>
      </c>
      <c r="X9" s="53"/>
      <c r="Y9" s="53">
        <v>16.449972948602301</v>
      </c>
      <c r="Z9" s="53">
        <v>16.474235362279298</v>
      </c>
      <c r="AA9" s="21">
        <v>15.86</v>
      </c>
      <c r="AC9" s="45">
        <f>AC6</f>
        <v>-0.94</v>
      </c>
      <c r="AD9" s="45">
        <f>AD6</f>
        <v>-0.37</v>
      </c>
      <c r="AF9" s="49">
        <f>AF6</f>
        <v>0</v>
      </c>
      <c r="AG9" s="49">
        <f>AG6</f>
        <v>1</v>
      </c>
      <c r="AH9" s="48" t="str">
        <f t="shared" si="5"/>
        <v>R</v>
      </c>
      <c r="AI9" s="48" t="str">
        <f t="shared" si="6"/>
        <v>-</v>
      </c>
      <c r="AJ9" s="16"/>
      <c r="AK9" s="16"/>
      <c r="AM9" s="20"/>
      <c r="AN9" s="20"/>
      <c r="AP9" s="43" t="s">
        <v>4</v>
      </c>
      <c r="AQ9" s="43" t="s">
        <v>27</v>
      </c>
      <c r="AR9" s="44">
        <v>-1.855</v>
      </c>
      <c r="AS9" s="44">
        <v>0.32</v>
      </c>
      <c r="AT9" s="44">
        <v>0</v>
      </c>
      <c r="AU9" s="44">
        <v>1</v>
      </c>
    </row>
    <row r="10" spans="1:47" ht="15.75" customHeight="1" x14ac:dyDescent="0.3">
      <c r="A10" s="22">
        <f t="shared" si="8"/>
        <v>8</v>
      </c>
      <c r="B10" s="22">
        <f t="shared" ref="B10:B15" si="9">B9+1</f>
        <v>2</v>
      </c>
      <c r="C10" s="23">
        <f t="shared" ref="C10:C15" si="10">C9+7</f>
        <v>46042</v>
      </c>
      <c r="D10" s="28">
        <v>20.85</v>
      </c>
      <c r="E10" s="29">
        <v>19.579999999999998</v>
      </c>
      <c r="F10" s="29">
        <v>16.09</v>
      </c>
      <c r="G10" s="25" t="str">
        <f t="shared" si="0"/>
        <v>P</v>
      </c>
      <c r="H10" s="25" t="str">
        <f t="shared" si="1"/>
        <v>+</v>
      </c>
      <c r="I10" s="93">
        <f t="shared" si="2"/>
        <v>2.1703228653720998</v>
      </c>
      <c r="K10" s="256">
        <f>IF(H10=1,(Y10*AM10+Z10*AN10+AJ10),(Y10*AM10+Z10*AN10+AJ10))</f>
        <v>18.1003228653721</v>
      </c>
      <c r="L10" s="256">
        <f>K10+AK10</f>
        <v>18.4203228653721</v>
      </c>
      <c r="N10" s="27">
        <f t="shared" si="3"/>
        <v>2.0103228653720997</v>
      </c>
      <c r="O10" s="27">
        <f t="shared" si="4"/>
        <v>2.3303228653721</v>
      </c>
      <c r="Q10" s="22">
        <f t="shared" ref="Q10:Q15" si="11">Q9+1</f>
        <v>2</v>
      </c>
      <c r="R10" s="28">
        <v>20.85</v>
      </c>
      <c r="S10" s="29">
        <v>19</v>
      </c>
      <c r="T10" s="29"/>
      <c r="U10" s="29">
        <v>18.77</v>
      </c>
      <c r="V10" s="28">
        <v>85520</v>
      </c>
      <c r="W10" s="28">
        <v>18.739999999999998</v>
      </c>
      <c r="X10" s="28"/>
      <c r="Y10" s="28">
        <v>20.411216931216899</v>
      </c>
      <c r="Z10" s="28">
        <v>20.3653228653721</v>
      </c>
      <c r="AA10" s="21">
        <v>16.09</v>
      </c>
      <c r="AC10" s="16"/>
      <c r="AD10" s="16"/>
      <c r="AF10" s="20"/>
      <c r="AG10" s="20"/>
      <c r="AH10" s="25" t="str">
        <f t="shared" si="5"/>
        <v>P</v>
      </c>
      <c r="AI10" s="25" t="str">
        <f t="shared" si="6"/>
        <v>+</v>
      </c>
      <c r="AJ10" s="22">
        <f>AJ8</f>
        <v>-2.2650000000000001</v>
      </c>
      <c r="AK10" s="22">
        <f>AK8</f>
        <v>0.32</v>
      </c>
      <c r="AM10" s="27">
        <f>AM8</f>
        <v>0</v>
      </c>
      <c r="AN10" s="27">
        <f>AN8</f>
        <v>1</v>
      </c>
      <c r="AP10" s="2" t="s">
        <v>4</v>
      </c>
      <c r="AQ10" s="2" t="s">
        <v>28</v>
      </c>
      <c r="AR10" s="16">
        <v>-0.75</v>
      </c>
      <c r="AS10" s="16">
        <v>-0.23</v>
      </c>
      <c r="AT10" s="16">
        <v>0</v>
      </c>
      <c r="AU10" s="16">
        <v>1</v>
      </c>
    </row>
    <row r="11" spans="1:47" ht="15.75" customHeight="1" x14ac:dyDescent="0.3">
      <c r="A11" s="30">
        <f t="shared" si="8"/>
        <v>9</v>
      </c>
      <c r="B11" s="30">
        <f t="shared" si="9"/>
        <v>3</v>
      </c>
      <c r="C11" s="31">
        <f t="shared" si="10"/>
        <v>46049</v>
      </c>
      <c r="D11" s="36">
        <f>R11</f>
        <v>16.350000000000001</v>
      </c>
      <c r="E11" s="37">
        <f>Y11</f>
        <v>16.5020547945205</v>
      </c>
      <c r="F11" s="37">
        <v>17.440000000000001</v>
      </c>
      <c r="G11" s="33" t="str">
        <f t="shared" si="0"/>
        <v>R</v>
      </c>
      <c r="H11" s="33" t="str">
        <f t="shared" si="1"/>
        <v>+</v>
      </c>
      <c r="I11" s="83">
        <f t="shared" si="2"/>
        <v>0.31135870509132246</v>
      </c>
      <c r="K11" s="254">
        <f>IF(H11=1,(Y11*AF11+Z11*AG11+AC11),(Y11*AF11+Z11*AG11+AC11))</f>
        <v>16.988641294908678</v>
      </c>
      <c r="L11" s="254">
        <f>K11+AD11</f>
        <v>17.268641294908679</v>
      </c>
      <c r="N11" s="35">
        <f t="shared" si="3"/>
        <v>0.45135870509132303</v>
      </c>
      <c r="O11" s="35">
        <f t="shared" si="4"/>
        <v>0.17135870509132189</v>
      </c>
      <c r="Q11" s="30">
        <f t="shared" si="11"/>
        <v>3</v>
      </c>
      <c r="R11" s="36">
        <v>16.350000000000001</v>
      </c>
      <c r="S11" s="37">
        <v>15.61</v>
      </c>
      <c r="T11" s="37" t="s">
        <v>19</v>
      </c>
      <c r="U11" s="37">
        <v>15.91</v>
      </c>
      <c r="V11" s="36" t="s">
        <v>19</v>
      </c>
      <c r="W11" s="36">
        <v>16.52</v>
      </c>
      <c r="X11" s="36" t="s">
        <v>19</v>
      </c>
      <c r="Y11" s="36">
        <v>16.5020547945205</v>
      </c>
      <c r="Z11" s="36">
        <v>16.431265935512201</v>
      </c>
      <c r="AA11" s="21">
        <v>16.09</v>
      </c>
      <c r="AC11" s="30">
        <f>AC3</f>
        <v>0.38</v>
      </c>
      <c r="AD11" s="30">
        <f>AD3</f>
        <v>0.28000000000000003</v>
      </c>
      <c r="AF11" s="35">
        <f>AF3</f>
        <v>2.5056959793021498</v>
      </c>
      <c r="AG11" s="35">
        <f>AG3</f>
        <v>-1.5056959793021498</v>
      </c>
      <c r="AH11" s="33" t="str">
        <f t="shared" si="5"/>
        <v>R</v>
      </c>
      <c r="AI11" s="33" t="str">
        <f t="shared" si="6"/>
        <v>+</v>
      </c>
      <c r="AJ11" s="16"/>
      <c r="AK11" s="16"/>
      <c r="AM11" s="20"/>
      <c r="AN11" s="20"/>
    </row>
    <row r="12" spans="1:47" ht="15.75" customHeight="1" x14ac:dyDescent="0.3">
      <c r="A12" s="22">
        <f t="shared" si="8"/>
        <v>10</v>
      </c>
      <c r="B12" s="22">
        <f t="shared" si="9"/>
        <v>4</v>
      </c>
      <c r="C12" s="23">
        <f t="shared" si="10"/>
        <v>46056</v>
      </c>
      <c r="D12" s="28">
        <v>17.940000000000001</v>
      </c>
      <c r="E12" s="29">
        <v>17.86</v>
      </c>
      <c r="F12" s="29">
        <v>17.78</v>
      </c>
      <c r="G12" s="25" t="str">
        <f t="shared" si="0"/>
        <v>P</v>
      </c>
      <c r="H12" s="25" t="str">
        <f t="shared" si="1"/>
        <v>+</v>
      </c>
      <c r="I12" s="93">
        <f t="shared" si="2"/>
        <v>2.1716997245034015</v>
      </c>
      <c r="K12" s="256">
        <f>IF(H12=1,(Y12*AM12+Z12*AN12+AJ12),(Y12*AM12+Z12*AN12+AJ12))</f>
        <v>15.448300275496599</v>
      </c>
      <c r="L12" s="256">
        <f>K12+AK12</f>
        <v>15.7683002754966</v>
      </c>
      <c r="N12" s="27">
        <f t="shared" si="3"/>
        <v>2.3316997245034017</v>
      </c>
      <c r="O12" s="27">
        <f t="shared" si="4"/>
        <v>2.0116997245034014</v>
      </c>
      <c r="Q12" s="22">
        <f t="shared" si="11"/>
        <v>4</v>
      </c>
      <c r="R12" s="28">
        <v>17.940000000000001</v>
      </c>
      <c r="S12" s="29">
        <v>16.420000000000002</v>
      </c>
      <c r="T12" s="29" t="s">
        <v>19</v>
      </c>
      <c r="U12" s="29">
        <v>16.666969413974201</v>
      </c>
      <c r="V12" s="28" t="s">
        <v>19</v>
      </c>
      <c r="W12" s="28">
        <v>18.239999999999998</v>
      </c>
      <c r="X12" s="28" t="s">
        <v>19</v>
      </c>
      <c r="Y12" s="28">
        <v>17.864074536376599</v>
      </c>
      <c r="Z12" s="28">
        <v>17.7133002754966</v>
      </c>
      <c r="AA12" s="21">
        <v>16.09</v>
      </c>
      <c r="AC12" s="16"/>
      <c r="AD12" s="16"/>
      <c r="AF12" s="20"/>
      <c r="AG12" s="20"/>
      <c r="AH12" s="25" t="str">
        <f t="shared" si="5"/>
        <v>P</v>
      </c>
      <c r="AI12" s="25" t="str">
        <f t="shared" si="6"/>
        <v>+</v>
      </c>
      <c r="AJ12" s="22">
        <f>AJ10</f>
        <v>-2.2650000000000001</v>
      </c>
      <c r="AK12" s="22">
        <f>AK10</f>
        <v>0.32</v>
      </c>
      <c r="AM12" s="27">
        <f>AM10</f>
        <v>0</v>
      </c>
      <c r="AN12" s="27">
        <f>AN10</f>
        <v>1</v>
      </c>
      <c r="AQ12" s="5" t="s">
        <v>26</v>
      </c>
      <c r="AR12" s="6">
        <f>COUNTIF(G3:G14,"R")</f>
        <v>6</v>
      </c>
    </row>
    <row r="13" spans="1:47" ht="15.75" customHeight="1" x14ac:dyDescent="0.3">
      <c r="A13" s="84">
        <f t="shared" si="8"/>
        <v>11</v>
      </c>
      <c r="B13" s="84">
        <f t="shared" si="9"/>
        <v>5</v>
      </c>
      <c r="C13" s="85">
        <f t="shared" si="10"/>
        <v>46063</v>
      </c>
      <c r="D13" s="94">
        <f>R13</f>
        <v>17.79</v>
      </c>
      <c r="E13" s="95">
        <f>Y13</f>
        <v>17.728840963443801</v>
      </c>
      <c r="F13" s="95">
        <v>20.6</v>
      </c>
      <c r="G13" s="87" t="str">
        <f t="shared" si="0"/>
        <v>P</v>
      </c>
      <c r="H13" s="87" t="str">
        <f t="shared" si="1"/>
        <v>-</v>
      </c>
      <c r="I13" s="88">
        <f t="shared" si="2"/>
        <v>3.464543796596331E-3</v>
      </c>
      <c r="K13" s="257">
        <f>IF(H13=1,(Y13*AM13+Z13*AN13+AJ13),(Y13*AM13+Z13*AN13+AJ13))</f>
        <v>20.461535456203404</v>
      </c>
      <c r="L13" s="257">
        <f>K13+AK13</f>
        <v>20.731535456203403</v>
      </c>
      <c r="N13" s="96">
        <f t="shared" si="3"/>
        <v>0.13846454379659789</v>
      </c>
      <c r="O13" s="96">
        <f t="shared" si="4"/>
        <v>0.13153545620340168</v>
      </c>
      <c r="Q13" s="84">
        <f t="shared" si="11"/>
        <v>5</v>
      </c>
      <c r="R13" s="94">
        <v>17.79</v>
      </c>
      <c r="S13" s="95">
        <v>18.12</v>
      </c>
      <c r="T13" s="95" t="s">
        <v>19</v>
      </c>
      <c r="U13" s="95">
        <v>18.37</v>
      </c>
      <c r="V13" s="94" t="s">
        <v>19</v>
      </c>
      <c r="W13" s="94">
        <v>18.02</v>
      </c>
      <c r="X13" s="94" t="s">
        <v>19</v>
      </c>
      <c r="Y13" s="94">
        <v>17.728840963443801</v>
      </c>
      <c r="Z13" s="94">
        <v>17.589707118619099</v>
      </c>
      <c r="AA13" s="21">
        <v>16.09</v>
      </c>
      <c r="AC13" s="16"/>
      <c r="AD13" s="16"/>
      <c r="AF13" s="20"/>
      <c r="AG13" s="20"/>
      <c r="AH13" s="87" t="str">
        <f t="shared" si="5"/>
        <v>P</v>
      </c>
      <c r="AI13" s="87" t="str">
        <f t="shared" si="6"/>
        <v>-</v>
      </c>
      <c r="AJ13" s="87">
        <v>2.78</v>
      </c>
      <c r="AK13" s="87">
        <v>0.27</v>
      </c>
      <c r="AL13" s="5"/>
      <c r="AM13" s="91">
        <v>0.66</v>
      </c>
      <c r="AN13" s="91">
        <f>1-AM13</f>
        <v>0.33999999999999997</v>
      </c>
      <c r="AQ13" s="5" t="s">
        <v>4</v>
      </c>
      <c r="AR13" s="6">
        <f>COUNTIF(G3:G14,"P")</f>
        <v>6</v>
      </c>
    </row>
    <row r="14" spans="1:47" ht="15.75" customHeight="1" x14ac:dyDescent="0.3">
      <c r="A14" s="45">
        <f t="shared" si="8"/>
        <v>12</v>
      </c>
      <c r="B14" s="45">
        <f t="shared" si="9"/>
        <v>6</v>
      </c>
      <c r="C14" s="46">
        <f t="shared" si="10"/>
        <v>46070</v>
      </c>
      <c r="D14" s="53">
        <v>20.29</v>
      </c>
      <c r="E14" s="54">
        <v>20.85</v>
      </c>
      <c r="F14" s="54">
        <v>19.09</v>
      </c>
      <c r="G14" s="48" t="str">
        <f t="shared" si="0"/>
        <v>R</v>
      </c>
      <c r="H14" s="48" t="str">
        <f t="shared" si="1"/>
        <v>-</v>
      </c>
      <c r="I14" s="81">
        <f t="shared" si="2"/>
        <v>0.51236579038339514</v>
      </c>
      <c r="K14" s="255">
        <f>IF(H14=1,(Y14*AF14+Z14*AG14+AC14),(Y14*AF14+Z14*AG14+AC14))</f>
        <v>19.787365790383397</v>
      </c>
      <c r="L14" s="255">
        <f>K14+AD14</f>
        <v>19.417365790383396</v>
      </c>
      <c r="N14" s="49">
        <f t="shared" si="3"/>
        <v>0.69736579038339741</v>
      </c>
      <c r="O14" s="49">
        <f t="shared" si="4"/>
        <v>0.32736579038339642</v>
      </c>
      <c r="Q14" s="45">
        <f t="shared" si="11"/>
        <v>6</v>
      </c>
      <c r="R14" s="53">
        <v>20.29</v>
      </c>
      <c r="S14" s="54">
        <v>21.18</v>
      </c>
      <c r="T14" s="54" t="s">
        <v>19</v>
      </c>
      <c r="U14" s="54">
        <v>21.52</v>
      </c>
      <c r="V14" s="53" t="s">
        <v>19</v>
      </c>
      <c r="W14" s="53">
        <v>18.02</v>
      </c>
      <c r="X14" s="53" t="s">
        <v>19</v>
      </c>
      <c r="Y14" s="53">
        <v>20.8459372461413</v>
      </c>
      <c r="Z14" s="53">
        <v>20.727365790383399</v>
      </c>
      <c r="AA14" s="21">
        <v>16.09</v>
      </c>
      <c r="AC14" s="45">
        <f>AC9</f>
        <v>-0.94</v>
      </c>
      <c r="AD14" s="45">
        <f>AD9</f>
        <v>-0.37</v>
      </c>
      <c r="AF14" s="45">
        <f>AF9</f>
        <v>0</v>
      </c>
      <c r="AG14" s="45">
        <f>AG9</f>
        <v>1</v>
      </c>
      <c r="AH14" s="48" t="str">
        <f t="shared" si="5"/>
        <v>R</v>
      </c>
      <c r="AI14" s="48" t="str">
        <f t="shared" si="6"/>
        <v>-</v>
      </c>
      <c r="AJ14" s="16"/>
      <c r="AK14" s="16"/>
      <c r="AM14" s="20"/>
      <c r="AN14" s="20"/>
    </row>
    <row r="15" spans="1:47" ht="15.75" customHeight="1" x14ac:dyDescent="0.3">
      <c r="A15" s="22">
        <f t="shared" si="8"/>
        <v>13</v>
      </c>
      <c r="B15" s="22">
        <f t="shared" si="9"/>
        <v>7</v>
      </c>
      <c r="C15" s="23">
        <f t="shared" si="10"/>
        <v>46077</v>
      </c>
      <c r="D15" s="28">
        <v>19.55</v>
      </c>
      <c r="E15" s="29">
        <v>19.32</v>
      </c>
      <c r="F15" s="29">
        <v>19</v>
      </c>
      <c r="G15" s="25" t="str">
        <f t="shared" si="0"/>
        <v>P</v>
      </c>
      <c r="H15" s="25" t="str">
        <f t="shared" si="1"/>
        <v>+</v>
      </c>
      <c r="I15" s="93">
        <f t="shared" si="2"/>
        <v>2.1705418562329015</v>
      </c>
      <c r="J15" s="6" t="s">
        <v>27</v>
      </c>
      <c r="K15" s="256">
        <f>IF(H15=1,(Y15*AM15+Z15*AN15+AJ15),(Y15*AM15+Z15*AN15+AJ15))</f>
        <v>16.669458143767098</v>
      </c>
      <c r="L15" s="256">
        <f>K15+AK15</f>
        <v>16.989458143767099</v>
      </c>
      <c r="N15" s="27">
        <f t="shared" si="3"/>
        <v>2.3305418562329017</v>
      </c>
      <c r="O15" s="27">
        <f t="shared" si="4"/>
        <v>2.0105418562329014</v>
      </c>
      <c r="Q15" s="22">
        <f t="shared" si="11"/>
        <v>7</v>
      </c>
      <c r="R15" s="28">
        <v>19.55</v>
      </c>
      <c r="S15" s="29">
        <v>18.399999999999999</v>
      </c>
      <c r="T15" s="29"/>
      <c r="U15" s="29">
        <v>18.75</v>
      </c>
      <c r="V15" s="28"/>
      <c r="W15" s="28">
        <v>19.21</v>
      </c>
      <c r="X15" s="28"/>
      <c r="Y15" s="28">
        <v>19.318179061481299</v>
      </c>
      <c r="Z15" s="28">
        <v>18.934458143767099</v>
      </c>
      <c r="AA15" s="21">
        <v>16.09</v>
      </c>
      <c r="AC15" s="16"/>
      <c r="AD15" s="16"/>
      <c r="AF15" s="20"/>
      <c r="AG15" s="20"/>
      <c r="AH15" s="25" t="str">
        <f t="shared" si="5"/>
        <v>P</v>
      </c>
      <c r="AI15" s="25" t="str">
        <f t="shared" si="6"/>
        <v>+</v>
      </c>
      <c r="AJ15" s="22">
        <f>AJ12</f>
        <v>-2.2650000000000001</v>
      </c>
      <c r="AK15" s="22">
        <f>AK12</f>
        <v>0.32</v>
      </c>
      <c r="AM15" s="27">
        <f>AM12</f>
        <v>0</v>
      </c>
      <c r="AN15" s="27">
        <f>AN12</f>
        <v>1</v>
      </c>
    </row>
    <row r="18" spans="1:47" ht="15.75" customHeight="1" x14ac:dyDescent="0.3">
      <c r="A18" s="6">
        <v>4</v>
      </c>
      <c r="B18" s="6">
        <v>6</v>
      </c>
      <c r="C18" s="6">
        <v>11</v>
      </c>
      <c r="D18" s="58">
        <v>7</v>
      </c>
      <c r="E18" s="56">
        <v>7</v>
      </c>
      <c r="F18" s="56">
        <v>7</v>
      </c>
      <c r="G18" s="5">
        <v>5</v>
      </c>
      <c r="H18" s="5">
        <v>5</v>
      </c>
      <c r="I18" s="77" t="s">
        <v>29</v>
      </c>
      <c r="J18" s="6">
        <v>2</v>
      </c>
      <c r="K18" s="247">
        <v>7</v>
      </c>
      <c r="L18" s="247">
        <v>7</v>
      </c>
      <c r="M18" s="6">
        <v>2</v>
      </c>
      <c r="N18" s="11">
        <v>7</v>
      </c>
      <c r="O18" s="11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6">
        <v>2</v>
      </c>
      <c r="AF18" s="6">
        <v>7</v>
      </c>
      <c r="AG18" s="6">
        <v>7</v>
      </c>
      <c r="AI18" s="5">
        <v>2</v>
      </c>
      <c r="AJ18" s="6">
        <v>7</v>
      </c>
      <c r="AK18" s="6">
        <v>7</v>
      </c>
      <c r="AL18" s="6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21"/>
  <sheetViews>
    <sheetView zoomScale="105" zoomScaleNormal="105" workbookViewId="0">
      <selection activeCell="AC18" sqref="AC18:AD18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4" width="7.77734375" style="55" customWidth="1"/>
    <col min="5" max="6" width="7.77734375" style="56" customWidth="1"/>
    <col min="7" max="8" width="5.77734375" style="5" customWidth="1"/>
    <col min="9" max="9" width="7.77734375" style="58" customWidth="1"/>
    <col min="10" max="10" width="2.77734375" style="6" customWidth="1"/>
    <col min="11" max="12" width="7.77734375" style="247" customWidth="1"/>
    <col min="13" max="13" width="2.77734375" style="6" customWidth="1"/>
    <col min="14" max="15" width="7.77734375" style="58" hidden="1" customWidth="1"/>
    <col min="16" max="16" width="2.77734375" style="6" hidden="1" customWidth="1"/>
    <col min="17" max="17" width="4.77734375" style="6" customWidth="1"/>
    <col min="18" max="18" width="7.77734375" style="6" customWidth="1"/>
    <col min="19" max="19" width="7.77734375" style="5" customWidth="1"/>
    <col min="20" max="20" width="7.77734375" style="5" hidden="1" customWidth="1"/>
    <col min="21" max="21" width="7.77734375" style="5" customWidth="1"/>
    <col min="22" max="22" width="7.77734375" style="6" hidden="1" customWidth="1"/>
    <col min="23" max="23" width="7.77734375" style="6" customWidth="1"/>
    <col min="24" max="24" width="7.77734375" style="6" hidden="1" customWidth="1"/>
    <col min="25" max="26" width="7.77734375" style="6" customWidth="1"/>
    <col min="27" max="27" width="7.77734375" style="6" hidden="1" customWidth="1"/>
    <col min="28" max="28" width="2.77734375" style="6" customWidth="1"/>
    <col min="29" max="30" width="7.77734375" style="6" customWidth="1"/>
    <col min="31" max="31" width="2.77734375" style="6" customWidth="1"/>
    <col min="32" max="33" width="7.77734375" style="11" customWidth="1"/>
    <col min="34" max="35" width="2.77734375" style="5" customWidth="1"/>
    <col min="36" max="37" width="7.77734375" style="6" customWidth="1"/>
    <col min="38" max="38" width="2.77734375" style="6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55" width="8.77734375" style="6"/>
    <col min="56" max="82" width="8.77734375" style="97"/>
    <col min="83" max="16384" width="8.77734375" style="6"/>
  </cols>
  <sheetData>
    <row r="1" spans="1:47" s="5" customFormat="1" ht="15.75" customHeight="1" x14ac:dyDescent="0.3">
      <c r="A1" s="260" t="s">
        <v>40</v>
      </c>
      <c r="B1" s="260"/>
      <c r="C1" s="13"/>
      <c r="D1" s="55"/>
      <c r="E1" s="56"/>
      <c r="F1" s="56"/>
      <c r="I1" s="55">
        <f>AVERAGE(I3:I14)</f>
        <v>3.5650144574736089</v>
      </c>
      <c r="K1" s="267" t="s">
        <v>1</v>
      </c>
      <c r="L1" s="267"/>
      <c r="N1" s="1">
        <f>AVERAGE(N3:N9)</f>
        <v>4.0765043893568746</v>
      </c>
      <c r="O1" s="1">
        <f>AVERAGE(O3:O9)</f>
        <v>4.1780904304271838</v>
      </c>
      <c r="R1" s="5" t="s">
        <v>2</v>
      </c>
      <c r="S1" s="262" t="s">
        <v>3</v>
      </c>
      <c r="T1" s="262"/>
      <c r="U1" s="262"/>
      <c r="Y1" s="5" t="s">
        <v>4</v>
      </c>
      <c r="AC1" s="263" t="s">
        <v>5</v>
      </c>
      <c r="AD1" s="263"/>
      <c r="AF1" s="259" t="s">
        <v>6</v>
      </c>
      <c r="AG1" s="259"/>
      <c r="AJ1" s="263" t="s">
        <v>7</v>
      </c>
      <c r="AK1" s="263"/>
      <c r="AM1" s="259" t="s">
        <v>8</v>
      </c>
      <c r="AN1" s="259"/>
      <c r="AO1" s="14"/>
      <c r="AP1" s="14" t="s">
        <v>9</v>
      </c>
    </row>
    <row r="2" spans="1:47" s="5" customFormat="1" ht="15.75" customHeight="1" x14ac:dyDescent="0.3">
      <c r="A2" s="2" t="s">
        <v>10</v>
      </c>
      <c r="B2" s="2" t="s">
        <v>11</v>
      </c>
      <c r="C2" s="2" t="s">
        <v>12</v>
      </c>
      <c r="D2" s="1" t="s">
        <v>2</v>
      </c>
      <c r="E2" s="98" t="s">
        <v>4</v>
      </c>
      <c r="F2" s="98" t="str">
        <f>AA2</f>
        <v xml:space="preserve">+3-day </v>
      </c>
      <c r="G2" s="2" t="s">
        <v>13</v>
      </c>
      <c r="H2" s="2" t="s">
        <v>14</v>
      </c>
      <c r="I2" s="1" t="s">
        <v>15</v>
      </c>
      <c r="K2" s="258" t="str">
        <f>AJ2</f>
        <v>RD</v>
      </c>
      <c r="L2" s="242">
        <v>85520</v>
      </c>
      <c r="N2" s="265">
        <f>N1+O1</f>
        <v>8.2545948197840584</v>
      </c>
      <c r="O2" s="265"/>
      <c r="Q2" s="2" t="s">
        <v>10</v>
      </c>
      <c r="R2" s="2" t="s">
        <v>16</v>
      </c>
      <c r="S2" s="2" t="s">
        <v>17</v>
      </c>
      <c r="T2" s="2"/>
      <c r="U2" s="2">
        <v>85520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2" t="s">
        <v>17</v>
      </c>
      <c r="AD2" s="2">
        <v>85520</v>
      </c>
      <c r="AF2" s="3" t="s">
        <v>19</v>
      </c>
      <c r="AG2" s="3" t="s">
        <v>20</v>
      </c>
      <c r="AJ2" s="2" t="s">
        <v>17</v>
      </c>
      <c r="AK2" s="2">
        <v>85520</v>
      </c>
      <c r="AM2" s="3" t="s">
        <v>19</v>
      </c>
      <c r="AN2" s="3" t="s">
        <v>20</v>
      </c>
      <c r="AO2" s="14"/>
      <c r="AP2" s="14" t="s">
        <v>22</v>
      </c>
    </row>
    <row r="3" spans="1:47" s="6" customFormat="1" ht="15.75" customHeight="1" x14ac:dyDescent="0.3">
      <c r="A3" s="45">
        <v>1</v>
      </c>
      <c r="B3" s="45">
        <v>7</v>
      </c>
      <c r="C3" s="46">
        <v>45972</v>
      </c>
      <c r="D3" s="54">
        <v>621.57000000000005</v>
      </c>
      <c r="E3" s="54">
        <v>624.30149612209198</v>
      </c>
      <c r="F3" s="54">
        <v>608.86</v>
      </c>
      <c r="G3" s="48" t="str">
        <f t="shared" ref="G3:G15" si="0">IF(E3&gt;D3,"R","P")</f>
        <v>R</v>
      </c>
      <c r="H3" s="48" t="str">
        <f t="shared" ref="H3:H15" si="1">IF((D3&lt;E3)*(D3&lt;F3)+(D3&gt;E3)*(D3&gt;F3),"+","-")</f>
        <v>-</v>
      </c>
      <c r="I3" s="53">
        <f t="shared" ref="I3:I15" si="2">ABS((K3+L3)/2-F3)</f>
        <v>7.9731474475505593</v>
      </c>
      <c r="K3" s="255">
        <f>IF(H3=1,(Y3*AF3+Z3*AG3+AC3),(Y3*AF3+Z3*AG3+AC3))</f>
        <v>615.77814744755051</v>
      </c>
      <c r="L3" s="255">
        <f>K3+AD3</f>
        <v>617.88814744755052</v>
      </c>
      <c r="N3" s="53">
        <f t="shared" ref="N3:N15" si="3">ABS(F3-K3)</f>
        <v>6.9181474475504956</v>
      </c>
      <c r="O3" s="53">
        <f>N3+AK3</f>
        <v>6.9181474475504956</v>
      </c>
      <c r="Q3" s="45">
        <v>7</v>
      </c>
      <c r="R3" s="99">
        <v>621.57000000000005</v>
      </c>
      <c r="S3" s="80">
        <v>619.15960316145197</v>
      </c>
      <c r="T3" s="80"/>
      <c r="U3" s="80">
        <v>617.95960316145204</v>
      </c>
      <c r="V3" s="99"/>
      <c r="W3" s="99">
        <v>624.9</v>
      </c>
      <c r="X3" s="99"/>
      <c r="Y3" s="99">
        <v>624.30149612209198</v>
      </c>
      <c r="Z3" s="99">
        <v>623.16635243697499</v>
      </c>
      <c r="AA3" s="16">
        <v>608.86</v>
      </c>
      <c r="AC3" s="48">
        <v>-7.97</v>
      </c>
      <c r="AD3" s="48">
        <v>2.11</v>
      </c>
      <c r="AE3" s="5"/>
      <c r="AF3" s="47">
        <v>0.51252983935301799</v>
      </c>
      <c r="AG3" s="47">
        <f>1-AF3</f>
        <v>0.48747016064698201</v>
      </c>
      <c r="AH3" s="48" t="str">
        <f t="shared" ref="AH3:AH15" si="4">G3</f>
        <v>R</v>
      </c>
      <c r="AI3" s="48" t="str">
        <f t="shared" ref="AI3:AI15" si="5">H3</f>
        <v>-</v>
      </c>
      <c r="AJ3" s="16"/>
      <c r="AK3" s="16"/>
      <c r="AM3" s="20"/>
      <c r="AN3" s="20"/>
      <c r="AO3" s="12"/>
      <c r="AP3" s="14" t="s">
        <v>23</v>
      </c>
      <c r="AQ3" s="5"/>
    </row>
    <row r="4" spans="1:47" s="6" customFormat="1" ht="15.75" customHeight="1" x14ac:dyDescent="0.3">
      <c r="A4" s="22">
        <f t="shared" ref="A4:B8" si="6">A3+1</f>
        <v>2</v>
      </c>
      <c r="B4" s="22">
        <f t="shared" si="6"/>
        <v>8</v>
      </c>
      <c r="C4" s="23">
        <f>C3+7</f>
        <v>45979</v>
      </c>
      <c r="D4" s="29">
        <v>596.30999999999995</v>
      </c>
      <c r="E4" s="29">
        <v>593.46741375521901</v>
      </c>
      <c r="F4" s="29">
        <v>590.07000000000005</v>
      </c>
      <c r="G4" s="25" t="str">
        <f t="shared" si="0"/>
        <v>P</v>
      </c>
      <c r="H4" s="25" t="str">
        <f t="shared" si="1"/>
        <v>+</v>
      </c>
      <c r="I4" s="28">
        <f t="shared" si="2"/>
        <v>2.4137552189813505E-3</v>
      </c>
      <c r="K4" s="256">
        <f>IF(H4=1,(Y4*AM4+Z4*AN4+AJ4),(Y4*AM4+Z4*AN4+AJ4))</f>
        <v>591.00741375521898</v>
      </c>
      <c r="L4" s="256">
        <f>K4+AK4</f>
        <v>589.13741375521897</v>
      </c>
      <c r="N4" s="28">
        <f t="shared" si="3"/>
        <v>0.93741375521892678</v>
      </c>
      <c r="O4" s="28">
        <f>ABS(F4-L4)</f>
        <v>0.93258624478107777</v>
      </c>
      <c r="Q4" s="22">
        <f>Q3+1</f>
        <v>8</v>
      </c>
      <c r="R4" s="100">
        <v>596.30999999999995</v>
      </c>
      <c r="S4" s="101">
        <v>596.69306171114101</v>
      </c>
      <c r="T4" s="101"/>
      <c r="U4" s="101">
        <v>598.29306171114104</v>
      </c>
      <c r="V4" s="100"/>
      <c r="W4" s="100">
        <v>608.86</v>
      </c>
      <c r="X4" s="100"/>
      <c r="Y4" s="100">
        <v>593.46741375521901</v>
      </c>
      <c r="Z4" s="100">
        <v>595.27259740259694</v>
      </c>
      <c r="AA4" s="16">
        <v>590.07000000000005</v>
      </c>
      <c r="AC4" s="16"/>
      <c r="AD4" s="16"/>
      <c r="AF4" s="20"/>
      <c r="AG4" s="20"/>
      <c r="AH4" s="25" t="str">
        <f t="shared" si="4"/>
        <v>P</v>
      </c>
      <c r="AI4" s="25" t="str">
        <f t="shared" si="5"/>
        <v>+</v>
      </c>
      <c r="AJ4" s="25">
        <v>-2.46</v>
      </c>
      <c r="AK4" s="25">
        <v>-1.87</v>
      </c>
      <c r="AL4" s="5"/>
      <c r="AM4" s="24">
        <v>1</v>
      </c>
      <c r="AN4" s="24">
        <f>1-AM4</f>
        <v>0</v>
      </c>
      <c r="AO4" s="12"/>
      <c r="AP4" s="14" t="s">
        <v>24</v>
      </c>
      <c r="AQ4" s="5"/>
    </row>
    <row r="5" spans="1:47" s="6" customFormat="1" ht="15.75" customHeight="1" x14ac:dyDescent="0.3">
      <c r="A5" s="30">
        <f t="shared" si="6"/>
        <v>3</v>
      </c>
      <c r="B5" s="30">
        <f t="shared" si="6"/>
        <v>9</v>
      </c>
      <c r="C5" s="31">
        <f>C4+7</f>
        <v>45986</v>
      </c>
      <c r="D5" s="37">
        <v>608.89</v>
      </c>
      <c r="E5" s="37">
        <v>610.66809898762699</v>
      </c>
      <c r="F5" s="37">
        <v>619.25</v>
      </c>
      <c r="G5" s="33" t="str">
        <f t="shared" si="0"/>
        <v>R</v>
      </c>
      <c r="H5" s="33" t="str">
        <f t="shared" si="1"/>
        <v>+</v>
      </c>
      <c r="I5" s="36">
        <f t="shared" si="2"/>
        <v>3.3938184624216774</v>
      </c>
      <c r="K5" s="254">
        <f t="shared" ref="K5:K13" si="7">IF(H5=1,(Y5*AF5+Z5*AG5+AC5),(Y5*AF5+Z5*AG5+AC5))</f>
        <v>614.82118153757824</v>
      </c>
      <c r="L5" s="254">
        <f t="shared" ref="L5:L13" si="8">K5+AD5</f>
        <v>616.89118153757829</v>
      </c>
      <c r="N5" s="36">
        <f t="shared" si="3"/>
        <v>4.4288184624217592</v>
      </c>
      <c r="O5" s="36">
        <f>ABS(F5-L5)</f>
        <v>2.3588184624217092</v>
      </c>
      <c r="Q5" s="30">
        <f>Q4+1</f>
        <v>9</v>
      </c>
      <c r="R5" s="102">
        <v>608.89</v>
      </c>
      <c r="S5" s="82">
        <v>612.95090273736196</v>
      </c>
      <c r="T5" s="82"/>
      <c r="U5" s="82">
        <v>614.55090273736198</v>
      </c>
      <c r="V5" s="102">
        <v>85520</v>
      </c>
      <c r="W5" s="102">
        <v>611.5</v>
      </c>
      <c r="X5" s="102"/>
      <c r="Y5" s="102">
        <v>610.66809898762699</v>
      </c>
      <c r="Z5" s="102">
        <v>604.93052898550695</v>
      </c>
      <c r="AA5" s="16">
        <v>619.25</v>
      </c>
      <c r="AC5" s="33">
        <v>3.39</v>
      </c>
      <c r="AD5" s="33">
        <v>2.0699999999999998</v>
      </c>
      <c r="AE5" s="5"/>
      <c r="AF5" s="32">
        <v>1.13299751456964</v>
      </c>
      <c r="AG5" s="32">
        <f>1-AF5</f>
        <v>-0.13299751456964004</v>
      </c>
      <c r="AH5" s="33" t="str">
        <f t="shared" si="4"/>
        <v>R</v>
      </c>
      <c r="AI5" s="33" t="str">
        <f t="shared" si="5"/>
        <v>+</v>
      </c>
      <c r="AJ5" s="16"/>
      <c r="AK5" s="16"/>
      <c r="AM5" s="20"/>
      <c r="AN5" s="20"/>
      <c r="AO5" s="12"/>
      <c r="AP5" s="5"/>
      <c r="AQ5" s="5"/>
    </row>
    <row r="6" spans="1:47" s="6" customFormat="1" ht="15.75" customHeight="1" x14ac:dyDescent="0.3">
      <c r="A6" s="30">
        <f t="shared" si="6"/>
        <v>4</v>
      </c>
      <c r="B6" s="30">
        <f t="shared" si="6"/>
        <v>10</v>
      </c>
      <c r="C6" s="31">
        <f>C5+7</f>
        <v>45993</v>
      </c>
      <c r="D6" s="37">
        <v>622</v>
      </c>
      <c r="E6" s="37">
        <v>624.03286798528097</v>
      </c>
      <c r="F6" s="37">
        <v>625.48</v>
      </c>
      <c r="G6" s="33" t="str">
        <f t="shared" si="0"/>
        <v>R</v>
      </c>
      <c r="H6" s="33" t="str">
        <f t="shared" si="1"/>
        <v>+</v>
      </c>
      <c r="I6" s="36">
        <f t="shared" si="2"/>
        <v>2.9905455966804766</v>
      </c>
      <c r="K6" s="254">
        <f t="shared" si="7"/>
        <v>627.43554559668041</v>
      </c>
      <c r="L6" s="254">
        <f t="shared" si="8"/>
        <v>629.50554559668046</v>
      </c>
      <c r="N6" s="36">
        <f t="shared" si="3"/>
        <v>1.9555455966803947</v>
      </c>
      <c r="O6" s="36">
        <f>ABS(F6-L6)</f>
        <v>4.0255455966804448</v>
      </c>
      <c r="Q6" s="30">
        <f>Q5+1</f>
        <v>10</v>
      </c>
      <c r="R6" s="102">
        <v>622</v>
      </c>
      <c r="S6" s="82">
        <v>627.02095271430699</v>
      </c>
      <c r="T6" s="82"/>
      <c r="U6" s="82">
        <v>628.62095271430701</v>
      </c>
      <c r="V6" s="102"/>
      <c r="W6" s="102">
        <v>625.70000000000005</v>
      </c>
      <c r="X6" s="102"/>
      <c r="Y6" s="102">
        <v>624.03286798528097</v>
      </c>
      <c r="Z6" s="102">
        <v>623.93754581749101</v>
      </c>
      <c r="AA6" s="16">
        <v>613.62</v>
      </c>
      <c r="AC6" s="30">
        <f>AC5</f>
        <v>3.39</v>
      </c>
      <c r="AD6" s="30">
        <f>AD5</f>
        <v>2.0699999999999998</v>
      </c>
      <c r="AF6" s="35">
        <f>AF5</f>
        <v>1.13299751456964</v>
      </c>
      <c r="AG6" s="35">
        <f>AG5</f>
        <v>-0.13299751456964004</v>
      </c>
      <c r="AH6" s="33" t="str">
        <f t="shared" si="4"/>
        <v>R</v>
      </c>
      <c r="AI6" s="33" t="str">
        <f t="shared" si="5"/>
        <v>+</v>
      </c>
      <c r="AJ6" s="16"/>
      <c r="AK6" s="16"/>
      <c r="AM6" s="20"/>
      <c r="AN6" s="20"/>
      <c r="AO6" s="12"/>
      <c r="AP6" s="38" t="s">
        <v>25</v>
      </c>
      <c r="AQ6" s="5"/>
    </row>
    <row r="7" spans="1:47" s="6" customFormat="1" ht="15.75" customHeight="1" x14ac:dyDescent="0.3">
      <c r="A7" s="45">
        <f t="shared" si="6"/>
        <v>5</v>
      </c>
      <c r="B7" s="45">
        <f t="shared" si="6"/>
        <v>11</v>
      </c>
      <c r="C7" s="46">
        <f>C6+7</f>
        <v>46000</v>
      </c>
      <c r="D7" s="54">
        <v>625.04999999999995</v>
      </c>
      <c r="E7" s="54">
        <v>627.027156943303</v>
      </c>
      <c r="F7" s="54">
        <v>613.62</v>
      </c>
      <c r="G7" s="48" t="str">
        <f t="shared" si="0"/>
        <v>R</v>
      </c>
      <c r="H7" s="48" t="str">
        <f t="shared" si="1"/>
        <v>-</v>
      </c>
      <c r="I7" s="53">
        <f t="shared" si="2"/>
        <v>5.6485702133965106</v>
      </c>
      <c r="K7" s="255">
        <f t="shared" si="7"/>
        <v>618.21357021339657</v>
      </c>
      <c r="L7" s="255">
        <f t="shared" si="8"/>
        <v>620.32357021339658</v>
      </c>
      <c r="N7" s="53">
        <f t="shared" si="3"/>
        <v>4.5935702133965606</v>
      </c>
      <c r="O7" s="53">
        <f>N7+AK7</f>
        <v>4.5935702133965606</v>
      </c>
      <c r="Q7" s="45">
        <f>Q6+1</f>
        <v>11</v>
      </c>
      <c r="R7" s="99">
        <v>625.04999999999995</v>
      </c>
      <c r="S7" s="80">
        <v>621.81083941301904</v>
      </c>
      <c r="T7" s="80"/>
      <c r="U7" s="80">
        <v>620.61083941301899</v>
      </c>
      <c r="V7" s="99">
        <v>85520</v>
      </c>
      <c r="W7" s="99">
        <v>627.9</v>
      </c>
      <c r="X7" s="99"/>
      <c r="Y7" s="99">
        <v>627.027156943303</v>
      </c>
      <c r="Z7" s="99">
        <v>625.29661670103098</v>
      </c>
      <c r="AA7" s="16">
        <v>613.62</v>
      </c>
      <c r="AC7" s="45">
        <f>AC3</f>
        <v>-7.97</v>
      </c>
      <c r="AD7" s="45">
        <f>AD3</f>
        <v>2.11</v>
      </c>
      <c r="AF7" s="49">
        <f>AF3</f>
        <v>0.51252983935301799</v>
      </c>
      <c r="AG7" s="49">
        <f>AG3</f>
        <v>0.48747016064698201</v>
      </c>
      <c r="AH7" s="48" t="str">
        <f t="shared" si="4"/>
        <v>R</v>
      </c>
      <c r="AI7" s="48" t="str">
        <f t="shared" si="5"/>
        <v>-</v>
      </c>
      <c r="AJ7" s="16"/>
      <c r="AK7" s="16"/>
      <c r="AM7" s="20"/>
      <c r="AN7" s="20"/>
      <c r="AO7" s="12"/>
      <c r="AP7" s="39" t="s">
        <v>26</v>
      </c>
      <c r="AQ7" s="39" t="s">
        <v>27</v>
      </c>
      <c r="AR7" s="40">
        <v>4.4000000000000004</v>
      </c>
      <c r="AS7" s="40">
        <v>2.0699999999999998</v>
      </c>
      <c r="AT7" s="40">
        <v>1</v>
      </c>
      <c r="AU7" s="40">
        <v>0</v>
      </c>
    </row>
    <row r="8" spans="1:47" s="6" customFormat="1" ht="15.75" customHeight="1" x14ac:dyDescent="0.3">
      <c r="A8" s="30">
        <f t="shared" si="6"/>
        <v>6</v>
      </c>
      <c r="B8" s="30">
        <f t="shared" si="6"/>
        <v>12</v>
      </c>
      <c r="C8" s="31">
        <f>C7+7</f>
        <v>46007</v>
      </c>
      <c r="D8" s="37">
        <v>611.75</v>
      </c>
      <c r="E8" s="37">
        <v>612.83868543607105</v>
      </c>
      <c r="F8" s="37">
        <v>617.04999999999995</v>
      </c>
      <c r="G8" s="33" t="str">
        <f t="shared" si="0"/>
        <v>R</v>
      </c>
      <c r="H8" s="33" t="str">
        <f t="shared" si="1"/>
        <v>+</v>
      </c>
      <c r="I8" s="36">
        <f t="shared" si="2"/>
        <v>0.357964898965065</v>
      </c>
      <c r="K8" s="254">
        <f t="shared" si="7"/>
        <v>616.37296489896494</v>
      </c>
      <c r="L8" s="254">
        <f t="shared" si="8"/>
        <v>618.44296489896499</v>
      </c>
      <c r="N8" s="36">
        <f t="shared" si="3"/>
        <v>0.67703510103501685</v>
      </c>
      <c r="O8" s="36">
        <f>ABS(F8-L8)</f>
        <v>1.3929648989650332</v>
      </c>
      <c r="Q8" s="30">
        <f>Q7+1</f>
        <v>12</v>
      </c>
      <c r="R8" s="102">
        <v>611.75</v>
      </c>
      <c r="S8" s="82">
        <v>615.70308190302705</v>
      </c>
      <c r="T8" s="82"/>
      <c r="U8" s="82">
        <v>617.30308190302696</v>
      </c>
      <c r="V8" s="102">
        <v>85520</v>
      </c>
      <c r="W8" s="102">
        <v>614.9</v>
      </c>
      <c r="X8" s="102"/>
      <c r="Y8" s="102">
        <v>612.83868543607105</v>
      </c>
      <c r="Z8" s="102">
        <v>611.75385717171696</v>
      </c>
      <c r="AA8" s="16">
        <v>617.04999999999995</v>
      </c>
      <c r="AC8" s="30">
        <f t="shared" ref="AC8:AD11" si="9">AC6</f>
        <v>3.39</v>
      </c>
      <c r="AD8" s="30">
        <f t="shared" si="9"/>
        <v>2.0699999999999998</v>
      </c>
      <c r="AF8" s="35">
        <f t="shared" ref="AF8:AG11" si="10">AF6</f>
        <v>1.13299751456964</v>
      </c>
      <c r="AG8" s="35">
        <f t="shared" si="10"/>
        <v>-0.13299751456964004</v>
      </c>
      <c r="AH8" s="33" t="str">
        <f t="shared" si="4"/>
        <v>R</v>
      </c>
      <c r="AI8" s="33" t="str">
        <f t="shared" si="5"/>
        <v>+</v>
      </c>
      <c r="AJ8" s="16"/>
      <c r="AK8" s="16"/>
      <c r="AM8" s="20"/>
      <c r="AN8" s="20"/>
      <c r="AO8" s="12"/>
      <c r="AP8" s="41" t="s">
        <v>26</v>
      </c>
      <c r="AQ8" s="41" t="s">
        <v>28</v>
      </c>
      <c r="AR8" s="42">
        <v>-7.97</v>
      </c>
      <c r="AS8" s="42">
        <v>2.11</v>
      </c>
      <c r="AT8" s="42">
        <v>0</v>
      </c>
      <c r="AU8" s="42">
        <v>1</v>
      </c>
    </row>
    <row r="9" spans="1:47" s="6" customFormat="1" ht="15.75" customHeight="1" x14ac:dyDescent="0.3">
      <c r="A9" s="45">
        <f t="shared" ref="A9:A15" si="11">A8+1</f>
        <v>7</v>
      </c>
      <c r="B9" s="45">
        <v>1</v>
      </c>
      <c r="C9" s="46">
        <v>46035</v>
      </c>
      <c r="D9" s="54">
        <v>626.24</v>
      </c>
      <c r="E9" s="54">
        <v>626.78859970364101</v>
      </c>
      <c r="F9" s="54">
        <v>621.26</v>
      </c>
      <c r="G9" s="48" t="str">
        <f t="shared" si="0"/>
        <v>R</v>
      </c>
      <c r="H9" s="48" t="str">
        <f t="shared" si="1"/>
        <v>-</v>
      </c>
      <c r="I9" s="53">
        <f t="shared" si="2"/>
        <v>7.9700001491949024</v>
      </c>
      <c r="K9" s="255">
        <f t="shared" si="7"/>
        <v>612.23499985080502</v>
      </c>
      <c r="L9" s="255">
        <f t="shared" si="8"/>
        <v>614.34499985080504</v>
      </c>
      <c r="N9" s="53">
        <f t="shared" si="3"/>
        <v>9.0250001491949661</v>
      </c>
      <c r="O9" s="53">
        <f>N9+AK9</f>
        <v>9.0250001491949661</v>
      </c>
      <c r="Q9" s="45">
        <v>1</v>
      </c>
      <c r="R9" s="99">
        <v>626.24</v>
      </c>
      <c r="S9" s="80">
        <v>620.100393844</v>
      </c>
      <c r="T9" s="80"/>
      <c r="U9" s="80">
        <v>618.90039384399995</v>
      </c>
      <c r="V9" s="99">
        <v>85520</v>
      </c>
      <c r="W9" s="99">
        <v>626.9</v>
      </c>
      <c r="X9" s="99"/>
      <c r="Y9" s="99">
        <v>626.78859970364101</v>
      </c>
      <c r="Z9" s="99">
        <v>613.28295282651095</v>
      </c>
      <c r="AA9" s="16">
        <v>621.26</v>
      </c>
      <c r="AC9" s="45">
        <f t="shared" si="9"/>
        <v>-7.97</v>
      </c>
      <c r="AD9" s="45">
        <f t="shared" si="9"/>
        <v>2.11</v>
      </c>
      <c r="AF9" s="49">
        <f t="shared" si="10"/>
        <v>0.51252983935301799</v>
      </c>
      <c r="AG9" s="49">
        <f t="shared" si="10"/>
        <v>0.48747016064698201</v>
      </c>
      <c r="AH9" s="48" t="str">
        <f t="shared" si="4"/>
        <v>R</v>
      </c>
      <c r="AI9" s="48" t="str">
        <f t="shared" si="5"/>
        <v>-</v>
      </c>
      <c r="AJ9" s="16"/>
      <c r="AK9" s="16"/>
      <c r="AM9" s="20"/>
      <c r="AN9" s="20"/>
      <c r="AO9" s="12"/>
      <c r="AP9" s="43" t="s">
        <v>4</v>
      </c>
      <c r="AQ9" s="43" t="s">
        <v>27</v>
      </c>
      <c r="AR9" s="44">
        <v>-2.46</v>
      </c>
      <c r="AS9" s="44">
        <v>-1.87</v>
      </c>
      <c r="AT9" s="44">
        <v>1</v>
      </c>
      <c r="AU9" s="44">
        <v>0</v>
      </c>
    </row>
    <row r="10" spans="1:47" s="6" customFormat="1" ht="15.75" customHeight="1" x14ac:dyDescent="0.3">
      <c r="A10" s="30">
        <f t="shared" si="11"/>
        <v>8</v>
      </c>
      <c r="B10" s="30">
        <f t="shared" ref="B10:B15" si="12">B9+1</f>
        <v>2</v>
      </c>
      <c r="C10" s="31">
        <f t="shared" ref="C10:C15" si="13">C9+7</f>
        <v>46042</v>
      </c>
      <c r="D10" s="37">
        <v>608.05999999999995</v>
      </c>
      <c r="E10" s="37">
        <v>612</v>
      </c>
      <c r="F10" s="37">
        <v>622.72</v>
      </c>
      <c r="G10" s="33" t="str">
        <f t="shared" si="0"/>
        <v>R</v>
      </c>
      <c r="H10" s="33" t="str">
        <f t="shared" si="1"/>
        <v>+</v>
      </c>
      <c r="I10" s="36">
        <f t="shared" si="2"/>
        <v>3.3899999336556448</v>
      </c>
      <c r="K10" s="254">
        <f t="shared" si="7"/>
        <v>625.0749999336557</v>
      </c>
      <c r="L10" s="254">
        <f t="shared" si="8"/>
        <v>627.14499993365575</v>
      </c>
      <c r="N10" s="36">
        <f t="shared" si="3"/>
        <v>2.3549999336556766</v>
      </c>
      <c r="O10" s="36">
        <f t="shared" ref="O10:O15" si="14">ABS(F10-L10)</f>
        <v>4.4249999336557266</v>
      </c>
      <c r="Q10" s="30">
        <f t="shared" ref="Q10:Q15" si="15">Q9+1</f>
        <v>2</v>
      </c>
      <c r="R10" s="102">
        <v>608.05999999999995</v>
      </c>
      <c r="S10" s="82">
        <v>604.72</v>
      </c>
      <c r="T10" s="82"/>
      <c r="U10" s="82">
        <v>603.46</v>
      </c>
      <c r="V10" s="102"/>
      <c r="W10" s="102">
        <v>607.70000000000005</v>
      </c>
      <c r="X10" s="102"/>
      <c r="Y10" s="102">
        <v>613.30043032786898</v>
      </c>
      <c r="Z10" s="102">
        <v>550.25737547892697</v>
      </c>
      <c r="AA10" s="16">
        <v>622.72</v>
      </c>
      <c r="AC10" s="30">
        <f t="shared" si="9"/>
        <v>3.39</v>
      </c>
      <c r="AD10" s="30">
        <f t="shared" si="9"/>
        <v>2.0699999999999998</v>
      </c>
      <c r="AF10" s="35">
        <f t="shared" si="10"/>
        <v>1.13299751456964</v>
      </c>
      <c r="AG10" s="35">
        <f t="shared" si="10"/>
        <v>-0.13299751456964004</v>
      </c>
      <c r="AH10" s="33" t="str">
        <f t="shared" si="4"/>
        <v>R</v>
      </c>
      <c r="AI10" s="33" t="str">
        <f t="shared" si="5"/>
        <v>+</v>
      </c>
      <c r="AJ10" s="16"/>
      <c r="AK10" s="16"/>
      <c r="AM10" s="20"/>
      <c r="AN10" s="20"/>
      <c r="AO10" s="12"/>
      <c r="AP10" s="2" t="s">
        <v>4</v>
      </c>
      <c r="AQ10" s="2" t="s">
        <v>28</v>
      </c>
      <c r="AR10" s="16"/>
      <c r="AS10" s="16"/>
      <c r="AT10" s="16"/>
      <c r="AU10" s="16"/>
    </row>
    <row r="11" spans="1:47" s="6" customFormat="1" ht="15.75" customHeight="1" x14ac:dyDescent="0.3">
      <c r="A11" s="45">
        <f t="shared" si="11"/>
        <v>9</v>
      </c>
      <c r="B11" s="45">
        <f t="shared" si="12"/>
        <v>3</v>
      </c>
      <c r="C11" s="46">
        <f t="shared" si="13"/>
        <v>46049</v>
      </c>
      <c r="D11" s="54">
        <f>R11</f>
        <v>631.13</v>
      </c>
      <c r="E11" s="54">
        <f>Y11</f>
        <v>633.72699999999998</v>
      </c>
      <c r="F11" s="54">
        <v>621.87</v>
      </c>
      <c r="G11" s="48" t="str">
        <f t="shared" si="0"/>
        <v>R</v>
      </c>
      <c r="H11" s="48" t="str">
        <f t="shared" si="1"/>
        <v>-</v>
      </c>
      <c r="I11" s="53">
        <f t="shared" si="2"/>
        <v>4.4320166340647802</v>
      </c>
      <c r="K11" s="255">
        <f t="shared" si="7"/>
        <v>625.24701663406483</v>
      </c>
      <c r="L11" s="255">
        <f t="shared" si="8"/>
        <v>627.35701663406485</v>
      </c>
      <c r="N11" s="53">
        <f t="shared" si="3"/>
        <v>3.3770166340648302</v>
      </c>
      <c r="O11" s="53">
        <f t="shared" si="14"/>
        <v>5.4870166340648439</v>
      </c>
      <c r="Q11" s="45">
        <f t="shared" si="15"/>
        <v>3</v>
      </c>
      <c r="R11" s="99">
        <v>631.13</v>
      </c>
      <c r="S11" s="80">
        <v>635.29999999999995</v>
      </c>
      <c r="T11" s="80" t="s">
        <v>19</v>
      </c>
      <c r="U11" s="80">
        <v>637.5</v>
      </c>
      <c r="V11" s="99" t="s">
        <v>19</v>
      </c>
      <c r="W11" s="99">
        <v>635.20000000000005</v>
      </c>
      <c r="X11" s="99" t="s">
        <v>19</v>
      </c>
      <c r="Y11" s="99">
        <v>633.72699999999998</v>
      </c>
      <c r="Z11" s="99">
        <v>632.68081623921705</v>
      </c>
      <c r="AA11" s="16">
        <v>622.72</v>
      </c>
      <c r="AC11" s="45">
        <f t="shared" si="9"/>
        <v>-7.97</v>
      </c>
      <c r="AD11" s="45">
        <f t="shared" si="9"/>
        <v>2.11</v>
      </c>
      <c r="AF11" s="49">
        <f t="shared" si="10"/>
        <v>0.51252983935301799</v>
      </c>
      <c r="AG11" s="49">
        <f t="shared" si="10"/>
        <v>0.48747016064698201</v>
      </c>
      <c r="AH11" s="48" t="str">
        <f t="shared" si="4"/>
        <v>R</v>
      </c>
      <c r="AI11" s="48" t="str">
        <f t="shared" si="5"/>
        <v>-</v>
      </c>
      <c r="AJ11" s="16"/>
      <c r="AK11" s="16"/>
      <c r="AM11" s="20"/>
      <c r="AN11" s="20"/>
      <c r="AO11" s="12"/>
      <c r="AP11" s="5"/>
      <c r="AQ11" s="5"/>
    </row>
    <row r="12" spans="1:47" s="6" customFormat="1" ht="15.75" customHeight="1" x14ac:dyDescent="0.3">
      <c r="A12" s="45">
        <f t="shared" si="11"/>
        <v>10</v>
      </c>
      <c r="B12" s="45">
        <f t="shared" si="12"/>
        <v>4</v>
      </c>
      <c r="C12" s="46">
        <f t="shared" si="13"/>
        <v>46056</v>
      </c>
      <c r="D12" s="54">
        <v>616.52</v>
      </c>
      <c r="E12" s="54">
        <v>617.6</v>
      </c>
      <c r="F12" s="54">
        <v>609.65</v>
      </c>
      <c r="G12" s="48" t="str">
        <f t="shared" si="0"/>
        <v>R</v>
      </c>
      <c r="H12" s="48" t="str">
        <f t="shared" si="1"/>
        <v>-</v>
      </c>
      <c r="I12" s="53">
        <f t="shared" si="2"/>
        <v>1.8553732290134803</v>
      </c>
      <c r="K12" s="255">
        <f t="shared" si="7"/>
        <v>610.45037322901351</v>
      </c>
      <c r="L12" s="255">
        <f t="shared" si="8"/>
        <v>612.56037322901352</v>
      </c>
      <c r="N12" s="53">
        <f t="shared" si="3"/>
        <v>0.80037322901353036</v>
      </c>
      <c r="O12" s="53">
        <f t="shared" si="14"/>
        <v>2.910373229013544</v>
      </c>
      <c r="Q12" s="45">
        <f t="shared" si="15"/>
        <v>4</v>
      </c>
      <c r="R12" s="99">
        <v>616.52</v>
      </c>
      <c r="S12" s="80">
        <v>615</v>
      </c>
      <c r="T12" s="80" t="s">
        <v>17</v>
      </c>
      <c r="U12" s="80">
        <v>615.53</v>
      </c>
      <c r="V12" s="99">
        <v>85520</v>
      </c>
      <c r="W12" s="99">
        <v>617.6</v>
      </c>
      <c r="X12" s="99" t="s">
        <v>18</v>
      </c>
      <c r="Y12" s="99">
        <v>617.58865800865794</v>
      </c>
      <c r="Z12" s="99">
        <v>619.29484494582698</v>
      </c>
      <c r="AA12" s="16">
        <v>622.72</v>
      </c>
      <c r="AC12" s="45">
        <f>AC11</f>
        <v>-7.97</v>
      </c>
      <c r="AD12" s="45">
        <f>AD11</f>
        <v>2.11</v>
      </c>
      <c r="AF12" s="49">
        <f>AF11</f>
        <v>0.51252983935301799</v>
      </c>
      <c r="AG12" s="49">
        <f>AG11</f>
        <v>0.48747016064698201</v>
      </c>
      <c r="AH12" s="48" t="str">
        <f t="shared" si="4"/>
        <v>R</v>
      </c>
      <c r="AI12" s="48" t="str">
        <f t="shared" si="5"/>
        <v>-</v>
      </c>
      <c r="AJ12" s="16"/>
      <c r="AK12" s="16"/>
      <c r="AM12" s="20"/>
      <c r="AN12" s="20"/>
      <c r="AO12" s="12"/>
      <c r="AQ12" s="5" t="s">
        <v>26</v>
      </c>
      <c r="AR12" s="6">
        <f>COUNTIF(G3:G14,"R")</f>
        <v>10</v>
      </c>
    </row>
    <row r="13" spans="1:47" s="6" customFormat="1" ht="15.75" customHeight="1" x14ac:dyDescent="0.3">
      <c r="A13" s="45">
        <f t="shared" si="11"/>
        <v>11</v>
      </c>
      <c r="B13" s="45">
        <f t="shared" si="12"/>
        <v>5</v>
      </c>
      <c r="C13" s="46">
        <f t="shared" si="13"/>
        <v>46063</v>
      </c>
      <c r="D13" s="54">
        <f>R13</f>
        <v>611.47</v>
      </c>
      <c r="E13" s="54">
        <f>Y13</f>
        <v>613.72796874999995</v>
      </c>
      <c r="F13" s="54">
        <v>601.69000000000005</v>
      </c>
      <c r="G13" s="48" t="str">
        <f t="shared" si="0"/>
        <v>R</v>
      </c>
      <c r="H13" s="48" t="str">
        <f t="shared" si="1"/>
        <v>-</v>
      </c>
      <c r="I13" s="53">
        <f t="shared" si="2"/>
        <v>4.7631386409273091</v>
      </c>
      <c r="K13" s="255">
        <f t="shared" si="7"/>
        <v>605.39813864092741</v>
      </c>
      <c r="L13" s="255">
        <f t="shared" si="8"/>
        <v>607.50813864092743</v>
      </c>
      <c r="N13" s="53">
        <f t="shared" si="3"/>
        <v>3.7081386409273591</v>
      </c>
      <c r="O13" s="53">
        <f t="shared" si="14"/>
        <v>5.8181386409273728</v>
      </c>
      <c r="Q13" s="45">
        <f t="shared" si="15"/>
        <v>5</v>
      </c>
      <c r="R13" s="99">
        <v>611.47</v>
      </c>
      <c r="S13" s="80">
        <v>608.5</v>
      </c>
      <c r="T13" s="80" t="s">
        <v>17</v>
      </c>
      <c r="U13" s="80">
        <v>606.4</v>
      </c>
      <c r="V13" s="99">
        <v>85520</v>
      </c>
      <c r="W13" s="99">
        <v>613.20000000000005</v>
      </c>
      <c r="X13" s="99" t="s">
        <v>18</v>
      </c>
      <c r="Y13" s="99">
        <v>613.72796874999995</v>
      </c>
      <c r="Z13" s="99">
        <v>612.98981052387398</v>
      </c>
      <c r="AA13" s="16">
        <v>590.07000000000005</v>
      </c>
      <c r="AC13" s="45">
        <f>AC12</f>
        <v>-7.97</v>
      </c>
      <c r="AD13" s="45">
        <f>AD12</f>
        <v>2.11</v>
      </c>
      <c r="AF13" s="45">
        <f>AF12</f>
        <v>0.51252983935301799</v>
      </c>
      <c r="AG13" s="45">
        <f>AG12</f>
        <v>0.48747016064698201</v>
      </c>
      <c r="AH13" s="48" t="str">
        <f t="shared" si="4"/>
        <v>R</v>
      </c>
      <c r="AI13" s="48" t="str">
        <f t="shared" si="5"/>
        <v>-</v>
      </c>
      <c r="AJ13" s="87"/>
      <c r="AK13" s="87"/>
      <c r="AL13" s="5"/>
      <c r="AM13" s="91"/>
      <c r="AN13" s="91"/>
      <c r="AO13" s="12"/>
      <c r="AP13" s="5"/>
      <c r="AQ13" s="5" t="s">
        <v>4</v>
      </c>
      <c r="AR13" s="6">
        <f>COUNTIF(G3:G14,"P")</f>
        <v>2</v>
      </c>
    </row>
    <row r="14" spans="1:47" s="6" customFormat="1" ht="15.75" customHeight="1" x14ac:dyDescent="0.3">
      <c r="A14" s="84">
        <f t="shared" si="11"/>
        <v>12</v>
      </c>
      <c r="B14" s="84">
        <f t="shared" si="12"/>
        <v>6</v>
      </c>
      <c r="C14" s="85">
        <f t="shared" si="13"/>
        <v>46070</v>
      </c>
      <c r="D14" s="95">
        <v>601.29999999999995</v>
      </c>
      <c r="E14" s="95">
        <v>600.5</v>
      </c>
      <c r="F14" s="95">
        <v>603.70000000000005</v>
      </c>
      <c r="G14" s="87" t="str">
        <f t="shared" si="0"/>
        <v>P</v>
      </c>
      <c r="H14" s="87" t="str">
        <f t="shared" si="1"/>
        <v>-</v>
      </c>
      <c r="I14" s="94">
        <f t="shared" si="2"/>
        <v>3.184528593919822E-3</v>
      </c>
      <c r="K14" s="257">
        <f>IF(H14=1,(Y14*AM14+Z14*AN14+AJ14),(Y14*AM14+Z14*AN14+AJ14))</f>
        <v>604.63818452859391</v>
      </c>
      <c r="L14" s="257">
        <f>K14+AK14</f>
        <v>602.76818452859391</v>
      </c>
      <c r="N14" s="94">
        <f t="shared" si="3"/>
        <v>0.93818452859386525</v>
      </c>
      <c r="O14" s="94">
        <f t="shared" si="14"/>
        <v>0.9318154714061393</v>
      </c>
      <c r="Q14" s="84">
        <f t="shared" si="15"/>
        <v>6</v>
      </c>
      <c r="R14" s="103">
        <v>601.29999999999995</v>
      </c>
      <c r="S14" s="86">
        <v>597.29999999999995</v>
      </c>
      <c r="T14" s="86" t="s">
        <v>19</v>
      </c>
      <c r="U14" s="86">
        <v>595.79999999999995</v>
      </c>
      <c r="V14" s="103" t="s">
        <v>19</v>
      </c>
      <c r="W14" s="103">
        <v>600</v>
      </c>
      <c r="X14" s="103" t="s">
        <v>19</v>
      </c>
      <c r="Y14" s="103">
        <v>600.53094562647698</v>
      </c>
      <c r="Z14" s="103">
        <v>603.70818452859396</v>
      </c>
      <c r="AA14" s="16">
        <v>590.07000000000005</v>
      </c>
      <c r="AC14" s="16"/>
      <c r="AD14" s="16"/>
      <c r="AF14" s="20"/>
      <c r="AG14" s="20"/>
      <c r="AH14" s="87" t="str">
        <f t="shared" si="4"/>
        <v>P</v>
      </c>
      <c r="AI14" s="87" t="str">
        <f t="shared" si="5"/>
        <v>-</v>
      </c>
      <c r="AJ14" s="87">
        <v>0.93</v>
      </c>
      <c r="AK14" s="87">
        <f>AK4</f>
        <v>-1.87</v>
      </c>
      <c r="AL14" s="5"/>
      <c r="AM14" s="91">
        <v>0</v>
      </c>
      <c r="AN14" s="91">
        <f>1-AM14</f>
        <v>1</v>
      </c>
      <c r="AO14" s="12"/>
      <c r="AP14" s="5"/>
      <c r="AQ14" s="5"/>
    </row>
    <row r="15" spans="1:47" s="6" customFormat="1" ht="15.75" customHeight="1" x14ac:dyDescent="0.3">
      <c r="A15" s="30">
        <f t="shared" si="11"/>
        <v>13</v>
      </c>
      <c r="B15" s="30">
        <f t="shared" si="12"/>
        <v>7</v>
      </c>
      <c r="C15" s="31">
        <f t="shared" si="13"/>
        <v>46077</v>
      </c>
      <c r="D15" s="37">
        <v>607.87</v>
      </c>
      <c r="E15" s="37">
        <v>609.9</v>
      </c>
      <c r="F15" s="37">
        <v>610</v>
      </c>
      <c r="G15" s="33" t="str">
        <f t="shared" si="0"/>
        <v>R</v>
      </c>
      <c r="H15" s="33" t="str">
        <f t="shared" si="1"/>
        <v>+</v>
      </c>
      <c r="I15" s="36">
        <f t="shared" si="2"/>
        <v>4.3758657191185648</v>
      </c>
      <c r="J15" s="6" t="s">
        <v>27</v>
      </c>
      <c r="K15" s="254">
        <f>IF(H15=1,(Y15*AF15+Z15*AG15+AC15),(Y15*AF15+Z15*AG15+AC15))</f>
        <v>613.34086571911848</v>
      </c>
      <c r="L15" s="254">
        <f>K15+AD15</f>
        <v>615.41086571911853</v>
      </c>
      <c r="N15" s="36">
        <f t="shared" si="3"/>
        <v>3.340865719118483</v>
      </c>
      <c r="O15" s="36">
        <f t="shared" si="14"/>
        <v>5.410865719118533</v>
      </c>
      <c r="Q15" s="30">
        <f t="shared" si="15"/>
        <v>7</v>
      </c>
      <c r="R15" s="102">
        <v>607.87</v>
      </c>
      <c r="S15" s="82">
        <v>613.29999999999995</v>
      </c>
      <c r="T15" s="82"/>
      <c r="U15" s="82">
        <v>615.4</v>
      </c>
      <c r="V15" s="102"/>
      <c r="W15" s="102">
        <v>609.9</v>
      </c>
      <c r="X15" s="102"/>
      <c r="Y15" s="102">
        <v>609.91081932773102</v>
      </c>
      <c r="Z15" s="102">
        <v>609.60971301369898</v>
      </c>
      <c r="AA15" s="16">
        <v>590.07000000000005</v>
      </c>
      <c r="AC15" s="30">
        <f>AC10</f>
        <v>3.39</v>
      </c>
      <c r="AD15" s="30">
        <f>AD10</f>
        <v>2.0699999999999998</v>
      </c>
      <c r="AF15" s="30">
        <f>AF10</f>
        <v>1.13299751456964</v>
      </c>
      <c r="AG15" s="30">
        <f>AG10</f>
        <v>-0.13299751456964004</v>
      </c>
      <c r="AH15" s="33" t="str">
        <f t="shared" si="4"/>
        <v>R</v>
      </c>
      <c r="AI15" s="33" t="str">
        <f t="shared" si="5"/>
        <v>+</v>
      </c>
      <c r="AJ15" s="92"/>
      <c r="AK15" s="92"/>
      <c r="AL15" s="57"/>
      <c r="AM15" s="104"/>
      <c r="AN15" s="104"/>
      <c r="AO15" s="12"/>
      <c r="AP15" s="5"/>
      <c r="AQ15" s="5"/>
    </row>
    <row r="16" spans="1:47" s="6" customFormat="1" ht="15.75" customHeight="1" x14ac:dyDescent="0.3">
      <c r="C16" s="7"/>
      <c r="D16" s="55"/>
      <c r="E16" s="56"/>
      <c r="F16" s="56"/>
      <c r="G16" s="5"/>
      <c r="H16" s="5"/>
      <c r="I16" s="58"/>
      <c r="K16" s="247"/>
      <c r="L16" s="247"/>
      <c r="N16" s="58"/>
      <c r="O16" s="58"/>
      <c r="S16" s="5"/>
      <c r="T16" s="5"/>
      <c r="U16" s="5"/>
      <c r="AF16" s="11"/>
      <c r="AG16" s="11"/>
      <c r="AH16" s="5"/>
      <c r="AI16" s="5"/>
      <c r="AM16" s="11"/>
      <c r="AN16" s="11"/>
      <c r="AO16" s="12"/>
      <c r="AP16" s="5"/>
      <c r="AQ16" s="5"/>
    </row>
    <row r="17" spans="1:47" s="6" customFormat="1" ht="15.75" customHeight="1" x14ac:dyDescent="0.3">
      <c r="C17" s="7"/>
      <c r="D17" s="55"/>
      <c r="E17" s="56"/>
      <c r="F17" s="56"/>
      <c r="G17" s="5"/>
      <c r="H17" s="5"/>
      <c r="I17" s="58"/>
      <c r="K17" s="247"/>
      <c r="L17" s="247"/>
      <c r="N17" s="58"/>
      <c r="O17" s="58"/>
      <c r="S17" s="5"/>
      <c r="T17" s="5"/>
      <c r="U17" s="5"/>
      <c r="AF17" s="11"/>
      <c r="AG17" s="11"/>
      <c r="AH17" s="5"/>
      <c r="AI17" s="5"/>
      <c r="AM17" s="11"/>
      <c r="AN17" s="11"/>
      <c r="AO17" s="12"/>
      <c r="AP17" s="5"/>
      <c r="AQ17" s="5"/>
    </row>
    <row r="18" spans="1:47" s="6" customFormat="1" ht="15.75" customHeight="1" x14ac:dyDescent="0.3">
      <c r="A18" s="6">
        <v>4</v>
      </c>
      <c r="B18" s="6">
        <v>6</v>
      </c>
      <c r="C18" s="6">
        <v>11</v>
      </c>
      <c r="D18" s="55">
        <v>7</v>
      </c>
      <c r="E18" s="56">
        <v>7</v>
      </c>
      <c r="F18" s="56">
        <v>7</v>
      </c>
      <c r="G18" s="5">
        <v>5</v>
      </c>
      <c r="H18" s="5">
        <v>5</v>
      </c>
      <c r="I18" s="58" t="s">
        <v>29</v>
      </c>
      <c r="J18" s="6">
        <v>2</v>
      </c>
      <c r="K18" s="247">
        <v>7</v>
      </c>
      <c r="L18" s="247">
        <v>7</v>
      </c>
      <c r="M18" s="6">
        <v>2</v>
      </c>
      <c r="N18" s="58">
        <v>7</v>
      </c>
      <c r="O18" s="58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6">
        <v>2</v>
      </c>
      <c r="AF18" s="6">
        <v>7</v>
      </c>
      <c r="AG18" s="6">
        <v>7</v>
      </c>
      <c r="AH18" s="5"/>
      <c r="AI18" s="5">
        <v>2</v>
      </c>
      <c r="AJ18" s="6">
        <v>7</v>
      </c>
      <c r="AK18" s="6">
        <v>7</v>
      </c>
      <c r="AL18" s="6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  <row r="21" spans="1:47" s="6" customFormat="1" ht="15.75" customHeight="1" x14ac:dyDescent="0.3">
      <c r="C21" s="7"/>
      <c r="D21" s="55"/>
      <c r="E21" s="56"/>
      <c r="F21" s="56"/>
      <c r="G21" s="5"/>
      <c r="H21" s="5"/>
      <c r="I21" s="58"/>
      <c r="K21" s="247"/>
      <c r="L21" s="247"/>
      <c r="N21" s="58"/>
      <c r="O21" s="58"/>
      <c r="S21" s="5"/>
      <c r="T21" s="5"/>
      <c r="U21" s="5"/>
      <c r="AF21" s="11"/>
      <c r="AG21" s="11"/>
      <c r="AH21" s="5"/>
      <c r="AI21" s="5"/>
      <c r="AM21" s="11"/>
      <c r="AN21" s="11"/>
      <c r="AO21" s="12"/>
      <c r="AP21" s="5"/>
      <c r="AQ21" s="5"/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D21"/>
  <sheetViews>
    <sheetView zoomScale="105" zoomScaleNormal="105" workbookViewId="0">
      <selection sqref="A1:B1"/>
    </sheetView>
  </sheetViews>
  <sheetFormatPr defaultColWidth="8.77734375" defaultRowHeight="15.75" customHeight="1" x14ac:dyDescent="0.3"/>
  <cols>
    <col min="1" max="1" width="4.77734375" style="6" customWidth="1"/>
    <col min="2" max="2" width="6.77734375" style="6" customWidth="1"/>
    <col min="3" max="3" width="11.77734375" style="7" customWidth="1"/>
    <col min="4" max="4" width="7.77734375" style="55" customWidth="1"/>
    <col min="5" max="6" width="7.77734375" style="56" customWidth="1"/>
    <col min="7" max="8" width="5.77734375" style="5" customWidth="1"/>
    <col min="9" max="9" width="7.77734375" style="77" customWidth="1"/>
    <col min="10" max="10" width="2.77734375" style="6" customWidth="1"/>
    <col min="11" max="12" width="7.77734375" style="247" customWidth="1"/>
    <col min="13" max="13" width="2.77734375" style="6" customWidth="1"/>
    <col min="14" max="15" width="7.77734375" style="6" hidden="1" customWidth="1"/>
    <col min="16" max="16" width="2.77734375" style="6" hidden="1" customWidth="1"/>
    <col min="17" max="17" width="4.77734375" style="6" customWidth="1"/>
    <col min="18" max="18" width="7.77734375" style="6" customWidth="1"/>
    <col min="19" max="19" width="7.77734375" style="5" customWidth="1"/>
    <col min="20" max="20" width="7.77734375" style="5" hidden="1" customWidth="1"/>
    <col min="21" max="21" width="7.77734375" style="5" customWidth="1"/>
    <col min="22" max="22" width="7.77734375" style="6" hidden="1" customWidth="1"/>
    <col min="23" max="23" width="7.77734375" style="6" customWidth="1"/>
    <col min="24" max="24" width="7.77734375" style="6" hidden="1" customWidth="1"/>
    <col min="25" max="26" width="7.77734375" style="6" customWidth="1"/>
    <col min="27" max="27" width="7.77734375" style="6" hidden="1" customWidth="1"/>
    <col min="28" max="28" width="2.77734375" style="6" customWidth="1"/>
    <col min="29" max="29" width="7.77734375" style="241" customWidth="1"/>
    <col min="30" max="30" width="7.77734375" style="6" customWidth="1"/>
    <col min="31" max="31" width="2.77734375" style="6" customWidth="1"/>
    <col min="32" max="33" width="7.77734375" style="11" customWidth="1"/>
    <col min="34" max="35" width="2.77734375" style="5" customWidth="1"/>
    <col min="36" max="37" width="7.77734375" style="6" customWidth="1"/>
    <col min="38" max="38" width="2.77734375" style="6" customWidth="1"/>
    <col min="39" max="40" width="7.77734375" style="11" customWidth="1"/>
    <col min="41" max="41" width="2.77734375" style="12" customWidth="1"/>
    <col min="42" max="43" width="2.77734375" style="5" customWidth="1"/>
    <col min="44" max="47" width="5.77734375" style="6" customWidth="1"/>
    <col min="48" max="55" width="8.77734375" style="6"/>
    <col min="56" max="82" width="8.77734375" style="97"/>
    <col min="83" max="16384" width="8.77734375" style="6"/>
  </cols>
  <sheetData>
    <row r="1" spans="1:47" s="5" customFormat="1" ht="15.75" customHeight="1" x14ac:dyDescent="0.3">
      <c r="A1" s="260" t="s">
        <v>41</v>
      </c>
      <c r="B1" s="260"/>
      <c r="C1" s="13"/>
      <c r="D1" s="55"/>
      <c r="E1" s="56"/>
      <c r="F1" s="56"/>
      <c r="I1" s="77">
        <f>AVERAGE(I3:I14)</f>
        <v>3.9119442778039022</v>
      </c>
      <c r="K1" s="267" t="s">
        <v>1</v>
      </c>
      <c r="L1" s="267"/>
      <c r="N1" s="2">
        <f>AVERAGE(N3:N9)</f>
        <v>3.9533750672649717</v>
      </c>
      <c r="O1" s="2">
        <f>AVERAGE(O3:O9)</f>
        <v>3.577068380980267</v>
      </c>
      <c r="R1" s="5" t="s">
        <v>2</v>
      </c>
      <c r="S1" s="262" t="s">
        <v>3</v>
      </c>
      <c r="T1" s="262"/>
      <c r="U1" s="262"/>
      <c r="Y1" s="5" t="s">
        <v>4</v>
      </c>
      <c r="AC1" s="263" t="s">
        <v>31</v>
      </c>
      <c r="AD1" s="263"/>
      <c r="AF1" s="259" t="s">
        <v>32</v>
      </c>
      <c r="AG1" s="259"/>
      <c r="AJ1" s="263" t="s">
        <v>33</v>
      </c>
      <c r="AK1" s="263"/>
      <c r="AM1" s="259" t="s">
        <v>34</v>
      </c>
      <c r="AN1" s="259"/>
      <c r="AO1" s="14"/>
      <c r="AP1" s="14" t="s">
        <v>9</v>
      </c>
    </row>
    <row r="2" spans="1:47" s="5" customFormat="1" ht="15.75" customHeight="1" x14ac:dyDescent="0.3">
      <c r="A2" s="2" t="s">
        <v>10</v>
      </c>
      <c r="B2" s="2" t="s">
        <v>11</v>
      </c>
      <c r="C2" s="2" t="s">
        <v>12</v>
      </c>
      <c r="D2" s="1" t="s">
        <v>2</v>
      </c>
      <c r="E2" s="98" t="s">
        <v>4</v>
      </c>
      <c r="F2" s="98" t="str">
        <f>AA2</f>
        <v xml:space="preserve">+3-day </v>
      </c>
      <c r="G2" s="2" t="s">
        <v>13</v>
      </c>
      <c r="H2" s="2" t="s">
        <v>14</v>
      </c>
      <c r="I2" s="1" t="s">
        <v>15</v>
      </c>
      <c r="K2" s="258" t="str">
        <f>AJ2</f>
        <v>RD</v>
      </c>
      <c r="L2" s="242">
        <v>85520</v>
      </c>
      <c r="N2" s="263">
        <f>N1+O1</f>
        <v>7.5304434482452383</v>
      </c>
      <c r="O2" s="263"/>
      <c r="Q2" s="2" t="s">
        <v>10</v>
      </c>
      <c r="R2" s="2" t="s">
        <v>16</v>
      </c>
      <c r="S2" s="2" t="s">
        <v>17</v>
      </c>
      <c r="T2" s="2"/>
      <c r="U2" s="2">
        <v>85520</v>
      </c>
      <c r="V2" s="2"/>
      <c r="W2" s="2" t="s">
        <v>18</v>
      </c>
      <c r="X2" s="2"/>
      <c r="Y2" s="2" t="s">
        <v>19</v>
      </c>
      <c r="Z2" s="2" t="s">
        <v>20</v>
      </c>
      <c r="AA2" s="2" t="s">
        <v>21</v>
      </c>
      <c r="AC2" s="236" t="s">
        <v>17</v>
      </c>
      <c r="AD2" s="2">
        <v>85520</v>
      </c>
      <c r="AF2" s="3" t="s">
        <v>19</v>
      </c>
      <c r="AG2" s="3" t="s">
        <v>20</v>
      </c>
      <c r="AJ2" s="2" t="s">
        <v>17</v>
      </c>
      <c r="AK2" s="2">
        <v>85520</v>
      </c>
      <c r="AM2" s="3" t="s">
        <v>19</v>
      </c>
      <c r="AN2" s="3" t="s">
        <v>20</v>
      </c>
      <c r="AO2" s="14"/>
      <c r="AP2" s="14" t="s">
        <v>22</v>
      </c>
    </row>
    <row r="3" spans="1:47" s="6" customFormat="1" ht="15.75" customHeight="1" x14ac:dyDescent="0.3">
      <c r="A3" s="45">
        <v>1</v>
      </c>
      <c r="B3" s="45">
        <v>7</v>
      </c>
      <c r="C3" s="46">
        <v>45972</v>
      </c>
      <c r="D3" s="54">
        <v>275.25</v>
      </c>
      <c r="E3" s="54">
        <v>277.39999999999998</v>
      </c>
      <c r="F3" s="54">
        <v>272.41000000000003</v>
      </c>
      <c r="G3" s="48" t="str">
        <f t="shared" ref="G3:G15" si="0">IF(E3&gt;D3,"R","P")</f>
        <v>R</v>
      </c>
      <c r="H3" s="48" t="str">
        <f t="shared" ref="H3:H15" si="1">IF((D3&lt;E3)*(D3&lt;F3)+(D3&gt;E3)*(D3&gt;F3),"+","-")</f>
        <v>-</v>
      </c>
      <c r="I3" s="81">
        <f t="shared" ref="I3:I15" si="2">ABS((K3+L3)/2-F3)</f>
        <v>3.3097018345176821</v>
      </c>
      <c r="K3" s="255">
        <f t="shared" ref="K3:K15" si="3">IF(H3=1,(Y3*AF3+Z3*AG3+AC3),(Y3*AF3+Z3*AG3+AC3))</f>
        <v>268.36529816548233</v>
      </c>
      <c r="L3" s="255">
        <f t="shared" ref="L3:L15" si="4">K3+AD3</f>
        <v>269.83529816548236</v>
      </c>
      <c r="N3" s="45">
        <f t="shared" ref="N3:N15" si="5">ABS(F3-K3)</f>
        <v>4.0447018345176957</v>
      </c>
      <c r="O3" s="45">
        <f t="shared" ref="O3:O15" si="6">ABS(F3-L3)</f>
        <v>2.5747018345176684</v>
      </c>
      <c r="Q3" s="45">
        <v>7</v>
      </c>
      <c r="R3" s="99">
        <v>275.25</v>
      </c>
      <c r="S3" s="80">
        <v>275.352929394292</v>
      </c>
      <c r="T3" s="80" t="s">
        <v>17</v>
      </c>
      <c r="U3" s="80">
        <v>274.602929394292</v>
      </c>
      <c r="V3" s="99">
        <v>85520</v>
      </c>
      <c r="W3" s="99">
        <v>277.60000000000002</v>
      </c>
      <c r="X3" s="99" t="s">
        <v>19</v>
      </c>
      <c r="Y3" s="99">
        <v>277.35993968333798</v>
      </c>
      <c r="Z3" s="99">
        <v>275.10656062091499</v>
      </c>
      <c r="AA3" s="16">
        <v>272.41000000000003</v>
      </c>
      <c r="AC3" s="237">
        <v>-10.15</v>
      </c>
      <c r="AD3" s="47">
        <v>1.47</v>
      </c>
      <c r="AF3" s="47">
        <v>1.5127226490255901</v>
      </c>
      <c r="AG3" s="47">
        <f>1-AF3</f>
        <v>-0.51272264902559006</v>
      </c>
      <c r="AH3" s="48" t="str">
        <f t="shared" ref="AH3:AH15" si="7">G3</f>
        <v>R</v>
      </c>
      <c r="AI3" s="48" t="str">
        <f t="shared" ref="AI3:AI15" si="8">H3</f>
        <v>-</v>
      </c>
      <c r="AJ3" s="16"/>
      <c r="AK3" s="16"/>
      <c r="AM3" s="20"/>
      <c r="AN3" s="20"/>
      <c r="AO3" s="12"/>
      <c r="AP3" s="14" t="s">
        <v>23</v>
      </c>
      <c r="AQ3" s="5"/>
    </row>
    <row r="4" spans="1:47" s="6" customFormat="1" ht="15.75" customHeight="1" x14ac:dyDescent="0.3">
      <c r="A4" s="30">
        <f t="shared" ref="A4:B8" si="9">A3+1</f>
        <v>2</v>
      </c>
      <c r="B4" s="30">
        <f t="shared" si="9"/>
        <v>8</v>
      </c>
      <c r="C4" s="31">
        <f>C3+7</f>
        <v>45979</v>
      </c>
      <c r="D4" s="37">
        <v>267.44</v>
      </c>
      <c r="E4" s="37">
        <v>267.60000000000002</v>
      </c>
      <c r="F4" s="37">
        <v>271.49</v>
      </c>
      <c r="G4" s="33" t="str">
        <f t="shared" si="0"/>
        <v>R</v>
      </c>
      <c r="H4" s="33" t="str">
        <f t="shared" si="1"/>
        <v>+</v>
      </c>
      <c r="I4" s="83">
        <f t="shared" si="2"/>
        <v>2.6470954590725455</v>
      </c>
      <c r="K4" s="254">
        <f t="shared" si="3"/>
        <v>268.28290454092746</v>
      </c>
      <c r="L4" s="254">
        <f t="shared" si="4"/>
        <v>269.40290454092747</v>
      </c>
      <c r="N4" s="30">
        <f t="shared" si="5"/>
        <v>3.2070954590725478</v>
      </c>
      <c r="O4" s="30">
        <f t="shared" si="6"/>
        <v>2.0870954590725432</v>
      </c>
      <c r="Q4" s="30">
        <v>8</v>
      </c>
      <c r="R4" s="102">
        <v>267.44</v>
      </c>
      <c r="S4" s="82">
        <v>266.16546562152098</v>
      </c>
      <c r="T4" s="82" t="s">
        <v>19</v>
      </c>
      <c r="U4" s="82">
        <v>265.41546562152098</v>
      </c>
      <c r="V4" s="102" t="s">
        <v>19</v>
      </c>
      <c r="W4" s="102">
        <v>272.41000000000003</v>
      </c>
      <c r="X4" s="102" t="s">
        <v>18</v>
      </c>
      <c r="Y4" s="102">
        <v>267.58998144712399</v>
      </c>
      <c r="Z4" s="102">
        <v>267.92546666666698</v>
      </c>
      <c r="AA4" s="16">
        <v>271.49</v>
      </c>
      <c r="AC4" s="238">
        <v>0.51</v>
      </c>
      <c r="AD4" s="32">
        <v>1.1200000000000001</v>
      </c>
      <c r="AF4" s="32">
        <v>0.45475066218204602</v>
      </c>
      <c r="AG4" s="32">
        <f>1-AF4</f>
        <v>0.54524933781795393</v>
      </c>
      <c r="AH4" s="33" t="str">
        <f t="shared" si="7"/>
        <v>R</v>
      </c>
      <c r="AI4" s="33" t="str">
        <f t="shared" si="8"/>
        <v>+</v>
      </c>
      <c r="AJ4" s="16"/>
      <c r="AK4" s="16"/>
      <c r="AM4" s="20"/>
      <c r="AN4" s="20"/>
      <c r="AO4" s="12"/>
      <c r="AP4" s="14" t="s">
        <v>24</v>
      </c>
      <c r="AQ4" s="5"/>
    </row>
    <row r="5" spans="1:47" s="6" customFormat="1" ht="15.75" customHeight="1" x14ac:dyDescent="0.3">
      <c r="A5" s="30">
        <f t="shared" si="9"/>
        <v>3</v>
      </c>
      <c r="B5" s="30">
        <f t="shared" si="9"/>
        <v>9</v>
      </c>
      <c r="C5" s="31">
        <f>C4+7</f>
        <v>45986</v>
      </c>
      <c r="D5" s="37">
        <v>276.97000000000003</v>
      </c>
      <c r="E5" s="37">
        <v>278.60000000000002</v>
      </c>
      <c r="F5" s="37">
        <v>278.85000000000002</v>
      </c>
      <c r="G5" s="33" t="str">
        <f t="shared" si="0"/>
        <v>R</v>
      </c>
      <c r="H5" s="33" t="str">
        <f t="shared" si="1"/>
        <v>+</v>
      </c>
      <c r="I5" s="83">
        <f t="shared" si="2"/>
        <v>0.45953745990732386</v>
      </c>
      <c r="K5" s="254">
        <f t="shared" si="3"/>
        <v>278.74953745990734</v>
      </c>
      <c r="L5" s="254">
        <f t="shared" si="4"/>
        <v>279.86953745990735</v>
      </c>
      <c r="N5" s="30">
        <f t="shared" si="5"/>
        <v>0.10046254009267841</v>
      </c>
      <c r="O5" s="30">
        <f t="shared" si="6"/>
        <v>1.0195374599073261</v>
      </c>
      <c r="Q5" s="30">
        <v>9</v>
      </c>
      <c r="R5" s="102">
        <v>276.97000000000003</v>
      </c>
      <c r="S5" s="82">
        <v>276.93018393314998</v>
      </c>
      <c r="T5" s="82" t="s">
        <v>19</v>
      </c>
      <c r="U5" s="82">
        <v>276.18018393314998</v>
      </c>
      <c r="V5" s="102" t="s">
        <v>19</v>
      </c>
      <c r="W5" s="102">
        <v>277.89999999999998</v>
      </c>
      <c r="X5" s="102" t="s">
        <v>19</v>
      </c>
      <c r="Y5" s="102">
        <v>278.564127868122</v>
      </c>
      <c r="Z5" s="102">
        <v>277.96882149046797</v>
      </c>
      <c r="AA5" s="16">
        <v>278.85000000000002</v>
      </c>
      <c r="AC5" s="239">
        <f>AC4</f>
        <v>0.51</v>
      </c>
      <c r="AD5" s="35">
        <f>AD4</f>
        <v>1.1200000000000001</v>
      </c>
      <c r="AF5" s="35">
        <f>AF4</f>
        <v>0.45475066218204602</v>
      </c>
      <c r="AG5" s="35">
        <f>AG4</f>
        <v>0.54524933781795393</v>
      </c>
      <c r="AH5" s="33" t="str">
        <f t="shared" si="7"/>
        <v>R</v>
      </c>
      <c r="AI5" s="33" t="str">
        <f t="shared" si="8"/>
        <v>+</v>
      </c>
      <c r="AJ5" s="16"/>
      <c r="AK5" s="16"/>
      <c r="AM5" s="20"/>
      <c r="AN5" s="20"/>
      <c r="AO5" s="12"/>
      <c r="AP5" s="5"/>
      <c r="AQ5" s="5"/>
    </row>
    <row r="6" spans="1:47" s="6" customFormat="1" ht="15.75" customHeight="1" x14ac:dyDescent="0.3">
      <c r="A6" s="45">
        <f t="shared" si="9"/>
        <v>4</v>
      </c>
      <c r="B6" s="45">
        <f t="shared" si="9"/>
        <v>10</v>
      </c>
      <c r="C6" s="46">
        <f>C5+7</f>
        <v>45993</v>
      </c>
      <c r="D6" s="54">
        <v>286.19</v>
      </c>
      <c r="E6" s="54">
        <v>287.39999999999998</v>
      </c>
      <c r="F6" s="54">
        <v>278.23</v>
      </c>
      <c r="G6" s="48" t="str">
        <f t="shared" si="0"/>
        <v>R</v>
      </c>
      <c r="H6" s="48" t="str">
        <f t="shared" si="1"/>
        <v>-</v>
      </c>
      <c r="I6" s="81">
        <f t="shared" si="2"/>
        <v>0.42838913809623591</v>
      </c>
      <c r="K6" s="255">
        <f t="shared" si="3"/>
        <v>277.92338913809624</v>
      </c>
      <c r="L6" s="255">
        <f t="shared" si="4"/>
        <v>279.39338913809627</v>
      </c>
      <c r="N6" s="45">
        <f t="shared" si="5"/>
        <v>0.30661086190377773</v>
      </c>
      <c r="O6" s="45">
        <f t="shared" si="6"/>
        <v>1.1633891380962496</v>
      </c>
      <c r="Q6" s="45">
        <v>10</v>
      </c>
      <c r="R6" s="99">
        <v>286.19</v>
      </c>
      <c r="S6" s="80">
        <v>285.61979073596598</v>
      </c>
      <c r="T6" s="80" t="s">
        <v>17</v>
      </c>
      <c r="U6" s="80">
        <v>284.86979073596598</v>
      </c>
      <c r="V6" s="99">
        <v>85520</v>
      </c>
      <c r="W6" s="99">
        <v>288.10000000000002</v>
      </c>
      <c r="X6" s="99" t="s">
        <v>19</v>
      </c>
      <c r="Y6" s="99">
        <v>287.41063125816299</v>
      </c>
      <c r="Z6" s="99">
        <v>286.11800671506398</v>
      </c>
      <c r="AA6" s="16">
        <v>278.23</v>
      </c>
      <c r="AC6" s="240">
        <f>AC3</f>
        <v>-10.15</v>
      </c>
      <c r="AD6" s="49">
        <f>AD3</f>
        <v>1.47</v>
      </c>
      <c r="AF6" s="49">
        <f>AF3</f>
        <v>1.5127226490255901</v>
      </c>
      <c r="AG6" s="49">
        <f>AG3</f>
        <v>-0.51272264902559006</v>
      </c>
      <c r="AH6" s="48" t="str">
        <f t="shared" si="7"/>
        <v>R</v>
      </c>
      <c r="AI6" s="48" t="str">
        <f t="shared" si="8"/>
        <v>-</v>
      </c>
      <c r="AJ6" s="16"/>
      <c r="AK6" s="16"/>
      <c r="AM6" s="20"/>
      <c r="AN6" s="20"/>
      <c r="AO6" s="12"/>
      <c r="AP6" s="38" t="s">
        <v>25</v>
      </c>
      <c r="AQ6" s="5"/>
    </row>
    <row r="7" spans="1:47" s="6" customFormat="1" ht="15.75" customHeight="1" x14ac:dyDescent="0.3">
      <c r="A7" s="30">
        <f t="shared" si="9"/>
        <v>5</v>
      </c>
      <c r="B7" s="30">
        <f t="shared" si="9"/>
        <v>11</v>
      </c>
      <c r="C7" s="31">
        <f>C6+7</f>
        <v>46000</v>
      </c>
      <c r="D7" s="37">
        <v>277.18</v>
      </c>
      <c r="E7" s="37">
        <v>279.7</v>
      </c>
      <c r="F7" s="37">
        <v>278.23</v>
      </c>
      <c r="G7" s="33" t="str">
        <f t="shared" si="0"/>
        <v>R</v>
      </c>
      <c r="H7" s="33" t="str">
        <f t="shared" si="1"/>
        <v>+</v>
      </c>
      <c r="I7" s="83">
        <f t="shared" si="2"/>
        <v>1.8225041482162396</v>
      </c>
      <c r="K7" s="254">
        <f t="shared" si="3"/>
        <v>279.49250414821626</v>
      </c>
      <c r="L7" s="254">
        <f t="shared" si="4"/>
        <v>280.61250414821626</v>
      </c>
      <c r="N7" s="30">
        <f t="shared" si="5"/>
        <v>1.2625041482162374</v>
      </c>
      <c r="O7" s="30">
        <f t="shared" si="6"/>
        <v>2.3825041482162419</v>
      </c>
      <c r="Q7" s="30">
        <v>11</v>
      </c>
      <c r="R7" s="102">
        <v>277.18</v>
      </c>
      <c r="S7" s="82">
        <v>277.901509311881</v>
      </c>
      <c r="T7" s="82" t="s">
        <v>17</v>
      </c>
      <c r="U7" s="82">
        <v>277.151509311881</v>
      </c>
      <c r="V7" s="102">
        <v>85520</v>
      </c>
      <c r="W7" s="102">
        <v>278.60000000000002</v>
      </c>
      <c r="X7" s="102" t="s">
        <v>18</v>
      </c>
      <c r="Y7" s="102">
        <v>279.695892939548</v>
      </c>
      <c r="Z7" s="102">
        <v>278.38752126102997</v>
      </c>
      <c r="AA7" s="16">
        <v>278.23</v>
      </c>
      <c r="AC7" s="239">
        <f>AC5</f>
        <v>0.51</v>
      </c>
      <c r="AD7" s="35">
        <f>AD5</f>
        <v>1.1200000000000001</v>
      </c>
      <c r="AF7" s="35">
        <f>AF5</f>
        <v>0.45475066218204602</v>
      </c>
      <c r="AG7" s="35">
        <f>AG5</f>
        <v>0.54524933781795393</v>
      </c>
      <c r="AH7" s="33" t="str">
        <f t="shared" si="7"/>
        <v>R</v>
      </c>
      <c r="AI7" s="33" t="str">
        <f t="shared" si="8"/>
        <v>+</v>
      </c>
      <c r="AJ7" s="16"/>
      <c r="AK7" s="16"/>
      <c r="AM7" s="20"/>
      <c r="AN7" s="20"/>
      <c r="AO7" s="12"/>
      <c r="AP7" s="39" t="s">
        <v>26</v>
      </c>
      <c r="AQ7" s="39" t="s">
        <v>27</v>
      </c>
      <c r="AR7" s="40">
        <v>0.03</v>
      </c>
      <c r="AS7" s="40">
        <v>1.1200000000000001</v>
      </c>
      <c r="AT7" s="40">
        <v>0.5</v>
      </c>
      <c r="AU7" s="40">
        <v>0.5</v>
      </c>
    </row>
    <row r="8" spans="1:47" s="6" customFormat="1" ht="15.75" customHeight="1" x14ac:dyDescent="0.3">
      <c r="A8" s="45">
        <f t="shared" si="9"/>
        <v>6</v>
      </c>
      <c r="B8" s="45">
        <f t="shared" si="9"/>
        <v>12</v>
      </c>
      <c r="C8" s="46">
        <f>C7+7</f>
        <v>46007</v>
      </c>
      <c r="D8" s="54">
        <v>274.61</v>
      </c>
      <c r="E8" s="54">
        <v>275.3</v>
      </c>
      <c r="F8" s="54">
        <v>273.67</v>
      </c>
      <c r="G8" s="48" t="str">
        <f t="shared" si="0"/>
        <v>R</v>
      </c>
      <c r="H8" s="48" t="str">
        <f t="shared" si="1"/>
        <v>-</v>
      </c>
      <c r="I8" s="81">
        <f t="shared" si="2"/>
        <v>7.1322698741277577</v>
      </c>
      <c r="K8" s="255">
        <f t="shared" si="3"/>
        <v>265.80273012587224</v>
      </c>
      <c r="L8" s="255">
        <f t="shared" si="4"/>
        <v>267.27273012587227</v>
      </c>
      <c r="N8" s="45">
        <f t="shared" si="5"/>
        <v>7.8672698741277713</v>
      </c>
      <c r="O8" s="45">
        <f t="shared" si="6"/>
        <v>6.3972698741277441</v>
      </c>
      <c r="Q8" s="45">
        <v>12</v>
      </c>
      <c r="R8" s="99">
        <v>274.61</v>
      </c>
      <c r="S8" s="80">
        <v>273.48365482272101</v>
      </c>
      <c r="T8" s="80" t="s">
        <v>17</v>
      </c>
      <c r="U8" s="80">
        <v>272.73365482272101</v>
      </c>
      <c r="V8" s="99">
        <v>85520</v>
      </c>
      <c r="W8" s="99">
        <v>274.89999999999998</v>
      </c>
      <c r="X8" s="99" t="s">
        <v>18</v>
      </c>
      <c r="Y8" s="99">
        <v>275.27921568627499</v>
      </c>
      <c r="Z8" s="99">
        <v>273.96561184825998</v>
      </c>
      <c r="AA8" s="16">
        <v>273.67</v>
      </c>
      <c r="AC8" s="240">
        <f>AC6</f>
        <v>-10.15</v>
      </c>
      <c r="AD8" s="49">
        <f>AD6</f>
        <v>1.47</v>
      </c>
      <c r="AF8" s="49">
        <f>AF6</f>
        <v>1.5127226490255901</v>
      </c>
      <c r="AG8" s="49">
        <f>AG6</f>
        <v>-0.51272264902559006</v>
      </c>
      <c r="AH8" s="48" t="str">
        <f t="shared" si="7"/>
        <v>R</v>
      </c>
      <c r="AI8" s="48" t="str">
        <f t="shared" si="8"/>
        <v>-</v>
      </c>
      <c r="AJ8" s="16"/>
      <c r="AK8" s="16"/>
      <c r="AM8" s="20"/>
      <c r="AN8" s="20"/>
      <c r="AO8" s="12"/>
      <c r="AP8" s="41" t="s">
        <v>26</v>
      </c>
      <c r="AQ8" s="41" t="s">
        <v>28</v>
      </c>
      <c r="AR8" s="42">
        <v>-5</v>
      </c>
      <c r="AS8" s="42">
        <v>1.47</v>
      </c>
      <c r="AT8" s="42">
        <v>0.8</v>
      </c>
      <c r="AU8" s="42">
        <v>0.2</v>
      </c>
    </row>
    <row r="9" spans="1:47" s="6" customFormat="1" ht="15.75" customHeight="1" x14ac:dyDescent="0.3">
      <c r="A9" s="45">
        <f t="shared" ref="A9:A15" si="10">A8+1</f>
        <v>7</v>
      </c>
      <c r="B9" s="45">
        <v>1</v>
      </c>
      <c r="C9" s="46">
        <v>46035</v>
      </c>
      <c r="D9" s="54">
        <v>261.05</v>
      </c>
      <c r="E9" s="54">
        <v>261.7</v>
      </c>
      <c r="F9" s="54">
        <v>255.53</v>
      </c>
      <c r="G9" s="48" t="str">
        <f t="shared" si="0"/>
        <v>R</v>
      </c>
      <c r="H9" s="48" t="str">
        <f t="shared" si="1"/>
        <v>-</v>
      </c>
      <c r="I9" s="81">
        <f t="shared" si="2"/>
        <v>10.149980752924108</v>
      </c>
      <c r="K9" s="255">
        <f t="shared" si="3"/>
        <v>244.64501924707591</v>
      </c>
      <c r="L9" s="255">
        <f t="shared" si="4"/>
        <v>246.11501924707591</v>
      </c>
      <c r="N9" s="45">
        <f t="shared" si="5"/>
        <v>10.884980752924093</v>
      </c>
      <c r="O9" s="45">
        <f t="shared" si="6"/>
        <v>9.4149807529240945</v>
      </c>
      <c r="Q9" s="45">
        <v>1</v>
      </c>
      <c r="R9" s="99">
        <v>261.05</v>
      </c>
      <c r="S9" s="80">
        <v>263.29764905636802</v>
      </c>
      <c r="T9" s="80" t="s">
        <v>19</v>
      </c>
      <c r="U9" s="80">
        <v>262.54764905636802</v>
      </c>
      <c r="V9" s="99" t="s">
        <v>19</v>
      </c>
      <c r="W9" s="99">
        <v>261.5</v>
      </c>
      <c r="X9" s="99" t="s">
        <v>18</v>
      </c>
      <c r="Y9" s="99">
        <v>261.74692028985498</v>
      </c>
      <c r="Z9" s="99">
        <v>275.30571480769203</v>
      </c>
      <c r="AA9" s="16">
        <v>255.53</v>
      </c>
      <c r="AC9" s="240">
        <f>AC8</f>
        <v>-10.15</v>
      </c>
      <c r="AD9" s="49">
        <f>AD8</f>
        <v>1.47</v>
      </c>
      <c r="AF9" s="49">
        <f>AF8</f>
        <v>1.5127226490255901</v>
      </c>
      <c r="AG9" s="49">
        <f>AG8</f>
        <v>-0.51272264902559006</v>
      </c>
      <c r="AH9" s="48" t="str">
        <f t="shared" si="7"/>
        <v>R</v>
      </c>
      <c r="AI9" s="48" t="str">
        <f t="shared" si="8"/>
        <v>-</v>
      </c>
      <c r="AJ9" s="16"/>
      <c r="AK9" s="16"/>
      <c r="AM9" s="20"/>
      <c r="AN9" s="20"/>
      <c r="AO9" s="12"/>
      <c r="AP9" s="43" t="s">
        <v>4</v>
      </c>
      <c r="AQ9" s="43" t="s">
        <v>27</v>
      </c>
      <c r="AR9" s="44"/>
      <c r="AS9" s="44"/>
      <c r="AT9" s="44"/>
      <c r="AU9" s="44"/>
    </row>
    <row r="10" spans="1:47" s="6" customFormat="1" ht="15.75" customHeight="1" x14ac:dyDescent="0.3">
      <c r="A10" s="30">
        <f t="shared" si="10"/>
        <v>8</v>
      </c>
      <c r="B10" s="30">
        <f t="shared" ref="B10:B15" si="11">B9+1</f>
        <v>2</v>
      </c>
      <c r="C10" s="31">
        <f t="shared" ref="C10:C15" si="12">C9+7</f>
        <v>46042</v>
      </c>
      <c r="D10" s="37">
        <v>246.7</v>
      </c>
      <c r="E10" s="37">
        <v>248.6</v>
      </c>
      <c r="F10" s="37">
        <v>248.04</v>
      </c>
      <c r="G10" s="33" t="str">
        <f t="shared" si="0"/>
        <v>R</v>
      </c>
      <c r="H10" s="33" t="str">
        <f t="shared" si="1"/>
        <v>+</v>
      </c>
      <c r="I10" s="83">
        <f t="shared" si="2"/>
        <v>3.672095401390834</v>
      </c>
      <c r="K10" s="254">
        <f t="shared" si="3"/>
        <v>251.15209540139082</v>
      </c>
      <c r="L10" s="254">
        <f t="shared" si="4"/>
        <v>252.27209540139083</v>
      </c>
      <c r="N10" s="30">
        <f t="shared" si="5"/>
        <v>3.1120954013908317</v>
      </c>
      <c r="O10" s="30">
        <f t="shared" si="6"/>
        <v>4.2320954013908363</v>
      </c>
      <c r="Q10" s="30">
        <f t="shared" ref="Q10:Q15" si="13">Q9+1</f>
        <v>2</v>
      </c>
      <c r="R10" s="102">
        <v>246.7</v>
      </c>
      <c r="S10" s="82">
        <v>244</v>
      </c>
      <c r="T10" s="82" t="s">
        <v>19</v>
      </c>
      <c r="U10" s="82">
        <v>245</v>
      </c>
      <c r="V10" s="102" t="s">
        <v>19</v>
      </c>
      <c r="W10" s="102">
        <v>246.2</v>
      </c>
      <c r="X10" s="102" t="s">
        <v>18</v>
      </c>
      <c r="Y10" s="102">
        <v>250.069465346535</v>
      </c>
      <c r="Z10" s="102">
        <v>251.119682220062</v>
      </c>
      <c r="AA10" s="16"/>
      <c r="AC10" s="239">
        <f>AC7</f>
        <v>0.51</v>
      </c>
      <c r="AD10" s="35">
        <f>AD7</f>
        <v>1.1200000000000001</v>
      </c>
      <c r="AF10" s="30">
        <f>AF7</f>
        <v>0.45475066218204602</v>
      </c>
      <c r="AG10" s="30">
        <f>AG7</f>
        <v>0.54524933781795393</v>
      </c>
      <c r="AH10" s="33" t="str">
        <f t="shared" si="7"/>
        <v>R</v>
      </c>
      <c r="AI10" s="33" t="str">
        <f t="shared" si="8"/>
        <v>+</v>
      </c>
      <c r="AJ10" s="16"/>
      <c r="AK10" s="16"/>
      <c r="AM10" s="20"/>
      <c r="AN10" s="20"/>
      <c r="AO10" s="12"/>
      <c r="AP10" s="2" t="s">
        <v>4</v>
      </c>
      <c r="AQ10" s="2" t="s">
        <v>28</v>
      </c>
      <c r="AR10" s="16"/>
      <c r="AS10" s="16"/>
      <c r="AT10" s="16"/>
      <c r="AU10" s="16"/>
    </row>
    <row r="11" spans="1:47" s="6" customFormat="1" ht="15.75" customHeight="1" x14ac:dyDescent="0.3">
      <c r="A11" s="30">
        <f t="shared" si="10"/>
        <v>9</v>
      </c>
      <c r="B11" s="30">
        <f t="shared" si="11"/>
        <v>3</v>
      </c>
      <c r="C11" s="31">
        <f t="shared" si="12"/>
        <v>46049</v>
      </c>
      <c r="D11" s="37">
        <f>R11</f>
        <v>258.27</v>
      </c>
      <c r="E11" s="37">
        <f>Y11</f>
        <v>262.26928571428499</v>
      </c>
      <c r="F11" s="37">
        <v>259.48</v>
      </c>
      <c r="G11" s="33" t="str">
        <f t="shared" si="0"/>
        <v>R</v>
      </c>
      <c r="H11" s="33" t="str">
        <f t="shared" si="1"/>
        <v>+</v>
      </c>
      <c r="I11" s="83">
        <f t="shared" si="2"/>
        <v>2.9853516638512474</v>
      </c>
      <c r="K11" s="254">
        <f t="shared" si="3"/>
        <v>261.90535166385126</v>
      </c>
      <c r="L11" s="254">
        <f t="shared" si="4"/>
        <v>263.02535166385127</v>
      </c>
      <c r="N11" s="30">
        <f t="shared" si="5"/>
        <v>2.4253516638512451</v>
      </c>
      <c r="O11" s="30">
        <f t="shared" si="6"/>
        <v>3.5453516638512497</v>
      </c>
      <c r="Q11" s="30">
        <f t="shared" si="13"/>
        <v>3</v>
      </c>
      <c r="R11" s="102">
        <v>258.27</v>
      </c>
      <c r="S11" s="82">
        <v>262</v>
      </c>
      <c r="T11" s="82" t="s">
        <v>17</v>
      </c>
      <c r="U11" s="82">
        <v>261.3</v>
      </c>
      <c r="V11" s="102">
        <v>85520</v>
      </c>
      <c r="W11" s="102">
        <v>259.39999999999998</v>
      </c>
      <c r="X11" s="102" t="s">
        <v>18</v>
      </c>
      <c r="Y11" s="102">
        <v>262.26928571428499</v>
      </c>
      <c r="Z11" s="102">
        <v>260.66647028688601</v>
      </c>
      <c r="AA11" s="16">
        <v>248.04</v>
      </c>
      <c r="AC11" s="239">
        <f>AC7</f>
        <v>0.51</v>
      </c>
      <c r="AD11" s="35">
        <f>AD7</f>
        <v>1.1200000000000001</v>
      </c>
      <c r="AF11" s="35">
        <f>AF7</f>
        <v>0.45475066218204602</v>
      </c>
      <c r="AG11" s="35">
        <f>AG7</f>
        <v>0.54524933781795393</v>
      </c>
      <c r="AH11" s="33" t="str">
        <f t="shared" si="7"/>
        <v>R</v>
      </c>
      <c r="AI11" s="33" t="str">
        <f t="shared" si="8"/>
        <v>+</v>
      </c>
      <c r="AJ11" s="16"/>
      <c r="AK11" s="16"/>
      <c r="AM11" s="20"/>
      <c r="AN11" s="20"/>
      <c r="AO11" s="12"/>
      <c r="AP11" s="5"/>
      <c r="AQ11" s="5"/>
    </row>
    <row r="12" spans="1:47" s="6" customFormat="1" ht="15.75" customHeight="1" x14ac:dyDescent="0.3">
      <c r="A12" s="30">
        <f t="shared" si="10"/>
        <v>10</v>
      </c>
      <c r="B12" s="30">
        <f t="shared" si="11"/>
        <v>4</v>
      </c>
      <c r="C12" s="31">
        <f t="shared" si="12"/>
        <v>46056</v>
      </c>
      <c r="D12" s="37">
        <v>269.48</v>
      </c>
      <c r="E12" s="37">
        <v>270.804754098361</v>
      </c>
      <c r="F12" s="37">
        <v>275</v>
      </c>
      <c r="G12" s="33" t="str">
        <f t="shared" si="0"/>
        <v>R</v>
      </c>
      <c r="H12" s="33" t="str">
        <f t="shared" si="1"/>
        <v>+</v>
      </c>
      <c r="I12" s="83">
        <f t="shared" si="2"/>
        <v>3.6701782899644968</v>
      </c>
      <c r="K12" s="254">
        <f t="shared" si="3"/>
        <v>270.7698217100355</v>
      </c>
      <c r="L12" s="254">
        <f t="shared" si="4"/>
        <v>271.88982171003551</v>
      </c>
      <c r="N12" s="30">
        <f t="shared" si="5"/>
        <v>4.2301782899644991</v>
      </c>
      <c r="O12" s="30">
        <f t="shared" si="6"/>
        <v>3.1101782899644945</v>
      </c>
      <c r="Q12" s="30">
        <f t="shared" si="13"/>
        <v>4</v>
      </c>
      <c r="R12" s="102">
        <v>269.48</v>
      </c>
      <c r="S12" s="82">
        <f>K12</f>
        <v>270.7698217100355</v>
      </c>
      <c r="T12" s="82" t="s">
        <v>17</v>
      </c>
      <c r="U12" s="82">
        <f>L12</f>
        <v>271.88982171003551</v>
      </c>
      <c r="V12" s="102">
        <v>85520</v>
      </c>
      <c r="W12" s="102">
        <v>270.60000000000002</v>
      </c>
      <c r="X12" s="102" t="s">
        <v>18</v>
      </c>
      <c r="Y12" s="102">
        <v>270.804754098361</v>
      </c>
      <c r="Z12" s="102">
        <v>269.80533539112099</v>
      </c>
      <c r="AA12" s="16">
        <v>278.23</v>
      </c>
      <c r="AC12" s="239">
        <f>AC11</f>
        <v>0.51</v>
      </c>
      <c r="AD12" s="35">
        <f>AD11</f>
        <v>1.1200000000000001</v>
      </c>
      <c r="AF12" s="35">
        <f>AF11</f>
        <v>0.45475066218204602</v>
      </c>
      <c r="AG12" s="35">
        <f>AG11</f>
        <v>0.54524933781795393</v>
      </c>
      <c r="AH12" s="33" t="str">
        <f t="shared" si="7"/>
        <v>R</v>
      </c>
      <c r="AI12" s="33" t="str">
        <f t="shared" si="8"/>
        <v>+</v>
      </c>
      <c r="AJ12" s="16"/>
      <c r="AK12" s="16"/>
      <c r="AM12" s="20"/>
      <c r="AN12" s="20"/>
      <c r="AO12" s="12"/>
      <c r="AP12" s="5"/>
      <c r="AQ12" s="5" t="s">
        <v>26</v>
      </c>
      <c r="AR12" s="6">
        <f>COUNTIF(G3:G14,"R")</f>
        <v>12</v>
      </c>
    </row>
    <row r="13" spans="1:47" s="6" customFormat="1" ht="15.75" customHeight="1" x14ac:dyDescent="0.3">
      <c r="A13" s="45">
        <f t="shared" si="10"/>
        <v>11</v>
      </c>
      <c r="B13" s="45">
        <f t="shared" si="11"/>
        <v>5</v>
      </c>
      <c r="C13" s="46">
        <f t="shared" si="12"/>
        <v>46063</v>
      </c>
      <c r="D13" s="54">
        <f>R13</f>
        <v>273.68</v>
      </c>
      <c r="E13" s="54">
        <f>Y13</f>
        <v>275.07363636363601</v>
      </c>
      <c r="F13" s="54">
        <v>255.78</v>
      </c>
      <c r="G13" s="48" t="str">
        <f t="shared" si="0"/>
        <v>R</v>
      </c>
      <c r="H13" s="48" t="str">
        <f t="shared" si="1"/>
        <v>-</v>
      </c>
      <c r="I13" s="81">
        <f t="shared" si="2"/>
        <v>10.156227142415645</v>
      </c>
      <c r="K13" s="255">
        <f t="shared" si="3"/>
        <v>265.20122714241563</v>
      </c>
      <c r="L13" s="255">
        <f t="shared" si="4"/>
        <v>266.67122714241566</v>
      </c>
      <c r="N13" s="45">
        <f t="shared" si="5"/>
        <v>9.4212271424156313</v>
      </c>
      <c r="O13" s="45">
        <f t="shared" si="6"/>
        <v>10.891227142415659</v>
      </c>
      <c r="Q13" s="45">
        <f t="shared" si="13"/>
        <v>5</v>
      </c>
      <c r="R13" s="99">
        <v>273.68</v>
      </c>
      <c r="S13" s="80">
        <v>274.7</v>
      </c>
      <c r="T13" s="80" t="s">
        <v>19</v>
      </c>
      <c r="U13" s="80">
        <v>274.3</v>
      </c>
      <c r="V13" s="99" t="s">
        <v>19</v>
      </c>
      <c r="W13" s="99">
        <v>274.39999999999998</v>
      </c>
      <c r="X13" s="99" t="s">
        <v>19</v>
      </c>
      <c r="Y13" s="99">
        <v>275.07363636363601</v>
      </c>
      <c r="Z13" s="99">
        <v>274.53223102625299</v>
      </c>
      <c r="AA13" s="16">
        <v>278.23</v>
      </c>
      <c r="AC13" s="240">
        <f>AC9</f>
        <v>-10.15</v>
      </c>
      <c r="AD13" s="49">
        <f>AD9</f>
        <v>1.47</v>
      </c>
      <c r="AF13" s="49">
        <f>AF9</f>
        <v>1.5127226490255901</v>
      </c>
      <c r="AG13" s="49">
        <f>AG9</f>
        <v>-0.51272264902559006</v>
      </c>
      <c r="AH13" s="48" t="str">
        <f t="shared" si="7"/>
        <v>R</v>
      </c>
      <c r="AI13" s="48" t="str">
        <f t="shared" si="8"/>
        <v>-</v>
      </c>
      <c r="AJ13" s="16"/>
      <c r="AK13" s="16"/>
      <c r="AM13" s="20"/>
      <c r="AN13" s="20"/>
      <c r="AO13" s="12"/>
      <c r="AP13" s="5"/>
      <c r="AQ13" s="5" t="s">
        <v>4</v>
      </c>
      <c r="AR13" s="6">
        <f>COUNTIF(G3:G14,"P")</f>
        <v>0</v>
      </c>
    </row>
    <row r="14" spans="1:47" s="6" customFormat="1" ht="15.75" customHeight="1" x14ac:dyDescent="0.3">
      <c r="A14" s="30">
        <f t="shared" si="10"/>
        <v>12</v>
      </c>
      <c r="B14" s="30">
        <f t="shared" si="11"/>
        <v>6</v>
      </c>
      <c r="C14" s="31">
        <f t="shared" si="12"/>
        <v>46070</v>
      </c>
      <c r="D14" s="37">
        <v>263.88</v>
      </c>
      <c r="E14" s="37">
        <v>264.2</v>
      </c>
      <c r="F14" s="37">
        <v>265.39999999999998</v>
      </c>
      <c r="G14" s="33" t="str">
        <f t="shared" si="0"/>
        <v>R</v>
      </c>
      <c r="H14" s="33" t="str">
        <f t="shared" si="1"/>
        <v>+</v>
      </c>
      <c r="I14" s="83">
        <f t="shared" si="2"/>
        <v>0.51000016916270852</v>
      </c>
      <c r="K14" s="254">
        <f t="shared" si="3"/>
        <v>265.35000016916268</v>
      </c>
      <c r="L14" s="254">
        <f t="shared" si="4"/>
        <v>266.47000016916269</v>
      </c>
      <c r="N14" s="30">
        <f t="shared" si="5"/>
        <v>4.9999830837293757E-2</v>
      </c>
      <c r="O14" s="30">
        <f t="shared" si="6"/>
        <v>1.0700001691627108</v>
      </c>
      <c r="Q14" s="30">
        <f t="shared" si="13"/>
        <v>6</v>
      </c>
      <c r="R14" s="102">
        <v>263.88</v>
      </c>
      <c r="S14" s="82">
        <v>266.39999999999998</v>
      </c>
      <c r="T14" s="82" t="s">
        <v>19</v>
      </c>
      <c r="U14" s="82">
        <v>267.2</v>
      </c>
      <c r="V14" s="102" t="s">
        <v>19</v>
      </c>
      <c r="W14" s="102">
        <v>274.39999999999998</v>
      </c>
      <c r="X14" s="102" t="s">
        <v>19</v>
      </c>
      <c r="Y14" s="102">
        <v>264.22160000000002</v>
      </c>
      <c r="Z14" s="102">
        <v>265.35576033045999</v>
      </c>
      <c r="AA14" s="16">
        <v>278.23</v>
      </c>
      <c r="AC14" s="239">
        <f>AC12</f>
        <v>0.51</v>
      </c>
      <c r="AD14" s="35">
        <f>AD12</f>
        <v>1.1200000000000001</v>
      </c>
      <c r="AF14" s="35">
        <f>AF12</f>
        <v>0.45475066218204602</v>
      </c>
      <c r="AG14" s="35">
        <f>AG12</f>
        <v>0.54524933781795393</v>
      </c>
      <c r="AH14" s="33" t="str">
        <f t="shared" si="7"/>
        <v>R</v>
      </c>
      <c r="AI14" s="33" t="str">
        <f t="shared" si="8"/>
        <v>+</v>
      </c>
      <c r="AJ14" s="16"/>
      <c r="AK14" s="16"/>
      <c r="AM14" s="20"/>
      <c r="AN14" s="20"/>
      <c r="AO14" s="12"/>
      <c r="AP14" s="5"/>
      <c r="AQ14" s="5"/>
    </row>
    <row r="15" spans="1:47" s="6" customFormat="1" ht="15.75" customHeight="1" x14ac:dyDescent="0.3">
      <c r="A15" s="30">
        <f t="shared" si="10"/>
        <v>13</v>
      </c>
      <c r="B15" s="30">
        <f t="shared" si="11"/>
        <v>7</v>
      </c>
      <c r="C15" s="31">
        <f t="shared" si="12"/>
        <v>46077</v>
      </c>
      <c r="D15" s="37">
        <v>272.14</v>
      </c>
      <c r="E15" s="37">
        <v>274.39999999999998</v>
      </c>
      <c r="F15" s="37">
        <v>273</v>
      </c>
      <c r="G15" s="33" t="str">
        <f t="shared" si="0"/>
        <v>R</v>
      </c>
      <c r="H15" s="33" t="str">
        <f t="shared" si="1"/>
        <v>+</v>
      </c>
      <c r="I15" s="83">
        <f t="shared" si="2"/>
        <v>0.73842951056377615</v>
      </c>
      <c r="J15" s="6" t="s">
        <v>27</v>
      </c>
      <c r="K15" s="254">
        <f t="shared" si="3"/>
        <v>273.17842951056377</v>
      </c>
      <c r="L15" s="254">
        <f t="shared" si="4"/>
        <v>274.29842951056378</v>
      </c>
      <c r="N15" s="30">
        <f t="shared" si="5"/>
        <v>0.17842951056377387</v>
      </c>
      <c r="O15" s="30">
        <f t="shared" si="6"/>
        <v>1.2984295105637784</v>
      </c>
      <c r="Q15" s="30">
        <f t="shared" si="13"/>
        <v>7</v>
      </c>
      <c r="R15" s="102">
        <v>272.14</v>
      </c>
      <c r="S15" s="82">
        <v>273.2</v>
      </c>
      <c r="T15" s="82"/>
      <c r="U15" s="82">
        <v>274.3</v>
      </c>
      <c r="V15" s="102">
        <v>85520</v>
      </c>
      <c r="W15" s="102">
        <v>272.89999999999998</v>
      </c>
      <c r="X15" s="102"/>
      <c r="Y15" s="102">
        <v>274.37624113475198</v>
      </c>
      <c r="Z15" s="102">
        <v>271.24407479224402</v>
      </c>
      <c r="AA15" s="16">
        <v>278.23</v>
      </c>
      <c r="AC15" s="239">
        <f>AC14</f>
        <v>0.51</v>
      </c>
      <c r="AD15" s="35">
        <f>AD14</f>
        <v>1.1200000000000001</v>
      </c>
      <c r="AF15" s="35">
        <f>AF14</f>
        <v>0.45475066218204602</v>
      </c>
      <c r="AG15" s="35">
        <f>AG14</f>
        <v>0.54524933781795393</v>
      </c>
      <c r="AH15" s="33" t="str">
        <f t="shared" si="7"/>
        <v>R</v>
      </c>
      <c r="AI15" s="33" t="str">
        <f t="shared" si="8"/>
        <v>+</v>
      </c>
      <c r="AJ15" s="16"/>
      <c r="AK15" s="16"/>
      <c r="AM15" s="20"/>
      <c r="AN15" s="20"/>
      <c r="AO15" s="12"/>
      <c r="AP15" s="5"/>
      <c r="AQ15" s="5"/>
    </row>
    <row r="16" spans="1:47" s="6" customFormat="1" ht="15.75" customHeight="1" x14ac:dyDescent="0.3">
      <c r="C16" s="7"/>
      <c r="D16" s="55"/>
      <c r="E16" s="56"/>
      <c r="F16" s="56"/>
      <c r="G16" s="5"/>
      <c r="H16" s="5"/>
      <c r="I16" s="77"/>
      <c r="K16" s="247"/>
      <c r="L16" s="247"/>
      <c r="S16" s="5"/>
      <c r="T16" s="5"/>
      <c r="U16" s="5"/>
      <c r="AC16" s="241"/>
      <c r="AF16" s="11"/>
      <c r="AG16" s="11"/>
      <c r="AH16" s="5"/>
      <c r="AI16" s="5"/>
      <c r="AM16" s="11"/>
      <c r="AN16" s="11"/>
      <c r="AO16" s="12"/>
      <c r="AP16" s="5"/>
      <c r="AQ16" s="5"/>
    </row>
    <row r="17" spans="1:47" s="6" customFormat="1" ht="15.75" customHeight="1" x14ac:dyDescent="0.3">
      <c r="C17" s="7"/>
      <c r="D17" s="55"/>
      <c r="E17" s="56"/>
      <c r="F17" s="56"/>
      <c r="G17" s="5"/>
      <c r="H17" s="5"/>
      <c r="I17" s="77"/>
      <c r="K17" s="247"/>
      <c r="L17" s="247"/>
      <c r="S17" s="5"/>
      <c r="T17" s="5"/>
      <c r="U17" s="5"/>
      <c r="AC17" s="241"/>
      <c r="AF17" s="11"/>
      <c r="AG17" s="11"/>
      <c r="AH17" s="5"/>
      <c r="AI17" s="5"/>
      <c r="AM17" s="11"/>
      <c r="AN17" s="11"/>
      <c r="AO17" s="12"/>
      <c r="AP17" s="5"/>
      <c r="AQ17" s="5"/>
    </row>
    <row r="18" spans="1:47" s="6" customFormat="1" ht="15.75" customHeight="1" x14ac:dyDescent="0.3">
      <c r="A18" s="6">
        <v>4</v>
      </c>
      <c r="B18" s="6">
        <v>6</v>
      </c>
      <c r="C18" s="6">
        <v>11</v>
      </c>
      <c r="D18" s="55">
        <v>7</v>
      </c>
      <c r="E18" s="56">
        <v>7</v>
      </c>
      <c r="F18" s="56">
        <v>7</v>
      </c>
      <c r="G18" s="5">
        <v>5</v>
      </c>
      <c r="H18" s="5">
        <v>5</v>
      </c>
      <c r="I18" s="77" t="s">
        <v>29</v>
      </c>
      <c r="J18" s="6">
        <v>2</v>
      </c>
      <c r="K18" s="247">
        <v>7</v>
      </c>
      <c r="L18" s="247">
        <v>7</v>
      </c>
      <c r="M18" s="6">
        <v>2</v>
      </c>
      <c r="N18" s="6">
        <v>7</v>
      </c>
      <c r="O18" s="6">
        <v>7</v>
      </c>
      <c r="P18" s="6">
        <v>2</v>
      </c>
      <c r="Q18" s="6">
        <v>4</v>
      </c>
      <c r="R18" s="58">
        <v>7</v>
      </c>
      <c r="S18" s="55">
        <v>7</v>
      </c>
      <c r="T18" s="55">
        <v>7</v>
      </c>
      <c r="U18" s="55">
        <v>7</v>
      </c>
      <c r="V18" s="58">
        <v>7</v>
      </c>
      <c r="W18" s="58">
        <v>7</v>
      </c>
      <c r="X18" s="58">
        <v>7</v>
      </c>
      <c r="Y18" s="58">
        <v>7</v>
      </c>
      <c r="Z18" s="58">
        <v>7</v>
      </c>
      <c r="AA18" s="58">
        <v>7</v>
      </c>
      <c r="AB18" s="6">
        <v>2</v>
      </c>
      <c r="AC18" s="6">
        <v>7</v>
      </c>
      <c r="AD18" s="6">
        <v>7</v>
      </c>
      <c r="AE18" s="6">
        <v>2</v>
      </c>
      <c r="AF18" s="6">
        <v>7</v>
      </c>
      <c r="AG18" s="6">
        <v>7</v>
      </c>
      <c r="AH18" s="5"/>
      <c r="AI18" s="5">
        <v>2</v>
      </c>
      <c r="AJ18" s="6">
        <v>7</v>
      </c>
      <c r="AK18" s="6">
        <v>7</v>
      </c>
      <c r="AL18" s="6">
        <v>2</v>
      </c>
      <c r="AM18" s="6">
        <v>7</v>
      </c>
      <c r="AN18" s="6">
        <v>7</v>
      </c>
      <c r="AO18" s="12">
        <v>2</v>
      </c>
      <c r="AP18" s="5">
        <v>2</v>
      </c>
      <c r="AQ18" s="5">
        <v>2</v>
      </c>
      <c r="AR18" s="6">
        <v>5</v>
      </c>
      <c r="AS18" s="6">
        <v>5</v>
      </c>
      <c r="AT18" s="6">
        <v>5</v>
      </c>
      <c r="AU18" s="6">
        <v>5</v>
      </c>
    </row>
    <row r="21" spans="1:47" s="6" customFormat="1" ht="15.75" customHeight="1" x14ac:dyDescent="0.3">
      <c r="C21" s="7"/>
      <c r="D21" s="55"/>
      <c r="E21" s="56"/>
      <c r="F21" s="56"/>
      <c r="G21" s="5"/>
      <c r="H21" s="5"/>
      <c r="I21" s="77"/>
      <c r="K21" s="247"/>
      <c r="L21" s="247"/>
      <c r="S21" s="5"/>
      <c r="T21" s="5"/>
      <c r="U21" s="5"/>
      <c r="AC21" s="241"/>
      <c r="AF21" s="11"/>
      <c r="AG21" s="11"/>
      <c r="AH21" s="5"/>
      <c r="AI21" s="5"/>
      <c r="AM21" s="11"/>
      <c r="AN21" s="11"/>
      <c r="AO21" s="12"/>
      <c r="AP21" s="5"/>
      <c r="AQ21" s="5"/>
    </row>
  </sheetData>
  <mergeCells count="8">
    <mergeCell ref="AJ1:AK1"/>
    <mergeCell ref="AM1:AN1"/>
    <mergeCell ref="N2:O2"/>
    <mergeCell ref="A1:B1"/>
    <mergeCell ref="K1:L1"/>
    <mergeCell ref="S1:U1"/>
    <mergeCell ref="AC1:AD1"/>
    <mergeCell ref="AF1:AG1"/>
  </mergeCell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42"/>
  <sheetViews>
    <sheetView tabSelected="1" zoomScale="115" zoomScaleNormal="115" workbookViewId="0">
      <selection activeCell="E1" sqref="E1"/>
    </sheetView>
  </sheetViews>
  <sheetFormatPr defaultColWidth="13.44140625" defaultRowHeight="13.5" customHeight="1" x14ac:dyDescent="0.3"/>
  <cols>
    <col min="1" max="1" width="1.21875" style="97" customWidth="1"/>
    <col min="2" max="2" width="7.109375" style="105" customWidth="1"/>
    <col min="3" max="5" width="9.44140625" style="97" customWidth="1"/>
    <col min="6" max="6" width="7.77734375" style="97" customWidth="1"/>
    <col min="7" max="7" width="6.88671875" style="97" customWidth="1"/>
    <col min="8" max="8" width="5.77734375" style="97" customWidth="1"/>
    <col min="9" max="11" width="8.88671875" style="97" customWidth="1"/>
    <col min="12" max="12" width="6.88671875" style="97" customWidth="1"/>
    <col min="13" max="13" width="5.77734375" style="97" customWidth="1"/>
    <col min="14" max="15" width="7.88671875" style="97" customWidth="1"/>
    <col min="16" max="16384" width="13.44140625" style="97"/>
  </cols>
  <sheetData>
    <row r="1" spans="2:5" ht="13.5" customHeight="1" x14ac:dyDescent="0.3">
      <c r="B1" s="106" t="s">
        <v>42</v>
      </c>
      <c r="C1" s="107">
        <v>-5</v>
      </c>
      <c r="D1" s="107">
        <v>2</v>
      </c>
      <c r="E1" s="107">
        <v>7</v>
      </c>
    </row>
    <row r="2" spans="2:5" ht="13.5" customHeight="1" x14ac:dyDescent="0.3">
      <c r="B2" s="106" t="s">
        <v>43</v>
      </c>
      <c r="C2" s="108">
        <f t="array" aca="1" ref="C2" ca="1">INDIRECT(CONCATENATE("'TNX'!","C",C1+8))</f>
        <v>45972</v>
      </c>
      <c r="D2" s="108">
        <f t="array" aca="1" ref="D2" ca="1">INDIRECT(CONCATENATE("'TNX'!","C",D1+8))</f>
        <v>46042</v>
      </c>
      <c r="E2" s="108">
        <f t="array" aca="1" ref="E2" ca="1">INDIRECT(CONCATENATE("'TNX'!","C",E1+8))</f>
        <v>46077</v>
      </c>
    </row>
    <row r="3" spans="2:5" ht="8.25" customHeight="1" x14ac:dyDescent="0.3"/>
    <row r="4" spans="2:5" ht="14.4" x14ac:dyDescent="0.3">
      <c r="B4" s="109" t="s">
        <v>17</v>
      </c>
      <c r="C4" s="110" t="s">
        <v>44</v>
      </c>
      <c r="D4" s="110">
        <v>8</v>
      </c>
      <c r="E4" s="107"/>
    </row>
    <row r="5" spans="2:5" ht="14.4" x14ac:dyDescent="0.3">
      <c r="B5" s="109" t="s">
        <v>0</v>
      </c>
      <c r="C5" s="111">
        <f ca="1">INDIRECT(CONCATENATE("'TNX'!",$C$4,C1+$D$4))</f>
        <v>4.1133146110435197</v>
      </c>
      <c r="D5" s="112">
        <f ca="1">INDIRECT(CONCATENATE("'TNX'!",$C$4,D1+$D$4))</f>
        <v>4.24</v>
      </c>
      <c r="E5" s="113">
        <f ca="1">INDIRECT(CONCATENATE("'TNX'!",$C$4,E1+$D$4))</f>
        <v>4.0199999999999996</v>
      </c>
    </row>
    <row r="6" spans="2:5" ht="14.4" x14ac:dyDescent="0.3">
      <c r="B6" s="114" t="s">
        <v>30</v>
      </c>
      <c r="C6" s="115">
        <f ca="1">INDIRECT(CONCATENATE("'DJI'!",$C$4,C1+$D$4))</f>
        <v>47963.545996304798</v>
      </c>
      <c r="D6" s="116">
        <f ca="1">INDIRECT(CONCATENATE("'DJI'!",$C$4,D1+$D$4))</f>
        <v>48824</v>
      </c>
      <c r="E6" s="117">
        <f ca="1">INDIRECT(CONCATENATE("'DJI'!",$C$4,E1+$D$4))</f>
        <v>49515</v>
      </c>
    </row>
    <row r="7" spans="2:5" ht="14.4" x14ac:dyDescent="0.3">
      <c r="B7" s="118" t="s">
        <v>45</v>
      </c>
      <c r="C7" s="119">
        <f ca="1">INDIRECT(CONCATENATE("'SPX'!",$C$4,C1+$D$4))</f>
        <v>6862.4252950560103</v>
      </c>
      <c r="D7" s="120">
        <f ca="1">INDIRECT(CONCATENATE("'SPX'!",$C$4,D1+$D$4))</f>
        <v>6811</v>
      </c>
      <c r="E7" s="121">
        <f ca="1">INDIRECT(CONCATENATE("'SPX'!",$C$4,E1+$D$4))</f>
        <v>6907</v>
      </c>
    </row>
    <row r="8" spans="2:5" ht="14.4" x14ac:dyDescent="0.3">
      <c r="B8" s="118" t="s">
        <v>37</v>
      </c>
      <c r="C8" s="122">
        <f ca="1">INDIRECT(CONCATENATE("'VIX'!",$C$4,C1+$D$4))</f>
        <v>17.720331788745401</v>
      </c>
      <c r="D8" s="123">
        <f ca="1">INDIRECT(CONCATENATE("'VIX'!",$C$4,D1+$D$4))</f>
        <v>19</v>
      </c>
      <c r="E8" s="124">
        <f ca="1">INDIRECT(CONCATENATE("'VIX'!",$C$4,E1+$D$4))</f>
        <v>18.399999999999999</v>
      </c>
    </row>
    <row r="9" spans="2:5" ht="14.4" x14ac:dyDescent="0.3">
      <c r="B9" s="125" t="s">
        <v>40</v>
      </c>
      <c r="C9" s="126">
        <f ca="1">INDIRECT(CONCATENATE("'QQQ'!",$C$4,C1+$D$4))</f>
        <v>619.15960316145197</v>
      </c>
      <c r="D9" s="127">
        <f ca="1">INDIRECT(CONCATENATE("'QQQ'!",$C$4,D1+$D$4))</f>
        <v>604.72</v>
      </c>
      <c r="E9" s="128">
        <f ca="1">INDIRECT(CONCATENATE("'QQQ'!",$C$4,E1+$D$4))</f>
        <v>613.29999999999995</v>
      </c>
    </row>
    <row r="10" spans="2:5" ht="14.4" x14ac:dyDescent="0.3">
      <c r="B10" s="129" t="s">
        <v>41</v>
      </c>
      <c r="C10" s="130">
        <f ca="1">INDIRECT(CONCATENATE("'AAPL'!",$C$4,C1+$D$4))</f>
        <v>275.352929394292</v>
      </c>
      <c r="D10" s="131">
        <f ca="1">INDIRECT(CONCATENATE("'AAPL'!",$C$4,D1+$D$4))</f>
        <v>244</v>
      </c>
      <c r="E10" s="132">
        <f ca="1">INDIRECT(CONCATENATE("'AAPL'!",$C$4,E1+$D$4))</f>
        <v>273.2</v>
      </c>
    </row>
    <row r="11" spans="2:5" ht="8.25" customHeight="1" x14ac:dyDescent="0.3">
      <c r="B11" s="133"/>
      <c r="C11" s="107"/>
      <c r="D11" s="107"/>
      <c r="E11" s="107"/>
    </row>
    <row r="12" spans="2:5" ht="13.5" customHeight="1" x14ac:dyDescent="0.3">
      <c r="B12" s="109">
        <v>85520</v>
      </c>
      <c r="C12" s="110" t="s">
        <v>46</v>
      </c>
      <c r="D12" s="107"/>
      <c r="E12" s="107"/>
    </row>
    <row r="13" spans="2:5" ht="13.5" customHeight="1" x14ac:dyDescent="0.3">
      <c r="B13" s="109" t="s">
        <v>0</v>
      </c>
      <c r="C13" s="111">
        <f ca="1">INDIRECT(CONCATENATE("'TNX'!",$C$12,C1+$D$4))</f>
        <v>4.1133146110435197</v>
      </c>
      <c r="D13" s="112">
        <f ca="1">INDIRECT(CONCATENATE("'TNX'!",$C$12,D1+$D$4))</f>
        <v>4.25</v>
      </c>
      <c r="E13" s="113">
        <f ca="1">INDIRECT(CONCATENATE("'TNX'!",$C$12,E1+$D$4))</f>
        <v>4.05</v>
      </c>
    </row>
    <row r="14" spans="2:5" ht="13.5" customHeight="1" x14ac:dyDescent="0.3">
      <c r="B14" s="114" t="s">
        <v>30</v>
      </c>
      <c r="C14" s="115">
        <f ca="1">INDIRECT(CONCATENATE("'DJI'!",$C$12,C1+$D$4))</f>
        <v>47988.545996304798</v>
      </c>
      <c r="D14" s="116">
        <f ca="1">INDIRECT(CONCATENATE("'DJI'!",$C$12,D1+$D$4))</f>
        <v>48858</v>
      </c>
      <c r="E14" s="117">
        <f ca="1">INDIRECT(CONCATENATE("'DJI'!",$C$12,E1+$D$4))</f>
        <v>49483</v>
      </c>
    </row>
    <row r="15" spans="2:5" ht="13.5" customHeight="1" x14ac:dyDescent="0.3">
      <c r="B15" s="118" t="s">
        <v>45</v>
      </c>
      <c r="C15" s="119">
        <f ca="1">INDIRECT(CONCATENATE("'SPX'!",$C$12,C1+$D$4))</f>
        <v>6864.4252950560103</v>
      </c>
      <c r="D15" s="120">
        <f ca="1">INDIRECT(CONCATENATE("'SPX'!",$C$12,D1+$D$4))</f>
        <v>6814</v>
      </c>
      <c r="E15" s="121">
        <f ca="1">INDIRECT(CONCATENATE("'SPX'!",$C$12,E1+$D$4))</f>
        <v>6913</v>
      </c>
    </row>
    <row r="16" spans="2:5" ht="13.5" customHeight="1" x14ac:dyDescent="0.3">
      <c r="B16" s="118" t="s">
        <v>37</v>
      </c>
      <c r="C16" s="122">
        <f ca="1">INDIRECT(CONCATENATE("'VIX'!",$C$12,C1+$D$4))</f>
        <v>18.0503317887454</v>
      </c>
      <c r="D16" s="123">
        <f ca="1">INDIRECT(CONCATENATE("'VIX'!",$C$12,D1+$D$4))</f>
        <v>18.77</v>
      </c>
      <c r="E16" s="124">
        <f ca="1">INDIRECT(CONCATENATE("'VIX'!",$C$12,E1+$D$4))</f>
        <v>18.75</v>
      </c>
    </row>
    <row r="17" spans="2:5" ht="13.5" customHeight="1" x14ac:dyDescent="0.3">
      <c r="B17" s="125" t="s">
        <v>40</v>
      </c>
      <c r="C17" s="126">
        <f ca="1">INDIRECT(CONCATENATE("'QQQ'!",$C$12,C1+$D$4))</f>
        <v>617.95960316145204</v>
      </c>
      <c r="D17" s="127">
        <f ca="1">INDIRECT(CONCATENATE("'QQQ'!",$C$12,D1+$D$4))</f>
        <v>603.46</v>
      </c>
      <c r="E17" s="128">
        <f ca="1">INDIRECT(CONCATENATE("'QQQ'!",$C$12,E1+$D$4))</f>
        <v>615.4</v>
      </c>
    </row>
    <row r="18" spans="2:5" ht="13.5" customHeight="1" x14ac:dyDescent="0.3">
      <c r="B18" s="129" t="s">
        <v>41</v>
      </c>
      <c r="C18" s="130">
        <f ca="1">INDIRECT(CONCATENATE("'AAPL'!",$C$12,C1+$D$4))</f>
        <v>274.602929394292</v>
      </c>
      <c r="D18" s="131">
        <f ca="1">INDIRECT(CONCATENATE("'AAPL'!",$C$12,D1+$D$4))</f>
        <v>245</v>
      </c>
      <c r="E18" s="132">
        <f ca="1">INDIRECT(CONCATENATE("'AAPL'!",$C$12,E1+$D$4))</f>
        <v>274.3</v>
      </c>
    </row>
    <row r="19" spans="2:5" ht="8.25" customHeight="1" x14ac:dyDescent="0.3"/>
    <row r="20" spans="2:5" ht="13.5" customHeight="1" x14ac:dyDescent="0.3">
      <c r="B20" s="134" t="s">
        <v>18</v>
      </c>
      <c r="C20" s="135" t="s">
        <v>47</v>
      </c>
    </row>
    <row r="21" spans="2:5" ht="13.5" customHeight="1" x14ac:dyDescent="0.3">
      <c r="B21" s="134" t="s">
        <v>0</v>
      </c>
      <c r="C21" s="136">
        <f ca="1">INDIRECT(CONCATENATE("'TNX'!",$C$20,C1+$D$4))</f>
        <v>4.1100000000000003</v>
      </c>
      <c r="D21" s="137">
        <f ca="1">INDIRECT(CONCATENATE("'TNX'!",$C$20,D1+$D$4))</f>
        <v>4.28</v>
      </c>
      <c r="E21" s="138">
        <f ca="1">INDIRECT(CONCATENATE("'TNX'!",$C$20,E1+$D$4))</f>
        <v>4.0599999999999996</v>
      </c>
    </row>
    <row r="22" spans="2:5" ht="13.5" customHeight="1" x14ac:dyDescent="0.3">
      <c r="B22" s="139" t="s">
        <v>30</v>
      </c>
      <c r="C22" s="140">
        <f ca="1">INDIRECT(CONCATENATE("'DJI'!",$C$20,C1+$D$4))</f>
        <v>48033</v>
      </c>
      <c r="D22" s="141">
        <f ca="1">INDIRECT(CONCATENATE("'DJI'!",$C$20,D1+$D$4))</f>
        <v>48540</v>
      </c>
      <c r="E22" s="142">
        <f ca="1">INDIRECT(CONCATENATE("'DJI'!",$C$20,E1+$D$4))</f>
        <v>49310</v>
      </c>
    </row>
    <row r="23" spans="2:5" ht="13.5" customHeight="1" x14ac:dyDescent="0.3">
      <c r="B23" s="143" t="s">
        <v>45</v>
      </c>
      <c r="C23" s="144">
        <f ca="1">INDIRECT(CONCATENATE("'SPX'!",$C$20,C1+$D$4))</f>
        <v>6864</v>
      </c>
      <c r="D23" s="145">
        <f ca="1">INDIRECT(CONCATENATE("'SPX'!",$C$20,D1+$D$4))</f>
        <v>6802</v>
      </c>
      <c r="E23" s="146">
        <f ca="1">INDIRECT(CONCATENATE("'SPX'!",$C$20,E1+$D$4))</f>
        <v>6919</v>
      </c>
    </row>
    <row r="24" spans="2:5" ht="13.5" customHeight="1" x14ac:dyDescent="0.3">
      <c r="B24" s="143" t="s">
        <v>37</v>
      </c>
      <c r="C24" s="147">
        <f ca="1">INDIRECT(CONCATENATE("'VIX'!",$C$20,C1+$D$4))</f>
        <v>17.43</v>
      </c>
      <c r="D24" s="148">
        <f ca="1">INDIRECT(CONCATENATE("'VIX'!",$C$20,D1+$D$4))</f>
        <v>18.739999999999998</v>
      </c>
      <c r="E24" s="149">
        <f ca="1">INDIRECT(CONCATENATE("'VIX'!",$C$20,E1+$D$4))</f>
        <v>19.21</v>
      </c>
    </row>
    <row r="25" spans="2:5" ht="13.5" customHeight="1" x14ac:dyDescent="0.3">
      <c r="B25" s="150" t="s">
        <v>40</v>
      </c>
      <c r="C25" s="151">
        <f ca="1">INDIRECT(CONCATENATE("'QQQ'!",$C$20,C1+$D$4))</f>
        <v>624.9</v>
      </c>
      <c r="D25" s="152">
        <f ca="1">INDIRECT(CONCATENATE("'QQQ'!",$C$20,D1+$D$4))</f>
        <v>607.70000000000005</v>
      </c>
      <c r="E25" s="153">
        <f ca="1">INDIRECT(CONCATENATE("'QQQ'!",$C$20,E1+$D$4))</f>
        <v>609.9</v>
      </c>
    </row>
    <row r="26" spans="2:5" ht="13.5" customHeight="1" x14ac:dyDescent="0.3">
      <c r="B26" s="154" t="s">
        <v>41</v>
      </c>
      <c r="C26" s="155">
        <f ca="1">INDIRECT(CONCATENATE("'AAPL'!",$C$20,C1+$D$4))</f>
        <v>277.60000000000002</v>
      </c>
      <c r="D26" s="156">
        <f ca="1">INDIRECT(CONCATENATE("'AAPL'!",$C$20,D1+$D$4))</f>
        <v>246.2</v>
      </c>
      <c r="E26" s="157">
        <f ca="1">INDIRECT(CONCATENATE("'AAPL'!",$C$20,E1+$D$4))</f>
        <v>272.89999999999998</v>
      </c>
    </row>
    <row r="27" spans="2:5" ht="8.25" customHeight="1" x14ac:dyDescent="0.3"/>
    <row r="28" spans="2:5" ht="13.5" customHeight="1" x14ac:dyDescent="0.3">
      <c r="B28" s="158" t="s">
        <v>48</v>
      </c>
      <c r="C28" s="110" t="s">
        <v>49</v>
      </c>
      <c r="D28" s="159" t="s">
        <v>50</v>
      </c>
      <c r="E28" s="159" t="s">
        <v>51</v>
      </c>
    </row>
    <row r="29" spans="2:5" ht="13.5" customHeight="1" x14ac:dyDescent="0.3">
      <c r="B29" s="160" t="s">
        <v>0</v>
      </c>
      <c r="C29" s="161">
        <f ca="1">INDIRECT(CONCATENATE("'TNX'!",$C$28,C1+$D$4))</f>
        <v>4.1144664664664701</v>
      </c>
      <c r="D29" s="162">
        <f ca="1">INDIRECT(CONCATENATE("'TNX'!",$C$28,D1+$D$4))</f>
        <v>4.2856715063520898</v>
      </c>
      <c r="E29" s="163">
        <f ca="1">INDIRECT(CONCATENATE("'TNX'!",$C$28,E1+$D$4))</f>
        <v>4.0388972477064202</v>
      </c>
    </row>
    <row r="30" spans="2:5" ht="13.5" customHeight="1" x14ac:dyDescent="0.3">
      <c r="B30" s="164" t="s">
        <v>30</v>
      </c>
      <c r="C30" s="165">
        <f ca="1">INDIRECT(CONCATENATE("'DJI'!",$C$28,C1+$D$4))</f>
        <v>47914.068096110299</v>
      </c>
      <c r="D30" s="166">
        <f ca="1">INDIRECT(CONCATENATE("'DJI'!",$C$28,D1+$D$4))</f>
        <v>48671.1489230769</v>
      </c>
      <c r="E30" s="167">
        <f ca="1">INDIRECT(CONCATENATE("'DJI'!",$C$28,E1+$D$4))</f>
        <v>49251.4836121673</v>
      </c>
    </row>
    <row r="31" spans="2:5" ht="13.5" customHeight="1" x14ac:dyDescent="0.3">
      <c r="B31" s="168" t="s">
        <v>45</v>
      </c>
      <c r="C31" s="169">
        <f ca="1">INDIRECT(CONCATENATE("'SPX'!",$C$28,C1+$D$4))</f>
        <v>6858.3057324840802</v>
      </c>
      <c r="D31" s="170">
        <f ca="1">INDIRECT(CONCATENATE("'SPX'!",$C$28,D1+$D$4))</f>
        <v>6825.7403314917101</v>
      </c>
      <c r="E31" s="171">
        <f ca="1">INDIRECT(CONCATENATE("'SPX'!",$C$28,E1+$D$4))</f>
        <v>6907.2032967033001</v>
      </c>
    </row>
    <row r="32" spans="2:5" ht="13.5" customHeight="1" x14ac:dyDescent="0.3">
      <c r="B32" s="168" t="s">
        <v>37</v>
      </c>
      <c r="C32" s="172">
        <f ca="1">INDIRECT(CONCATENATE("'VIX'!",$C$28,C1+$D$4))</f>
        <v>17.84751697994</v>
      </c>
      <c r="D32" s="173">
        <f ca="1">INDIRECT(CONCATENATE("'VIX'!",$C$28,D1+$D$4))</f>
        <v>20.411216931216899</v>
      </c>
      <c r="E32" s="174">
        <f ca="1">INDIRECT(CONCATENATE("'VIX'!",$C$28,E1+$D$4))</f>
        <v>19.318179061481299</v>
      </c>
    </row>
    <row r="33" spans="2:5" ht="13.5" customHeight="1" x14ac:dyDescent="0.3">
      <c r="B33" s="175" t="s">
        <v>40</v>
      </c>
      <c r="C33" s="176">
        <f ca="1">INDIRECT(CONCATENATE("'QQQ'!",$C$28,C1+$D$4))</f>
        <v>624.30149612209198</v>
      </c>
      <c r="D33" s="177">
        <f ca="1">INDIRECT(CONCATENATE("'QQQ'!",$C$28,D1+$D$4))</f>
        <v>613.30043032786898</v>
      </c>
      <c r="E33" s="178">
        <f ca="1">INDIRECT(CONCATENATE("'QQQ'!",$C$28,E1+$D$4))</f>
        <v>609.91081932773102</v>
      </c>
    </row>
    <row r="34" spans="2:5" ht="13.5" customHeight="1" x14ac:dyDescent="0.3">
      <c r="B34" s="179" t="s">
        <v>41</v>
      </c>
      <c r="C34" s="180">
        <f ca="1">INDIRECT(CONCATENATE("'AAPL'!",$C$28,C1+$D$4))</f>
        <v>277.35993968333798</v>
      </c>
      <c r="D34" s="181">
        <f ca="1">INDIRECT(CONCATENATE("'AAPL'!",$C$28,D1+$D$4))</f>
        <v>250.069465346535</v>
      </c>
      <c r="E34" s="182">
        <f ca="1">INDIRECT(CONCATENATE("'AAPL'!",$C$28,E1+$D$4))</f>
        <v>274.37624113475198</v>
      </c>
    </row>
    <row r="35" spans="2:5" ht="8.25" customHeight="1" x14ac:dyDescent="0.3"/>
    <row r="36" spans="2:5" ht="13.5" customHeight="1" x14ac:dyDescent="0.3">
      <c r="B36" s="183" t="s">
        <v>52</v>
      </c>
      <c r="C36" s="110" t="s">
        <v>26</v>
      </c>
      <c r="D36" s="184"/>
      <c r="E36" s="184"/>
    </row>
    <row r="37" spans="2:5" ht="13.5" customHeight="1" x14ac:dyDescent="0.3">
      <c r="B37" s="185" t="s">
        <v>0</v>
      </c>
      <c r="C37" s="186">
        <f ca="1">INDIRECT(CONCATENATE("'TNX'!",$C$36,C1+$D$4))</f>
        <v>4.12</v>
      </c>
      <c r="D37" s="187">
        <f ca="1">INDIRECT(CONCATENATE("'TNX'!",$C$36,D1+$D$4))</f>
        <v>4.3</v>
      </c>
      <c r="E37" s="188">
        <f ca="1">INDIRECT(CONCATENATE("'TNX'!",$C$36,E1+$D$4))</f>
        <v>4.0330000000000004</v>
      </c>
    </row>
    <row r="38" spans="2:5" ht="13.5" customHeight="1" x14ac:dyDescent="0.3">
      <c r="B38" s="189" t="s">
        <v>30</v>
      </c>
      <c r="C38" s="190">
        <f ca="1">INDIRECT(CONCATENATE("'DJI'!",$C$36,C1+$D$4))</f>
        <v>47927.96</v>
      </c>
      <c r="D38" s="191">
        <f ca="1">INDIRECT(CONCATENATE("'DJI'!",$C$36,D1+$D$4))</f>
        <v>48488.47</v>
      </c>
      <c r="E38" s="192">
        <f ca="1">INDIRECT(CONCATENATE("'DJI'!",$C$36,E1+$D$4))</f>
        <v>49174.5</v>
      </c>
    </row>
    <row r="39" spans="2:5" ht="13.5" customHeight="1" x14ac:dyDescent="0.3">
      <c r="B39" s="193" t="s">
        <v>45</v>
      </c>
      <c r="C39" s="194">
        <f ca="1">INDIRECT(CONCATENATE("'SPX'!",$C$36,C1+$D$4))</f>
        <v>6846.61</v>
      </c>
      <c r="D39" s="195">
        <f ca="1">INDIRECT(CONCATENATE("'SPX'!",$C$36,D1+$D$4))</f>
        <v>6794.06</v>
      </c>
      <c r="E39" s="196">
        <f ca="1">INDIRECT(CONCATENATE("'SPX'!",$C$36,E1+$D$4))</f>
        <v>6890.07</v>
      </c>
    </row>
    <row r="40" spans="2:5" ht="13.5" customHeight="1" x14ac:dyDescent="0.3">
      <c r="B40" s="193" t="s">
        <v>37</v>
      </c>
      <c r="C40" s="197">
        <f ca="1">INDIRECT(CONCATENATE("'VIX'!",$C$36,C1+$D$4))</f>
        <v>17.28</v>
      </c>
      <c r="D40" s="198">
        <f ca="1">INDIRECT(CONCATENATE("'VIX'!",$C$36,D1+$D$4))</f>
        <v>20.85</v>
      </c>
      <c r="E40" s="199">
        <f ca="1">INDIRECT(CONCATENATE("'VIX'!",$C$36,E1+$D$4))</f>
        <v>19.55</v>
      </c>
    </row>
    <row r="41" spans="2:5" ht="13.5" customHeight="1" x14ac:dyDescent="0.3">
      <c r="B41" s="200" t="s">
        <v>40</v>
      </c>
      <c r="C41" s="201">
        <f ca="1">INDIRECT(CONCATENATE("'QQQ'!",$C$36,C1+$D$4))</f>
        <v>621.57000000000005</v>
      </c>
      <c r="D41" s="202">
        <f ca="1">INDIRECT(CONCATENATE("'QQQ'!",$C$36,D1+$D$4))</f>
        <v>608.05999999999995</v>
      </c>
      <c r="E41" s="203">
        <f ca="1">INDIRECT(CONCATENATE("'QQQ'!",$C$36,E1+$D$4))</f>
        <v>607.87</v>
      </c>
    </row>
    <row r="42" spans="2:5" ht="13.5" customHeight="1" x14ac:dyDescent="0.3">
      <c r="B42" s="204" t="s">
        <v>41</v>
      </c>
      <c r="C42" s="205">
        <f ca="1">INDIRECT(CONCATENATE("'AAPL'!",$C$36,C1+$D$4))</f>
        <v>275.25</v>
      </c>
      <c r="D42" s="206">
        <f ca="1">INDIRECT(CONCATENATE("'AAPL'!",$C$36,D1+$D$4))</f>
        <v>246.7</v>
      </c>
      <c r="E42" s="207">
        <f ca="1">INDIRECT(CONCATENATE("'AAPL'!",$C$36,E1+$D$4))</f>
        <v>272.14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"/>
  <sheetViews>
    <sheetView zoomScaleNormal="100" workbookViewId="0">
      <selection activeCell="B12" sqref="B12"/>
    </sheetView>
  </sheetViews>
  <sheetFormatPr defaultColWidth="8.77734375" defaultRowHeight="14.25" customHeight="1" x14ac:dyDescent="0.3"/>
  <cols>
    <col min="1" max="1" width="10.33203125" customWidth="1"/>
  </cols>
  <sheetData>
    <row r="1" spans="1:19" x14ac:dyDescent="0.3">
      <c r="A1" s="208" t="s">
        <v>53</v>
      </c>
      <c r="B1" s="209" t="s">
        <v>54</v>
      </c>
      <c r="C1" s="210" t="s">
        <v>55</v>
      </c>
      <c r="D1" s="211" t="s">
        <v>56</v>
      </c>
      <c r="E1" s="211" t="s">
        <v>57</v>
      </c>
      <c r="F1" s="211" t="s">
        <v>58</v>
      </c>
      <c r="G1" s="211" t="s">
        <v>59</v>
      </c>
      <c r="H1" s="211" t="s">
        <v>60</v>
      </c>
      <c r="I1" s="211" t="s">
        <v>61</v>
      </c>
      <c r="J1" s="211" t="s">
        <v>62</v>
      </c>
      <c r="K1" s="212" t="s">
        <v>63</v>
      </c>
      <c r="L1" s="213" t="s">
        <v>64</v>
      </c>
      <c r="M1" s="214" t="s">
        <v>65</v>
      </c>
      <c r="N1" s="214" t="s">
        <v>66</v>
      </c>
      <c r="O1" s="214" t="s">
        <v>67</v>
      </c>
      <c r="P1" s="214" t="s">
        <v>68</v>
      </c>
      <c r="Q1" s="214" t="s">
        <v>69</v>
      </c>
      <c r="R1" s="214" t="s">
        <v>70</v>
      </c>
      <c r="S1" s="215" t="s">
        <v>71</v>
      </c>
    </row>
    <row r="2" spans="1:19" x14ac:dyDescent="0.3">
      <c r="A2" s="216" t="s">
        <v>72</v>
      </c>
      <c r="B2" s="217" t="s">
        <v>0</v>
      </c>
      <c r="C2" s="216">
        <v>3.9418000000000002</v>
      </c>
      <c r="D2" s="218">
        <v>4.2667999999999999</v>
      </c>
      <c r="E2" s="218">
        <v>4.2586000000000004</v>
      </c>
      <c r="F2" s="218">
        <v>4.2721</v>
      </c>
      <c r="G2" s="218">
        <v>4.2773000000000003</v>
      </c>
      <c r="H2" s="218">
        <v>0</v>
      </c>
      <c r="I2" s="218">
        <v>4.2709000000000001</v>
      </c>
      <c r="J2" s="218">
        <v>4.2709000000000001</v>
      </c>
      <c r="K2" s="219">
        <v>4.2726749999999996</v>
      </c>
      <c r="L2" s="216">
        <v>4.2699999999999996</v>
      </c>
      <c r="M2" s="218">
        <v>4.2699999999999996</v>
      </c>
      <c r="N2" s="218">
        <v>4.25</v>
      </c>
      <c r="O2" s="218">
        <v>4.2530000000000001</v>
      </c>
      <c r="P2" s="218">
        <v>4.28</v>
      </c>
      <c r="Q2" s="218">
        <v>4.2679999999999998</v>
      </c>
      <c r="R2" s="218">
        <v>4.25</v>
      </c>
      <c r="S2" s="219">
        <v>4.28</v>
      </c>
    </row>
    <row r="3" spans="1:19" x14ac:dyDescent="0.3">
      <c r="A3" s="220" t="str">
        <f>A2</f>
        <v>2026/02/03</v>
      </c>
      <c r="B3" s="221" t="s">
        <v>30</v>
      </c>
      <c r="C3" s="222">
        <v>48778.9084</v>
      </c>
      <c r="D3" s="223">
        <v>49094.967600000004</v>
      </c>
      <c r="E3" s="223">
        <v>48940.671199999997</v>
      </c>
      <c r="F3" s="223">
        <v>49938.347000000002</v>
      </c>
      <c r="G3" s="223">
        <v>49441.6371</v>
      </c>
      <c r="H3" s="223">
        <v>49589.874199999998</v>
      </c>
      <c r="I3" s="223">
        <v>49392.042500000003</v>
      </c>
      <c r="J3" s="223">
        <v>49417.799500000001</v>
      </c>
      <c r="K3" s="224">
        <v>49096.73</v>
      </c>
      <c r="L3" s="222">
        <v>49415</v>
      </c>
      <c r="M3" s="223">
        <v>49400</v>
      </c>
      <c r="N3" s="223">
        <v>49310.5</v>
      </c>
      <c r="O3" s="223">
        <v>49135.72</v>
      </c>
      <c r="P3" s="223">
        <v>49188</v>
      </c>
      <c r="Q3" s="223">
        <v>49240</v>
      </c>
      <c r="R3" s="223">
        <v>49163</v>
      </c>
      <c r="S3" s="224">
        <v>49300</v>
      </c>
    </row>
    <row r="4" spans="1:19" x14ac:dyDescent="0.3">
      <c r="A4" s="220" t="str">
        <f>A3</f>
        <v>2026/02/03</v>
      </c>
      <c r="B4" s="221" t="s">
        <v>45</v>
      </c>
      <c r="C4" s="222">
        <v>6818.7559000000001</v>
      </c>
      <c r="D4" s="223">
        <v>6906.38</v>
      </c>
      <c r="E4" s="223">
        <v>6902.0844999999999</v>
      </c>
      <c r="F4" s="223">
        <v>6905.4278000000004</v>
      </c>
      <c r="G4" s="223">
        <v>6957.6785</v>
      </c>
      <c r="H4" s="223">
        <v>6910.5639000000001</v>
      </c>
      <c r="I4" s="223">
        <v>6941.5072</v>
      </c>
      <c r="J4" s="223">
        <v>6945.1772000000001</v>
      </c>
      <c r="K4" s="224">
        <v>6916.4150390000004</v>
      </c>
      <c r="L4" s="222">
        <v>6924</v>
      </c>
      <c r="M4" s="223">
        <v>6925</v>
      </c>
      <c r="N4" s="223">
        <v>6934.15</v>
      </c>
      <c r="O4" s="223">
        <v>6897.45</v>
      </c>
      <c r="P4" s="223">
        <v>6909</v>
      </c>
      <c r="Q4" s="223">
        <v>6935</v>
      </c>
      <c r="R4" s="223">
        <v>6876</v>
      </c>
      <c r="S4" s="224">
        <v>6920</v>
      </c>
    </row>
    <row r="5" spans="1:19" x14ac:dyDescent="0.3">
      <c r="A5" s="225" t="str">
        <f>A4</f>
        <v>2026/02/03</v>
      </c>
      <c r="B5" s="221" t="s">
        <v>37</v>
      </c>
      <c r="C5" s="226">
        <v>17.8856</v>
      </c>
      <c r="D5" s="227">
        <v>17.6814</v>
      </c>
      <c r="E5" s="227">
        <v>18.2624</v>
      </c>
      <c r="F5" s="227">
        <v>17.621300000000002</v>
      </c>
      <c r="G5" s="227">
        <v>17.7819</v>
      </c>
      <c r="H5" s="227">
        <v>17.604399999999998</v>
      </c>
      <c r="I5" s="227">
        <v>17.765999999999998</v>
      </c>
      <c r="J5" s="227">
        <v>17.477699999999999</v>
      </c>
      <c r="K5" s="228">
        <v>17.201677</v>
      </c>
      <c r="L5" s="226">
        <v>17.78</v>
      </c>
      <c r="M5" s="227">
        <v>17.899999999999999</v>
      </c>
      <c r="N5" s="227">
        <v>17.75</v>
      </c>
      <c r="O5" s="227">
        <v>17.86</v>
      </c>
      <c r="P5" s="227">
        <v>17.649999999999999</v>
      </c>
      <c r="Q5" s="227">
        <v>17.850000000000001</v>
      </c>
      <c r="R5" s="229">
        <v>17.940000000000001</v>
      </c>
      <c r="S5" s="228">
        <v>18</v>
      </c>
    </row>
    <row r="6" spans="1:19" x14ac:dyDescent="0.3">
      <c r="A6" s="225" t="str">
        <f>A5</f>
        <v>2026/02/03</v>
      </c>
      <c r="B6" s="221" t="s">
        <v>40</v>
      </c>
      <c r="C6" s="226">
        <v>624.74239999999998</v>
      </c>
      <c r="D6" s="227">
        <v>613.0095</v>
      </c>
      <c r="E6" s="227">
        <v>614.07460000000003</v>
      </c>
      <c r="F6" s="227">
        <v>624.62</v>
      </c>
      <c r="G6" s="227">
        <v>621.3125</v>
      </c>
      <c r="H6" s="227">
        <v>621.3125</v>
      </c>
      <c r="I6" s="227">
        <v>619.03769999999997</v>
      </c>
      <c r="J6" s="227">
        <v>619.6354</v>
      </c>
      <c r="K6" s="228">
        <v>615.26153599999998</v>
      </c>
      <c r="L6" s="226">
        <v>618.52</v>
      </c>
      <c r="M6" s="227">
        <v>618</v>
      </c>
      <c r="N6" s="227">
        <v>620.85</v>
      </c>
      <c r="O6" s="227">
        <v>614.28</v>
      </c>
      <c r="P6" s="227">
        <v>617</v>
      </c>
      <c r="Q6" s="227">
        <v>617</v>
      </c>
      <c r="R6" s="229">
        <v>617</v>
      </c>
      <c r="S6" s="228">
        <v>618</v>
      </c>
    </row>
    <row r="7" spans="1:19" x14ac:dyDescent="0.3">
      <c r="A7" s="230" t="str">
        <f>A6</f>
        <v>2026/02/03</v>
      </c>
      <c r="B7" s="231" t="s">
        <v>41</v>
      </c>
      <c r="C7" s="232">
        <v>260.58949999999999</v>
      </c>
      <c r="D7" s="233">
        <v>270.56880000000001</v>
      </c>
      <c r="E7" s="233">
        <v>272.21589999999998</v>
      </c>
      <c r="F7" s="233">
        <v>272.2577</v>
      </c>
      <c r="G7" s="233">
        <v>271.67099999999999</v>
      </c>
      <c r="H7" s="233">
        <v>271.67099999999999</v>
      </c>
      <c r="I7" s="233">
        <v>270.3741</v>
      </c>
      <c r="J7" s="233">
        <v>270.3741</v>
      </c>
      <c r="K7" s="234">
        <v>268.681152</v>
      </c>
      <c r="L7" s="232">
        <v>270.51</v>
      </c>
      <c r="M7" s="233">
        <v>271</v>
      </c>
      <c r="N7" s="233">
        <v>271.8</v>
      </c>
      <c r="O7" s="233">
        <v>268.33999999999997</v>
      </c>
      <c r="P7" s="233">
        <v>271.5</v>
      </c>
      <c r="Q7" s="233">
        <v>271</v>
      </c>
      <c r="R7" s="235">
        <v>271.3</v>
      </c>
      <c r="S7" s="234">
        <v>271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TNX</vt:lpstr>
      <vt:lpstr>DJI</vt:lpstr>
      <vt:lpstr>SPX</vt:lpstr>
      <vt:lpstr>VIX</vt:lpstr>
      <vt:lpstr>QQQ</vt:lpstr>
      <vt:lpstr>AAPL</vt:lpstr>
      <vt:lpstr>Info</vt:lpstr>
      <vt:lpstr>DATA</vt:lpstr>
    </vt:vector>
  </TitlesOfParts>
  <Company>NEK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Dolovcak Robert</dc:creator>
  <dc:description/>
  <cp:lastModifiedBy>Dolovcak Robert</cp:lastModifiedBy>
  <cp:revision>28</cp:revision>
  <cp:lastPrinted>2026-01-28T12:10:43Z</cp:lastPrinted>
  <dcterms:created xsi:type="dcterms:W3CDTF">2026-01-13T12:21:55Z</dcterms:created>
  <dcterms:modified xsi:type="dcterms:W3CDTF">2026-02-26T09:44:32Z</dcterms:modified>
  <dc:language>en-US</dc:language>
</cp:coreProperties>
</file>