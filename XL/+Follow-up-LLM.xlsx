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xxLinux\01 FIN\"/>
    </mc:Choice>
  </mc:AlternateContent>
  <xr:revisionPtr revIDLastSave="0" documentId="13_ncr:1_{16B59673-CDA7-4112-BCA7-B6991F0B27DF}" xr6:coauthVersionLast="47" xr6:coauthVersionMax="47" xr10:uidLastSave="{00000000-0000-0000-0000-000000000000}"/>
  <bookViews>
    <workbookView xWindow="-28920" yWindow="-1980" windowWidth="29040" windowHeight="17520" tabRatio="500" activeTab="1" xr2:uid="{00000000-000D-0000-FFFF-FFFF00000000}"/>
  </bookViews>
  <sheets>
    <sheet name="26-1-08" sheetId="21" r:id="rId1"/>
    <sheet name="26-1-07" sheetId="1" r:id="rId2"/>
    <sheet name="AVR" sheetId="2" r:id="rId3"/>
    <sheet name="26-1-06" sheetId="3" r:id="rId4"/>
    <sheet name="26-1-05" sheetId="4" r:id="rId5"/>
    <sheet name="26-1-04" sheetId="5" r:id="rId6"/>
    <sheet name="26-1-03" sheetId="6" r:id="rId7"/>
    <sheet name="26-1-02" sheetId="7" r:id="rId8"/>
    <sheet name="26-1-01" sheetId="8" r:id="rId9"/>
    <sheet name="25-4-11" sheetId="9" r:id="rId10"/>
    <sheet name="25-4-12" sheetId="10" r:id="rId11"/>
    <sheet name="25-4-10" sheetId="11" r:id="rId12"/>
    <sheet name="25-4-09" sheetId="12" r:id="rId13"/>
    <sheet name="25-4-08" sheetId="13" r:id="rId14"/>
    <sheet name="25-4-07" sheetId="14" r:id="rId15"/>
    <sheet name="25-4-06" sheetId="15" r:id="rId16"/>
    <sheet name="25-4-05" sheetId="16" r:id="rId17"/>
    <sheet name="25-4-04" sheetId="17" r:id="rId18"/>
    <sheet name="25-4-03" sheetId="18" r:id="rId19"/>
    <sheet name="25-4-02" sheetId="19" r:id="rId20"/>
    <sheet name="25-4-01" sheetId="20" r:id="rId2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44" i="21" l="1"/>
  <c r="AM44" i="21" s="1"/>
  <c r="AK44" i="21"/>
  <c r="AI44" i="21"/>
  <c r="AH44" i="21"/>
  <c r="AG44" i="21"/>
  <c r="AL43" i="21"/>
  <c r="AM43" i="21" s="1"/>
  <c r="AI43" i="21"/>
  <c r="AH43" i="21"/>
  <c r="AG43" i="21"/>
  <c r="AK43" i="21" s="1"/>
  <c r="AL42" i="21"/>
  <c r="AM42" i="21" s="1"/>
  <c r="AH42" i="21"/>
  <c r="AI42" i="21" s="1"/>
  <c r="AG42" i="21"/>
  <c r="AK42" i="21" s="1"/>
  <c r="AL41" i="21"/>
  <c r="AM41" i="21" s="1"/>
  <c r="AI41" i="21"/>
  <c r="AH41" i="21"/>
  <c r="AG41" i="21"/>
  <c r="AK41" i="21" s="1"/>
  <c r="AL40" i="21"/>
  <c r="AM40" i="21" s="1"/>
  <c r="AK40" i="21"/>
  <c r="AI40" i="21"/>
  <c r="AI54" i="21" s="1"/>
  <c r="AH40" i="21"/>
  <c r="AG40" i="21"/>
  <c r="AL39" i="21"/>
  <c r="AM39" i="21" s="1"/>
  <c r="AM55" i="21" s="1"/>
  <c r="AI39" i="21"/>
  <c r="AI55" i="21" s="1"/>
  <c r="AH39" i="21"/>
  <c r="AG39" i="21"/>
  <c r="AK39" i="21" s="1"/>
  <c r="AG35" i="21"/>
  <c r="AG34" i="21"/>
  <c r="AK32" i="21"/>
  <c r="AJ32" i="21"/>
  <c r="AI32" i="21"/>
  <c r="AH32" i="21"/>
  <c r="G32" i="21"/>
  <c r="AO22" i="21" s="1"/>
  <c r="E32" i="21"/>
  <c r="AT31" i="21"/>
  <c r="AS31" i="21"/>
  <c r="AR31" i="21"/>
  <c r="AK31" i="21"/>
  <c r="AJ31" i="21"/>
  <c r="AI31" i="21"/>
  <c r="AH31" i="21"/>
  <c r="T31" i="21"/>
  <c r="P31" i="21"/>
  <c r="AK30" i="21"/>
  <c r="AJ30" i="21"/>
  <c r="AI30" i="21"/>
  <c r="AH30" i="21"/>
  <c r="Z30" i="21"/>
  <c r="P30" i="21"/>
  <c r="E30" i="21"/>
  <c r="AM20" i="21" s="1"/>
  <c r="C30" i="21"/>
  <c r="AK29" i="21"/>
  <c r="AJ29" i="21"/>
  <c r="AI29" i="21"/>
  <c r="AH29" i="21"/>
  <c r="Z29" i="21"/>
  <c r="X29" i="21"/>
  <c r="V29" i="21"/>
  <c r="I29" i="21"/>
  <c r="AI19" i="21" s="1"/>
  <c r="G29" i="21"/>
  <c r="AK28" i="21"/>
  <c r="AK34" i="21" s="1" a="1"/>
  <c r="AK34" i="21" s="1"/>
  <c r="AJ28" i="21"/>
  <c r="AJ34" i="21" s="1" a="1"/>
  <c r="AJ34" i="21" s="1"/>
  <c r="AI28" i="21"/>
  <c r="AH28" i="21"/>
  <c r="AH34" i="21" s="1" a="1"/>
  <c r="AH34" i="21" s="1"/>
  <c r="Z28" i="21"/>
  <c r="P28" i="21"/>
  <c r="AK27" i="21"/>
  <c r="AK35" i="21" s="1" a="1"/>
  <c r="AK35" i="21" s="1"/>
  <c r="AJ27" i="21"/>
  <c r="AJ35" i="21" s="1" a="1"/>
  <c r="AJ35" i="21" s="1"/>
  <c r="AI27" i="21"/>
  <c r="AH27" i="21"/>
  <c r="AH35" i="21" s="1" a="1"/>
  <c r="AH35" i="21" s="1"/>
  <c r="T27" i="21"/>
  <c r="P27" i="21"/>
  <c r="AL26" i="21"/>
  <c r="AK26" i="21"/>
  <c r="T26" i="21"/>
  <c r="P26" i="21"/>
  <c r="AR25" i="21"/>
  <c r="Z25" i="21"/>
  <c r="I25" i="21"/>
  <c r="G25" i="21"/>
  <c r="G34" i="21" s="1"/>
  <c r="E25" i="21"/>
  <c r="E34" i="21" s="1"/>
  <c r="C25" i="21"/>
  <c r="AK17" i="21" s="1"/>
  <c r="B25" i="21"/>
  <c r="AM17" i="21" s="1"/>
  <c r="AO24" i="21"/>
  <c r="Z24" i="21"/>
  <c r="X24" i="21"/>
  <c r="I24" i="21"/>
  <c r="G24" i="21"/>
  <c r="G33" i="21" s="1"/>
  <c r="E24" i="21"/>
  <c r="E33" i="21" s="1"/>
  <c r="C24" i="21"/>
  <c r="AJ16" i="21" s="1"/>
  <c r="D24" i="21" s="1"/>
  <c r="B24" i="21"/>
  <c r="AO16" i="21" s="1"/>
  <c r="AU23" i="21"/>
  <c r="Z23" i="21"/>
  <c r="Z31" i="21" s="1"/>
  <c r="X23" i="21"/>
  <c r="X25" i="21" s="1"/>
  <c r="V23" i="21"/>
  <c r="V25" i="21" s="1"/>
  <c r="T23" i="21"/>
  <c r="T29" i="21" s="1"/>
  <c r="R23" i="21"/>
  <c r="R32" i="21" s="1"/>
  <c r="P23" i="21"/>
  <c r="P32" i="21" s="1"/>
  <c r="I23" i="21"/>
  <c r="I32" i="21" s="1"/>
  <c r="AH22" i="21" s="1"/>
  <c r="G23" i="21"/>
  <c r="E23" i="21"/>
  <c r="AM15" i="21" s="1"/>
  <c r="C23" i="21"/>
  <c r="C32" i="21" s="1"/>
  <c r="B23" i="21"/>
  <c r="AV22" i="21"/>
  <c r="AV26" i="21" s="1"/>
  <c r="AU27" i="21" s="1"/>
  <c r="AI22" i="21"/>
  <c r="I22" i="21"/>
  <c r="I31" i="21" s="1"/>
  <c r="AI21" i="21" s="1"/>
  <c r="G22" i="21"/>
  <c r="G31" i="21" s="1"/>
  <c r="E22" i="21"/>
  <c r="AL14" i="21" s="1"/>
  <c r="D22" i="21"/>
  <c r="C22" i="21"/>
  <c r="C31" i="21" s="1"/>
  <c r="B22" i="21"/>
  <c r="AS21" i="21"/>
  <c r="AS25" i="21" s="1"/>
  <c r="AR21" i="21"/>
  <c r="AQ21" i="21"/>
  <c r="AQ25" i="21" s="1"/>
  <c r="AH21" i="21"/>
  <c r="J31" i="21" s="1"/>
  <c r="U21" i="21"/>
  <c r="S21" i="21"/>
  <c r="I21" i="21"/>
  <c r="I30" i="21" s="1"/>
  <c r="H21" i="21"/>
  <c r="G21" i="21"/>
  <c r="G30" i="21" s="1"/>
  <c r="AO20" i="21" s="1"/>
  <c r="E21" i="21"/>
  <c r="C21" i="21"/>
  <c r="B21" i="21"/>
  <c r="AN13" i="21" s="1"/>
  <c r="Y20" i="21"/>
  <c r="Q20" i="21"/>
  <c r="I20" i="21"/>
  <c r="G20" i="21"/>
  <c r="AO12" i="21" s="1"/>
  <c r="F20" i="21"/>
  <c r="E20" i="21"/>
  <c r="E29" i="21" s="1"/>
  <c r="C20" i="21"/>
  <c r="C29" i="21" s="1"/>
  <c r="B20" i="21"/>
  <c r="AT19" i="21"/>
  <c r="AJ19" i="21"/>
  <c r="AH19" i="21"/>
  <c r="J29" i="21" s="1"/>
  <c r="AG19" i="21"/>
  <c r="U19" i="21"/>
  <c r="N19" i="21"/>
  <c r="N30" i="21" s="1"/>
  <c r="G19" i="21"/>
  <c r="G28" i="21" s="1"/>
  <c r="B19" i="21"/>
  <c r="AG12" i="21" s="1"/>
  <c r="AX18" i="21"/>
  <c r="AX22" i="21" s="1"/>
  <c r="AX26" i="21" s="1"/>
  <c r="AW18" i="21"/>
  <c r="AW22" i="21" s="1"/>
  <c r="AW26" i="21" s="1"/>
  <c r="AV18" i="21"/>
  <c r="AU19" i="21" s="1"/>
  <c r="AN18" i="21"/>
  <c r="AL18" i="21"/>
  <c r="AJ18" i="21"/>
  <c r="AH18" i="21"/>
  <c r="W18" i="21"/>
  <c r="O18" i="21"/>
  <c r="N18" i="21"/>
  <c r="N29" i="21" s="1"/>
  <c r="AX17" i="21"/>
  <c r="AX21" i="21" s="1"/>
  <c r="AX25" i="21" s="1"/>
  <c r="AW17" i="21"/>
  <c r="AW21" i="21" s="1"/>
  <c r="AW25" i="21" s="1"/>
  <c r="AT17" i="21"/>
  <c r="AT21" i="21" s="1"/>
  <c r="AT25" i="21" s="1"/>
  <c r="AS17" i="21"/>
  <c r="AR17" i="21"/>
  <c r="AQ17" i="21"/>
  <c r="AO17" i="21"/>
  <c r="AN17" i="21"/>
  <c r="H25" i="21" s="1"/>
  <c r="AH17" i="21"/>
  <c r="Y17" i="21"/>
  <c r="S17" i="21"/>
  <c r="Q17" i="21"/>
  <c r="AM16" i="21"/>
  <c r="AL16" i="21"/>
  <c r="AK16" i="21"/>
  <c r="N16" i="21"/>
  <c r="N27" i="21" s="1"/>
  <c r="AU15" i="21"/>
  <c r="AR15" i="21"/>
  <c r="AR14" i="21" s="1"/>
  <c r="AO15" i="21"/>
  <c r="AN15" i="21"/>
  <c r="H23" i="21" s="1"/>
  <c r="AK15" i="21"/>
  <c r="AJ15" i="21"/>
  <c r="D23" i="21" s="1"/>
  <c r="AI15" i="21"/>
  <c r="AH15" i="21"/>
  <c r="J23" i="21" s="1"/>
  <c r="U15" i="21"/>
  <c r="S15" i="21"/>
  <c r="AO14" i="21"/>
  <c r="AN14" i="21"/>
  <c r="AM14" i="21"/>
  <c r="AK14" i="21"/>
  <c r="AJ14" i="21"/>
  <c r="AI14" i="21"/>
  <c r="AH14" i="21"/>
  <c r="J22" i="21" s="1"/>
  <c r="AQ13" i="21"/>
  <c r="AO13" i="21"/>
  <c r="AI13" i="21"/>
  <c r="S13" i="21"/>
  <c r="AM12" i="21"/>
  <c r="AL12" i="21"/>
  <c r="AK12" i="21"/>
  <c r="AJ12" i="21"/>
  <c r="D20" i="21" s="1"/>
  <c r="AI12" i="21"/>
  <c r="AH12" i="21"/>
  <c r="J20" i="21" s="1"/>
  <c r="AM10" i="21"/>
  <c r="Y10" i="21"/>
  <c r="Y21" i="21" s="1"/>
  <c r="W10" i="21"/>
  <c r="W21" i="21" s="1"/>
  <c r="U10" i="21"/>
  <c r="S10" i="21"/>
  <c r="Q10" i="21"/>
  <c r="Q21" i="21" s="1"/>
  <c r="O10" i="21"/>
  <c r="O21" i="21" s="1"/>
  <c r="N10" i="21"/>
  <c r="N21" i="21" s="1"/>
  <c r="N32" i="21" s="1"/>
  <c r="AC9" i="21"/>
  <c r="AB9" i="21"/>
  <c r="Y9" i="21"/>
  <c r="W9" i="21"/>
  <c r="W20" i="21" s="1"/>
  <c r="U9" i="21"/>
  <c r="S9" i="21"/>
  <c r="Q9" i="21"/>
  <c r="O9" i="21"/>
  <c r="O20" i="21" s="1"/>
  <c r="N9" i="21"/>
  <c r="N20" i="21" s="1"/>
  <c r="N31" i="21" s="1"/>
  <c r="L9" i="21"/>
  <c r="AS8" i="21"/>
  <c r="AQ8" i="21"/>
  <c r="AP8" i="21"/>
  <c r="AC8" i="21"/>
  <c r="Y8" i="21"/>
  <c r="Y19" i="21" s="1"/>
  <c r="W8" i="21"/>
  <c r="W19" i="21" s="1"/>
  <c r="U8" i="21"/>
  <c r="S8" i="21"/>
  <c r="S19" i="21" s="1"/>
  <c r="Q8" i="21"/>
  <c r="Q19" i="21" s="1"/>
  <c r="O8" i="21"/>
  <c r="O19" i="21" s="1"/>
  <c r="N8" i="21"/>
  <c r="AS7" i="21"/>
  <c r="AS27" i="21" s="1"/>
  <c r="AQ7" i="21"/>
  <c r="AP7" i="21"/>
  <c r="AM7" i="21"/>
  <c r="AK7" i="21"/>
  <c r="Y7" i="21"/>
  <c r="W7" i="21"/>
  <c r="U7" i="21"/>
  <c r="AB7" i="21" s="1"/>
  <c r="S7" i="21"/>
  <c r="Q7" i="21"/>
  <c r="O7" i="21"/>
  <c r="N7" i="21"/>
  <c r="AT6" i="21"/>
  <c r="AT23" i="21" s="1"/>
  <c r="AS6" i="21"/>
  <c r="AS23" i="21" s="1"/>
  <c r="AS22" i="21" s="1"/>
  <c r="AR6" i="21"/>
  <c r="AR23" i="21" s="1"/>
  <c r="AQ6" i="21"/>
  <c r="AY22" i="21" s="1"/>
  <c r="AP6" i="21"/>
  <c r="AM6" i="21"/>
  <c r="AK6" i="21"/>
  <c r="AC6" i="21"/>
  <c r="Y6" i="21"/>
  <c r="W6" i="21"/>
  <c r="W17" i="21" s="1"/>
  <c r="U6" i="21"/>
  <c r="U17" i="21" s="1"/>
  <c r="S6" i="21"/>
  <c r="Q6" i="21"/>
  <c r="AB6" i="21" s="1"/>
  <c r="O6" i="21"/>
  <c r="O17" i="21" s="1"/>
  <c r="N6" i="21"/>
  <c r="N17" i="21" s="1"/>
  <c r="N28" i="21" s="1"/>
  <c r="AT5" i="21"/>
  <c r="AS5" i="21"/>
  <c r="AS19" i="21" s="1"/>
  <c r="AS18" i="21" s="1"/>
  <c r="AQ5" i="21"/>
  <c r="AY18" i="21" s="1"/>
  <c r="AP5" i="21"/>
  <c r="AM5" i="21"/>
  <c r="AK5" i="21"/>
  <c r="Y5" i="21"/>
  <c r="Y16" i="21" s="1"/>
  <c r="W5" i="21"/>
  <c r="U5" i="21"/>
  <c r="S5" i="21"/>
  <c r="Q5" i="21"/>
  <c r="Q16" i="21" s="1"/>
  <c r="O5" i="21"/>
  <c r="N5" i="21"/>
  <c r="AT4" i="21"/>
  <c r="AT15" i="21" s="1"/>
  <c r="AT14" i="21" s="1"/>
  <c r="AR4" i="21"/>
  <c r="AQ4" i="21"/>
  <c r="AS4" i="21" s="1"/>
  <c r="AS15" i="21" s="1"/>
  <c r="AS14" i="21" s="1"/>
  <c r="AP4" i="21"/>
  <c r="AM4" i="21"/>
  <c r="AK4" i="21"/>
  <c r="Y4" i="21"/>
  <c r="Y15" i="21" s="1"/>
  <c r="W4" i="21"/>
  <c r="W15" i="21" s="1"/>
  <c r="U4" i="21"/>
  <c r="S4" i="21"/>
  <c r="Q4" i="21"/>
  <c r="Q15" i="21" s="1"/>
  <c r="O4" i="21"/>
  <c r="AC4" i="21" s="1"/>
  <c r="N4" i="21"/>
  <c r="N15" i="21" s="1"/>
  <c r="N26" i="21" s="1"/>
  <c r="AQ3" i="21"/>
  <c r="AP3" i="21"/>
  <c r="AM3" i="21"/>
  <c r="AM9" i="21" s="1"/>
  <c r="AK3" i="21"/>
  <c r="Y3" i="21"/>
  <c r="W3" i="21"/>
  <c r="U3" i="21"/>
  <c r="S3" i="21"/>
  <c r="S14" i="21" s="1"/>
  <c r="Q3" i="21"/>
  <c r="O3" i="21"/>
  <c r="N3" i="21"/>
  <c r="N14" i="21" s="1"/>
  <c r="N25" i="21" s="1"/>
  <c r="AT2" i="21"/>
  <c r="AS2" i="21"/>
  <c r="AM2" i="21"/>
  <c r="AK2" i="21"/>
  <c r="Y2" i="21"/>
  <c r="Y13" i="21" s="1"/>
  <c r="W2" i="21"/>
  <c r="U2" i="21"/>
  <c r="S2" i="21"/>
  <c r="Q2" i="21"/>
  <c r="Q13" i="21" s="1"/>
  <c r="O2" i="21"/>
  <c r="N2" i="21"/>
  <c r="N13" i="21" s="1"/>
  <c r="N24" i="21" s="1"/>
  <c r="AQ1" i="21"/>
  <c r="C27" i="20"/>
  <c r="C26" i="20"/>
  <c r="W24" i="20"/>
  <c r="U24" i="20"/>
  <c r="S24" i="20"/>
  <c r="Q24" i="20"/>
  <c r="O24" i="20"/>
  <c r="Z24" i="20" s="1" a="1"/>
  <c r="Z24" i="20" s="1"/>
  <c r="M24" i="20"/>
  <c r="AA24" i="20" s="1" a="1"/>
  <c r="AA24" i="20" s="1"/>
  <c r="L24" i="20"/>
  <c r="W23" i="20"/>
  <c r="U23" i="20"/>
  <c r="S23" i="20"/>
  <c r="Q23" i="20"/>
  <c r="O23" i="20"/>
  <c r="M23" i="20"/>
  <c r="AA23" i="20" s="1" a="1"/>
  <c r="AA23" i="20" s="1"/>
  <c r="L23" i="20"/>
  <c r="W22" i="20"/>
  <c r="U22" i="20"/>
  <c r="S22" i="20"/>
  <c r="Q22" i="20"/>
  <c r="O22" i="20"/>
  <c r="M22" i="20"/>
  <c r="L22" i="20"/>
  <c r="Q21" i="20"/>
  <c r="R20" i="20" s="1"/>
  <c r="O21" i="20"/>
  <c r="L21" i="20"/>
  <c r="AA20" i="20"/>
  <c r="Z20" i="20"/>
  <c r="U18" i="20"/>
  <c r="Q18" i="20"/>
  <c r="M18" i="20"/>
  <c r="W17" i="20"/>
  <c r="U17" i="20"/>
  <c r="Q17" i="20"/>
  <c r="O17" i="20"/>
  <c r="M17" i="20"/>
  <c r="Q16" i="20"/>
  <c r="W15" i="20"/>
  <c r="S15" i="20"/>
  <c r="O15" i="20"/>
  <c r="E15" i="20"/>
  <c r="S14" i="20"/>
  <c r="G14" i="20"/>
  <c r="C14" i="20"/>
  <c r="U13" i="20"/>
  <c r="S13" i="20"/>
  <c r="Q13" i="20"/>
  <c r="M13" i="20"/>
  <c r="E13" i="20"/>
  <c r="C13" i="20"/>
  <c r="U12" i="20"/>
  <c r="Q12" i="20"/>
  <c r="M12" i="20"/>
  <c r="G12" i="20"/>
  <c r="C12" i="20"/>
  <c r="L11" i="20"/>
  <c r="W8" i="20"/>
  <c r="W18" i="20" s="1"/>
  <c r="U8" i="20"/>
  <c r="S8" i="20"/>
  <c r="Q8" i="20"/>
  <c r="O8" i="20"/>
  <c r="O18" i="20" s="1"/>
  <c r="M8" i="20"/>
  <c r="W7" i="20"/>
  <c r="U7" i="20"/>
  <c r="S7" i="20"/>
  <c r="S17" i="20" s="1"/>
  <c r="Q7" i="20"/>
  <c r="O7" i="20"/>
  <c r="M7" i="20"/>
  <c r="W6" i="20"/>
  <c r="U6" i="20"/>
  <c r="S6" i="20"/>
  <c r="S16" i="20" s="1"/>
  <c r="Q6" i="20"/>
  <c r="O6" i="20"/>
  <c r="M6" i="20"/>
  <c r="I6" i="20"/>
  <c r="W5" i="20"/>
  <c r="U5" i="20"/>
  <c r="U15" i="20" s="1"/>
  <c r="S5" i="20"/>
  <c r="Q5" i="20"/>
  <c r="Q15" i="20" s="1"/>
  <c r="O5" i="20"/>
  <c r="M5" i="20"/>
  <c r="M15" i="20" s="1"/>
  <c r="I5" i="20"/>
  <c r="W4" i="20"/>
  <c r="U4" i="20"/>
  <c r="S4" i="20"/>
  <c r="Q4" i="20"/>
  <c r="O4" i="20"/>
  <c r="M4" i="20"/>
  <c r="I4" i="20"/>
  <c r="E14" i="20" s="1"/>
  <c r="W3" i="20"/>
  <c r="W13" i="20" s="1"/>
  <c r="U3" i="20"/>
  <c r="S3" i="20"/>
  <c r="Q3" i="20"/>
  <c r="O3" i="20"/>
  <c r="P1" i="20" s="1"/>
  <c r="M3" i="20"/>
  <c r="I3" i="20"/>
  <c r="G13" i="20" s="1"/>
  <c r="W2" i="20"/>
  <c r="W12" i="20" s="1"/>
  <c r="U2" i="20"/>
  <c r="S2" i="20"/>
  <c r="Q2" i="20"/>
  <c r="O2" i="20"/>
  <c r="M2" i="20"/>
  <c r="I2" i="20"/>
  <c r="E12" i="20" s="1"/>
  <c r="C27" i="19"/>
  <c r="C26" i="19"/>
  <c r="W24" i="19"/>
  <c r="U24" i="19"/>
  <c r="S24" i="19"/>
  <c r="Q24" i="19"/>
  <c r="Z24" i="19" s="1" a="1"/>
  <c r="Z24" i="19" s="1"/>
  <c r="O24" i="19"/>
  <c r="AA24" i="19" s="1" a="1"/>
  <c r="AA24" i="19" s="1"/>
  <c r="M24" i="19"/>
  <c r="L24" i="19"/>
  <c r="AA23" i="19"/>
  <c r="W23" i="19"/>
  <c r="U23" i="19"/>
  <c r="S23" i="19"/>
  <c r="Q23" i="19"/>
  <c r="O23" i="19"/>
  <c r="M23" i="19"/>
  <c r="AA23" i="19" s="1" a="1"/>
  <c r="L23" i="19"/>
  <c r="W22" i="19"/>
  <c r="U22" i="19"/>
  <c r="S22" i="19"/>
  <c r="Z22" i="19" s="1" a="1"/>
  <c r="Z22" i="19" s="1"/>
  <c r="Q22" i="19"/>
  <c r="O22" i="19"/>
  <c r="M22" i="19"/>
  <c r="L22" i="19"/>
  <c r="L21" i="19"/>
  <c r="AA20" i="19"/>
  <c r="Z20" i="19"/>
  <c r="W18" i="19"/>
  <c r="S18" i="19"/>
  <c r="O18" i="19"/>
  <c r="W17" i="19"/>
  <c r="S17" i="19"/>
  <c r="O17" i="19"/>
  <c r="W16" i="19"/>
  <c r="O16" i="19"/>
  <c r="U15" i="19"/>
  <c r="S15" i="19"/>
  <c r="Q15" i="19"/>
  <c r="M15" i="19"/>
  <c r="Q14" i="19"/>
  <c r="W13" i="19"/>
  <c r="S13" i="19"/>
  <c r="O13" i="19"/>
  <c r="S12" i="19"/>
  <c r="L11" i="19"/>
  <c r="W8" i="19"/>
  <c r="U8" i="19"/>
  <c r="S8" i="19"/>
  <c r="Q8" i="19"/>
  <c r="O8" i="19"/>
  <c r="M8" i="19"/>
  <c r="W7" i="19"/>
  <c r="U7" i="19"/>
  <c r="U17" i="19" s="1"/>
  <c r="S7" i="19"/>
  <c r="Q7" i="19"/>
  <c r="Q17" i="19" s="1"/>
  <c r="O7" i="19"/>
  <c r="M7" i="19"/>
  <c r="W6" i="19"/>
  <c r="U6" i="19"/>
  <c r="U16" i="19" s="1"/>
  <c r="S6" i="19"/>
  <c r="Q6" i="19"/>
  <c r="Q16" i="19" s="1"/>
  <c r="O6" i="19"/>
  <c r="M6" i="19"/>
  <c r="W5" i="19"/>
  <c r="U5" i="19"/>
  <c r="S5" i="19"/>
  <c r="Q5" i="19"/>
  <c r="O5" i="19"/>
  <c r="M5" i="19"/>
  <c r="W4" i="19"/>
  <c r="W14" i="19" s="1"/>
  <c r="U4" i="19"/>
  <c r="U14" i="19" s="1"/>
  <c r="S4" i="19"/>
  <c r="S14" i="19" s="1"/>
  <c r="Q4" i="19"/>
  <c r="O4" i="19"/>
  <c r="M4" i="19"/>
  <c r="W3" i="19"/>
  <c r="U3" i="19"/>
  <c r="U13" i="19" s="1"/>
  <c r="S3" i="19"/>
  <c r="Q3" i="19"/>
  <c r="O3" i="19"/>
  <c r="M3" i="19"/>
  <c r="M13" i="19" s="1"/>
  <c r="W2" i="19"/>
  <c r="U2" i="19"/>
  <c r="U12" i="19" s="1"/>
  <c r="S2" i="19"/>
  <c r="Q2" i="19"/>
  <c r="O2" i="19"/>
  <c r="M2" i="19"/>
  <c r="C27" i="18"/>
  <c r="C26" i="18"/>
  <c r="W24" i="18"/>
  <c r="U24" i="18"/>
  <c r="S24" i="18"/>
  <c r="Q24" i="18"/>
  <c r="O24" i="18"/>
  <c r="Z24" i="18" s="1" a="1"/>
  <c r="Z24" i="18" s="1"/>
  <c r="M24" i="18"/>
  <c r="AA24" i="18" s="1" a="1"/>
  <c r="AA24" i="18" s="1"/>
  <c r="L24" i="18"/>
  <c r="W23" i="18"/>
  <c r="U23" i="18"/>
  <c r="S23" i="18"/>
  <c r="Z23" i="18" s="1" a="1"/>
  <c r="Z23" i="18" s="1"/>
  <c r="Q23" i="18"/>
  <c r="O23" i="18"/>
  <c r="M23" i="18"/>
  <c r="L23" i="18"/>
  <c r="Z22" i="18"/>
  <c r="W22" i="18"/>
  <c r="U22" i="18"/>
  <c r="S22" i="18"/>
  <c r="Z22" i="18" s="1" a="1"/>
  <c r="Q22" i="18"/>
  <c r="O22" i="18"/>
  <c r="M22" i="18"/>
  <c r="AA22" i="18" s="1" a="1"/>
  <c r="AA22" i="18" s="1"/>
  <c r="L22" i="18"/>
  <c r="L21" i="18"/>
  <c r="AA20" i="18"/>
  <c r="Z20" i="18"/>
  <c r="Q18" i="18"/>
  <c r="O18" i="18"/>
  <c r="M18" i="18"/>
  <c r="U17" i="18"/>
  <c r="Q17" i="18"/>
  <c r="U16" i="18"/>
  <c r="M16" i="18"/>
  <c r="U15" i="18"/>
  <c r="S15" i="18"/>
  <c r="M15" i="18"/>
  <c r="S14" i="18"/>
  <c r="O14" i="18"/>
  <c r="W13" i="18"/>
  <c r="U13" i="18"/>
  <c r="O13" i="18"/>
  <c r="M13" i="18"/>
  <c r="L11" i="18"/>
  <c r="W8" i="18"/>
  <c r="W18" i="18" s="1"/>
  <c r="U8" i="18"/>
  <c r="U18" i="18" s="1"/>
  <c r="S8" i="18"/>
  <c r="Q8" i="18"/>
  <c r="O8" i="18"/>
  <c r="M8" i="18"/>
  <c r="W7" i="18"/>
  <c r="W17" i="18" s="1"/>
  <c r="U7" i="18"/>
  <c r="S7" i="18"/>
  <c r="S17" i="18" s="1"/>
  <c r="Q7" i="18"/>
  <c r="O7" i="18"/>
  <c r="O17" i="18" s="1"/>
  <c r="M7" i="18"/>
  <c r="W6" i="18"/>
  <c r="W16" i="18" s="1"/>
  <c r="U6" i="18"/>
  <c r="V6" i="18" s="1"/>
  <c r="S6" i="18"/>
  <c r="S16" i="18" s="1"/>
  <c r="Q6" i="18"/>
  <c r="O6" i="18"/>
  <c r="M6" i="18"/>
  <c r="W5" i="18"/>
  <c r="U5" i="18"/>
  <c r="S5" i="18"/>
  <c r="Q5" i="18"/>
  <c r="O5" i="18"/>
  <c r="M5" i="18"/>
  <c r="W4" i="18"/>
  <c r="U4" i="18"/>
  <c r="U14" i="18" s="1"/>
  <c r="S4" i="18"/>
  <c r="Q4" i="18"/>
  <c r="Q14" i="18" s="1"/>
  <c r="O4" i="18"/>
  <c r="M4" i="18"/>
  <c r="M14" i="18" s="1"/>
  <c r="W3" i="18"/>
  <c r="V3" i="18"/>
  <c r="U3" i="18"/>
  <c r="S3" i="18"/>
  <c r="S13" i="18" s="1"/>
  <c r="Q3" i="18"/>
  <c r="Q13" i="18" s="1"/>
  <c r="O3" i="18"/>
  <c r="M3" i="18"/>
  <c r="W2" i="18"/>
  <c r="U2" i="18"/>
  <c r="V1" i="18" s="1"/>
  <c r="S2" i="18"/>
  <c r="Q2" i="18"/>
  <c r="O2" i="18"/>
  <c r="O12" i="18" s="1"/>
  <c r="M2" i="18"/>
  <c r="P1" i="18"/>
  <c r="C27" i="17"/>
  <c r="C26" i="17"/>
  <c r="W24" i="17"/>
  <c r="U24" i="17"/>
  <c r="S24" i="17"/>
  <c r="Q24" i="17"/>
  <c r="O24" i="17"/>
  <c r="M24" i="17"/>
  <c r="L24" i="17"/>
  <c r="AA23" i="17"/>
  <c r="W23" i="17"/>
  <c r="U23" i="17"/>
  <c r="S23" i="17"/>
  <c r="Q23" i="17"/>
  <c r="O23" i="17"/>
  <c r="M23" i="17"/>
  <c r="AA23" i="17" s="1" a="1"/>
  <c r="L23" i="17"/>
  <c r="AA22" i="17" a="1"/>
  <c r="AA22" i="17" s="1"/>
  <c r="Z22" i="17" a="1"/>
  <c r="Z22" i="17" s="1"/>
  <c r="W22" i="17"/>
  <c r="U22" i="17"/>
  <c r="S22" i="17"/>
  <c r="Q22" i="17"/>
  <c r="O22" i="17"/>
  <c r="M22" i="17"/>
  <c r="L22" i="17"/>
  <c r="L21" i="17"/>
  <c r="AA20" i="17"/>
  <c r="Z20" i="17"/>
  <c r="U18" i="17"/>
  <c r="S18" i="17"/>
  <c r="Q18" i="17"/>
  <c r="W17" i="17"/>
  <c r="M17" i="17"/>
  <c r="U16" i="17"/>
  <c r="S15" i="17"/>
  <c r="Q15" i="17"/>
  <c r="S14" i="17"/>
  <c r="W13" i="17"/>
  <c r="Q13" i="17"/>
  <c r="L11" i="17"/>
  <c r="W8" i="17"/>
  <c r="W18" i="17" s="1"/>
  <c r="U8" i="17"/>
  <c r="S8" i="17"/>
  <c r="T8" i="17" s="1"/>
  <c r="Q8" i="17"/>
  <c r="O8" i="17"/>
  <c r="O18" i="17" s="1"/>
  <c r="M8" i="17"/>
  <c r="W7" i="17"/>
  <c r="U7" i="17"/>
  <c r="T7" i="17"/>
  <c r="S7" i="17"/>
  <c r="S17" i="17" s="1"/>
  <c r="Q7" i="17"/>
  <c r="Q17" i="17" s="1"/>
  <c r="O7" i="17"/>
  <c r="O17" i="17" s="1"/>
  <c r="M7" i="17"/>
  <c r="W6" i="17"/>
  <c r="W16" i="17" s="1"/>
  <c r="U6" i="17"/>
  <c r="S6" i="17"/>
  <c r="Q6" i="17"/>
  <c r="O6" i="17"/>
  <c r="O16" i="17" s="1"/>
  <c r="M6" i="17"/>
  <c r="W5" i="17"/>
  <c r="W15" i="17" s="1"/>
  <c r="U5" i="17"/>
  <c r="U15" i="17" s="1"/>
  <c r="S5" i="17"/>
  <c r="Q5" i="17"/>
  <c r="O5" i="17"/>
  <c r="O15" i="17" s="1"/>
  <c r="M5" i="17"/>
  <c r="M15" i="17" s="1"/>
  <c r="W4" i="17"/>
  <c r="U4" i="17"/>
  <c r="S4" i="17"/>
  <c r="Q4" i="17"/>
  <c r="Q14" i="17" s="1"/>
  <c r="O4" i="17"/>
  <c r="M4" i="17"/>
  <c r="W3" i="17"/>
  <c r="U3" i="17"/>
  <c r="U13" i="17" s="1"/>
  <c r="S3" i="17"/>
  <c r="S13" i="17" s="1"/>
  <c r="Q3" i="17"/>
  <c r="O3" i="17"/>
  <c r="O13" i="17" s="1"/>
  <c r="M3" i="17"/>
  <c r="M13" i="17" s="1"/>
  <c r="W2" i="17"/>
  <c r="U2" i="17"/>
  <c r="S2" i="17"/>
  <c r="S12" i="17" s="1"/>
  <c r="Q2" i="17"/>
  <c r="O2" i="17"/>
  <c r="M2" i="17"/>
  <c r="T1" i="17"/>
  <c r="T2" i="17" s="1"/>
  <c r="A30" i="16"/>
  <c r="A29" i="16"/>
  <c r="T28" i="16"/>
  <c r="R28" i="16"/>
  <c r="D27" i="16"/>
  <c r="C27" i="16"/>
  <c r="B27" i="16"/>
  <c r="R26" i="16"/>
  <c r="P26" i="16"/>
  <c r="I26" i="16"/>
  <c r="D26" i="16"/>
  <c r="C26" i="16"/>
  <c r="B26" i="16"/>
  <c r="T25" i="16"/>
  <c r="P25" i="16"/>
  <c r="D25" i="16"/>
  <c r="C25" i="16"/>
  <c r="B25" i="16"/>
  <c r="T24" i="16"/>
  <c r="R24" i="16"/>
  <c r="I24" i="16"/>
  <c r="D24" i="16"/>
  <c r="C24" i="16"/>
  <c r="B24" i="16"/>
  <c r="B29" i="16" s="1" a="1"/>
  <c r="B29" i="16" s="1"/>
  <c r="T23" i="16"/>
  <c r="R23" i="16"/>
  <c r="P23" i="16"/>
  <c r="N23" i="16"/>
  <c r="D23" i="16"/>
  <c r="D29" i="16" s="1" a="1"/>
  <c r="D29" i="16" s="1"/>
  <c r="C23" i="16"/>
  <c r="B23" i="16"/>
  <c r="T22" i="16"/>
  <c r="R22" i="16"/>
  <c r="D22" i="16"/>
  <c r="C22" i="16"/>
  <c r="B22" i="16"/>
  <c r="V21" i="16"/>
  <c r="T21" i="16"/>
  <c r="T27" i="16" s="1"/>
  <c r="R21" i="16"/>
  <c r="R25" i="16" s="1"/>
  <c r="P21" i="16"/>
  <c r="N21" i="16"/>
  <c r="U18" i="16"/>
  <c r="Q18" i="16"/>
  <c r="M18" i="16"/>
  <c r="U17" i="16"/>
  <c r="Q17" i="16"/>
  <c r="M17" i="16"/>
  <c r="Q15" i="16"/>
  <c r="O15" i="16"/>
  <c r="W14" i="16"/>
  <c r="S14" i="16"/>
  <c r="O14" i="16"/>
  <c r="U13" i="16"/>
  <c r="Q13" i="16"/>
  <c r="M13" i="16"/>
  <c r="W12" i="16"/>
  <c r="O12" i="16"/>
  <c r="X11" i="16"/>
  <c r="W8" i="16"/>
  <c r="U8" i="16"/>
  <c r="S8" i="16"/>
  <c r="Q8" i="16"/>
  <c r="O8" i="16"/>
  <c r="M8" i="16"/>
  <c r="W7" i="16"/>
  <c r="W17" i="16" s="1"/>
  <c r="U7" i="16"/>
  <c r="S7" i="16"/>
  <c r="S17" i="16" s="1"/>
  <c r="Q7" i="16"/>
  <c r="R7" i="16" s="1"/>
  <c r="O7" i="16"/>
  <c r="M7" i="16"/>
  <c r="W6" i="16"/>
  <c r="W16" i="16" s="1"/>
  <c r="U6" i="16"/>
  <c r="S6" i="16"/>
  <c r="S16" i="16" s="1"/>
  <c r="Q6" i="16"/>
  <c r="R6" i="16" s="1"/>
  <c r="O6" i="16"/>
  <c r="O16" i="16" s="1"/>
  <c r="M6" i="16"/>
  <c r="W5" i="16"/>
  <c r="W15" i="16" s="1"/>
  <c r="U5" i="16"/>
  <c r="U15" i="16" s="1"/>
  <c r="S5" i="16"/>
  <c r="S15" i="16" s="1"/>
  <c r="Q5" i="16"/>
  <c r="R5" i="16" s="1"/>
  <c r="O5" i="16"/>
  <c r="M5" i="16"/>
  <c r="M15" i="16" s="1"/>
  <c r="W4" i="16"/>
  <c r="U4" i="16"/>
  <c r="U14" i="16" s="1"/>
  <c r="S4" i="16"/>
  <c r="I25" i="16" s="1"/>
  <c r="Q4" i="16"/>
  <c r="Q14" i="16" s="1"/>
  <c r="O4" i="16"/>
  <c r="M4" i="16"/>
  <c r="W3" i="16"/>
  <c r="U3" i="16"/>
  <c r="S3" i="16"/>
  <c r="S13" i="16" s="1"/>
  <c r="Q3" i="16"/>
  <c r="R3" i="16" s="1"/>
  <c r="O3" i="16"/>
  <c r="M3" i="16"/>
  <c r="W2" i="16"/>
  <c r="U2" i="16"/>
  <c r="S2" i="16"/>
  <c r="S12" i="16" s="1"/>
  <c r="Q2" i="16"/>
  <c r="R1" i="16" s="1"/>
  <c r="R8" i="16" s="1"/>
  <c r="O2" i="16"/>
  <c r="M2" i="16"/>
  <c r="B36" i="15"/>
  <c r="A36" i="15"/>
  <c r="A35" i="15"/>
  <c r="E33" i="15"/>
  <c r="D33" i="15"/>
  <c r="C33" i="15"/>
  <c r="B33" i="15"/>
  <c r="E32" i="15"/>
  <c r="D32" i="15"/>
  <c r="C32" i="15"/>
  <c r="C35" i="15" s="1" a="1"/>
  <c r="C35" i="15" s="1"/>
  <c r="B32" i="15"/>
  <c r="E31" i="15"/>
  <c r="D31" i="15"/>
  <c r="C31" i="15"/>
  <c r="B31" i="15"/>
  <c r="E30" i="15"/>
  <c r="D30" i="15"/>
  <c r="C30" i="15"/>
  <c r="B30" i="15"/>
  <c r="B36" i="15" s="1" a="1"/>
  <c r="E29" i="15"/>
  <c r="E35" i="15" s="1" a="1"/>
  <c r="E35" i="15" s="1"/>
  <c r="D29" i="15"/>
  <c r="D35" i="15" s="1" a="1"/>
  <c r="D35" i="15" s="1"/>
  <c r="C29" i="15"/>
  <c r="B29" i="15"/>
  <c r="Y28" i="15"/>
  <c r="E28" i="15"/>
  <c r="E36" i="15" s="1" a="1"/>
  <c r="E36" i="15" s="1"/>
  <c r="D28" i="15"/>
  <c r="D36" i="15" s="1" a="1"/>
  <c r="D36" i="15" s="1"/>
  <c r="C28" i="15"/>
  <c r="C36" i="15" s="1" a="1"/>
  <c r="C36" i="15" s="1"/>
  <c r="B28" i="15"/>
  <c r="W27" i="15"/>
  <c r="E27" i="15"/>
  <c r="Y25" i="15"/>
  <c r="W25" i="15"/>
  <c r="Q25" i="15"/>
  <c r="H25" i="15"/>
  <c r="G25" i="15"/>
  <c r="F25" i="15"/>
  <c r="E25" i="15"/>
  <c r="D25" i="15"/>
  <c r="C25" i="15"/>
  <c r="B25" i="15"/>
  <c r="Q24" i="15"/>
  <c r="H24" i="15"/>
  <c r="G24" i="15"/>
  <c r="F24" i="15"/>
  <c r="E24" i="15"/>
  <c r="D24" i="15"/>
  <c r="C24" i="15"/>
  <c r="B24" i="15"/>
  <c r="H23" i="15"/>
  <c r="G23" i="15"/>
  <c r="F23" i="15"/>
  <c r="E23" i="15"/>
  <c r="D23" i="15"/>
  <c r="C23" i="15"/>
  <c r="B23" i="15"/>
  <c r="Y22" i="15"/>
  <c r="W22" i="15"/>
  <c r="H22" i="15"/>
  <c r="G22" i="15"/>
  <c r="F22" i="15"/>
  <c r="E22" i="15"/>
  <c r="D22" i="15"/>
  <c r="C22" i="15"/>
  <c r="B22" i="15"/>
  <c r="Y21" i="15"/>
  <c r="W21" i="15"/>
  <c r="U21" i="15"/>
  <c r="S21" i="15"/>
  <c r="Q21" i="15"/>
  <c r="O21" i="15"/>
  <c r="H21" i="15"/>
  <c r="G21" i="15"/>
  <c r="F21" i="15"/>
  <c r="E21" i="15"/>
  <c r="D21" i="15"/>
  <c r="C21" i="15"/>
  <c r="B21" i="15"/>
  <c r="AE20" i="15"/>
  <c r="H20" i="15"/>
  <c r="G20" i="15"/>
  <c r="F20" i="15"/>
  <c r="E20" i="15"/>
  <c r="D20" i="15"/>
  <c r="C20" i="15"/>
  <c r="B20" i="15"/>
  <c r="AH19" i="15"/>
  <c r="AE19" i="15"/>
  <c r="P19" i="15"/>
  <c r="X18" i="15"/>
  <c r="R18" i="15"/>
  <c r="AH17" i="15"/>
  <c r="AG17" i="15"/>
  <c r="AF17" i="15"/>
  <c r="V17" i="15"/>
  <c r="N17" i="15"/>
  <c r="AH16" i="15"/>
  <c r="AG16" i="15"/>
  <c r="AF16" i="15"/>
  <c r="V16" i="15"/>
  <c r="P16" i="15"/>
  <c r="AH15" i="15"/>
  <c r="AH19" i="15" s="1" a="1"/>
  <c r="AG15" i="15"/>
  <c r="AF15" i="15"/>
  <c r="X15" i="15"/>
  <c r="T15" i="15"/>
  <c r="N15" i="15"/>
  <c r="AH14" i="15"/>
  <c r="AG14" i="15"/>
  <c r="AF14" i="15"/>
  <c r="AF20" i="15" s="1" a="1"/>
  <c r="AF20" i="15" s="1"/>
  <c r="V14" i="15"/>
  <c r="R14" i="15"/>
  <c r="N14" i="15"/>
  <c r="AH13" i="15"/>
  <c r="AG13" i="15"/>
  <c r="AG19" i="15" s="1" a="1"/>
  <c r="AG19" i="15" s="1"/>
  <c r="AF13" i="15"/>
  <c r="R13" i="15"/>
  <c r="AH12" i="15"/>
  <c r="AH20" i="15" s="1" a="1"/>
  <c r="AH20" i="15" s="1"/>
  <c r="AG12" i="15"/>
  <c r="AG20" i="15" s="1" a="1"/>
  <c r="AG20" i="15" s="1"/>
  <c r="AF12" i="15"/>
  <c r="X12" i="15"/>
  <c r="V12" i="15"/>
  <c r="T12" i="15"/>
  <c r="N12" i="15"/>
  <c r="X9" i="15"/>
  <c r="X19" i="15" s="1"/>
  <c r="V9" i="15"/>
  <c r="T9" i="15"/>
  <c r="T19" i="15" s="1"/>
  <c r="R9" i="15"/>
  <c r="R19" i="15" s="1"/>
  <c r="P9" i="15"/>
  <c r="N9" i="15"/>
  <c r="M9" i="15"/>
  <c r="X8" i="15"/>
  <c r="V8" i="15"/>
  <c r="U8" i="15"/>
  <c r="T8" i="15"/>
  <c r="T18" i="15" s="1"/>
  <c r="R8" i="15"/>
  <c r="P8" i="15"/>
  <c r="P18" i="15" s="1"/>
  <c r="N8" i="15"/>
  <c r="M8" i="15"/>
  <c r="X7" i="15"/>
  <c r="X17" i="15" s="1"/>
  <c r="V7" i="15"/>
  <c r="T7" i="15"/>
  <c r="R7" i="15"/>
  <c r="R17" i="15" s="1"/>
  <c r="P7" i="15"/>
  <c r="N7" i="15"/>
  <c r="M7" i="15"/>
  <c r="X6" i="15"/>
  <c r="V6" i="15"/>
  <c r="T6" i="15"/>
  <c r="R6" i="15"/>
  <c r="R16" i="15" s="1"/>
  <c r="P6" i="15"/>
  <c r="N6" i="15"/>
  <c r="N16" i="15" s="1"/>
  <c r="M6" i="15"/>
  <c r="AA5" i="15"/>
  <c r="X5" i="15"/>
  <c r="V5" i="15"/>
  <c r="V15" i="15" s="1"/>
  <c r="T5" i="15"/>
  <c r="R5" i="15"/>
  <c r="P5" i="15"/>
  <c r="P15" i="15" s="1"/>
  <c r="N5" i="15"/>
  <c r="M5" i="15"/>
  <c r="AA4" i="15"/>
  <c r="X4" i="15"/>
  <c r="X14" i="15" s="1"/>
  <c r="V4" i="15"/>
  <c r="T4" i="15"/>
  <c r="T14" i="15" s="1"/>
  <c r="R4" i="15"/>
  <c r="P4" i="15"/>
  <c r="P14" i="15" s="1"/>
  <c r="N4" i="15"/>
  <c r="M4" i="15"/>
  <c r="X3" i="15"/>
  <c r="V3" i="15"/>
  <c r="V13" i="15" s="1"/>
  <c r="T3" i="15"/>
  <c r="T13" i="15" s="1"/>
  <c r="R3" i="15"/>
  <c r="P3" i="15"/>
  <c r="N3" i="15"/>
  <c r="N13" i="15" s="1"/>
  <c r="M3" i="15"/>
  <c r="X2" i="15"/>
  <c r="V2" i="15"/>
  <c r="T2" i="15"/>
  <c r="U1" i="15" s="1"/>
  <c r="R2" i="15"/>
  <c r="P2" i="15"/>
  <c r="N2" i="15"/>
  <c r="M2" i="15"/>
  <c r="Q1" i="15"/>
  <c r="AL42" i="14"/>
  <c r="AH42" i="14"/>
  <c r="AF42" i="14"/>
  <c r="AL41" i="14"/>
  <c r="AF41" i="14"/>
  <c r="AF40" i="14"/>
  <c r="N40" i="14"/>
  <c r="AL39" i="14"/>
  <c r="AH39" i="14"/>
  <c r="AF39" i="14"/>
  <c r="V39" i="14"/>
  <c r="N39" i="14"/>
  <c r="AL38" i="14"/>
  <c r="AH38" i="14"/>
  <c r="AL37" i="14"/>
  <c r="AH37" i="14"/>
  <c r="AF37" i="14"/>
  <c r="V37" i="14"/>
  <c r="T37" i="14"/>
  <c r="AP36" i="14"/>
  <c r="V36" i="14"/>
  <c r="V39" i="14" s="1" a="1"/>
  <c r="T36" i="14"/>
  <c r="AQ35" i="14"/>
  <c r="AP35" i="14"/>
  <c r="V35" i="14"/>
  <c r="T35" i="14"/>
  <c r="I35" i="14"/>
  <c r="AP13" i="14" s="1"/>
  <c r="V34" i="14"/>
  <c r="T34" i="14"/>
  <c r="I34" i="14"/>
  <c r="AO12" i="14" s="1"/>
  <c r="V33" i="14"/>
  <c r="T33" i="14"/>
  <c r="G33" i="14"/>
  <c r="AL32" i="14"/>
  <c r="AH32" i="14"/>
  <c r="AF32" i="14"/>
  <c r="V32" i="14"/>
  <c r="V40" i="14" s="1" a="1"/>
  <c r="V40" i="14" s="1"/>
  <c r="T32" i="14"/>
  <c r="G32" i="14"/>
  <c r="AL31" i="14"/>
  <c r="AJ31" i="14"/>
  <c r="AF31" i="14"/>
  <c r="AF18" i="14" s="1"/>
  <c r="X31" i="14"/>
  <c r="V31" i="14"/>
  <c r="G31" i="14"/>
  <c r="AF30" i="14"/>
  <c r="G30" i="14"/>
  <c r="AU8" i="14" s="1"/>
  <c r="H30" i="14" s="1"/>
  <c r="AL29" i="14"/>
  <c r="AH29" i="14"/>
  <c r="AF29" i="14"/>
  <c r="Y29" i="14"/>
  <c r="S29" i="14"/>
  <c r="Q29" i="14"/>
  <c r="AL28" i="14"/>
  <c r="AJ28" i="14"/>
  <c r="AH28" i="14"/>
  <c r="AF28" i="14"/>
  <c r="AF38" i="14" s="1"/>
  <c r="W28" i="14"/>
  <c r="O28" i="14"/>
  <c r="AL27" i="14"/>
  <c r="AH27" i="14"/>
  <c r="AF27" i="14"/>
  <c r="Q27" i="14"/>
  <c r="O27" i="14"/>
  <c r="AP26" i="14"/>
  <c r="O26" i="14"/>
  <c r="I26" i="14"/>
  <c r="G26" i="14"/>
  <c r="G35" i="14" s="1"/>
  <c r="B26" i="14"/>
  <c r="AU6" i="14" s="1"/>
  <c r="AQ25" i="14"/>
  <c r="AP25" i="14"/>
  <c r="Q25" i="14"/>
  <c r="O25" i="14"/>
  <c r="I25" i="14"/>
  <c r="G25" i="14"/>
  <c r="G34" i="14" s="1"/>
  <c r="AV12" i="14" s="1"/>
  <c r="B25" i="14"/>
  <c r="U24" i="14"/>
  <c r="O24" i="14"/>
  <c r="I24" i="14"/>
  <c r="G24" i="14"/>
  <c r="B24" i="14"/>
  <c r="Y23" i="14"/>
  <c r="S23" i="14"/>
  <c r="I23" i="14"/>
  <c r="I32" i="14" s="1"/>
  <c r="G23" i="14"/>
  <c r="B23" i="14"/>
  <c r="W22" i="14"/>
  <c r="S22" i="14"/>
  <c r="Q22" i="14"/>
  <c r="I22" i="14"/>
  <c r="G22" i="14"/>
  <c r="B22" i="14"/>
  <c r="AT21" i="14"/>
  <c r="AS21" i="14"/>
  <c r="AS22" i="14" s="1"/>
  <c r="AR21" i="14"/>
  <c r="AR22" i="14" s="1"/>
  <c r="AQ21" i="14"/>
  <c r="AP21" i="14"/>
  <c r="AO21" i="14"/>
  <c r="AN21" i="14"/>
  <c r="Y21" i="14"/>
  <c r="W21" i="14"/>
  <c r="W23" i="14" s="1"/>
  <c r="U21" i="14"/>
  <c r="S21" i="14"/>
  <c r="S28" i="14" s="1"/>
  <c r="Q21" i="14"/>
  <c r="O21" i="14"/>
  <c r="O29" i="14" s="1"/>
  <c r="I21" i="14"/>
  <c r="I30" i="14" s="1"/>
  <c r="G21" i="14"/>
  <c r="AV1" i="14" s="1"/>
  <c r="B21" i="14"/>
  <c r="AS20" i="14"/>
  <c r="AR20" i="14"/>
  <c r="AQ20" i="14"/>
  <c r="AP20" i="14"/>
  <c r="AN20" i="14"/>
  <c r="G20" i="14"/>
  <c r="G29" i="14" s="1"/>
  <c r="B20" i="14"/>
  <c r="AF19" i="14"/>
  <c r="N19" i="14"/>
  <c r="AJ18" i="14"/>
  <c r="V18" i="14"/>
  <c r="R18" i="14"/>
  <c r="AT17" i="14"/>
  <c r="AS17" i="14"/>
  <c r="AR17" i="14"/>
  <c r="AQ17" i="14"/>
  <c r="AP17" i="14"/>
  <c r="AP22" i="14" s="1"/>
  <c r="AO17" i="14"/>
  <c r="AO20" i="14" s="1"/>
  <c r="AN17" i="14"/>
  <c r="AF17" i="14"/>
  <c r="X17" i="14"/>
  <c r="AS16" i="14"/>
  <c r="AR16" i="14"/>
  <c r="AQ16" i="14"/>
  <c r="AP16" i="14"/>
  <c r="AO16" i="14"/>
  <c r="AN16" i="14"/>
  <c r="AJ16" i="14"/>
  <c r="AF16" i="14"/>
  <c r="AJ15" i="14"/>
  <c r="AF15" i="14"/>
  <c r="T15" i="14"/>
  <c r="AF14" i="14"/>
  <c r="T14" i="14"/>
  <c r="AV13" i="14"/>
  <c r="AU13" i="14"/>
  <c r="H35" i="14" s="1"/>
  <c r="V13" i="14"/>
  <c r="N13" i="14"/>
  <c r="AU12" i="14"/>
  <c r="AP12" i="14"/>
  <c r="C11" i="14"/>
  <c r="AQ7" i="14" s="1"/>
  <c r="AV10" i="14"/>
  <c r="AU10" i="14"/>
  <c r="AP10" i="14"/>
  <c r="AO10" i="14"/>
  <c r="AV9" i="14"/>
  <c r="AU9" i="14"/>
  <c r="H31" i="14" s="1"/>
  <c r="AB9" i="14"/>
  <c r="AA9" i="14"/>
  <c r="X9" i="14"/>
  <c r="X19" i="14" s="1"/>
  <c r="V9" i="14"/>
  <c r="V19" i="14" s="1"/>
  <c r="T9" i="14"/>
  <c r="R9" i="14"/>
  <c r="R19" i="14" s="1"/>
  <c r="P9" i="14"/>
  <c r="P19" i="14" s="1"/>
  <c r="N9" i="14"/>
  <c r="M9" i="14"/>
  <c r="AV8" i="14"/>
  <c r="AP8" i="14"/>
  <c r="AO8" i="14"/>
  <c r="J30" i="14" s="1"/>
  <c r="AN8" i="14"/>
  <c r="X8" i="14"/>
  <c r="V8" i="14"/>
  <c r="T8" i="14"/>
  <c r="T18" i="14" s="1"/>
  <c r="R8" i="14"/>
  <c r="P8" i="14"/>
  <c r="N8" i="14"/>
  <c r="M8" i="14"/>
  <c r="AU7" i="14"/>
  <c r="AS7" i="14"/>
  <c r="AO7" i="14"/>
  <c r="AJ7" i="14"/>
  <c r="X7" i="14"/>
  <c r="V7" i="14"/>
  <c r="T7" i="14"/>
  <c r="R7" i="14"/>
  <c r="R17" i="14" s="1"/>
  <c r="P7" i="14"/>
  <c r="N7" i="14"/>
  <c r="M7" i="14"/>
  <c r="AV6" i="14"/>
  <c r="AP6" i="14"/>
  <c r="AO6" i="14"/>
  <c r="AJ6" i="14"/>
  <c r="AJ41" i="14" s="1"/>
  <c r="AH6" i="14"/>
  <c r="X6" i="14"/>
  <c r="V6" i="14"/>
  <c r="T6" i="14"/>
  <c r="R6" i="14"/>
  <c r="AA6" i="14" s="1"/>
  <c r="P6" i="14"/>
  <c r="N6" i="14"/>
  <c r="M6" i="14"/>
  <c r="AV5" i="14"/>
  <c r="AU5" i="14"/>
  <c r="H25" i="14" s="1"/>
  <c r="AP5" i="14"/>
  <c r="J25" i="14" s="1"/>
  <c r="AO5" i="14"/>
  <c r="AJ5" i="14"/>
  <c r="X5" i="14"/>
  <c r="X15" i="14" s="1"/>
  <c r="V5" i="14"/>
  <c r="V15" i="14" s="1"/>
  <c r="T5" i="14"/>
  <c r="R5" i="14"/>
  <c r="R15" i="14" s="1"/>
  <c r="P5" i="14"/>
  <c r="AB5" i="14" s="1"/>
  <c r="N5" i="14"/>
  <c r="N15" i="14" s="1"/>
  <c r="M5" i="14"/>
  <c r="AV4" i="14"/>
  <c r="AU4" i="14"/>
  <c r="H24" i="14" s="1"/>
  <c r="AP4" i="14"/>
  <c r="AJ4" i="14"/>
  <c r="X4" i="14"/>
  <c r="V4" i="14"/>
  <c r="T4" i="14"/>
  <c r="R4" i="14"/>
  <c r="R14" i="14" s="1"/>
  <c r="P4" i="14"/>
  <c r="N4" i="14"/>
  <c r="AB4" i="14" s="1"/>
  <c r="M4" i="14"/>
  <c r="AV3" i="14"/>
  <c r="AU3" i="14"/>
  <c r="AP3" i="14"/>
  <c r="AO3" i="14"/>
  <c r="J23" i="14" s="1"/>
  <c r="AJ3" i="14"/>
  <c r="AJ38" i="14" s="1"/>
  <c r="AA3" i="14"/>
  <c r="X3" i="14"/>
  <c r="X13" i="14" s="1"/>
  <c r="V3" i="14"/>
  <c r="T3" i="14"/>
  <c r="T13" i="14" s="1"/>
  <c r="R3" i="14"/>
  <c r="R13" i="14" s="1"/>
  <c r="P3" i="14"/>
  <c r="P13" i="14" s="1"/>
  <c r="N3" i="14"/>
  <c r="M3" i="14"/>
  <c r="AV2" i="14"/>
  <c r="AU2" i="14"/>
  <c r="H22" i="14" s="1"/>
  <c r="AJ2" i="14"/>
  <c r="X2" i="14"/>
  <c r="X12" i="14" s="1"/>
  <c r="V2" i="14"/>
  <c r="V12" i="14" s="1"/>
  <c r="T2" i="14"/>
  <c r="T12" i="14" s="1"/>
  <c r="R2" i="14"/>
  <c r="P2" i="14"/>
  <c r="N2" i="14"/>
  <c r="M2" i="14"/>
  <c r="AP1" i="14"/>
  <c r="AO1" i="14"/>
  <c r="AN1" i="14"/>
  <c r="AL42" i="13"/>
  <c r="AJ42" i="13"/>
  <c r="AH42" i="13"/>
  <c r="AF42" i="13"/>
  <c r="AL41" i="13"/>
  <c r="AJ40" i="13"/>
  <c r="AF40" i="13"/>
  <c r="N40" i="13"/>
  <c r="AL39" i="13"/>
  <c r="AH39" i="13"/>
  <c r="AF39" i="13"/>
  <c r="N39" i="13"/>
  <c r="AL38" i="13"/>
  <c r="AH38" i="13"/>
  <c r="AF38" i="13"/>
  <c r="AL37" i="13"/>
  <c r="AH37" i="13"/>
  <c r="V37" i="13"/>
  <c r="T37" i="13"/>
  <c r="AP36" i="13"/>
  <c r="V36" i="13"/>
  <c r="T36" i="13"/>
  <c r="AQ35" i="13"/>
  <c r="AP35" i="13"/>
  <c r="V35" i="13"/>
  <c r="T35" i="13"/>
  <c r="V34" i="13"/>
  <c r="T34" i="13"/>
  <c r="J34" i="13"/>
  <c r="V33" i="13"/>
  <c r="T33" i="13"/>
  <c r="H33" i="13"/>
  <c r="G33" i="13"/>
  <c r="AV11" i="13" s="1"/>
  <c r="AL32" i="13"/>
  <c r="AH32" i="13"/>
  <c r="AF32" i="13"/>
  <c r="V32" i="13"/>
  <c r="T32" i="13"/>
  <c r="T40" i="13" s="1" a="1"/>
  <c r="T40" i="13" s="1"/>
  <c r="AL31" i="13"/>
  <c r="AF31" i="13"/>
  <c r="X31" i="13"/>
  <c r="V31" i="13"/>
  <c r="I31" i="13"/>
  <c r="AF30" i="13"/>
  <c r="AL29" i="13"/>
  <c r="AH29" i="13"/>
  <c r="AF29" i="13"/>
  <c r="U29" i="13"/>
  <c r="S29" i="13"/>
  <c r="Q29" i="13"/>
  <c r="AL28" i="13"/>
  <c r="AH28" i="13"/>
  <c r="AF28" i="13"/>
  <c r="U28" i="13"/>
  <c r="S28" i="13"/>
  <c r="AL27" i="13"/>
  <c r="AH27" i="13"/>
  <c r="AF27" i="13"/>
  <c r="AP26" i="13"/>
  <c r="S26" i="13"/>
  <c r="I26" i="13"/>
  <c r="G26" i="13"/>
  <c r="G35" i="13" s="1"/>
  <c r="AV13" i="13" s="1"/>
  <c r="B26" i="13"/>
  <c r="AQ25" i="13"/>
  <c r="AP25" i="13"/>
  <c r="Y25" i="13"/>
  <c r="W25" i="13"/>
  <c r="U25" i="13"/>
  <c r="Q25" i="13"/>
  <c r="I25" i="13"/>
  <c r="I34" i="13" s="1"/>
  <c r="G25" i="13"/>
  <c r="G34" i="13" s="1"/>
  <c r="AU12" i="13" s="1"/>
  <c r="B25" i="13"/>
  <c r="U24" i="13"/>
  <c r="Q24" i="13"/>
  <c r="I24" i="13"/>
  <c r="H24" i="13"/>
  <c r="G24" i="13"/>
  <c r="B24" i="13"/>
  <c r="Y23" i="13"/>
  <c r="U23" i="13"/>
  <c r="Q23" i="13"/>
  <c r="I23" i="13"/>
  <c r="I32" i="13" s="1"/>
  <c r="AO10" i="13" s="1"/>
  <c r="G23" i="13"/>
  <c r="B23" i="13"/>
  <c r="AS22" i="13"/>
  <c r="AR22" i="13"/>
  <c r="AO22" i="13"/>
  <c r="Y22" i="13"/>
  <c r="W22" i="13"/>
  <c r="U22" i="13"/>
  <c r="Q22" i="13"/>
  <c r="I22" i="13"/>
  <c r="G22" i="13"/>
  <c r="G31" i="13" s="1"/>
  <c r="B22" i="13"/>
  <c r="AT21" i="13"/>
  <c r="AS21" i="13"/>
  <c r="AR21" i="13"/>
  <c r="AQ21" i="13"/>
  <c r="AP21" i="13"/>
  <c r="AO21" i="13"/>
  <c r="AN21" i="13"/>
  <c r="AN22" i="13" s="1"/>
  <c r="Y21" i="13"/>
  <c r="Y26" i="13" s="1"/>
  <c r="W21" i="13"/>
  <c r="W23" i="13" s="1"/>
  <c r="U21" i="13"/>
  <c r="S21" i="13"/>
  <c r="S25" i="13" s="1"/>
  <c r="Q21" i="13"/>
  <c r="Q28" i="13" s="1"/>
  <c r="O21" i="13"/>
  <c r="I21" i="13"/>
  <c r="G21" i="13"/>
  <c r="G30" i="13" s="1"/>
  <c r="B21" i="13"/>
  <c r="AP1" i="13" s="1"/>
  <c r="AR20" i="13"/>
  <c r="AO20" i="13"/>
  <c r="G20" i="13"/>
  <c r="G29" i="13" s="1"/>
  <c r="B20" i="13"/>
  <c r="AF19" i="13"/>
  <c r="X19" i="13"/>
  <c r="P19" i="13"/>
  <c r="N19" i="13"/>
  <c r="M19" i="13"/>
  <c r="M29" i="13" s="1"/>
  <c r="T18" i="13"/>
  <c r="R18" i="13"/>
  <c r="AT17" i="13"/>
  <c r="AS17" i="13"/>
  <c r="AS20" i="13" s="1"/>
  <c r="AR17" i="13"/>
  <c r="AQ17" i="13"/>
  <c r="AQ22" i="13" s="1"/>
  <c r="AP17" i="13"/>
  <c r="AP20" i="13" s="1"/>
  <c r="AO17" i="13"/>
  <c r="AN17" i="13"/>
  <c r="AN20" i="13" s="1"/>
  <c r="AJ17" i="13"/>
  <c r="AF17" i="13"/>
  <c r="V17" i="13"/>
  <c r="T17" i="13"/>
  <c r="M17" i="13"/>
  <c r="M27" i="13" s="1"/>
  <c r="AS16" i="13"/>
  <c r="AR16" i="13"/>
  <c r="AQ16" i="13"/>
  <c r="AP16" i="13"/>
  <c r="AO16" i="13"/>
  <c r="AN16" i="13"/>
  <c r="AJ16" i="13"/>
  <c r="AF16" i="13"/>
  <c r="R16" i="13"/>
  <c r="AF15" i="13"/>
  <c r="R15" i="13"/>
  <c r="N15" i="13"/>
  <c r="AJ14" i="13"/>
  <c r="T14" i="13"/>
  <c r="N14" i="13"/>
  <c r="AU13" i="13"/>
  <c r="H35" i="13" s="1"/>
  <c r="R13" i="13"/>
  <c r="P13" i="13"/>
  <c r="AV12" i="13"/>
  <c r="AP12" i="13"/>
  <c r="AO12" i="13"/>
  <c r="T12" i="13"/>
  <c r="R12" i="13"/>
  <c r="AU11" i="13"/>
  <c r="C11" i="13"/>
  <c r="AV9" i="13"/>
  <c r="AU9" i="13"/>
  <c r="H31" i="13" s="1"/>
  <c r="AB9" i="13"/>
  <c r="X9" i="13"/>
  <c r="V9" i="13"/>
  <c r="V19" i="13" s="1"/>
  <c r="T9" i="13"/>
  <c r="T19" i="13" s="1"/>
  <c r="R9" i="13"/>
  <c r="R19" i="13" s="1"/>
  <c r="P9" i="13"/>
  <c r="AA9" i="13" s="1"/>
  <c r="N9" i="13"/>
  <c r="M9" i="13"/>
  <c r="AN8" i="13"/>
  <c r="X8" i="13"/>
  <c r="V8" i="13"/>
  <c r="U8" i="13"/>
  <c r="T8" i="13"/>
  <c r="R8" i="13"/>
  <c r="P8" i="13"/>
  <c r="N8" i="13"/>
  <c r="M8" i="13"/>
  <c r="M18" i="13" s="1"/>
  <c r="M28" i="13" s="1"/>
  <c r="AU7" i="13"/>
  <c r="AS7" i="13"/>
  <c r="AQ7" i="13"/>
  <c r="AO7" i="13"/>
  <c r="AJ7" i="13"/>
  <c r="AJ32" i="13" s="1"/>
  <c r="AH7" i="13"/>
  <c r="X7" i="13"/>
  <c r="X17" i="13" s="1"/>
  <c r="V7" i="13"/>
  <c r="T7" i="13"/>
  <c r="R7" i="13"/>
  <c r="P7" i="13"/>
  <c r="P17" i="13" s="1"/>
  <c r="N7" i="13"/>
  <c r="N17" i="13" s="1"/>
  <c r="M7" i="13"/>
  <c r="AV6" i="13"/>
  <c r="AU6" i="13"/>
  <c r="AJ6" i="13"/>
  <c r="AJ31" i="13" s="1"/>
  <c r="AB6" i="13"/>
  <c r="X6" i="13"/>
  <c r="X16" i="13" s="1"/>
  <c r="V6" i="13"/>
  <c r="V16" i="13" s="1"/>
  <c r="T6" i="13"/>
  <c r="U6" i="13" s="1"/>
  <c r="R6" i="13"/>
  <c r="P6" i="13"/>
  <c r="P16" i="13" s="1"/>
  <c r="N6" i="13"/>
  <c r="N16" i="13" s="1"/>
  <c r="M6" i="13"/>
  <c r="M16" i="13" s="1"/>
  <c r="M26" i="13" s="1"/>
  <c r="AJ5" i="13"/>
  <c r="AJ30" i="13" s="1"/>
  <c r="AH5" i="13"/>
  <c r="AB5" i="13"/>
  <c r="X5" i="13"/>
  <c r="X15" i="13" s="1"/>
  <c r="V5" i="13"/>
  <c r="T5" i="13"/>
  <c r="R5" i="13"/>
  <c r="P5" i="13"/>
  <c r="P15" i="13" s="1"/>
  <c r="N5" i="13"/>
  <c r="M5" i="13"/>
  <c r="M15" i="13" s="1"/>
  <c r="M25" i="13" s="1"/>
  <c r="AV4" i="13"/>
  <c r="AU4" i="13"/>
  <c r="AJ4" i="13"/>
  <c r="AJ39" i="13" s="1"/>
  <c r="AH4" i="13"/>
  <c r="AB4" i="13"/>
  <c r="X4" i="13"/>
  <c r="X14" i="13" s="1"/>
  <c r="V4" i="13"/>
  <c r="V14" i="13" s="1"/>
  <c r="U4" i="13"/>
  <c r="T4" i="13"/>
  <c r="R4" i="13"/>
  <c r="R14" i="13" s="1"/>
  <c r="P4" i="13"/>
  <c r="P14" i="13" s="1"/>
  <c r="N4" i="13"/>
  <c r="M4" i="13"/>
  <c r="M14" i="13" s="1"/>
  <c r="M24" i="13" s="1"/>
  <c r="AU3" i="13"/>
  <c r="AP3" i="13"/>
  <c r="AO3" i="13"/>
  <c r="J23" i="13" s="1"/>
  <c r="AJ3" i="13"/>
  <c r="X3" i="13"/>
  <c r="V3" i="13"/>
  <c r="U3" i="13"/>
  <c r="T3" i="13"/>
  <c r="T13" i="13" s="1"/>
  <c r="R3" i="13"/>
  <c r="S3" i="13" s="1"/>
  <c r="P3" i="13"/>
  <c r="N3" i="13"/>
  <c r="M3" i="13"/>
  <c r="M13" i="13" s="1"/>
  <c r="M23" i="13" s="1"/>
  <c r="AV2" i="13"/>
  <c r="AO2" i="13"/>
  <c r="AJ2" i="13"/>
  <c r="AJ37" i="13" s="1"/>
  <c r="X2" i="13"/>
  <c r="V2" i="13"/>
  <c r="V12" i="13" s="1"/>
  <c r="T2" i="13"/>
  <c r="U2" i="13" s="1"/>
  <c r="R2" i="13"/>
  <c r="P2" i="13"/>
  <c r="N2" i="13"/>
  <c r="M2" i="13"/>
  <c r="M12" i="13" s="1"/>
  <c r="M22" i="13" s="1"/>
  <c r="AV1" i="13"/>
  <c r="AU1" i="13"/>
  <c r="H21" i="13" s="1"/>
  <c r="AN1" i="13"/>
  <c r="U1" i="13"/>
  <c r="S1" i="13"/>
  <c r="S8" i="13" s="1"/>
  <c r="AL42" i="12"/>
  <c r="AH42" i="12"/>
  <c r="AL41" i="12"/>
  <c r="N40" i="12"/>
  <c r="AL39" i="12"/>
  <c r="AH39" i="12"/>
  <c r="V39" i="12" a="1"/>
  <c r="V39" i="12" s="1"/>
  <c r="N39" i="12"/>
  <c r="AL38" i="12"/>
  <c r="AH38" i="12"/>
  <c r="AF38" i="12"/>
  <c r="AL37" i="12"/>
  <c r="AH37" i="12"/>
  <c r="V37" i="12"/>
  <c r="T37" i="12"/>
  <c r="AP36" i="12"/>
  <c r="V36" i="12"/>
  <c r="T36" i="12"/>
  <c r="AQ35" i="12"/>
  <c r="AP35" i="12"/>
  <c r="V35" i="12"/>
  <c r="T35" i="12"/>
  <c r="V34" i="12"/>
  <c r="V40" i="12" s="1" a="1"/>
  <c r="V40" i="12" s="1"/>
  <c r="T34" i="12"/>
  <c r="G34" i="12"/>
  <c r="V33" i="12"/>
  <c r="T33" i="12"/>
  <c r="T39" i="12" s="1" a="1"/>
  <c r="T39" i="12" s="1"/>
  <c r="AL32" i="12"/>
  <c r="AH32" i="12"/>
  <c r="AF32" i="12"/>
  <c r="V32" i="12"/>
  <c r="T32" i="12"/>
  <c r="G32" i="12"/>
  <c r="AU10" i="12" s="1"/>
  <c r="AL31" i="12"/>
  <c r="AF31" i="12"/>
  <c r="AF41" i="12" s="1"/>
  <c r="X31" i="12"/>
  <c r="V31" i="12"/>
  <c r="H31" i="12"/>
  <c r="G31" i="12"/>
  <c r="AF30" i="12"/>
  <c r="AF40" i="12" s="1"/>
  <c r="AL29" i="12"/>
  <c r="AH29" i="12"/>
  <c r="AF29" i="12"/>
  <c r="O29" i="12"/>
  <c r="G29" i="12"/>
  <c r="AL28" i="12"/>
  <c r="AH28" i="12"/>
  <c r="AF28" i="12"/>
  <c r="Y28" i="12"/>
  <c r="Q28" i="12"/>
  <c r="M28" i="12"/>
  <c r="AL27" i="12"/>
  <c r="AH27" i="12"/>
  <c r="AF27" i="12"/>
  <c r="AF37" i="12" s="1"/>
  <c r="Y27" i="12"/>
  <c r="W27" i="12"/>
  <c r="U27" i="12"/>
  <c r="AP26" i="12"/>
  <c r="Y26" i="12"/>
  <c r="W26" i="12"/>
  <c r="U26" i="12"/>
  <c r="I26" i="12"/>
  <c r="I35" i="12" s="1"/>
  <c r="G26" i="12"/>
  <c r="G35" i="12" s="1"/>
  <c r="B26" i="12"/>
  <c r="AQ25" i="12"/>
  <c r="AP25" i="12"/>
  <c r="Y25" i="12"/>
  <c r="Q25" i="12"/>
  <c r="M25" i="12"/>
  <c r="I25" i="12"/>
  <c r="I34" i="12" s="1"/>
  <c r="AO12" i="12" s="1"/>
  <c r="J34" i="12" s="1"/>
  <c r="G25" i="12"/>
  <c r="B25" i="12"/>
  <c r="AV5" i="12" s="1"/>
  <c r="Y24" i="12"/>
  <c r="Q24" i="12"/>
  <c r="I24" i="12"/>
  <c r="I33" i="12" s="1"/>
  <c r="G24" i="12"/>
  <c r="G33" i="12" s="1"/>
  <c r="AV11" i="12" s="1"/>
  <c r="B24" i="12"/>
  <c r="Y23" i="12"/>
  <c r="I17" i="12" s="1"/>
  <c r="AG19" i="12" s="1"/>
  <c r="AH19" i="12" s="1"/>
  <c r="Q23" i="12"/>
  <c r="I23" i="12"/>
  <c r="G23" i="12"/>
  <c r="B23" i="12"/>
  <c r="AV3" i="12" s="1"/>
  <c r="AO22" i="12"/>
  <c r="Y22" i="12"/>
  <c r="Q22" i="12"/>
  <c r="J22" i="12"/>
  <c r="I22" i="12"/>
  <c r="I31" i="12" s="1"/>
  <c r="AO9" i="12" s="1"/>
  <c r="G22" i="12"/>
  <c r="B22" i="12"/>
  <c r="AT21" i="12"/>
  <c r="AS21" i="12"/>
  <c r="AR21" i="12"/>
  <c r="AR22" i="12" s="1"/>
  <c r="AQ21" i="12"/>
  <c r="AQ22" i="12" s="1"/>
  <c r="AP21" i="12"/>
  <c r="AP22" i="12" s="1"/>
  <c r="AO21" i="12"/>
  <c r="AN21" i="12"/>
  <c r="AN22" i="12" s="1"/>
  <c r="Y21" i="12"/>
  <c r="Y29" i="12" s="1"/>
  <c r="W21" i="12"/>
  <c r="W28" i="12" s="1"/>
  <c r="U21" i="12"/>
  <c r="U28" i="12" s="1"/>
  <c r="S21" i="12"/>
  <c r="Q21" i="12"/>
  <c r="Q27" i="12" s="1"/>
  <c r="O21" i="12"/>
  <c r="I21" i="12"/>
  <c r="I30" i="12" s="1"/>
  <c r="G21" i="12"/>
  <c r="G30" i="12" s="1"/>
  <c r="AV8" i="12" s="1"/>
  <c r="B21" i="12"/>
  <c r="AV1" i="12" s="1"/>
  <c r="AS20" i="12"/>
  <c r="AO20" i="12"/>
  <c r="G20" i="12"/>
  <c r="B20" i="12"/>
  <c r="AN1" i="12" s="1"/>
  <c r="X19" i="12"/>
  <c r="P19" i="12"/>
  <c r="AF18" i="12"/>
  <c r="V18" i="12"/>
  <c r="N18" i="12"/>
  <c r="AT17" i="12"/>
  <c r="AS17" i="12"/>
  <c r="AS22" i="12" s="1"/>
  <c r="AR17" i="12"/>
  <c r="AR20" i="12" s="1"/>
  <c r="AQ17" i="12"/>
  <c r="AQ20" i="12" s="1"/>
  <c r="AP17" i="12"/>
  <c r="AP20" i="12" s="1"/>
  <c r="AO17" i="12"/>
  <c r="AN17" i="12"/>
  <c r="AN20" i="12" s="1"/>
  <c r="AF17" i="12"/>
  <c r="AS16" i="12"/>
  <c r="AR16" i="12"/>
  <c r="AQ16" i="12"/>
  <c r="AP16" i="12"/>
  <c r="AO16" i="12"/>
  <c r="AN16" i="12"/>
  <c r="X16" i="12"/>
  <c r="T16" i="12"/>
  <c r="AJ15" i="12"/>
  <c r="AF15" i="12"/>
  <c r="X15" i="12"/>
  <c r="T15" i="12"/>
  <c r="P15" i="12"/>
  <c r="M15" i="12"/>
  <c r="AJ14" i="12"/>
  <c r="AF14" i="12"/>
  <c r="V14" i="12"/>
  <c r="R14" i="12"/>
  <c r="N14" i="12"/>
  <c r="M14" i="12"/>
  <c r="M24" i="12" s="1"/>
  <c r="AV13" i="12"/>
  <c r="AU13" i="12"/>
  <c r="H35" i="12" s="1"/>
  <c r="AV12" i="12"/>
  <c r="AU12" i="12"/>
  <c r="H34" i="12" s="1"/>
  <c r="AP12" i="12"/>
  <c r="X12" i="12"/>
  <c r="T12" i="12"/>
  <c r="P12" i="12"/>
  <c r="AP11" i="12"/>
  <c r="AO11" i="12"/>
  <c r="J33" i="12" s="1"/>
  <c r="C11" i="12"/>
  <c r="AQ7" i="12" s="1"/>
  <c r="AV10" i="12"/>
  <c r="AV9" i="12"/>
  <c r="AU9" i="12"/>
  <c r="AP9" i="12"/>
  <c r="X9" i="12"/>
  <c r="V9" i="12"/>
  <c r="V19" i="12" s="1"/>
  <c r="T9" i="12"/>
  <c r="T19" i="12" s="1"/>
  <c r="R9" i="12"/>
  <c r="R19" i="12" s="1"/>
  <c r="P9" i="12"/>
  <c r="N9" i="12"/>
  <c r="N19" i="12" s="1"/>
  <c r="M9" i="12"/>
  <c r="M19" i="12" s="1"/>
  <c r="M29" i="12" s="1"/>
  <c r="AU8" i="12"/>
  <c r="H30" i="12" s="1"/>
  <c r="AP8" i="12"/>
  <c r="AO8" i="12"/>
  <c r="J30" i="12" s="1"/>
  <c r="AN8" i="12"/>
  <c r="AB8" i="12"/>
  <c r="X8" i="12"/>
  <c r="X18" i="12" s="1"/>
  <c r="V8" i="12"/>
  <c r="T8" i="12"/>
  <c r="T18" i="12" s="1"/>
  <c r="R8" i="12"/>
  <c r="R18" i="12" s="1"/>
  <c r="P8" i="12"/>
  <c r="P18" i="12" s="1"/>
  <c r="N8" i="12"/>
  <c r="M8" i="12"/>
  <c r="M18" i="12" s="1"/>
  <c r="AU7" i="12"/>
  <c r="AS7" i="12"/>
  <c r="AO7" i="12"/>
  <c r="AJ7" i="12"/>
  <c r="X7" i="12"/>
  <c r="V7" i="12"/>
  <c r="V17" i="12" s="1"/>
  <c r="T7" i="12"/>
  <c r="R7" i="12"/>
  <c r="R17" i="12" s="1"/>
  <c r="P7" i="12"/>
  <c r="P17" i="12" s="1"/>
  <c r="N7" i="12"/>
  <c r="M7" i="12"/>
  <c r="M17" i="12" s="1"/>
  <c r="M27" i="12" s="1"/>
  <c r="AV6" i="12"/>
  <c r="H26" i="12" s="1"/>
  <c r="AU6" i="12"/>
  <c r="AP6" i="12"/>
  <c r="AO6" i="12"/>
  <c r="J26" i="12" s="1"/>
  <c r="AJ6" i="12"/>
  <c r="X6" i="12"/>
  <c r="V6" i="12"/>
  <c r="V16" i="12" s="1"/>
  <c r="T6" i="12"/>
  <c r="R6" i="12"/>
  <c r="R16" i="12" s="1"/>
  <c r="P6" i="12"/>
  <c r="P16" i="12" s="1"/>
  <c r="N6" i="12"/>
  <c r="AB6" i="12" s="1"/>
  <c r="M6" i="12"/>
  <c r="M16" i="12" s="1"/>
  <c r="M26" i="12" s="1"/>
  <c r="AU5" i="12"/>
  <c r="AP5" i="12"/>
  <c r="AO5" i="12"/>
  <c r="J25" i="12" s="1"/>
  <c r="AJ5" i="12"/>
  <c r="AJ40" i="12" s="1"/>
  <c r="X5" i="12"/>
  <c r="V5" i="12"/>
  <c r="T5" i="12"/>
  <c r="R5" i="12"/>
  <c r="P5" i="12"/>
  <c r="N5" i="12"/>
  <c r="M5" i="12"/>
  <c r="AV4" i="12"/>
  <c r="AU4" i="12"/>
  <c r="H24" i="12" s="1"/>
  <c r="AP4" i="12"/>
  <c r="AJ4" i="12"/>
  <c r="AB4" i="12"/>
  <c r="X4" i="12"/>
  <c r="X14" i="12" s="1"/>
  <c r="V4" i="12"/>
  <c r="T4" i="12"/>
  <c r="T14" i="12" s="1"/>
  <c r="R4" i="12"/>
  <c r="P4" i="12"/>
  <c r="P14" i="12" s="1"/>
  <c r="N4" i="12"/>
  <c r="M4" i="12"/>
  <c r="AJ3" i="12"/>
  <c r="X3" i="12"/>
  <c r="V3" i="12"/>
  <c r="V13" i="12" s="1"/>
  <c r="T3" i="12"/>
  <c r="R3" i="12"/>
  <c r="P3" i="12"/>
  <c r="N3" i="12"/>
  <c r="M3" i="12"/>
  <c r="M13" i="12" s="1"/>
  <c r="M23" i="12" s="1"/>
  <c r="AV2" i="12"/>
  <c r="AU2" i="12"/>
  <c r="AP2" i="12"/>
  <c r="AO2" i="12"/>
  <c r="AJ2" i="12"/>
  <c r="X2" i="12"/>
  <c r="V2" i="12"/>
  <c r="T2" i="12"/>
  <c r="R2" i="12"/>
  <c r="P2" i="12"/>
  <c r="N2" i="12"/>
  <c r="M2" i="12"/>
  <c r="M12" i="12" s="1"/>
  <c r="M22" i="12" s="1"/>
  <c r="AU1" i="12"/>
  <c r="AP1" i="12"/>
  <c r="AO1" i="12"/>
  <c r="J21" i="12" s="1"/>
  <c r="W1" i="12"/>
  <c r="AL42" i="11"/>
  <c r="AJ42" i="11"/>
  <c r="AH42" i="11"/>
  <c r="AL41" i="11"/>
  <c r="AF40" i="11"/>
  <c r="T40" i="11" a="1"/>
  <c r="T40" i="11" s="1"/>
  <c r="N40" i="11"/>
  <c r="AL39" i="11"/>
  <c r="AH39" i="11"/>
  <c r="T39" i="11" a="1"/>
  <c r="T39" i="11" s="1"/>
  <c r="N39" i="11"/>
  <c r="AP38" i="11"/>
  <c r="AL38" i="11"/>
  <c r="AH38" i="11"/>
  <c r="AL37" i="11"/>
  <c r="AH37" i="11"/>
  <c r="AF37" i="11"/>
  <c r="X37" i="11"/>
  <c r="V37" i="11"/>
  <c r="T37" i="11"/>
  <c r="AP36" i="11"/>
  <c r="V36" i="11"/>
  <c r="T36" i="11"/>
  <c r="AQ35" i="11"/>
  <c r="AP35" i="11"/>
  <c r="V35" i="11"/>
  <c r="T35" i="11"/>
  <c r="V34" i="11"/>
  <c r="T34" i="11"/>
  <c r="X33" i="11"/>
  <c r="V33" i="11"/>
  <c r="T33" i="11"/>
  <c r="G33" i="11"/>
  <c r="AL32" i="11"/>
  <c r="AJ32" i="11"/>
  <c r="AH32" i="11"/>
  <c r="AF32" i="11"/>
  <c r="AF42" i="11" s="1"/>
  <c r="V32" i="11"/>
  <c r="T32" i="11"/>
  <c r="G32" i="11"/>
  <c r="AL31" i="11"/>
  <c r="AF31" i="11"/>
  <c r="AF41" i="11" s="1"/>
  <c r="X31" i="11"/>
  <c r="V31" i="11"/>
  <c r="G31" i="11"/>
  <c r="AV9" i="11" s="1"/>
  <c r="AF30" i="11"/>
  <c r="AL29" i="11"/>
  <c r="AH29" i="11"/>
  <c r="AF29" i="11"/>
  <c r="U29" i="11"/>
  <c r="G29" i="11"/>
  <c r="AP28" i="11"/>
  <c r="AK3" i="11" s="1"/>
  <c r="AL28" i="11"/>
  <c r="AH28" i="11"/>
  <c r="AF28" i="11"/>
  <c r="AF15" i="11" s="1"/>
  <c r="Y28" i="11"/>
  <c r="Q28" i="11"/>
  <c r="AL27" i="11"/>
  <c r="AH27" i="11"/>
  <c r="AF27" i="11"/>
  <c r="Y27" i="11"/>
  <c r="W27" i="11"/>
  <c r="U27" i="11"/>
  <c r="Q27" i="11"/>
  <c r="O27" i="11"/>
  <c r="AP26" i="11"/>
  <c r="Y26" i="11"/>
  <c r="W26" i="11"/>
  <c r="U26" i="11"/>
  <c r="Q26" i="11"/>
  <c r="O26" i="11"/>
  <c r="I26" i="11"/>
  <c r="I35" i="11" s="1"/>
  <c r="G26" i="11"/>
  <c r="B26" i="11"/>
  <c r="AQ25" i="11"/>
  <c r="AP25" i="11"/>
  <c r="Y25" i="11"/>
  <c r="S25" i="11"/>
  <c r="Q25" i="11"/>
  <c r="I25" i="11"/>
  <c r="I34" i="11" s="1"/>
  <c r="G25" i="11"/>
  <c r="G34" i="11" s="1"/>
  <c r="AV12" i="11" s="1"/>
  <c r="B25" i="11"/>
  <c r="Y24" i="11"/>
  <c r="I17" i="11" s="1"/>
  <c r="Q24" i="11"/>
  <c r="I24" i="11"/>
  <c r="G24" i="11"/>
  <c r="B24" i="11"/>
  <c r="Y23" i="11"/>
  <c r="Q23" i="11"/>
  <c r="I23" i="11"/>
  <c r="G23" i="11"/>
  <c r="B23" i="11"/>
  <c r="Y22" i="11"/>
  <c r="Q22" i="11"/>
  <c r="I22" i="11"/>
  <c r="I31" i="11" s="1"/>
  <c r="AO9" i="11" s="1"/>
  <c r="G22" i="11"/>
  <c r="AU2" i="11" s="1"/>
  <c r="B22" i="11"/>
  <c r="AT21" i="11"/>
  <c r="AS21" i="11"/>
  <c r="AR21" i="11"/>
  <c r="AQ21" i="11"/>
  <c r="AQ22" i="11" s="1"/>
  <c r="AP21" i="11"/>
  <c r="AP22" i="11" s="1"/>
  <c r="AO21" i="11"/>
  <c r="AN21" i="11"/>
  <c r="AN22" i="11" s="1"/>
  <c r="Y21" i="11"/>
  <c r="Y29" i="11" s="1"/>
  <c r="W21" i="11"/>
  <c r="W28" i="11" s="1"/>
  <c r="U21" i="11"/>
  <c r="S21" i="11"/>
  <c r="Q21" i="11"/>
  <c r="Q29" i="11" s="1"/>
  <c r="O21" i="11"/>
  <c r="O28" i="11" s="1"/>
  <c r="I21" i="11"/>
  <c r="I30" i="11" s="1"/>
  <c r="G21" i="11"/>
  <c r="G30" i="11" s="1"/>
  <c r="B21" i="11"/>
  <c r="AS20" i="11"/>
  <c r="AQ20" i="11"/>
  <c r="AP20" i="11"/>
  <c r="G20" i="11"/>
  <c r="B20" i="11"/>
  <c r="AN1" i="11" s="1"/>
  <c r="AJ19" i="11"/>
  <c r="AG19" i="11"/>
  <c r="AH19" i="11" s="1"/>
  <c r="X19" i="11"/>
  <c r="T19" i="11"/>
  <c r="P19" i="11"/>
  <c r="AF18" i="11"/>
  <c r="V18" i="11"/>
  <c r="R18" i="11"/>
  <c r="N18" i="11"/>
  <c r="AT17" i="11"/>
  <c r="AS17" i="11"/>
  <c r="AS22" i="11" s="1"/>
  <c r="AR17" i="11"/>
  <c r="AR20" i="11" s="1"/>
  <c r="AQ17" i="11"/>
  <c r="AP17" i="11"/>
  <c r="AO17" i="11"/>
  <c r="AO20" i="11" s="1"/>
  <c r="AN17" i="11"/>
  <c r="AN20" i="11" s="1"/>
  <c r="AJ17" i="11"/>
  <c r="AF17" i="11"/>
  <c r="P17" i="11"/>
  <c r="AS16" i="11"/>
  <c r="AR16" i="11"/>
  <c r="AQ16" i="11"/>
  <c r="AP16" i="11"/>
  <c r="AO16" i="11"/>
  <c r="AN16" i="11"/>
  <c r="X16" i="11"/>
  <c r="T16" i="11"/>
  <c r="P16" i="11"/>
  <c r="AJ15" i="11"/>
  <c r="M15" i="11"/>
  <c r="M25" i="11" s="1"/>
  <c r="AF14" i="11"/>
  <c r="V14" i="11"/>
  <c r="R14" i="11"/>
  <c r="N14" i="11"/>
  <c r="I13" i="11"/>
  <c r="AU12" i="11"/>
  <c r="H34" i="11" s="1"/>
  <c r="X12" i="11"/>
  <c r="T12" i="11"/>
  <c r="P12" i="11"/>
  <c r="C11" i="11"/>
  <c r="AQ7" i="11" s="1"/>
  <c r="AU9" i="11"/>
  <c r="H31" i="11" s="1"/>
  <c r="AP9" i="11"/>
  <c r="X9" i="11"/>
  <c r="V9" i="11"/>
  <c r="T9" i="11"/>
  <c r="R9" i="11"/>
  <c r="AA9" i="11" s="1"/>
  <c r="P9" i="11"/>
  <c r="N9" i="11"/>
  <c r="M9" i="11"/>
  <c r="M19" i="11" s="1"/>
  <c r="M29" i="11" s="1"/>
  <c r="AN8" i="11"/>
  <c r="X8" i="11"/>
  <c r="V8" i="11"/>
  <c r="T8" i="11"/>
  <c r="R8" i="11"/>
  <c r="P8" i="11"/>
  <c r="AB8" i="11" s="1"/>
  <c r="N8" i="11"/>
  <c r="M8" i="11"/>
  <c r="M18" i="11" s="1"/>
  <c r="M28" i="11" s="1"/>
  <c r="AU7" i="11"/>
  <c r="AS7" i="11"/>
  <c r="AO7" i="11"/>
  <c r="AJ7" i="11"/>
  <c r="X7" i="11"/>
  <c r="V7" i="11"/>
  <c r="V17" i="11" s="1"/>
  <c r="T7" i="11"/>
  <c r="U7" i="11" s="1"/>
  <c r="R7" i="11"/>
  <c r="Q7" i="11"/>
  <c r="P7" i="11"/>
  <c r="N7" i="11"/>
  <c r="M7" i="11"/>
  <c r="M17" i="11" s="1"/>
  <c r="M27" i="11" s="1"/>
  <c r="AV6" i="11"/>
  <c r="AP6" i="11"/>
  <c r="AO6" i="11"/>
  <c r="J26" i="11" s="1"/>
  <c r="AJ6" i="11"/>
  <c r="AH6" i="11"/>
  <c r="X6" i="11"/>
  <c r="V6" i="11"/>
  <c r="V16" i="11" s="1"/>
  <c r="T6" i="11"/>
  <c r="R6" i="11"/>
  <c r="R16" i="11" s="1"/>
  <c r="P6" i="11"/>
  <c r="N6" i="11"/>
  <c r="N16" i="11" s="1"/>
  <c r="M6" i="11"/>
  <c r="M16" i="11" s="1"/>
  <c r="M26" i="11" s="1"/>
  <c r="AU5" i="11"/>
  <c r="AP5" i="11"/>
  <c r="AO5" i="11"/>
  <c r="AJ5" i="11"/>
  <c r="AJ40" i="11" s="1"/>
  <c r="X5" i="11"/>
  <c r="V5" i="11"/>
  <c r="V15" i="11" s="1"/>
  <c r="T5" i="11"/>
  <c r="T15" i="11" s="1"/>
  <c r="R5" i="11"/>
  <c r="R15" i="11" s="1"/>
  <c r="P5" i="11"/>
  <c r="P15" i="11" s="1"/>
  <c r="N5" i="11"/>
  <c r="M5" i="11"/>
  <c r="AV4" i="11"/>
  <c r="AU4" i="11"/>
  <c r="H24" i="11" s="1"/>
  <c r="AP4" i="11"/>
  <c r="AJ4" i="11"/>
  <c r="X4" i="11"/>
  <c r="X14" i="11" s="1"/>
  <c r="W4" i="11"/>
  <c r="V4" i="11"/>
  <c r="T4" i="11"/>
  <c r="T14" i="11" s="1"/>
  <c r="R4" i="11"/>
  <c r="P4" i="11"/>
  <c r="N4" i="11"/>
  <c r="M4" i="11"/>
  <c r="M14" i="11" s="1"/>
  <c r="M24" i="11" s="1"/>
  <c r="AV3" i="11"/>
  <c r="AU3" i="11"/>
  <c r="AO3" i="11"/>
  <c r="AJ3" i="11"/>
  <c r="AJ28" i="11" s="1"/>
  <c r="AH3" i="11"/>
  <c r="X3" i="11"/>
  <c r="X13" i="11" s="1"/>
  <c r="V3" i="11"/>
  <c r="T3" i="11"/>
  <c r="AH5" i="11" s="1"/>
  <c r="R3" i="11"/>
  <c r="P3" i="11"/>
  <c r="P13" i="11" s="1"/>
  <c r="N3" i="11"/>
  <c r="M3" i="11"/>
  <c r="M13" i="11" s="1"/>
  <c r="M23" i="11" s="1"/>
  <c r="AV2" i="11"/>
  <c r="AP2" i="11"/>
  <c r="AO2" i="11"/>
  <c r="J22" i="11" s="1"/>
  <c r="AJ2" i="11"/>
  <c r="AJ27" i="11" s="1"/>
  <c r="AB2" i="11"/>
  <c r="X2" i="11"/>
  <c r="W2" i="11"/>
  <c r="V2" i="11"/>
  <c r="V12" i="11" s="1"/>
  <c r="T2" i="11"/>
  <c r="R2" i="11"/>
  <c r="P2" i="11"/>
  <c r="N2" i="11"/>
  <c r="N12" i="11" s="1"/>
  <c r="M2" i="11"/>
  <c r="M12" i="11" s="1"/>
  <c r="M22" i="11" s="1"/>
  <c r="AU1" i="11"/>
  <c r="AP1" i="11"/>
  <c r="AO1" i="11"/>
  <c r="J21" i="11" s="1"/>
  <c r="W1" i="11"/>
  <c r="W8" i="11" s="1"/>
  <c r="U1" i="11"/>
  <c r="U9" i="11" s="1"/>
  <c r="Q1" i="11"/>
  <c r="Q9" i="11" s="1"/>
  <c r="AL42" i="10"/>
  <c r="AH42" i="10"/>
  <c r="AL41" i="10"/>
  <c r="AF40" i="10"/>
  <c r="N40" i="10"/>
  <c r="AL39" i="10"/>
  <c r="AH39" i="10"/>
  <c r="N39" i="10"/>
  <c r="AL38" i="10"/>
  <c r="AH38" i="10"/>
  <c r="AF38" i="10"/>
  <c r="AL37" i="10"/>
  <c r="AH37" i="10"/>
  <c r="V37" i="10"/>
  <c r="T37" i="10"/>
  <c r="AP36" i="10"/>
  <c r="V36" i="10"/>
  <c r="T36" i="10"/>
  <c r="AQ35" i="10"/>
  <c r="AP35" i="10"/>
  <c r="V35" i="10"/>
  <c r="T35" i="10"/>
  <c r="V34" i="10"/>
  <c r="T34" i="10"/>
  <c r="V33" i="10"/>
  <c r="T33" i="10"/>
  <c r="T39" i="10" s="1" a="1"/>
  <c r="T39" i="10" s="1"/>
  <c r="AL32" i="10"/>
  <c r="AH32" i="10"/>
  <c r="AF32" i="10"/>
  <c r="AF42" i="10" s="1"/>
  <c r="V32" i="10"/>
  <c r="T32" i="10"/>
  <c r="T40" i="10" s="1" a="1"/>
  <c r="T40" i="10" s="1"/>
  <c r="AL31" i="10"/>
  <c r="AF31" i="10"/>
  <c r="AF41" i="10" s="1"/>
  <c r="X31" i="10"/>
  <c r="V31" i="10"/>
  <c r="I31" i="10"/>
  <c r="AP9" i="10" s="1"/>
  <c r="AF30" i="10"/>
  <c r="AL29" i="10"/>
  <c r="AH29" i="10"/>
  <c r="AF29" i="10"/>
  <c r="AF39" i="10" s="1"/>
  <c r="Y29" i="10"/>
  <c r="S29" i="10"/>
  <c r="AL28" i="10"/>
  <c r="AH28" i="10"/>
  <c r="AF28" i="10"/>
  <c r="U28" i="10"/>
  <c r="O28" i="10"/>
  <c r="AL27" i="10"/>
  <c r="AH27" i="10"/>
  <c r="AF27" i="10"/>
  <c r="AF37" i="10" s="1"/>
  <c r="Q27" i="10"/>
  <c r="AP26" i="10"/>
  <c r="Q26" i="10"/>
  <c r="I26" i="10"/>
  <c r="I35" i="10" s="1"/>
  <c r="G26" i="10"/>
  <c r="G35" i="10" s="1"/>
  <c r="B26" i="10"/>
  <c r="AV6" i="10" s="1"/>
  <c r="AQ25" i="10"/>
  <c r="AP25" i="10"/>
  <c r="U25" i="10"/>
  <c r="O25" i="10"/>
  <c r="I25" i="10"/>
  <c r="I34" i="10" s="1"/>
  <c r="AP12" i="10" s="1"/>
  <c r="G25" i="10"/>
  <c r="G34" i="10" s="1"/>
  <c r="AU12" i="10" s="1"/>
  <c r="B25" i="10"/>
  <c r="U24" i="10"/>
  <c r="O24" i="10"/>
  <c r="I24" i="10"/>
  <c r="I33" i="10" s="1"/>
  <c r="G24" i="10"/>
  <c r="B24" i="10"/>
  <c r="U23" i="10"/>
  <c r="O23" i="10"/>
  <c r="I23" i="10"/>
  <c r="I32" i="10" s="1"/>
  <c r="AO10" i="10" s="1"/>
  <c r="G23" i="10"/>
  <c r="B23" i="10"/>
  <c r="AQ22" i="10"/>
  <c r="AN22" i="10"/>
  <c r="U22" i="10"/>
  <c r="O22" i="10"/>
  <c r="I22" i="10"/>
  <c r="AO2" i="10" s="1"/>
  <c r="J22" i="10" s="1"/>
  <c r="G22" i="10"/>
  <c r="B22" i="10"/>
  <c r="AT21" i="10"/>
  <c r="AS21" i="10"/>
  <c r="AS22" i="10" s="1"/>
  <c r="AR21" i="10"/>
  <c r="AR22" i="10" s="1"/>
  <c r="AQ21" i="10"/>
  <c r="AP21" i="10"/>
  <c r="AP22" i="10" s="1"/>
  <c r="AO21" i="10"/>
  <c r="AO22" i="10" s="1"/>
  <c r="AN21" i="10"/>
  <c r="Y21" i="10"/>
  <c r="Y27" i="10" s="1"/>
  <c r="W21" i="10"/>
  <c r="U21" i="10"/>
  <c r="U29" i="10" s="1"/>
  <c r="S21" i="10"/>
  <c r="S28" i="10" s="1"/>
  <c r="Q21" i="10"/>
  <c r="Q28" i="10" s="1"/>
  <c r="O21" i="10"/>
  <c r="O27" i="10" s="1"/>
  <c r="I21" i="10"/>
  <c r="I30" i="10" s="1"/>
  <c r="AP8" i="10" s="1"/>
  <c r="G21" i="10"/>
  <c r="B21" i="10"/>
  <c r="AS20" i="10"/>
  <c r="AR20" i="10"/>
  <c r="AQ20" i="10"/>
  <c r="AN20" i="10"/>
  <c r="G20" i="10"/>
  <c r="G29" i="10" s="1"/>
  <c r="B20" i="10"/>
  <c r="AF19" i="10"/>
  <c r="V19" i="10"/>
  <c r="R19" i="10"/>
  <c r="N19" i="10"/>
  <c r="M19" i="10"/>
  <c r="M29" i="10" s="1"/>
  <c r="AJ18" i="10"/>
  <c r="AF18" i="10"/>
  <c r="X18" i="10"/>
  <c r="P18" i="10"/>
  <c r="AT17" i="10"/>
  <c r="AS17" i="10"/>
  <c r="AR17" i="10"/>
  <c r="AQ17" i="10"/>
  <c r="AP17" i="10"/>
  <c r="AP20" i="10" s="1"/>
  <c r="AO17" i="10"/>
  <c r="AO20" i="10" s="1"/>
  <c r="AN17" i="10"/>
  <c r="AF17" i="10"/>
  <c r="R17" i="10"/>
  <c r="AS16" i="10"/>
  <c r="AR16" i="10"/>
  <c r="AQ16" i="10"/>
  <c r="AP16" i="10"/>
  <c r="AO16" i="10"/>
  <c r="AN16" i="10"/>
  <c r="AF16" i="10"/>
  <c r="V16" i="10"/>
  <c r="N16" i="10"/>
  <c r="AF15" i="10"/>
  <c r="R15" i="10"/>
  <c r="X14" i="10"/>
  <c r="T14" i="10"/>
  <c r="P14" i="10"/>
  <c r="V13" i="10"/>
  <c r="N13" i="10"/>
  <c r="M13" i="10"/>
  <c r="M23" i="10" s="1"/>
  <c r="AV12" i="10"/>
  <c r="AO12" i="10"/>
  <c r="J34" i="10" s="1"/>
  <c r="V12" i="10"/>
  <c r="R12" i="10"/>
  <c r="N12" i="10"/>
  <c r="C11" i="10"/>
  <c r="AP10" i="10"/>
  <c r="AO9" i="10"/>
  <c r="J31" i="10" s="1"/>
  <c r="X9" i="10"/>
  <c r="V9" i="10"/>
  <c r="T9" i="10"/>
  <c r="R9" i="10"/>
  <c r="P9" i="10"/>
  <c r="AA9" i="10" s="1"/>
  <c r="N9" i="10"/>
  <c r="M9" i="10"/>
  <c r="AO8" i="10"/>
  <c r="J30" i="10" s="1"/>
  <c r="AN8" i="10"/>
  <c r="X8" i="10"/>
  <c r="V8" i="10"/>
  <c r="T8" i="10"/>
  <c r="T18" i="10" s="1"/>
  <c r="R8" i="10"/>
  <c r="P8" i="10"/>
  <c r="N8" i="10"/>
  <c r="M8" i="10"/>
  <c r="M18" i="10" s="1"/>
  <c r="M28" i="10" s="1"/>
  <c r="AU7" i="10"/>
  <c r="AS7" i="10"/>
  <c r="AQ7" i="10"/>
  <c r="AO7" i="10"/>
  <c r="AJ7" i="10"/>
  <c r="AJ32" i="10" s="1"/>
  <c r="X7" i="10"/>
  <c r="X17" i="10" s="1"/>
  <c r="V7" i="10"/>
  <c r="T7" i="10"/>
  <c r="T17" i="10" s="1"/>
  <c r="R7" i="10"/>
  <c r="P7" i="10"/>
  <c r="P17" i="10" s="1"/>
  <c r="N7" i="10"/>
  <c r="M7" i="10"/>
  <c r="M17" i="10" s="1"/>
  <c r="M27" i="10" s="1"/>
  <c r="AU6" i="10"/>
  <c r="H26" i="10" s="1"/>
  <c r="AP6" i="10"/>
  <c r="AO6" i="10"/>
  <c r="AJ6" i="10"/>
  <c r="AJ41" i="10" s="1"/>
  <c r="X6" i="10"/>
  <c r="X16" i="10" s="1"/>
  <c r="V6" i="10"/>
  <c r="T6" i="10"/>
  <c r="R6" i="10"/>
  <c r="R16" i="10" s="1"/>
  <c r="P6" i="10"/>
  <c r="P16" i="10" s="1"/>
  <c r="N6" i="10"/>
  <c r="M6" i="10"/>
  <c r="M16" i="10" s="1"/>
  <c r="M26" i="10" s="1"/>
  <c r="AV5" i="10"/>
  <c r="AU5" i="10"/>
  <c r="H25" i="10" s="1"/>
  <c r="AO5" i="10"/>
  <c r="AJ5" i="10"/>
  <c r="AJ40" i="10" s="1"/>
  <c r="X5" i="10"/>
  <c r="X15" i="10" s="1"/>
  <c r="V5" i="10"/>
  <c r="V15" i="10" s="1"/>
  <c r="T5" i="10"/>
  <c r="T15" i="10" s="1"/>
  <c r="R5" i="10"/>
  <c r="S5" i="10" s="1"/>
  <c r="P5" i="10"/>
  <c r="N5" i="10"/>
  <c r="N15" i="10" s="1"/>
  <c r="M5" i="10"/>
  <c r="M15" i="10" s="1"/>
  <c r="M25" i="10" s="1"/>
  <c r="AP4" i="10"/>
  <c r="AO4" i="10"/>
  <c r="J24" i="10" s="1"/>
  <c r="AJ4" i="10"/>
  <c r="AJ39" i="10" s="1"/>
  <c r="X4" i="10"/>
  <c r="V4" i="10"/>
  <c r="T4" i="10"/>
  <c r="R4" i="10"/>
  <c r="R14" i="10" s="1"/>
  <c r="P4" i="10"/>
  <c r="N4" i="10"/>
  <c r="M4" i="10"/>
  <c r="M14" i="10" s="1"/>
  <c r="M24" i="10" s="1"/>
  <c r="AP3" i="10"/>
  <c r="AO3" i="10"/>
  <c r="AJ3" i="10"/>
  <c r="AJ38" i="10" s="1"/>
  <c r="AB3" i="10"/>
  <c r="AA3" i="10"/>
  <c r="X3" i="10"/>
  <c r="X13" i="10" s="1"/>
  <c r="V3" i="10"/>
  <c r="T3" i="10"/>
  <c r="T13" i="10" s="1"/>
  <c r="R3" i="10"/>
  <c r="R13" i="10" s="1"/>
  <c r="P3" i="10"/>
  <c r="P13" i="10" s="1"/>
  <c r="N3" i="10"/>
  <c r="M3" i="10"/>
  <c r="AU2" i="10"/>
  <c r="AP2" i="10"/>
  <c r="AJ2" i="10"/>
  <c r="X2" i="10"/>
  <c r="V2" i="10"/>
  <c r="AH6" i="10" s="1"/>
  <c r="T2" i="10"/>
  <c r="R2" i="10"/>
  <c r="P2" i="10"/>
  <c r="N2" i="10"/>
  <c r="AH2" i="10" s="1"/>
  <c r="M2" i="10"/>
  <c r="M12" i="10" s="1"/>
  <c r="M22" i="10" s="1"/>
  <c r="AP1" i="10"/>
  <c r="AO1" i="10"/>
  <c r="J21" i="10" s="1"/>
  <c r="AN1" i="10"/>
  <c r="S1" i="10"/>
  <c r="S9" i="10" s="1"/>
  <c r="Q1" i="10"/>
  <c r="AL42" i="9"/>
  <c r="AH42" i="9"/>
  <c r="AL41" i="9"/>
  <c r="AF40" i="9"/>
  <c r="V40" i="9" a="1"/>
  <c r="V40" i="9" s="1"/>
  <c r="N40" i="9"/>
  <c r="AL39" i="9"/>
  <c r="AH39" i="9"/>
  <c r="N39" i="9"/>
  <c r="AL38" i="9"/>
  <c r="AH38" i="9"/>
  <c r="AL37" i="9"/>
  <c r="AH37" i="9"/>
  <c r="AF37" i="9"/>
  <c r="V37" i="9"/>
  <c r="T37" i="9"/>
  <c r="AP36" i="9"/>
  <c r="V36" i="9"/>
  <c r="T36" i="9"/>
  <c r="AQ35" i="9"/>
  <c r="AP35" i="9"/>
  <c r="V35" i="9"/>
  <c r="T35" i="9"/>
  <c r="V34" i="9"/>
  <c r="T34" i="9"/>
  <c r="G34" i="9"/>
  <c r="V33" i="9"/>
  <c r="V39" i="9" s="1" a="1"/>
  <c r="V39" i="9" s="1"/>
  <c r="T33" i="9"/>
  <c r="G33" i="9"/>
  <c r="AV11" i="9" s="1"/>
  <c r="AL32" i="9"/>
  <c r="AH32" i="9"/>
  <c r="AF32" i="9"/>
  <c r="AF19" i="9" s="1"/>
  <c r="V32" i="9"/>
  <c r="T32" i="9"/>
  <c r="AL31" i="9"/>
  <c r="AF31" i="9"/>
  <c r="AF41" i="9" s="1"/>
  <c r="X31" i="9"/>
  <c r="V31" i="9"/>
  <c r="AF30" i="9"/>
  <c r="I30" i="9"/>
  <c r="AL29" i="9"/>
  <c r="AH29" i="9"/>
  <c r="AF29" i="9"/>
  <c r="AF39" i="9" s="1"/>
  <c r="S29" i="9"/>
  <c r="AL28" i="9"/>
  <c r="AH28" i="9"/>
  <c r="AF28" i="9"/>
  <c r="AF38" i="9" s="1"/>
  <c r="Y28" i="9"/>
  <c r="Q28" i="9"/>
  <c r="AL27" i="9"/>
  <c r="AH27" i="9"/>
  <c r="AF27" i="9"/>
  <c r="Y27" i="9"/>
  <c r="W27" i="9"/>
  <c r="O27" i="9"/>
  <c r="AP26" i="9"/>
  <c r="Y26" i="9"/>
  <c r="W26" i="9"/>
  <c r="O26" i="9"/>
  <c r="I26" i="9"/>
  <c r="I35" i="9" s="1"/>
  <c r="AO13" i="9" s="1"/>
  <c r="G26" i="9"/>
  <c r="G35" i="9" s="1"/>
  <c r="B26" i="9"/>
  <c r="AQ25" i="9"/>
  <c r="AP25" i="9"/>
  <c r="Y25" i="9"/>
  <c r="S25" i="9"/>
  <c r="Q25" i="9"/>
  <c r="O25" i="9"/>
  <c r="I25" i="9"/>
  <c r="I34" i="9" s="1"/>
  <c r="G25" i="9"/>
  <c r="B25" i="9"/>
  <c r="AV5" i="9" s="1"/>
  <c r="Y24" i="9"/>
  <c r="Q24" i="9"/>
  <c r="O24" i="9"/>
  <c r="I24" i="9"/>
  <c r="I33" i="9" s="1"/>
  <c r="G24" i="9"/>
  <c r="B24" i="9"/>
  <c r="Y23" i="9"/>
  <c r="S23" i="9"/>
  <c r="Q23" i="9"/>
  <c r="O23" i="9"/>
  <c r="I23" i="9"/>
  <c r="I32" i="9" s="1"/>
  <c r="AP10" i="9" s="1"/>
  <c r="G23" i="9"/>
  <c r="G32" i="9" s="1"/>
  <c r="AV10" i="9" s="1"/>
  <c r="B23" i="9"/>
  <c r="AP22" i="9"/>
  <c r="Y22" i="9"/>
  <c r="S22" i="9"/>
  <c r="Q22" i="9"/>
  <c r="O22" i="9"/>
  <c r="J22" i="9"/>
  <c r="I22" i="9"/>
  <c r="I31" i="9" s="1"/>
  <c r="G22" i="9"/>
  <c r="G31" i="9" s="1"/>
  <c r="B22" i="9"/>
  <c r="AT21" i="9"/>
  <c r="AS21" i="9"/>
  <c r="AR21" i="9"/>
  <c r="AR22" i="9" s="1"/>
  <c r="AQ21" i="9"/>
  <c r="AQ22" i="9" s="1"/>
  <c r="AP21" i="9"/>
  <c r="AO21" i="9"/>
  <c r="AN21" i="9"/>
  <c r="Y21" i="9"/>
  <c r="Y29" i="9" s="1"/>
  <c r="W21" i="9"/>
  <c r="W28" i="9" s="1"/>
  <c r="U21" i="9"/>
  <c r="S21" i="9"/>
  <c r="S28" i="9" s="1"/>
  <c r="Q21" i="9"/>
  <c r="Q29" i="9" s="1"/>
  <c r="O21" i="9"/>
  <c r="O28" i="9" s="1"/>
  <c r="I21" i="9"/>
  <c r="G21" i="9"/>
  <c r="G30" i="9" s="1"/>
  <c r="AV8" i="9" s="1"/>
  <c r="B21" i="9"/>
  <c r="AQ20" i="9"/>
  <c r="AP20" i="9"/>
  <c r="G20" i="9"/>
  <c r="G29" i="9" s="1"/>
  <c r="B20" i="9"/>
  <c r="AJ19" i="9"/>
  <c r="T19" i="9"/>
  <c r="P19" i="9"/>
  <c r="AF18" i="9"/>
  <c r="V18" i="9"/>
  <c r="R18" i="9"/>
  <c r="N18" i="9"/>
  <c r="AT17" i="9"/>
  <c r="AS17" i="9"/>
  <c r="AR17" i="9"/>
  <c r="AR20" i="9" s="1"/>
  <c r="AQ17" i="9"/>
  <c r="AP17" i="9"/>
  <c r="AO17" i="9"/>
  <c r="AN17" i="9"/>
  <c r="AF17" i="9"/>
  <c r="T17" i="9"/>
  <c r="I17" i="9"/>
  <c r="AS16" i="9"/>
  <c r="AR16" i="9"/>
  <c r="AQ16" i="9"/>
  <c r="AP16" i="9"/>
  <c r="AO16" i="9"/>
  <c r="AN16" i="9"/>
  <c r="T16" i="9"/>
  <c r="AJ15" i="9"/>
  <c r="AF15" i="9"/>
  <c r="X15" i="9"/>
  <c r="T15" i="9"/>
  <c r="R15" i="9"/>
  <c r="M15" i="9"/>
  <c r="M25" i="9" s="1"/>
  <c r="AF14" i="9"/>
  <c r="X14" i="9"/>
  <c r="V14" i="9"/>
  <c r="AV13" i="9"/>
  <c r="AU13" i="9"/>
  <c r="AP13" i="9"/>
  <c r="J35" i="9" s="1"/>
  <c r="AV12" i="9"/>
  <c r="AU12" i="9"/>
  <c r="T12" i="9"/>
  <c r="P12" i="9"/>
  <c r="AU11" i="9"/>
  <c r="H33" i="9" s="1"/>
  <c r="AP11" i="9"/>
  <c r="AO11" i="9"/>
  <c r="J33" i="9" s="1"/>
  <c r="C11" i="9"/>
  <c r="AQ7" i="9" s="1"/>
  <c r="AU10" i="9"/>
  <c r="H32" i="9" s="1"/>
  <c r="AO10" i="9"/>
  <c r="AV9" i="9"/>
  <c r="AU9" i="9"/>
  <c r="H31" i="9" s="1"/>
  <c r="AP9" i="9"/>
  <c r="AO9" i="9"/>
  <c r="X9" i="9"/>
  <c r="X19" i="9" s="1"/>
  <c r="V9" i="9"/>
  <c r="V19" i="9" s="1"/>
  <c r="T9" i="9"/>
  <c r="R9" i="9"/>
  <c r="R19" i="9" s="1"/>
  <c r="P9" i="9"/>
  <c r="AA9" i="9" s="1"/>
  <c r="N9" i="9"/>
  <c r="N19" i="9" s="1"/>
  <c r="M9" i="9"/>
  <c r="M19" i="9" s="1"/>
  <c r="M29" i="9" s="1"/>
  <c r="AU8" i="9"/>
  <c r="H30" i="9" s="1"/>
  <c r="AP8" i="9"/>
  <c r="AO8" i="9"/>
  <c r="AN8" i="9"/>
  <c r="X8" i="9"/>
  <c r="X18" i="9" s="1"/>
  <c r="V8" i="9"/>
  <c r="T8" i="9"/>
  <c r="T18" i="9" s="1"/>
  <c r="R8" i="9"/>
  <c r="P8" i="9"/>
  <c r="P18" i="9" s="1"/>
  <c r="N8" i="9"/>
  <c r="M8" i="9"/>
  <c r="M18" i="9" s="1"/>
  <c r="M28" i="9" s="1"/>
  <c r="AU7" i="9"/>
  <c r="AS7" i="9"/>
  <c r="AO7" i="9"/>
  <c r="AJ7" i="9"/>
  <c r="AJ32" i="9" s="1"/>
  <c r="AH7" i="9"/>
  <c r="X7" i="9"/>
  <c r="X17" i="9" s="1"/>
  <c r="V7" i="9"/>
  <c r="U7" i="9"/>
  <c r="T7" i="9"/>
  <c r="R7" i="9"/>
  <c r="R17" i="9" s="1"/>
  <c r="P7" i="9"/>
  <c r="P17" i="9" s="1"/>
  <c r="N7" i="9"/>
  <c r="M7" i="9"/>
  <c r="M17" i="9" s="1"/>
  <c r="M27" i="9" s="1"/>
  <c r="AV6" i="9"/>
  <c r="AU6" i="9"/>
  <c r="AP6" i="9"/>
  <c r="AO6" i="9"/>
  <c r="AJ6" i="9"/>
  <c r="AJ41" i="9" s="1"/>
  <c r="X6" i="9"/>
  <c r="X16" i="9" s="1"/>
  <c r="W6" i="9"/>
  <c r="V6" i="9"/>
  <c r="V16" i="9" s="1"/>
  <c r="T6" i="9"/>
  <c r="R6" i="9"/>
  <c r="R16" i="9" s="1"/>
  <c r="P6" i="9"/>
  <c r="AB6" i="9" s="1"/>
  <c r="N6" i="9"/>
  <c r="N16" i="9" s="1"/>
  <c r="M6" i="9"/>
  <c r="M16" i="9" s="1"/>
  <c r="M26" i="9" s="1"/>
  <c r="AP5" i="9"/>
  <c r="J25" i="9" s="1"/>
  <c r="AO5" i="9"/>
  <c r="AJ5" i="9"/>
  <c r="AJ30" i="9" s="1"/>
  <c r="AH5" i="9"/>
  <c r="X5" i="9"/>
  <c r="V5" i="9"/>
  <c r="V15" i="9" s="1"/>
  <c r="T5" i="9"/>
  <c r="U1" i="9" s="1"/>
  <c r="R5" i="9"/>
  <c r="P5" i="9"/>
  <c r="N5" i="9"/>
  <c r="N15" i="9" s="1"/>
  <c r="M5" i="9"/>
  <c r="AV4" i="9"/>
  <c r="AU4" i="9"/>
  <c r="AP4" i="9"/>
  <c r="AO4" i="9"/>
  <c r="J24" i="9" s="1"/>
  <c r="AJ4" i="9"/>
  <c r="X4" i="9"/>
  <c r="V4" i="9"/>
  <c r="W1" i="9" s="1"/>
  <c r="T4" i="9"/>
  <c r="T14" i="9" s="1"/>
  <c r="R4" i="9"/>
  <c r="R14" i="9" s="1"/>
  <c r="P4" i="9"/>
  <c r="AA4" i="9" s="1"/>
  <c r="N4" i="9"/>
  <c r="AB4" i="9" s="1"/>
  <c r="M4" i="9"/>
  <c r="M14" i="9" s="1"/>
  <c r="M24" i="9" s="1"/>
  <c r="AO3" i="9"/>
  <c r="AJ3" i="9"/>
  <c r="AJ28" i="9" s="1"/>
  <c r="X3" i="9"/>
  <c r="V3" i="9"/>
  <c r="W3" i="9" s="1"/>
  <c r="T3" i="9"/>
  <c r="T13" i="9" s="1"/>
  <c r="R3" i="9"/>
  <c r="P3" i="9"/>
  <c r="P13" i="9" s="1"/>
  <c r="N3" i="9"/>
  <c r="O1" i="9" s="1"/>
  <c r="M3" i="9"/>
  <c r="M13" i="9" s="1"/>
  <c r="M23" i="9" s="1"/>
  <c r="AV2" i="9"/>
  <c r="AU2" i="9"/>
  <c r="H22" i="9" s="1"/>
  <c r="AP2" i="9"/>
  <c r="AO2" i="9"/>
  <c r="AJ2" i="9"/>
  <c r="X2" i="9"/>
  <c r="X12" i="9" s="1"/>
  <c r="W2" i="9"/>
  <c r="V2" i="9"/>
  <c r="AH6" i="9" s="1"/>
  <c r="T2" i="9"/>
  <c r="R2" i="9"/>
  <c r="R12" i="9" s="1"/>
  <c r="P2" i="9"/>
  <c r="AH3" i="9" s="1"/>
  <c r="N2" i="9"/>
  <c r="AH2" i="9" s="1"/>
  <c r="M2" i="9"/>
  <c r="M12" i="9" s="1"/>
  <c r="M22" i="9" s="1"/>
  <c r="AV1" i="9"/>
  <c r="AU1" i="9"/>
  <c r="H21" i="9" s="1"/>
  <c r="AP1" i="9"/>
  <c r="AO1" i="9"/>
  <c r="J21" i="9" s="1"/>
  <c r="AN1" i="9"/>
  <c r="Q1" i="9"/>
  <c r="AL40" i="8"/>
  <c r="N40" i="8"/>
  <c r="V39" i="8" a="1"/>
  <c r="V39" i="8"/>
  <c r="N39" i="8"/>
  <c r="AN38" i="8"/>
  <c r="AJ38" i="8"/>
  <c r="V37" i="8"/>
  <c r="T37" i="8"/>
  <c r="R37" i="8"/>
  <c r="P37" i="8"/>
  <c r="AK36" i="8"/>
  <c r="F31" i="8" s="1"/>
  <c r="V36" i="8"/>
  <c r="T36" i="8"/>
  <c r="R36" i="8"/>
  <c r="R40" i="8" s="1" a="1"/>
  <c r="R40" i="8" s="1"/>
  <c r="P36" i="8"/>
  <c r="AF35" i="8"/>
  <c r="V35" i="8"/>
  <c r="T35" i="8"/>
  <c r="R35" i="8"/>
  <c r="P35" i="8"/>
  <c r="E35" i="8"/>
  <c r="AK40" i="8" s="1"/>
  <c r="F35" i="8" s="1"/>
  <c r="AM34" i="8"/>
  <c r="AK34" i="8"/>
  <c r="AI34" i="8"/>
  <c r="AG34" i="8"/>
  <c r="V34" i="8"/>
  <c r="T34" i="8"/>
  <c r="R34" i="8"/>
  <c r="P34" i="8"/>
  <c r="G34" i="8"/>
  <c r="AN39" i="8" s="1"/>
  <c r="C34" i="8"/>
  <c r="AK33" i="8"/>
  <c r="AH33" i="8"/>
  <c r="AG33" i="8"/>
  <c r="J26" i="8" s="1"/>
  <c r="V33" i="8"/>
  <c r="T33" i="8"/>
  <c r="T39" i="8" s="1" a="1"/>
  <c r="T39" i="8" s="1"/>
  <c r="R33" i="8"/>
  <c r="R39" i="8" s="1" a="1"/>
  <c r="R39" i="8" s="1"/>
  <c r="P33" i="8"/>
  <c r="P39" i="8" s="1" a="1"/>
  <c r="P39" i="8" s="1"/>
  <c r="C33" i="8"/>
  <c r="AI38" i="8" s="1"/>
  <c r="D33" i="8" s="1"/>
  <c r="AL32" i="8"/>
  <c r="V32" i="8"/>
  <c r="V40" i="8" s="1" a="1"/>
  <c r="V40" i="8" s="1"/>
  <c r="T32" i="8"/>
  <c r="T40" i="8" s="1" a="1"/>
  <c r="T40" i="8" s="1"/>
  <c r="R32" i="8"/>
  <c r="P32" i="8"/>
  <c r="P40" i="8" s="1" a="1"/>
  <c r="P40" i="8" s="1"/>
  <c r="AI31" i="8"/>
  <c r="X31" i="8"/>
  <c r="V31" i="8"/>
  <c r="G31" i="8"/>
  <c r="C31" i="8"/>
  <c r="AJ36" i="8" s="1"/>
  <c r="AN30" i="8"/>
  <c r="AJ30" i="8"/>
  <c r="AI30" i="8"/>
  <c r="D23" i="8" s="1"/>
  <c r="AG30" i="8"/>
  <c r="C30" i="8"/>
  <c r="AQ3" i="8" s="1"/>
  <c r="AN29" i="8"/>
  <c r="AG29" i="8"/>
  <c r="Y29" i="8"/>
  <c r="Q29" i="8"/>
  <c r="O29" i="8"/>
  <c r="G29" i="8"/>
  <c r="AN28" i="8"/>
  <c r="AJ28" i="8"/>
  <c r="AI28" i="8"/>
  <c r="D21" i="8" s="1"/>
  <c r="AG28" i="8"/>
  <c r="AF28" i="8"/>
  <c r="Q28" i="8"/>
  <c r="Y27" i="8"/>
  <c r="W27" i="8"/>
  <c r="Q27" i="8"/>
  <c r="AW26" i="8"/>
  <c r="O26" i="8"/>
  <c r="M26" i="8"/>
  <c r="I26" i="8"/>
  <c r="I35" i="8" s="1"/>
  <c r="AG40" i="8" s="1"/>
  <c r="G26" i="8"/>
  <c r="AN33" i="8" s="1"/>
  <c r="E26" i="8"/>
  <c r="AL33" i="8" s="1"/>
  <c r="C26" i="8"/>
  <c r="B26" i="8"/>
  <c r="Y25" i="8"/>
  <c r="Q25" i="8"/>
  <c r="O25" i="8"/>
  <c r="I25" i="8"/>
  <c r="G25" i="8"/>
  <c r="AN32" i="8" s="1"/>
  <c r="E25" i="8"/>
  <c r="AK32" i="8" s="1"/>
  <c r="C25" i="8"/>
  <c r="AJ32" i="8" s="1"/>
  <c r="B25" i="8"/>
  <c r="AM32" i="8" s="1"/>
  <c r="H25" i="8" s="1"/>
  <c r="Y24" i="8"/>
  <c r="Q24" i="8"/>
  <c r="O24" i="8"/>
  <c r="I24" i="8"/>
  <c r="G24" i="8"/>
  <c r="G33" i="8" s="1"/>
  <c r="AM38" i="8" s="1"/>
  <c r="H33" i="8" s="1"/>
  <c r="E24" i="8"/>
  <c r="E33" i="8" s="1"/>
  <c r="C24" i="8"/>
  <c r="B24" i="8"/>
  <c r="AM31" i="8" s="1"/>
  <c r="Y23" i="8"/>
  <c r="W23" i="8"/>
  <c r="Q23" i="8"/>
  <c r="I23" i="8"/>
  <c r="I32" i="8" s="1"/>
  <c r="G23" i="8"/>
  <c r="AM30" i="8" s="1"/>
  <c r="H23" i="8" s="1"/>
  <c r="E23" i="8"/>
  <c r="C23" i="8"/>
  <c r="C32" i="8" s="1"/>
  <c r="B23" i="8"/>
  <c r="AX22" i="8"/>
  <c r="AW22" i="8"/>
  <c r="S22" i="8"/>
  <c r="I22" i="8"/>
  <c r="I31" i="8" s="1"/>
  <c r="G22" i="8"/>
  <c r="AM29" i="8" s="1"/>
  <c r="H22" i="8" s="1"/>
  <c r="E22" i="8"/>
  <c r="E31" i="8" s="1"/>
  <c r="AL36" i="8" s="1"/>
  <c r="C22" i="8"/>
  <c r="B22" i="8"/>
  <c r="AJ29" i="8" s="1"/>
  <c r="AS21" i="8"/>
  <c r="AS25" i="8" s="1"/>
  <c r="AR21" i="8"/>
  <c r="AR25" i="8" s="1"/>
  <c r="Y21" i="8"/>
  <c r="Y28" i="8" s="1"/>
  <c r="W21" i="8"/>
  <c r="W29" i="8" s="1"/>
  <c r="U21" i="8"/>
  <c r="U29" i="8" s="1"/>
  <c r="S21" i="8"/>
  <c r="Q21" i="8"/>
  <c r="Q22" i="8" s="1"/>
  <c r="O21" i="8"/>
  <c r="O27" i="8" s="1"/>
  <c r="I21" i="8"/>
  <c r="I30" i="8" s="1"/>
  <c r="AG35" i="8" s="1"/>
  <c r="G21" i="8"/>
  <c r="AM28" i="8" s="1"/>
  <c r="E21" i="8"/>
  <c r="C21" i="8"/>
  <c r="B21" i="8"/>
  <c r="AH28" i="8" s="1"/>
  <c r="G20" i="8"/>
  <c r="B20" i="8"/>
  <c r="AL19" i="8"/>
  <c r="AK19" i="8"/>
  <c r="AH19" i="8"/>
  <c r="AG19" i="8"/>
  <c r="AF19" i="8"/>
  <c r="AJ19" i="8" s="1"/>
  <c r="R19" i="8"/>
  <c r="M19" i="8"/>
  <c r="M29" i="8" s="1"/>
  <c r="AW18" i="8"/>
  <c r="AV18" i="8"/>
  <c r="AV22" i="8" s="1"/>
  <c r="AV26" i="8" s="1"/>
  <c r="AU18" i="8"/>
  <c r="AL18" i="8"/>
  <c r="AK18" i="8"/>
  <c r="AG18" i="8"/>
  <c r="AH18" i="8" s="1"/>
  <c r="AF18" i="8"/>
  <c r="AJ18" i="8" s="1"/>
  <c r="T18" i="8"/>
  <c r="AW17" i="8"/>
  <c r="AW21" i="8" s="1"/>
  <c r="AW25" i="8" s="1"/>
  <c r="AV17" i="8"/>
  <c r="AV21" i="8" s="1"/>
  <c r="AV25" i="8" s="1"/>
  <c r="AS17" i="8"/>
  <c r="AR17" i="8"/>
  <c r="AQ17" i="8"/>
  <c r="AQ21" i="8" s="1"/>
  <c r="AQ25" i="8" s="1"/>
  <c r="AP17" i="8"/>
  <c r="AP21" i="8" s="1"/>
  <c r="AP25" i="8" s="1"/>
  <c r="AL17" i="8"/>
  <c r="AK17" i="8"/>
  <c r="AJ17" i="8"/>
  <c r="AH17" i="8"/>
  <c r="AG17" i="8"/>
  <c r="AF17" i="8"/>
  <c r="X17" i="8"/>
  <c r="T17" i="8"/>
  <c r="P17" i="8"/>
  <c r="M17" i="8"/>
  <c r="M27" i="8" s="1"/>
  <c r="AL16" i="8"/>
  <c r="AK16" i="8"/>
  <c r="AG16" i="8"/>
  <c r="AH16" i="8" s="1"/>
  <c r="AF16" i="8"/>
  <c r="AJ16" i="8" s="1"/>
  <c r="AT15" i="8"/>
  <c r="AK15" i="8"/>
  <c r="AL15" i="8" s="1"/>
  <c r="AL21" i="8" s="1"/>
  <c r="AH15" i="8"/>
  <c r="AG15" i="8"/>
  <c r="AF15" i="8"/>
  <c r="AJ15" i="8" s="1"/>
  <c r="V15" i="8"/>
  <c r="R15" i="8"/>
  <c r="N15" i="8"/>
  <c r="AL14" i="8"/>
  <c r="AK14" i="8"/>
  <c r="AH14" i="8"/>
  <c r="AG14" i="8"/>
  <c r="AF14" i="8"/>
  <c r="AJ14" i="8" s="1"/>
  <c r="T14" i="8"/>
  <c r="R14" i="8"/>
  <c r="M14" i="8"/>
  <c r="M24" i="8" s="1"/>
  <c r="AP13" i="8"/>
  <c r="T13" i="8"/>
  <c r="T12" i="8"/>
  <c r="AB9" i="8"/>
  <c r="X9" i="8"/>
  <c r="X19" i="8" s="1"/>
  <c r="V9" i="8"/>
  <c r="V19" i="8" s="1"/>
  <c r="T9" i="8"/>
  <c r="R9" i="8"/>
  <c r="P9" i="8"/>
  <c r="P19" i="8" s="1"/>
  <c r="N9" i="8"/>
  <c r="N19" i="8" s="1"/>
  <c r="M9" i="8"/>
  <c r="AR8" i="8"/>
  <c r="AP8" i="8"/>
  <c r="AO8" i="8"/>
  <c r="X8" i="8"/>
  <c r="X18" i="8" s="1"/>
  <c r="V8" i="8"/>
  <c r="T8" i="8"/>
  <c r="R8" i="8"/>
  <c r="AA8" i="8" s="1"/>
  <c r="P8" i="8"/>
  <c r="P18" i="8" s="1"/>
  <c r="N8" i="8"/>
  <c r="M8" i="8"/>
  <c r="M18" i="8" s="1"/>
  <c r="M28" i="8" s="1"/>
  <c r="AQ7" i="8"/>
  <c r="AQ27" i="8" s="1"/>
  <c r="AP7" i="8"/>
  <c r="AO7" i="8"/>
  <c r="AL7" i="8"/>
  <c r="AJ7" i="8"/>
  <c r="AA7" i="8"/>
  <c r="X7" i="8"/>
  <c r="V7" i="8"/>
  <c r="T7" i="8"/>
  <c r="R7" i="8"/>
  <c r="R17" i="8" s="1"/>
  <c r="P7" i="8"/>
  <c r="N7" i="8"/>
  <c r="M7" i="8"/>
  <c r="AR6" i="8"/>
  <c r="AR23" i="8" s="1"/>
  <c r="AQ6" i="8"/>
  <c r="AQ23" i="8" s="1"/>
  <c r="AP6" i="8"/>
  <c r="AS6" i="8" s="1"/>
  <c r="AS23" i="8" s="1"/>
  <c r="AO6" i="8"/>
  <c r="AL6" i="8"/>
  <c r="AJ6" i="8"/>
  <c r="AB6" i="8"/>
  <c r="X6" i="8"/>
  <c r="V6" i="8"/>
  <c r="V16" i="8" s="1"/>
  <c r="T6" i="8"/>
  <c r="T16" i="8" s="1"/>
  <c r="R6" i="8"/>
  <c r="R16" i="8" s="1"/>
  <c r="P6" i="8"/>
  <c r="N6" i="8"/>
  <c r="N16" i="8" s="1"/>
  <c r="M6" i="8"/>
  <c r="M16" i="8" s="1"/>
  <c r="AS5" i="8"/>
  <c r="AS19" i="8" s="1"/>
  <c r="AR5" i="8"/>
  <c r="AR19" i="8" s="1"/>
  <c r="AP5" i="8"/>
  <c r="AQ5" i="8" s="1"/>
  <c r="AQ19" i="8" s="1"/>
  <c r="AO5" i="8"/>
  <c r="AL5" i="8"/>
  <c r="AL9" i="8" s="1"/>
  <c r="AJ5" i="8"/>
  <c r="X5" i="8"/>
  <c r="V5" i="8"/>
  <c r="T5" i="8"/>
  <c r="T15" i="8" s="1"/>
  <c r="R5" i="8"/>
  <c r="P5" i="8"/>
  <c r="N5" i="8"/>
  <c r="M5" i="8"/>
  <c r="M15" i="8" s="1"/>
  <c r="M25" i="8" s="1"/>
  <c r="AS4" i="8"/>
  <c r="AS15" i="8" s="1"/>
  <c r="AS14" i="8" s="1"/>
  <c r="AP4" i="8"/>
  <c r="AR4" i="8" s="1"/>
  <c r="AR15" i="8" s="1"/>
  <c r="AR14" i="8" s="1"/>
  <c r="AO4" i="8"/>
  <c r="AL4" i="8"/>
  <c r="AJ4" i="8"/>
  <c r="AH4" i="8"/>
  <c r="X4" i="8"/>
  <c r="X14" i="8" s="1"/>
  <c r="V4" i="8"/>
  <c r="T4" i="8"/>
  <c r="R4" i="8"/>
  <c r="P4" i="8"/>
  <c r="P14" i="8" s="1"/>
  <c r="N4" i="8"/>
  <c r="M4" i="8"/>
  <c r="AP3" i="8"/>
  <c r="AO3" i="8"/>
  <c r="AL3" i="8"/>
  <c r="AJ3" i="8"/>
  <c r="X3" i="8"/>
  <c r="X13" i="8" s="1"/>
  <c r="V3" i="8"/>
  <c r="T3" i="8"/>
  <c r="R3" i="8"/>
  <c r="P3" i="8"/>
  <c r="P13" i="8" s="1"/>
  <c r="N3" i="8"/>
  <c r="M3" i="8"/>
  <c r="M13" i="8" s="1"/>
  <c r="M23" i="8" s="1"/>
  <c r="AR2" i="8"/>
  <c r="AS2" i="8" s="1"/>
  <c r="AL2" i="8"/>
  <c r="AL10" i="8" s="1"/>
  <c r="AJ2" i="8"/>
  <c r="X2" i="8"/>
  <c r="V2" i="8"/>
  <c r="V12" i="8" s="1"/>
  <c r="T2" i="8"/>
  <c r="R2" i="8"/>
  <c r="P2" i="8"/>
  <c r="P12" i="8" s="1"/>
  <c r="N2" i="8"/>
  <c r="M2" i="8"/>
  <c r="M12" i="8" s="1"/>
  <c r="M22" i="8" s="1"/>
  <c r="AP1" i="8"/>
  <c r="N40" i="7"/>
  <c r="AH39" i="7"/>
  <c r="R39" i="7" a="1"/>
  <c r="R39" i="7" s="1"/>
  <c r="N39" i="7"/>
  <c r="V37" i="7"/>
  <c r="T37" i="7"/>
  <c r="R37" i="7"/>
  <c r="P37" i="7"/>
  <c r="V36" i="7"/>
  <c r="T36" i="7"/>
  <c r="R36" i="7"/>
  <c r="P36" i="7"/>
  <c r="AF35" i="7"/>
  <c r="V35" i="7"/>
  <c r="T35" i="7"/>
  <c r="R35" i="7"/>
  <c r="P35" i="7"/>
  <c r="G35" i="7"/>
  <c r="AN40" i="7" s="1"/>
  <c r="C35" i="7"/>
  <c r="AM34" i="7"/>
  <c r="AK34" i="7"/>
  <c r="AI34" i="7"/>
  <c r="AG34" i="7"/>
  <c r="V34" i="7"/>
  <c r="T34" i="7"/>
  <c r="R34" i="7"/>
  <c r="R40" i="7" s="1" a="1"/>
  <c r="R40" i="7" s="1"/>
  <c r="P34" i="7"/>
  <c r="I34" i="7"/>
  <c r="AG39" i="7" s="1"/>
  <c r="AM33" i="7"/>
  <c r="V33" i="7"/>
  <c r="V39" i="7" s="1" a="1"/>
  <c r="V39" i="7" s="1"/>
  <c r="T33" i="7"/>
  <c r="R33" i="7"/>
  <c r="P33" i="7"/>
  <c r="I33" i="7"/>
  <c r="AH38" i="7" s="1"/>
  <c r="E33" i="7"/>
  <c r="V32" i="7"/>
  <c r="V40" i="7" s="1" a="1"/>
  <c r="V40" i="7" s="1"/>
  <c r="T32" i="7"/>
  <c r="R32" i="7"/>
  <c r="P32" i="7"/>
  <c r="P40" i="7" s="1" a="1"/>
  <c r="P40" i="7" s="1"/>
  <c r="AS31" i="7"/>
  <c r="AR31" i="7"/>
  <c r="AQ31" i="7"/>
  <c r="AM31" i="7"/>
  <c r="X31" i="7"/>
  <c r="V31" i="7"/>
  <c r="G31" i="7"/>
  <c r="AJ29" i="7"/>
  <c r="AG29" i="7"/>
  <c r="Y29" i="7"/>
  <c r="AF28" i="7"/>
  <c r="S28" i="7"/>
  <c r="Y27" i="7"/>
  <c r="S27" i="7"/>
  <c r="AR26" i="7"/>
  <c r="Y26" i="7"/>
  <c r="S26" i="7"/>
  <c r="Q26" i="7"/>
  <c r="I26" i="7"/>
  <c r="AG33" i="7" s="1"/>
  <c r="G26" i="7"/>
  <c r="E26" i="7"/>
  <c r="AL33" i="7" s="1"/>
  <c r="C26" i="7"/>
  <c r="B26" i="7"/>
  <c r="AW25" i="7"/>
  <c r="Y25" i="7"/>
  <c r="U25" i="7"/>
  <c r="S25" i="7"/>
  <c r="I25" i="7"/>
  <c r="G25" i="7"/>
  <c r="E25" i="7"/>
  <c r="C25" i="7"/>
  <c r="AJ32" i="7" s="1"/>
  <c r="B25" i="7"/>
  <c r="Y24" i="7"/>
  <c r="U24" i="7"/>
  <c r="S24" i="7"/>
  <c r="I24" i="7"/>
  <c r="G24" i="7"/>
  <c r="E24" i="7"/>
  <c r="C24" i="7"/>
  <c r="C33" i="7" s="1"/>
  <c r="B24" i="7"/>
  <c r="AL31" i="7" s="1"/>
  <c r="AR23" i="7"/>
  <c r="S23" i="7"/>
  <c r="I23" i="7"/>
  <c r="G23" i="7"/>
  <c r="E23" i="7"/>
  <c r="C23" i="7"/>
  <c r="B23" i="7"/>
  <c r="AG30" i="7" s="1"/>
  <c r="AU22" i="7"/>
  <c r="AU26" i="7" s="1"/>
  <c r="AT27" i="7" s="1"/>
  <c r="O22" i="7"/>
  <c r="I22" i="7"/>
  <c r="G22" i="7"/>
  <c r="AM29" i="7" s="1"/>
  <c r="E22" i="7"/>
  <c r="C22" i="7"/>
  <c r="C31" i="7" s="1"/>
  <c r="B22" i="7"/>
  <c r="AV21" i="7"/>
  <c r="AV25" i="7" s="1"/>
  <c r="AS21" i="7"/>
  <c r="AS25" i="7" s="1"/>
  <c r="Y21" i="7"/>
  <c r="Y28" i="7" s="1"/>
  <c r="W21" i="7"/>
  <c r="W27" i="7" s="1"/>
  <c r="U21" i="7"/>
  <c r="S21" i="7"/>
  <c r="S29" i="7" s="1"/>
  <c r="Q21" i="7"/>
  <c r="Q29" i="7" s="1"/>
  <c r="O21" i="7"/>
  <c r="I21" i="7"/>
  <c r="I30" i="7" s="1"/>
  <c r="AG35" i="7" s="1"/>
  <c r="G21" i="7"/>
  <c r="E21" i="7"/>
  <c r="C21" i="7"/>
  <c r="B21" i="7"/>
  <c r="AH28" i="7" s="1"/>
  <c r="G20" i="7"/>
  <c r="G29" i="7" s="1"/>
  <c r="B20" i="7"/>
  <c r="AT19" i="7"/>
  <c r="AL19" i="7"/>
  <c r="AK19" i="7"/>
  <c r="AG19" i="7"/>
  <c r="AH19" i="7" s="1"/>
  <c r="AF19" i="7"/>
  <c r="AJ19" i="7" s="1"/>
  <c r="V19" i="7"/>
  <c r="R19" i="7"/>
  <c r="N19" i="7"/>
  <c r="AW18" i="7"/>
  <c r="AW22" i="7" s="1"/>
  <c r="AW26" i="7" s="1"/>
  <c r="AV18" i="7"/>
  <c r="AV22" i="7" s="1"/>
  <c r="AV26" i="7" s="1"/>
  <c r="AU18" i="7"/>
  <c r="AL18" i="7"/>
  <c r="AK18" i="7"/>
  <c r="AJ18" i="7"/>
  <c r="AH18" i="7"/>
  <c r="AG18" i="7"/>
  <c r="AF18" i="7"/>
  <c r="T18" i="7"/>
  <c r="M18" i="7"/>
  <c r="M28" i="7" s="1"/>
  <c r="AW17" i="7"/>
  <c r="AW21" i="7" s="1"/>
  <c r="AV17" i="7"/>
  <c r="AS17" i="7"/>
  <c r="AR17" i="7"/>
  <c r="AR21" i="7" s="1"/>
  <c r="AR25" i="7" s="1"/>
  <c r="AQ17" i="7"/>
  <c r="AQ21" i="7" s="1"/>
  <c r="AQ25" i="7" s="1"/>
  <c r="AK17" i="7"/>
  <c r="AL17" i="7" s="1"/>
  <c r="AG17" i="7"/>
  <c r="AH17" i="7" s="1"/>
  <c r="AF17" i="7"/>
  <c r="AJ17" i="7" s="1"/>
  <c r="V17" i="7"/>
  <c r="R17" i="7"/>
  <c r="N17" i="7"/>
  <c r="M17" i="7"/>
  <c r="M27" i="7" s="1"/>
  <c r="AL16" i="7"/>
  <c r="AK16" i="7"/>
  <c r="AJ16" i="7"/>
  <c r="AH16" i="7"/>
  <c r="AG16" i="7"/>
  <c r="AF16" i="7"/>
  <c r="AT15" i="7"/>
  <c r="AL15" i="7"/>
  <c r="AK15" i="7"/>
  <c r="AJ15" i="7"/>
  <c r="AH15" i="7"/>
  <c r="AG15" i="7"/>
  <c r="AF15" i="7"/>
  <c r="X15" i="7"/>
  <c r="T15" i="7"/>
  <c r="P15" i="7"/>
  <c r="AL14" i="7"/>
  <c r="AK14" i="7"/>
  <c r="AG14" i="7"/>
  <c r="AH14" i="7" s="1"/>
  <c r="AF14" i="7"/>
  <c r="AJ14" i="7" s="1"/>
  <c r="X14" i="7"/>
  <c r="R14" i="7"/>
  <c r="P14" i="7"/>
  <c r="AP13" i="7"/>
  <c r="AP17" i="7" s="1"/>
  <c r="AP21" i="7" s="1"/>
  <c r="AP25" i="7" s="1"/>
  <c r="R13" i="7"/>
  <c r="AL10" i="7"/>
  <c r="X9" i="7"/>
  <c r="X19" i="7" s="1"/>
  <c r="V9" i="7"/>
  <c r="T9" i="7"/>
  <c r="T19" i="7" s="1"/>
  <c r="R9" i="7"/>
  <c r="P9" i="7"/>
  <c r="AB9" i="7" s="1"/>
  <c r="N9" i="7"/>
  <c r="M9" i="7"/>
  <c r="M19" i="7" s="1"/>
  <c r="M29" i="7" s="1"/>
  <c r="AP8" i="7"/>
  <c r="AS8" i="7" s="1"/>
  <c r="AO8" i="7"/>
  <c r="X8" i="7"/>
  <c r="X18" i="7" s="1"/>
  <c r="W8" i="7"/>
  <c r="V8" i="7"/>
  <c r="V18" i="7" s="1"/>
  <c r="T8" i="7"/>
  <c r="R8" i="7"/>
  <c r="P8" i="7"/>
  <c r="P18" i="7" s="1"/>
  <c r="N8" i="7"/>
  <c r="N18" i="7" s="1"/>
  <c r="M8" i="7"/>
  <c r="AR7" i="7"/>
  <c r="AR27" i="7" s="1"/>
  <c r="AQ7" i="7"/>
  <c r="AQ27" i="7" s="1"/>
  <c r="AQ26" i="7" s="1"/>
  <c r="AP7" i="7"/>
  <c r="AX26" i="7" s="1"/>
  <c r="AO7" i="7"/>
  <c r="AL7" i="7"/>
  <c r="AJ7" i="7"/>
  <c r="X7" i="7"/>
  <c r="V7" i="7"/>
  <c r="T7" i="7"/>
  <c r="R7" i="7"/>
  <c r="P7" i="7"/>
  <c r="N7" i="7"/>
  <c r="M7" i="7"/>
  <c r="AS6" i="7"/>
  <c r="AS23" i="7" s="1"/>
  <c r="AR6" i="7"/>
  <c r="AP6" i="7"/>
  <c r="AX22" i="7" s="1"/>
  <c r="AO6" i="7"/>
  <c r="AL6" i="7"/>
  <c r="AJ6" i="7"/>
  <c r="X6" i="7"/>
  <c r="X16" i="7" s="1"/>
  <c r="V6" i="7"/>
  <c r="V16" i="7" s="1"/>
  <c r="T6" i="7"/>
  <c r="R6" i="7"/>
  <c r="P6" i="7"/>
  <c r="P16" i="7" s="1"/>
  <c r="N6" i="7"/>
  <c r="M6" i="7"/>
  <c r="M16" i="7" s="1"/>
  <c r="M26" i="7" s="1"/>
  <c r="AP5" i="7"/>
  <c r="AO5" i="7"/>
  <c r="AL5" i="7"/>
  <c r="AJ5" i="7"/>
  <c r="AA5" i="7"/>
  <c r="X5" i="7"/>
  <c r="V5" i="7"/>
  <c r="W5" i="7" s="1"/>
  <c r="T5" i="7"/>
  <c r="R5" i="7"/>
  <c r="P5" i="7"/>
  <c r="N5" i="7"/>
  <c r="M5" i="7"/>
  <c r="M15" i="7" s="1"/>
  <c r="M25" i="7" s="1"/>
  <c r="AR4" i="7"/>
  <c r="AR15" i="7" s="1"/>
  <c r="AR14" i="7" s="1"/>
  <c r="AQ4" i="7"/>
  <c r="AQ15" i="7" s="1"/>
  <c r="AQ14" i="7" s="1"/>
  <c r="AP4" i="7"/>
  <c r="AX14" i="7" s="1"/>
  <c r="AO4" i="7"/>
  <c r="AL4" i="7"/>
  <c r="AJ4" i="7"/>
  <c r="AB4" i="7"/>
  <c r="X4" i="7"/>
  <c r="V4" i="7"/>
  <c r="V14" i="7" s="1"/>
  <c r="T4" i="7"/>
  <c r="T14" i="7" s="1"/>
  <c r="R4" i="7"/>
  <c r="AA4" i="7" s="1"/>
  <c r="P4" i="7"/>
  <c r="N4" i="7"/>
  <c r="N14" i="7" s="1"/>
  <c r="M4" i="7"/>
  <c r="M14" i="7" s="1"/>
  <c r="M24" i="7" s="1"/>
  <c r="AP3" i="7"/>
  <c r="AO3" i="7"/>
  <c r="AL3" i="7"/>
  <c r="AL9" i="7" s="1"/>
  <c r="AJ3" i="7"/>
  <c r="X3" i="7"/>
  <c r="X13" i="7" s="1"/>
  <c r="V3" i="7"/>
  <c r="V13" i="7" s="1"/>
  <c r="T3" i="7"/>
  <c r="R3" i="7"/>
  <c r="P3" i="7"/>
  <c r="P13" i="7" s="1"/>
  <c r="N3" i="7"/>
  <c r="N13" i="7" s="1"/>
  <c r="M3" i="7"/>
  <c r="M13" i="7" s="1"/>
  <c r="M23" i="7" s="1"/>
  <c r="AS2" i="7"/>
  <c r="AR2" i="7"/>
  <c r="AL2" i="7"/>
  <c r="AJ2" i="7"/>
  <c r="AA2" i="7"/>
  <c r="X2" i="7"/>
  <c r="X12" i="7" s="1"/>
  <c r="V2" i="7"/>
  <c r="AH6" i="7" s="1"/>
  <c r="T2" i="7"/>
  <c r="T12" i="7" s="1"/>
  <c r="R2" i="7"/>
  <c r="P2" i="7"/>
  <c r="P12" i="7" s="1"/>
  <c r="N2" i="7"/>
  <c r="M2" i="7"/>
  <c r="M12" i="7" s="1"/>
  <c r="M22" i="7" s="1"/>
  <c r="AP1" i="7"/>
  <c r="W1" i="7"/>
  <c r="N40" i="6"/>
  <c r="P39" i="6" a="1"/>
  <c r="P39" i="6" s="1"/>
  <c r="N39" i="6"/>
  <c r="V37" i="6"/>
  <c r="T37" i="6"/>
  <c r="R37" i="6"/>
  <c r="P37" i="6"/>
  <c r="V36" i="6"/>
  <c r="T36" i="6"/>
  <c r="R36" i="6"/>
  <c r="P36" i="6"/>
  <c r="AF35" i="6"/>
  <c r="V35" i="6"/>
  <c r="T35" i="6"/>
  <c r="T39" i="6" s="1" a="1"/>
  <c r="T39" i="6" s="1"/>
  <c r="R35" i="6"/>
  <c r="P35" i="6"/>
  <c r="E35" i="6"/>
  <c r="AM34" i="6"/>
  <c r="AK34" i="6"/>
  <c r="AI34" i="6"/>
  <c r="AG34" i="6"/>
  <c r="V34" i="6"/>
  <c r="T34" i="6"/>
  <c r="R34" i="6"/>
  <c r="P34" i="6"/>
  <c r="I34" i="6"/>
  <c r="AH39" i="6" s="1"/>
  <c r="AM33" i="6"/>
  <c r="H26" i="6" s="1"/>
  <c r="AJ33" i="6"/>
  <c r="V33" i="6"/>
  <c r="T33" i="6"/>
  <c r="R33" i="6"/>
  <c r="R39" i="6" s="1" a="1"/>
  <c r="R39" i="6" s="1"/>
  <c r="P33" i="6"/>
  <c r="C33" i="6"/>
  <c r="AJ38" i="6" s="1"/>
  <c r="AG32" i="6"/>
  <c r="V32" i="6"/>
  <c r="T32" i="6"/>
  <c r="R32" i="6"/>
  <c r="R40" i="6" s="1" a="1"/>
  <c r="R40" i="6" s="1"/>
  <c r="P32" i="6"/>
  <c r="I32" i="6"/>
  <c r="AH37" i="6" s="1"/>
  <c r="AS31" i="6"/>
  <c r="AR31" i="6"/>
  <c r="AQ31" i="6"/>
  <c r="AG31" i="6"/>
  <c r="X31" i="6"/>
  <c r="V31" i="6"/>
  <c r="I31" i="6"/>
  <c r="AH36" i="6" s="1"/>
  <c r="E31" i="6"/>
  <c r="AL30" i="6"/>
  <c r="AH30" i="6"/>
  <c r="AG30" i="6"/>
  <c r="J23" i="6" s="1"/>
  <c r="AL29" i="6"/>
  <c r="AH29" i="6"/>
  <c r="AG29" i="6"/>
  <c r="J22" i="6" s="1"/>
  <c r="U29" i="6"/>
  <c r="G29" i="6"/>
  <c r="AL28" i="6"/>
  <c r="AH28" i="6"/>
  <c r="AG28" i="6"/>
  <c r="J21" i="6" s="1"/>
  <c r="Y28" i="6"/>
  <c r="W28" i="6"/>
  <c r="M28" i="6"/>
  <c r="AR27" i="6"/>
  <c r="AR26" i="6" s="1"/>
  <c r="S27" i="6"/>
  <c r="M27" i="6"/>
  <c r="Y26" i="6"/>
  <c r="Q26" i="6"/>
  <c r="I26" i="6"/>
  <c r="G26" i="6"/>
  <c r="G35" i="6" s="1"/>
  <c r="E26" i="6"/>
  <c r="AL33" i="6" s="1"/>
  <c r="C26" i="6"/>
  <c r="AI33" i="6" s="1"/>
  <c r="B26" i="6"/>
  <c r="AN33" i="6" s="1"/>
  <c r="U25" i="6"/>
  <c r="S25" i="6"/>
  <c r="I25" i="6"/>
  <c r="G25" i="6"/>
  <c r="E25" i="6"/>
  <c r="E34" i="6" s="1"/>
  <c r="C25" i="6"/>
  <c r="C34" i="6" s="1"/>
  <c r="B25" i="6"/>
  <c r="AK32" i="6" s="1"/>
  <c r="U24" i="6"/>
  <c r="S24" i="6"/>
  <c r="I24" i="6"/>
  <c r="I33" i="6" s="1"/>
  <c r="G24" i="6"/>
  <c r="E24" i="6"/>
  <c r="AL31" i="6" s="1"/>
  <c r="C24" i="6"/>
  <c r="AI31" i="6" s="1"/>
  <c r="B24" i="6"/>
  <c r="AK31" i="6" s="1"/>
  <c r="F24" i="6" s="1"/>
  <c r="S23" i="6"/>
  <c r="I23" i="6"/>
  <c r="G23" i="6"/>
  <c r="G32" i="6" s="1"/>
  <c r="E23" i="6"/>
  <c r="AK30" i="6" s="1"/>
  <c r="C23" i="6"/>
  <c r="B23" i="6"/>
  <c r="AU22" i="6"/>
  <c r="AU26" i="6" s="1"/>
  <c r="AT27" i="6" s="1"/>
  <c r="O22" i="6"/>
  <c r="I22" i="6"/>
  <c r="G22" i="6"/>
  <c r="G31" i="6" s="1"/>
  <c r="E22" i="6"/>
  <c r="AK29" i="6" s="1"/>
  <c r="C22" i="6"/>
  <c r="C31" i="6" s="1"/>
  <c r="B22" i="6"/>
  <c r="AV21" i="6"/>
  <c r="AV25" i="6" s="1"/>
  <c r="AS21" i="6"/>
  <c r="AS25" i="6" s="1"/>
  <c r="AP21" i="6"/>
  <c r="AP25" i="6" s="1"/>
  <c r="Y21" i="6"/>
  <c r="Y27" i="6" s="1"/>
  <c r="W21" i="6"/>
  <c r="W26" i="6" s="1"/>
  <c r="U21" i="6"/>
  <c r="U28" i="6" s="1"/>
  <c r="S21" i="6"/>
  <c r="S29" i="6" s="1"/>
  <c r="Q21" i="6"/>
  <c r="Q29" i="6" s="1"/>
  <c r="O21" i="6"/>
  <c r="I21" i="6"/>
  <c r="I30" i="6" s="1"/>
  <c r="G21" i="6"/>
  <c r="G30" i="6" s="1"/>
  <c r="E21" i="6"/>
  <c r="AK28" i="6" s="1"/>
  <c r="F21" i="6" s="1"/>
  <c r="C21" i="6"/>
  <c r="B21" i="6"/>
  <c r="G20" i="6"/>
  <c r="B20" i="6"/>
  <c r="AF28" i="6" s="1"/>
  <c r="AT19" i="6"/>
  <c r="AL19" i="6"/>
  <c r="AK19" i="6"/>
  <c r="AG19" i="6"/>
  <c r="AH19" i="6" s="1"/>
  <c r="AF19" i="6"/>
  <c r="AJ19" i="6" s="1"/>
  <c r="R19" i="6"/>
  <c r="AW18" i="6"/>
  <c r="AW22" i="6" s="1"/>
  <c r="AW26" i="6" s="1"/>
  <c r="AV18" i="6"/>
  <c r="AV22" i="6" s="1"/>
  <c r="AV26" i="6" s="1"/>
  <c r="AU18" i="6"/>
  <c r="AK18" i="6"/>
  <c r="AL18" i="6" s="1"/>
  <c r="AJ18" i="6"/>
  <c r="AH18" i="6"/>
  <c r="AG18" i="6"/>
  <c r="AF18" i="6"/>
  <c r="T18" i="6"/>
  <c r="M18" i="6"/>
  <c r="AW17" i="6"/>
  <c r="AW21" i="6" s="1"/>
  <c r="AW25" i="6" s="1"/>
  <c r="AV17" i="6"/>
  <c r="AS17" i="6"/>
  <c r="AR17" i="6"/>
  <c r="AR21" i="6" s="1"/>
  <c r="AR25" i="6" s="1"/>
  <c r="AQ17" i="6"/>
  <c r="AQ21" i="6" s="1"/>
  <c r="AQ25" i="6" s="1"/>
  <c r="AK17" i="6"/>
  <c r="AL17" i="6" s="1"/>
  <c r="AG17" i="6"/>
  <c r="AH17" i="6" s="1"/>
  <c r="AF17" i="6"/>
  <c r="AJ17" i="6" s="1"/>
  <c r="V17" i="6"/>
  <c r="R17" i="6"/>
  <c r="N17" i="6"/>
  <c r="M17" i="6"/>
  <c r="AK16" i="6"/>
  <c r="AL16" i="6" s="1"/>
  <c r="AJ16" i="6"/>
  <c r="AH16" i="6"/>
  <c r="AG16" i="6"/>
  <c r="AF16" i="6"/>
  <c r="AT15" i="6"/>
  <c r="AL15" i="6"/>
  <c r="AL21" i="6" s="1"/>
  <c r="AK15" i="6"/>
  <c r="AJ15" i="6"/>
  <c r="AH15" i="6"/>
  <c r="AG15" i="6"/>
  <c r="AF15" i="6"/>
  <c r="X15" i="6"/>
  <c r="T15" i="6"/>
  <c r="P15" i="6"/>
  <c r="AX14" i="6"/>
  <c r="AL14" i="6"/>
  <c r="AK14" i="6"/>
  <c r="AG14" i="6"/>
  <c r="AH14" i="6" s="1"/>
  <c r="AF14" i="6"/>
  <c r="AJ14" i="6" s="1"/>
  <c r="R14" i="6"/>
  <c r="AP13" i="6"/>
  <c r="AP17" i="6" s="1"/>
  <c r="T13" i="6"/>
  <c r="M12" i="6"/>
  <c r="M22" i="6" s="1"/>
  <c r="X9" i="6"/>
  <c r="X19" i="6" s="1"/>
  <c r="V9" i="6"/>
  <c r="V19" i="6" s="1"/>
  <c r="T9" i="6"/>
  <c r="R9" i="6"/>
  <c r="P9" i="6"/>
  <c r="P19" i="6" s="1"/>
  <c r="N9" i="6"/>
  <c r="N19" i="6" s="1"/>
  <c r="M9" i="6"/>
  <c r="M19" i="6" s="1"/>
  <c r="M29" i="6" s="1"/>
  <c r="AP8" i="6"/>
  <c r="AS8" i="6" s="1"/>
  <c r="AO8" i="6"/>
  <c r="AA8" i="6"/>
  <c r="X8" i="6"/>
  <c r="X18" i="6" s="1"/>
  <c r="V8" i="6"/>
  <c r="V18" i="6" s="1"/>
  <c r="T8" i="6"/>
  <c r="R8" i="6"/>
  <c r="P8" i="6"/>
  <c r="P18" i="6" s="1"/>
  <c r="N8" i="6"/>
  <c r="N18" i="6" s="1"/>
  <c r="M8" i="6"/>
  <c r="AS7" i="6"/>
  <c r="AS27" i="6" s="1"/>
  <c r="AR7" i="6"/>
  <c r="AQ7" i="6"/>
  <c r="AQ27" i="6" s="1"/>
  <c r="AQ26" i="6" s="1"/>
  <c r="AP7" i="6"/>
  <c r="AX26" i="6" s="1"/>
  <c r="AO7" i="6"/>
  <c r="AL7" i="6"/>
  <c r="AL10" i="6" s="1"/>
  <c r="AJ7" i="6"/>
  <c r="AB7" i="6"/>
  <c r="X7" i="6"/>
  <c r="V7" i="6"/>
  <c r="T7" i="6"/>
  <c r="R7" i="6"/>
  <c r="P7" i="6"/>
  <c r="N7" i="6"/>
  <c r="M7" i="6"/>
  <c r="AS6" i="6"/>
  <c r="AS23" i="6" s="1"/>
  <c r="AR6" i="6"/>
  <c r="AR23" i="6" s="1"/>
  <c r="AP6" i="6"/>
  <c r="AX22" i="6" s="1"/>
  <c r="AO6" i="6"/>
  <c r="AL6" i="6"/>
  <c r="AJ6" i="6"/>
  <c r="X6" i="6"/>
  <c r="X16" i="6" s="1"/>
  <c r="V6" i="6"/>
  <c r="T6" i="6"/>
  <c r="R6" i="6"/>
  <c r="P6" i="6"/>
  <c r="P16" i="6" s="1"/>
  <c r="N6" i="6"/>
  <c r="M6" i="6"/>
  <c r="M16" i="6" s="1"/>
  <c r="M26" i="6" s="1"/>
  <c r="AP5" i="6"/>
  <c r="AO5" i="6"/>
  <c r="AL5" i="6"/>
  <c r="AJ5" i="6"/>
  <c r="AA5" i="6"/>
  <c r="X5" i="6"/>
  <c r="V5" i="6"/>
  <c r="T5" i="6"/>
  <c r="R5" i="6"/>
  <c r="P5" i="6"/>
  <c r="N5" i="6"/>
  <c r="M5" i="6"/>
  <c r="M15" i="6" s="1"/>
  <c r="M25" i="6" s="1"/>
  <c r="AR4" i="6"/>
  <c r="AR15" i="6" s="1"/>
  <c r="AR14" i="6" s="1"/>
  <c r="AQ4" i="6"/>
  <c r="AQ15" i="6" s="1"/>
  <c r="AQ14" i="6" s="1"/>
  <c r="AP4" i="6"/>
  <c r="AS4" i="6" s="1"/>
  <c r="AS15" i="6" s="1"/>
  <c r="AS14" i="6" s="1"/>
  <c r="AO4" i="6"/>
  <c r="AL4" i="6"/>
  <c r="AJ4" i="6"/>
  <c r="AH4" i="6"/>
  <c r="AB4" i="6"/>
  <c r="X4" i="6"/>
  <c r="V4" i="6"/>
  <c r="T4" i="6"/>
  <c r="T14" i="6" s="1"/>
  <c r="R4" i="6"/>
  <c r="P4" i="6"/>
  <c r="AA4" i="6" s="1"/>
  <c r="N4" i="6"/>
  <c r="M4" i="6"/>
  <c r="M14" i="6" s="1"/>
  <c r="M24" i="6" s="1"/>
  <c r="AP3" i="6"/>
  <c r="AO3" i="6"/>
  <c r="AL3" i="6"/>
  <c r="AL9" i="6" s="1"/>
  <c r="AJ3" i="6"/>
  <c r="X3" i="6"/>
  <c r="X13" i="6" s="1"/>
  <c r="W3" i="6"/>
  <c r="V3" i="6"/>
  <c r="V13" i="6" s="1"/>
  <c r="T3" i="6"/>
  <c r="R3" i="6"/>
  <c r="R13" i="6" s="1"/>
  <c r="P3" i="6"/>
  <c r="P13" i="6" s="1"/>
  <c r="N3" i="6"/>
  <c r="N13" i="6" s="1"/>
  <c r="M3" i="6"/>
  <c r="M13" i="6" s="1"/>
  <c r="M23" i="6" s="1"/>
  <c r="AS2" i="6"/>
  <c r="AR2" i="6"/>
  <c r="AL2" i="6"/>
  <c r="AJ2" i="6"/>
  <c r="AA2" i="6"/>
  <c r="X2" i="6"/>
  <c r="X12" i="6" s="1"/>
  <c r="V2" i="6"/>
  <c r="AH6" i="6" s="1"/>
  <c r="T2" i="6"/>
  <c r="T12" i="6" s="1"/>
  <c r="R2" i="6"/>
  <c r="R12" i="6" s="1"/>
  <c r="P2" i="6"/>
  <c r="N2" i="6"/>
  <c r="M2" i="6"/>
  <c r="AP1" i="6"/>
  <c r="W1" i="6"/>
  <c r="W7" i="6" s="1"/>
  <c r="O1" i="6"/>
  <c r="O7" i="6" s="1"/>
  <c r="AN40" i="5"/>
  <c r="H35" i="5" s="1"/>
  <c r="N40" i="5"/>
  <c r="N39" i="5"/>
  <c r="V37" i="5"/>
  <c r="T37" i="5"/>
  <c r="R37" i="5"/>
  <c r="P37" i="5"/>
  <c r="V36" i="5"/>
  <c r="T36" i="5"/>
  <c r="R36" i="5"/>
  <c r="P36" i="5"/>
  <c r="AF35" i="5"/>
  <c r="V35" i="5"/>
  <c r="T35" i="5"/>
  <c r="T39" i="5" s="1" a="1"/>
  <c r="T39" i="5" s="1"/>
  <c r="R35" i="5"/>
  <c r="P35" i="5"/>
  <c r="AM34" i="5"/>
  <c r="AK34" i="5"/>
  <c r="AI34" i="5"/>
  <c r="AG34" i="5"/>
  <c r="V34" i="5"/>
  <c r="T34" i="5"/>
  <c r="R34" i="5"/>
  <c r="P34" i="5"/>
  <c r="I34" i="5"/>
  <c r="AN33" i="5"/>
  <c r="V33" i="5"/>
  <c r="V39" i="5" s="1" a="1"/>
  <c r="V39" i="5" s="1"/>
  <c r="T33" i="5"/>
  <c r="R33" i="5"/>
  <c r="R39" i="5" s="1" a="1"/>
  <c r="R39" i="5" s="1"/>
  <c r="P33" i="5"/>
  <c r="P40" i="5" s="1" a="1"/>
  <c r="P40" i="5" s="1"/>
  <c r="AJ32" i="5"/>
  <c r="AG32" i="5"/>
  <c r="V32" i="5"/>
  <c r="V40" i="5" s="1" a="1"/>
  <c r="V40" i="5" s="1"/>
  <c r="T32" i="5"/>
  <c r="R32" i="5"/>
  <c r="R40" i="5" s="1" a="1"/>
  <c r="R40" i="5" s="1"/>
  <c r="P32" i="5"/>
  <c r="E32" i="5"/>
  <c r="AK37" i="5" s="1"/>
  <c r="C32" i="5"/>
  <c r="AS31" i="5"/>
  <c r="AR31" i="5"/>
  <c r="AQ31" i="5"/>
  <c r="AJ31" i="5"/>
  <c r="AH31" i="5"/>
  <c r="AG31" i="5"/>
  <c r="J24" i="5" s="1"/>
  <c r="X31" i="5"/>
  <c r="V31" i="5"/>
  <c r="E31" i="5"/>
  <c r="I30" i="5"/>
  <c r="E30" i="5"/>
  <c r="AL35" i="5" s="1"/>
  <c r="AM29" i="5"/>
  <c r="AL29" i="5"/>
  <c r="AK29" i="5"/>
  <c r="F22" i="5" s="1"/>
  <c r="AH29" i="5"/>
  <c r="AG29" i="5"/>
  <c r="J22" i="5" s="1"/>
  <c r="W29" i="5"/>
  <c r="U29" i="5"/>
  <c r="S29" i="5"/>
  <c r="G29" i="5"/>
  <c r="AK28" i="5"/>
  <c r="Y28" i="5"/>
  <c r="W28" i="5"/>
  <c r="U28" i="5"/>
  <c r="AS27" i="5"/>
  <c r="AR27" i="5"/>
  <c r="AQ27" i="5"/>
  <c r="S27" i="5"/>
  <c r="AX26" i="5"/>
  <c r="Y26" i="5"/>
  <c r="W26" i="5"/>
  <c r="S26" i="5"/>
  <c r="I26" i="5"/>
  <c r="G26" i="5"/>
  <c r="G35" i="5" s="1"/>
  <c r="AM40" i="5" s="1"/>
  <c r="E26" i="5"/>
  <c r="E35" i="5" s="1"/>
  <c r="C26" i="5"/>
  <c r="B26" i="5"/>
  <c r="AJ33" i="5" s="1"/>
  <c r="AV25" i="5"/>
  <c r="W25" i="5"/>
  <c r="U25" i="5"/>
  <c r="S25" i="5"/>
  <c r="I25" i="5"/>
  <c r="G25" i="5"/>
  <c r="E25" i="5"/>
  <c r="E34" i="5" s="1"/>
  <c r="C25" i="5"/>
  <c r="B25" i="5"/>
  <c r="AL32" i="5" s="1"/>
  <c r="W24" i="5"/>
  <c r="U24" i="5"/>
  <c r="S24" i="5"/>
  <c r="I24" i="5"/>
  <c r="I33" i="5" s="1"/>
  <c r="G24" i="5"/>
  <c r="E24" i="5"/>
  <c r="E33" i="5" s="1"/>
  <c r="AK38" i="5" s="1"/>
  <c r="C24" i="5"/>
  <c r="AI31" i="5" s="1"/>
  <c r="D24" i="5" s="1"/>
  <c r="B24" i="5"/>
  <c r="AL31" i="5" s="1"/>
  <c r="S23" i="5"/>
  <c r="I23" i="5"/>
  <c r="I32" i="5" s="1"/>
  <c r="G23" i="5"/>
  <c r="E23" i="5"/>
  <c r="C23" i="5"/>
  <c r="B23" i="5"/>
  <c r="AU22" i="5"/>
  <c r="AU26" i="5" s="1"/>
  <c r="AT27" i="5" s="1"/>
  <c r="M22" i="5"/>
  <c r="I22" i="5"/>
  <c r="I31" i="5" s="1"/>
  <c r="G22" i="5"/>
  <c r="E22" i="5"/>
  <c r="C22" i="5"/>
  <c r="B22" i="5"/>
  <c r="AV21" i="5"/>
  <c r="Y21" i="5"/>
  <c r="Y27" i="5" s="1"/>
  <c r="W21" i="5"/>
  <c r="W27" i="5" s="1"/>
  <c r="U21" i="5"/>
  <c r="U26" i="5" s="1"/>
  <c r="S21" i="5"/>
  <c r="S28" i="5" s="1"/>
  <c r="Q21" i="5"/>
  <c r="Q29" i="5" s="1"/>
  <c r="O21" i="5"/>
  <c r="O29" i="5" s="1"/>
  <c r="I21" i="5"/>
  <c r="G21" i="5"/>
  <c r="G30" i="5" s="1"/>
  <c r="AM35" i="5" s="1"/>
  <c r="E21" i="5"/>
  <c r="C21" i="5"/>
  <c r="AJ28" i="5" s="1"/>
  <c r="B21" i="5"/>
  <c r="G20" i="5"/>
  <c r="B20" i="5"/>
  <c r="AF28" i="5" s="1"/>
  <c r="AT19" i="5"/>
  <c r="AK19" i="5"/>
  <c r="AL19" i="5" s="1"/>
  <c r="AG19" i="5"/>
  <c r="AH19" i="5" s="1"/>
  <c r="AF19" i="5"/>
  <c r="AJ19" i="5" s="1"/>
  <c r="V19" i="5"/>
  <c r="N19" i="5"/>
  <c r="AW18" i="5"/>
  <c r="AW22" i="5" s="1"/>
  <c r="AW26" i="5" s="1"/>
  <c r="AV18" i="5"/>
  <c r="AV22" i="5" s="1"/>
  <c r="AV26" i="5" s="1"/>
  <c r="AU18" i="5"/>
  <c r="AK18" i="5"/>
  <c r="AL18" i="5" s="1"/>
  <c r="AH18" i="5"/>
  <c r="AG18" i="5"/>
  <c r="AF18" i="5"/>
  <c r="AJ18" i="5" s="1"/>
  <c r="X18" i="5"/>
  <c r="R18" i="5"/>
  <c r="P18" i="5"/>
  <c r="M18" i="5"/>
  <c r="M28" i="5" s="1"/>
  <c r="AW17" i="5"/>
  <c r="AW21" i="5" s="1"/>
  <c r="AW25" i="5" s="1"/>
  <c r="AV17" i="5"/>
  <c r="AS17" i="5"/>
  <c r="AS21" i="5" s="1"/>
  <c r="AS25" i="5" s="1"/>
  <c r="AR17" i="5"/>
  <c r="AR21" i="5" s="1"/>
  <c r="AR25" i="5" s="1"/>
  <c r="AQ17" i="5"/>
  <c r="AQ21" i="5" s="1"/>
  <c r="AQ25" i="5" s="1"/>
  <c r="AK17" i="5"/>
  <c r="AL17" i="5" s="1"/>
  <c r="AG17" i="5"/>
  <c r="AH17" i="5" s="1"/>
  <c r="AF17" i="5"/>
  <c r="AJ17" i="5" s="1"/>
  <c r="V17" i="5"/>
  <c r="R17" i="5"/>
  <c r="N17" i="5"/>
  <c r="AK16" i="5"/>
  <c r="AL16" i="5" s="1"/>
  <c r="AL21" i="5" s="1"/>
  <c r="AH16" i="5"/>
  <c r="AG16" i="5"/>
  <c r="AF16" i="5"/>
  <c r="AJ16" i="5" s="1"/>
  <c r="X16" i="5"/>
  <c r="AT15" i="5"/>
  <c r="AL15" i="5"/>
  <c r="AK15" i="5"/>
  <c r="AJ15" i="5"/>
  <c r="AG15" i="5"/>
  <c r="AH15" i="5" s="1"/>
  <c r="AH21" i="5" s="1"/>
  <c r="AF15" i="5"/>
  <c r="X15" i="5"/>
  <c r="T15" i="5"/>
  <c r="P15" i="5"/>
  <c r="M15" i="5"/>
  <c r="M25" i="5" s="1"/>
  <c r="AK14" i="5"/>
  <c r="AL14" i="5" s="1"/>
  <c r="AL22" i="5" s="1"/>
  <c r="AG14" i="5"/>
  <c r="AH14" i="5" s="1"/>
  <c r="AH22" i="5" s="1"/>
  <c r="AF14" i="5"/>
  <c r="AJ14" i="5" s="1"/>
  <c r="X14" i="5"/>
  <c r="V14" i="5"/>
  <c r="P14" i="5"/>
  <c r="N14" i="5"/>
  <c r="AP13" i="5"/>
  <c r="AP17" i="5" s="1"/>
  <c r="AP21" i="5" s="1"/>
  <c r="AP25" i="5" s="1"/>
  <c r="X13" i="5"/>
  <c r="R13" i="5"/>
  <c r="P13" i="5"/>
  <c r="X9" i="5"/>
  <c r="V9" i="5"/>
  <c r="T9" i="5"/>
  <c r="T19" i="5" s="1"/>
  <c r="R9" i="5"/>
  <c r="R19" i="5" s="1"/>
  <c r="P9" i="5"/>
  <c r="N9" i="5"/>
  <c r="M9" i="5"/>
  <c r="M19" i="5" s="1"/>
  <c r="M29" i="5" s="1"/>
  <c r="AP8" i="5"/>
  <c r="AS8" i="5" s="1"/>
  <c r="AO8" i="5"/>
  <c r="X8" i="5"/>
  <c r="V8" i="5"/>
  <c r="T8" i="5"/>
  <c r="R8" i="5"/>
  <c r="P8" i="5"/>
  <c r="N8" i="5"/>
  <c r="M8" i="5"/>
  <c r="AS7" i="5"/>
  <c r="AR7" i="5"/>
  <c r="AQ7" i="5"/>
  <c r="AP7" i="5"/>
  <c r="AO7" i="5"/>
  <c r="AL7" i="5"/>
  <c r="AJ7" i="5"/>
  <c r="X7" i="5"/>
  <c r="X17" i="5" s="1"/>
  <c r="V7" i="5"/>
  <c r="T7" i="5"/>
  <c r="U7" i="5" s="1"/>
  <c r="R7" i="5"/>
  <c r="P7" i="5"/>
  <c r="P17" i="5" s="1"/>
  <c r="N7" i="5"/>
  <c r="M7" i="5"/>
  <c r="M17" i="5" s="1"/>
  <c r="M27" i="5" s="1"/>
  <c r="AP6" i="5"/>
  <c r="AX22" i="5" s="1"/>
  <c r="AO6" i="5"/>
  <c r="AL6" i="5"/>
  <c r="AL10" i="5" s="1"/>
  <c r="AJ6" i="5"/>
  <c r="X6" i="5"/>
  <c r="V6" i="5"/>
  <c r="T6" i="5"/>
  <c r="R6" i="5"/>
  <c r="P6" i="5"/>
  <c r="N6" i="5"/>
  <c r="M6" i="5"/>
  <c r="M16" i="5" s="1"/>
  <c r="M26" i="5" s="1"/>
  <c r="AP5" i="5"/>
  <c r="AX18" i="5" s="1"/>
  <c r="AO5" i="5"/>
  <c r="AL5" i="5"/>
  <c r="AJ5" i="5"/>
  <c r="X5" i="5"/>
  <c r="V5" i="5"/>
  <c r="T5" i="5"/>
  <c r="R5" i="5"/>
  <c r="R15" i="5" s="1"/>
  <c r="P5" i="5"/>
  <c r="N5" i="5"/>
  <c r="M5" i="5"/>
  <c r="AP4" i="5"/>
  <c r="AO4" i="5"/>
  <c r="AL4" i="5"/>
  <c r="AJ4" i="5"/>
  <c r="AA4" i="5"/>
  <c r="X4" i="5"/>
  <c r="V4" i="5"/>
  <c r="T4" i="5"/>
  <c r="T14" i="5" s="1"/>
  <c r="R4" i="5"/>
  <c r="P4" i="5"/>
  <c r="N4" i="5"/>
  <c r="M4" i="5"/>
  <c r="M14" i="5" s="1"/>
  <c r="M24" i="5" s="1"/>
  <c r="AS3" i="5"/>
  <c r="AR3" i="5"/>
  <c r="AP3" i="5"/>
  <c r="AO3" i="5"/>
  <c r="AL3" i="5"/>
  <c r="AJ3" i="5"/>
  <c r="AB3" i="5"/>
  <c r="X3" i="5"/>
  <c r="V3" i="5"/>
  <c r="V13" i="5" s="1"/>
  <c r="T3" i="5"/>
  <c r="AH5" i="5" s="1"/>
  <c r="R3" i="5"/>
  <c r="P3" i="5"/>
  <c r="AA3" i="5" s="1"/>
  <c r="N3" i="5"/>
  <c r="N13" i="5" s="1"/>
  <c r="M3" i="5"/>
  <c r="M13" i="5" s="1"/>
  <c r="M23" i="5" s="1"/>
  <c r="AR2" i="5"/>
  <c r="AS2" i="5" s="1"/>
  <c r="AL2" i="5"/>
  <c r="AJ2" i="5"/>
  <c r="X2" i="5"/>
  <c r="X12" i="5" s="1"/>
  <c r="V2" i="5"/>
  <c r="T2" i="5"/>
  <c r="T12" i="5" s="1"/>
  <c r="R2" i="5"/>
  <c r="S1" i="5" s="1"/>
  <c r="S7" i="5" s="1"/>
  <c r="P2" i="5"/>
  <c r="P12" i="5" s="1"/>
  <c r="N2" i="5"/>
  <c r="M2" i="5"/>
  <c r="M12" i="5" s="1"/>
  <c r="AP1" i="5"/>
  <c r="U1" i="5"/>
  <c r="AJ40" i="4"/>
  <c r="N40" i="4"/>
  <c r="N39" i="4"/>
  <c r="AH38" i="4"/>
  <c r="AH37" i="4"/>
  <c r="V37" i="4"/>
  <c r="T37" i="4"/>
  <c r="R37" i="4"/>
  <c r="P37" i="4"/>
  <c r="V36" i="4"/>
  <c r="T36" i="4"/>
  <c r="R36" i="4"/>
  <c r="P36" i="4"/>
  <c r="AL35" i="4"/>
  <c r="AK35" i="4"/>
  <c r="F30" i="4" s="1"/>
  <c r="AF35" i="4"/>
  <c r="V35" i="4"/>
  <c r="T35" i="4"/>
  <c r="R35" i="4"/>
  <c r="P35" i="4"/>
  <c r="E35" i="4"/>
  <c r="AR8" i="4" s="1"/>
  <c r="AM34" i="4"/>
  <c r="AK34" i="4"/>
  <c r="AI34" i="4"/>
  <c r="AG34" i="4"/>
  <c r="V34" i="4"/>
  <c r="V40" i="4" s="1" a="1"/>
  <c r="V40" i="4" s="1"/>
  <c r="T34" i="4"/>
  <c r="T39" i="4" s="1" a="1"/>
  <c r="T39" i="4" s="1"/>
  <c r="R34" i="4"/>
  <c r="P34" i="4"/>
  <c r="E34" i="4"/>
  <c r="AJ33" i="4"/>
  <c r="AI33" i="4"/>
  <c r="D26" i="4" s="1"/>
  <c r="V33" i="4"/>
  <c r="V39" i="4" s="1" a="1"/>
  <c r="V39" i="4" s="1"/>
  <c r="T33" i="4"/>
  <c r="R33" i="4"/>
  <c r="P33" i="4"/>
  <c r="P39" i="4" s="1" a="1"/>
  <c r="P39" i="4" s="1"/>
  <c r="C33" i="4"/>
  <c r="AJ38" i="4" s="1"/>
  <c r="AH32" i="4"/>
  <c r="AG32" i="4"/>
  <c r="J25" i="4" s="1"/>
  <c r="V32" i="4"/>
  <c r="T32" i="4"/>
  <c r="R32" i="4"/>
  <c r="P32" i="4"/>
  <c r="P40" i="4" s="1" a="1"/>
  <c r="P40" i="4" s="1"/>
  <c r="I32" i="4"/>
  <c r="AG37" i="4" s="1"/>
  <c r="G32" i="4"/>
  <c r="E32" i="4"/>
  <c r="AL37" i="4" s="1"/>
  <c r="AS31" i="4"/>
  <c r="AR31" i="4"/>
  <c r="AQ31" i="4"/>
  <c r="AN31" i="4"/>
  <c r="AH31" i="4"/>
  <c r="AG31" i="4"/>
  <c r="J24" i="4" s="1"/>
  <c r="X31" i="4"/>
  <c r="V31" i="4"/>
  <c r="E31" i="4"/>
  <c r="AL36" i="4" s="1"/>
  <c r="I30" i="4"/>
  <c r="AH35" i="4" s="1"/>
  <c r="G30" i="4"/>
  <c r="E30" i="4"/>
  <c r="AM29" i="4"/>
  <c r="AL29" i="4"/>
  <c r="AK29" i="4"/>
  <c r="F22" i="4" s="1"/>
  <c r="W29" i="4"/>
  <c r="U29" i="4"/>
  <c r="S29" i="4"/>
  <c r="Y28" i="4"/>
  <c r="W28" i="4"/>
  <c r="U28" i="4"/>
  <c r="AR27" i="4"/>
  <c r="AR26" i="4" s="1"/>
  <c r="AQ27" i="4"/>
  <c r="S27" i="4"/>
  <c r="AX26" i="4"/>
  <c r="Y26" i="4"/>
  <c r="W26" i="4"/>
  <c r="S26" i="4"/>
  <c r="I26" i="4"/>
  <c r="G26" i="4"/>
  <c r="G35" i="4" s="1"/>
  <c r="E26" i="4"/>
  <c r="AL33" i="4" s="1"/>
  <c r="C26" i="4"/>
  <c r="C35" i="4" s="1"/>
  <c r="B26" i="4"/>
  <c r="AN33" i="4" s="1"/>
  <c r="AW25" i="4"/>
  <c r="AV25" i="4"/>
  <c r="W25" i="4"/>
  <c r="U25" i="4"/>
  <c r="S25" i="4"/>
  <c r="I25" i="4"/>
  <c r="I34" i="4" s="1"/>
  <c r="G25" i="4"/>
  <c r="E25" i="4"/>
  <c r="C25" i="4"/>
  <c r="C34" i="4" s="1"/>
  <c r="B25" i="4"/>
  <c r="AL32" i="4" s="1"/>
  <c r="W24" i="4"/>
  <c r="U24" i="4"/>
  <c r="S24" i="4"/>
  <c r="I24" i="4"/>
  <c r="I33" i="4" s="1"/>
  <c r="AG38" i="4" s="1"/>
  <c r="J33" i="4" s="1"/>
  <c r="G24" i="4"/>
  <c r="E24" i="4"/>
  <c r="E33" i="4" s="1"/>
  <c r="C24" i="4"/>
  <c r="AJ31" i="4" s="1"/>
  <c r="B24" i="4"/>
  <c r="AL31" i="4" s="1"/>
  <c r="S23" i="4"/>
  <c r="I23" i="4"/>
  <c r="G23" i="4"/>
  <c r="AN30" i="4" s="1"/>
  <c r="E23" i="4"/>
  <c r="C23" i="4"/>
  <c r="B23" i="4"/>
  <c r="AU22" i="4"/>
  <c r="AU26" i="4" s="1"/>
  <c r="AT27" i="4" s="1"/>
  <c r="I22" i="4"/>
  <c r="I31" i="4" s="1"/>
  <c r="G22" i="4"/>
  <c r="G31" i="4" s="1"/>
  <c r="AN36" i="4" s="1"/>
  <c r="E22" i="4"/>
  <c r="C22" i="4"/>
  <c r="B22" i="4"/>
  <c r="AV21" i="4"/>
  <c r="Y21" i="4"/>
  <c r="Y27" i="4" s="1"/>
  <c r="W21" i="4"/>
  <c r="W27" i="4" s="1"/>
  <c r="U21" i="4"/>
  <c r="U26" i="4" s="1"/>
  <c r="S21" i="4"/>
  <c r="S28" i="4" s="1"/>
  <c r="Q21" i="4"/>
  <c r="Q29" i="4" s="1"/>
  <c r="O21" i="4"/>
  <c r="O22" i="4" s="1"/>
  <c r="I21" i="4"/>
  <c r="G21" i="4"/>
  <c r="AN28" i="4" s="1"/>
  <c r="E21" i="4"/>
  <c r="C21" i="4"/>
  <c r="B21" i="4"/>
  <c r="G20" i="4"/>
  <c r="G29" i="4" s="1"/>
  <c r="B20" i="4"/>
  <c r="AF28" i="4" s="1"/>
  <c r="AT19" i="4"/>
  <c r="AK19" i="4"/>
  <c r="AL19" i="4" s="1"/>
  <c r="AH19" i="4"/>
  <c r="AG19" i="4"/>
  <c r="AF19" i="4"/>
  <c r="AJ19" i="4" s="1"/>
  <c r="V19" i="4"/>
  <c r="N19" i="4"/>
  <c r="AW18" i="4"/>
  <c r="AW22" i="4" s="1"/>
  <c r="AW26" i="4" s="1"/>
  <c r="AV18" i="4"/>
  <c r="AV22" i="4" s="1"/>
  <c r="AV26" i="4" s="1"/>
  <c r="AU18" i="4"/>
  <c r="AQ18" i="4"/>
  <c r="AK18" i="4"/>
  <c r="AL18" i="4" s="1"/>
  <c r="AH18" i="4"/>
  <c r="AG18" i="4"/>
  <c r="AF18" i="4"/>
  <c r="AJ18" i="4" s="1"/>
  <c r="X18" i="4"/>
  <c r="R18" i="4"/>
  <c r="P18" i="4"/>
  <c r="AW17" i="4"/>
  <c r="AW21" i="4" s="1"/>
  <c r="AV17" i="4"/>
  <c r="AS17" i="4"/>
  <c r="AS21" i="4" s="1"/>
  <c r="AS25" i="4" s="1"/>
  <c r="AR17" i="4"/>
  <c r="AR21" i="4" s="1"/>
  <c r="AR25" i="4" s="1"/>
  <c r="AQ17" i="4"/>
  <c r="AQ21" i="4" s="1"/>
  <c r="AQ25" i="4" s="1"/>
  <c r="AL17" i="4"/>
  <c r="AK17" i="4"/>
  <c r="AG17" i="4"/>
  <c r="AH17" i="4" s="1"/>
  <c r="AF17" i="4"/>
  <c r="AJ17" i="4" s="1"/>
  <c r="R17" i="4"/>
  <c r="AK16" i="4"/>
  <c r="AL16" i="4" s="1"/>
  <c r="AL21" i="4" s="1"/>
  <c r="AH16" i="4"/>
  <c r="AG16" i="4"/>
  <c r="AF16" i="4"/>
  <c r="AJ16" i="4" s="1"/>
  <c r="AT15" i="4"/>
  <c r="AL15" i="4"/>
  <c r="AK15" i="4"/>
  <c r="AJ15" i="4"/>
  <c r="AG15" i="4"/>
  <c r="AH15" i="4" s="1"/>
  <c r="AH21" i="4" s="1"/>
  <c r="AF15" i="4"/>
  <c r="T15" i="4"/>
  <c r="M15" i="4"/>
  <c r="M25" i="4" s="1"/>
  <c r="AK14" i="4"/>
  <c r="AL14" i="4" s="1"/>
  <c r="AL22" i="4" s="1"/>
  <c r="AH14" i="4"/>
  <c r="AG14" i="4"/>
  <c r="AF14" i="4"/>
  <c r="AJ14" i="4" s="1"/>
  <c r="V14" i="4"/>
  <c r="N14" i="4"/>
  <c r="AP13" i="4"/>
  <c r="AP17" i="4" s="1"/>
  <c r="AP21" i="4" s="1"/>
  <c r="AP25" i="4" s="1"/>
  <c r="X13" i="4"/>
  <c r="R13" i="4"/>
  <c r="P13" i="4"/>
  <c r="X9" i="4"/>
  <c r="X19" i="4" s="1"/>
  <c r="V9" i="4"/>
  <c r="T9" i="4"/>
  <c r="T19" i="4" s="1"/>
  <c r="R9" i="4"/>
  <c r="R19" i="4" s="1"/>
  <c r="P9" i="4"/>
  <c r="N9" i="4"/>
  <c r="M9" i="4"/>
  <c r="M19" i="4" s="1"/>
  <c r="M29" i="4" s="1"/>
  <c r="AP8" i="4"/>
  <c r="AS8" i="4" s="1"/>
  <c r="AO8" i="4"/>
  <c r="X8" i="4"/>
  <c r="V8" i="4"/>
  <c r="T8" i="4"/>
  <c r="R8" i="4"/>
  <c r="P8" i="4"/>
  <c r="N8" i="4"/>
  <c r="M8" i="4"/>
  <c r="M18" i="4" s="1"/>
  <c r="M28" i="4" s="1"/>
  <c r="AS7" i="4"/>
  <c r="AS27" i="4" s="1"/>
  <c r="AS26" i="4" s="1"/>
  <c r="AR7" i="4"/>
  <c r="AQ7" i="4"/>
  <c r="AP7" i="4"/>
  <c r="AO7" i="4"/>
  <c r="AL7" i="4"/>
  <c r="AJ7" i="4"/>
  <c r="X7" i="4"/>
  <c r="V7" i="4"/>
  <c r="V17" i="4" s="1"/>
  <c r="T7" i="4"/>
  <c r="T17" i="4" s="1"/>
  <c r="R7" i="4"/>
  <c r="P7" i="4"/>
  <c r="N7" i="4"/>
  <c r="N17" i="4" s="1"/>
  <c r="M7" i="4"/>
  <c r="M17" i="4" s="1"/>
  <c r="M27" i="4" s="1"/>
  <c r="AP6" i="4"/>
  <c r="AX22" i="4" s="1"/>
  <c r="AO6" i="4"/>
  <c r="AL6" i="4"/>
  <c r="AL10" i="4" s="1"/>
  <c r="AJ6" i="4"/>
  <c r="X6" i="4"/>
  <c r="X16" i="4" s="1"/>
  <c r="V6" i="4"/>
  <c r="T6" i="4"/>
  <c r="R6" i="4"/>
  <c r="P6" i="4"/>
  <c r="P16" i="4" s="1"/>
  <c r="N6" i="4"/>
  <c r="M6" i="4"/>
  <c r="M16" i="4" s="1"/>
  <c r="M26" i="4" s="1"/>
  <c r="AQ5" i="4"/>
  <c r="AQ19" i="4" s="1"/>
  <c r="AP5" i="4"/>
  <c r="AO5" i="4"/>
  <c r="AL5" i="4"/>
  <c r="AJ5" i="4"/>
  <c r="AA5" i="4"/>
  <c r="X5" i="4"/>
  <c r="X15" i="4" s="1"/>
  <c r="V5" i="4"/>
  <c r="V15" i="4" s="1"/>
  <c r="T5" i="4"/>
  <c r="R5" i="4"/>
  <c r="R15" i="4" s="1"/>
  <c r="P5" i="4"/>
  <c r="P15" i="4" s="1"/>
  <c r="N5" i="4"/>
  <c r="N15" i="4" s="1"/>
  <c r="M5" i="4"/>
  <c r="AP4" i="4"/>
  <c r="AO4" i="4"/>
  <c r="AL4" i="4"/>
  <c r="AJ4" i="4"/>
  <c r="X4" i="4"/>
  <c r="Y4" i="4" s="1"/>
  <c r="V4" i="4"/>
  <c r="T4" i="4"/>
  <c r="U1" i="4" s="1"/>
  <c r="R4" i="4"/>
  <c r="R14" i="4" s="1"/>
  <c r="P4" i="4"/>
  <c r="N4" i="4"/>
  <c r="M4" i="4"/>
  <c r="M14" i="4" s="1"/>
  <c r="M24" i="4" s="1"/>
  <c r="AS3" i="4"/>
  <c r="AR3" i="4"/>
  <c r="AP3" i="4"/>
  <c r="AO3" i="4"/>
  <c r="AL3" i="4"/>
  <c r="AJ3" i="4"/>
  <c r="AB3" i="4"/>
  <c r="X3" i="4"/>
  <c r="V3" i="4"/>
  <c r="V13" i="4" s="1"/>
  <c r="T3" i="4"/>
  <c r="R3" i="4"/>
  <c r="P3" i="4"/>
  <c r="AA3" i="4" s="1"/>
  <c r="N3" i="4"/>
  <c r="N13" i="4" s="1"/>
  <c r="M3" i="4"/>
  <c r="M13" i="4" s="1"/>
  <c r="M23" i="4" s="1"/>
  <c r="AR2" i="4"/>
  <c r="AS2" i="4" s="1"/>
  <c r="AL2" i="4"/>
  <c r="AJ2" i="4"/>
  <c r="AA2" i="4"/>
  <c r="Y2" i="4"/>
  <c r="X2" i="4"/>
  <c r="X12" i="4" s="1"/>
  <c r="V2" i="4"/>
  <c r="T2" i="4"/>
  <c r="T12" i="4" s="1"/>
  <c r="R2" i="4"/>
  <c r="AB2" i="4" s="1"/>
  <c r="P2" i="4"/>
  <c r="P12" i="4" s="1"/>
  <c r="N2" i="4"/>
  <c r="N12" i="4" s="1"/>
  <c r="M2" i="4"/>
  <c r="M12" i="4" s="1"/>
  <c r="M22" i="4" s="1"/>
  <c r="AP1" i="4"/>
  <c r="Y1" i="4"/>
  <c r="Y3" i="4" s="1"/>
  <c r="AJ40" i="3"/>
  <c r="N40" i="3"/>
  <c r="AG39" i="3"/>
  <c r="J34" i="3" s="1"/>
  <c r="N39" i="3"/>
  <c r="V37" i="3"/>
  <c r="T37" i="3"/>
  <c r="R37" i="3"/>
  <c r="P37" i="3"/>
  <c r="V36" i="3"/>
  <c r="T36" i="3"/>
  <c r="R36" i="3"/>
  <c r="P36" i="3"/>
  <c r="AF35" i="3"/>
  <c r="V35" i="3"/>
  <c r="T35" i="3"/>
  <c r="R35" i="3"/>
  <c r="P35" i="3"/>
  <c r="D35" i="3"/>
  <c r="AM34" i="3"/>
  <c r="AK34" i="3"/>
  <c r="AI34" i="3"/>
  <c r="AG34" i="3"/>
  <c r="V34" i="3"/>
  <c r="T34" i="3"/>
  <c r="R34" i="3"/>
  <c r="P34" i="3"/>
  <c r="AJ33" i="3"/>
  <c r="V33" i="3"/>
  <c r="T33" i="3"/>
  <c r="R33" i="3"/>
  <c r="P33" i="3"/>
  <c r="P39" i="3" s="1" a="1"/>
  <c r="P39" i="3" s="1"/>
  <c r="V32" i="3"/>
  <c r="V40" i="3" s="1" a="1"/>
  <c r="V40" i="3" s="1"/>
  <c r="T32" i="3"/>
  <c r="T40" i="3" s="1" a="1"/>
  <c r="T40" i="3" s="1"/>
  <c r="R32" i="3"/>
  <c r="P32" i="3"/>
  <c r="I32" i="3"/>
  <c r="AG37" i="3" s="1"/>
  <c r="E32" i="3"/>
  <c r="AS31" i="3"/>
  <c r="AR31" i="3"/>
  <c r="AQ31" i="3"/>
  <c r="X31" i="3"/>
  <c r="V31" i="3"/>
  <c r="I31" i="3"/>
  <c r="AH36" i="3" s="1"/>
  <c r="E31" i="3"/>
  <c r="AL36" i="3" s="1"/>
  <c r="AH30" i="3"/>
  <c r="AG30" i="3"/>
  <c r="J23" i="3" s="1"/>
  <c r="C30" i="3"/>
  <c r="AL29" i="3"/>
  <c r="AH29" i="3"/>
  <c r="AG29" i="3"/>
  <c r="J22" i="3" s="1"/>
  <c r="G29" i="3"/>
  <c r="AH28" i="3"/>
  <c r="AG28" i="3"/>
  <c r="J21" i="3" s="1"/>
  <c r="O28" i="3"/>
  <c r="M28" i="3"/>
  <c r="S27" i="3"/>
  <c r="Q27" i="3"/>
  <c r="Y26" i="3"/>
  <c r="Q26" i="3"/>
  <c r="O26" i="3"/>
  <c r="I26" i="3"/>
  <c r="G26" i="3"/>
  <c r="AM33" i="3" s="1"/>
  <c r="E26" i="3"/>
  <c r="AL33" i="3" s="1"/>
  <c r="C26" i="3"/>
  <c r="C35" i="3" s="1"/>
  <c r="AI40" i="3" s="1"/>
  <c r="B26" i="3"/>
  <c r="AP25" i="3"/>
  <c r="Y25" i="3"/>
  <c r="I25" i="3"/>
  <c r="I34" i="3" s="1"/>
  <c r="AH39" i="3" s="1"/>
  <c r="G25" i="3"/>
  <c r="G34" i="3" s="1"/>
  <c r="E25" i="3"/>
  <c r="AL32" i="3" s="1"/>
  <c r="C25" i="3"/>
  <c r="B25" i="3"/>
  <c r="AN32" i="3" s="1"/>
  <c r="Y24" i="3"/>
  <c r="I24" i="3"/>
  <c r="I33" i="3" s="1"/>
  <c r="G24" i="3"/>
  <c r="G33" i="3" s="1"/>
  <c r="E24" i="3"/>
  <c r="E33" i="3" s="1"/>
  <c r="C24" i="3"/>
  <c r="B24" i="3"/>
  <c r="AL31" i="3" s="1"/>
  <c r="S23" i="3"/>
  <c r="Q23" i="3"/>
  <c r="I23" i="3"/>
  <c r="G23" i="3"/>
  <c r="AN30" i="3" s="1"/>
  <c r="E23" i="3"/>
  <c r="AL30" i="3" s="1"/>
  <c r="C23" i="3"/>
  <c r="C32" i="3" s="1"/>
  <c r="B23" i="3"/>
  <c r="AU22" i="3"/>
  <c r="U22" i="3"/>
  <c r="I22" i="3"/>
  <c r="G22" i="3"/>
  <c r="E22" i="3"/>
  <c r="AK29" i="3" s="1"/>
  <c r="F22" i="3" s="1"/>
  <c r="C22" i="3"/>
  <c r="C31" i="3" s="1"/>
  <c r="B22" i="3"/>
  <c r="AV21" i="3"/>
  <c r="AV25" i="3" s="1"/>
  <c r="AS21" i="3"/>
  <c r="AS25" i="3" s="1"/>
  <c r="Y21" i="3"/>
  <c r="Y29" i="3" s="1"/>
  <c r="W21" i="3"/>
  <c r="W29" i="3" s="1"/>
  <c r="U21" i="3"/>
  <c r="S21" i="3"/>
  <c r="S22" i="3" s="1"/>
  <c r="Q21" i="3"/>
  <c r="Q22" i="3" s="1"/>
  <c r="O21" i="3"/>
  <c r="O27" i="3" s="1"/>
  <c r="I21" i="3"/>
  <c r="I30" i="3" s="1"/>
  <c r="G21" i="3"/>
  <c r="AN28" i="3" s="1"/>
  <c r="E21" i="3"/>
  <c r="AL28" i="3" s="1"/>
  <c r="C21" i="3"/>
  <c r="AJ28" i="3" s="1"/>
  <c r="B21" i="3"/>
  <c r="G20" i="3"/>
  <c r="B20" i="3"/>
  <c r="AF28" i="3" s="1"/>
  <c r="AT19" i="3"/>
  <c r="AS19" i="3"/>
  <c r="AS18" i="3" s="1"/>
  <c r="AL19" i="3"/>
  <c r="AK19" i="3"/>
  <c r="AG19" i="3"/>
  <c r="AH19" i="3" s="1"/>
  <c r="AF19" i="3"/>
  <c r="AJ19" i="3" s="1"/>
  <c r="R19" i="3"/>
  <c r="AW18" i="3"/>
  <c r="AW22" i="3" s="1"/>
  <c r="AW26" i="3" s="1"/>
  <c r="AV18" i="3"/>
  <c r="AV22" i="3" s="1"/>
  <c r="AV26" i="3" s="1"/>
  <c r="AU18" i="3"/>
  <c r="AK18" i="3"/>
  <c r="AL18" i="3" s="1"/>
  <c r="AJ18" i="3"/>
  <c r="AH18" i="3"/>
  <c r="AG18" i="3"/>
  <c r="AF18" i="3"/>
  <c r="T18" i="3"/>
  <c r="M18" i="3"/>
  <c r="AW17" i="3"/>
  <c r="AW21" i="3" s="1"/>
  <c r="AW25" i="3" s="1"/>
  <c r="AV17" i="3"/>
  <c r="AS17" i="3"/>
  <c r="AR17" i="3"/>
  <c r="AR21" i="3" s="1"/>
  <c r="AR25" i="3" s="1"/>
  <c r="AQ17" i="3"/>
  <c r="AQ21" i="3" s="1"/>
  <c r="AQ25" i="3" s="1"/>
  <c r="AK17" i="3"/>
  <c r="AL17" i="3" s="1"/>
  <c r="AJ17" i="3"/>
  <c r="AH17" i="3"/>
  <c r="AG17" i="3"/>
  <c r="AF17" i="3"/>
  <c r="V17" i="3"/>
  <c r="R17" i="3"/>
  <c r="N17" i="3"/>
  <c r="M17" i="3"/>
  <c r="M27" i="3" s="1"/>
  <c r="AK16" i="3"/>
  <c r="AL16" i="3" s="1"/>
  <c r="AJ16" i="3"/>
  <c r="AH16" i="3"/>
  <c r="AG16" i="3"/>
  <c r="AF16" i="3"/>
  <c r="T16" i="3"/>
  <c r="AT15" i="3"/>
  <c r="AQ15" i="3"/>
  <c r="AQ14" i="3" s="1"/>
  <c r="AL15" i="3"/>
  <c r="AK15" i="3"/>
  <c r="AH15" i="3"/>
  <c r="AG15" i="3"/>
  <c r="AF15" i="3"/>
  <c r="AJ15" i="3" s="1"/>
  <c r="X15" i="3"/>
  <c r="T15" i="3"/>
  <c r="P15" i="3"/>
  <c r="AX14" i="3"/>
  <c r="AL14" i="3"/>
  <c r="AK14" i="3"/>
  <c r="AG14" i="3"/>
  <c r="AH14" i="3" s="1"/>
  <c r="AF14" i="3"/>
  <c r="AJ14" i="3" s="1"/>
  <c r="R14" i="3"/>
  <c r="AP13" i="3"/>
  <c r="AP17" i="3" s="1"/>
  <c r="AP21" i="3" s="1"/>
  <c r="T13" i="3"/>
  <c r="M13" i="3"/>
  <c r="M23" i="3" s="1"/>
  <c r="M12" i="3"/>
  <c r="M22" i="3" s="1"/>
  <c r="X9" i="3"/>
  <c r="X19" i="3" s="1"/>
  <c r="V9" i="3"/>
  <c r="V19" i="3" s="1"/>
  <c r="T9" i="3"/>
  <c r="R9" i="3"/>
  <c r="P9" i="3"/>
  <c r="P19" i="3" s="1"/>
  <c r="N9" i="3"/>
  <c r="N19" i="3" s="1"/>
  <c r="M9" i="3"/>
  <c r="M19" i="3" s="1"/>
  <c r="M29" i="3" s="1"/>
  <c r="K9" i="3"/>
  <c r="AQ8" i="3"/>
  <c r="AP8" i="3"/>
  <c r="AO8" i="3"/>
  <c r="AB8" i="3"/>
  <c r="X8" i="3"/>
  <c r="V8" i="3"/>
  <c r="V18" i="3" s="1"/>
  <c r="T8" i="3"/>
  <c r="R8" i="3"/>
  <c r="R18" i="3" s="1"/>
  <c r="P8" i="3"/>
  <c r="AA8" i="3" s="1"/>
  <c r="N8" i="3"/>
  <c r="N18" i="3" s="1"/>
  <c r="M8" i="3"/>
  <c r="AS7" i="3"/>
  <c r="AS27" i="3" s="1"/>
  <c r="AR7" i="3"/>
  <c r="AR27" i="3" s="1"/>
  <c r="AQ7" i="3"/>
  <c r="AQ27" i="3" s="1"/>
  <c r="AP7" i="3"/>
  <c r="AX26" i="3" s="1"/>
  <c r="AO7" i="3"/>
  <c r="AL7" i="3"/>
  <c r="AJ7" i="3"/>
  <c r="X7" i="3"/>
  <c r="X17" i="3" s="1"/>
  <c r="V7" i="3"/>
  <c r="T7" i="3"/>
  <c r="R7" i="3"/>
  <c r="P7" i="3"/>
  <c r="AA7" i="3" s="1"/>
  <c r="N7" i="3"/>
  <c r="M7" i="3"/>
  <c r="AS6" i="3"/>
  <c r="AS23" i="3" s="1"/>
  <c r="AP6" i="3"/>
  <c r="AR6" i="3" s="1"/>
  <c r="AR23" i="3" s="1"/>
  <c r="AO6" i="3"/>
  <c r="AL6" i="3"/>
  <c r="AJ6" i="3"/>
  <c r="X6" i="3"/>
  <c r="X16" i="3" s="1"/>
  <c r="V6" i="3"/>
  <c r="V16" i="3" s="1"/>
  <c r="T6" i="3"/>
  <c r="R6" i="3"/>
  <c r="R16" i="3" s="1"/>
  <c r="P6" i="3"/>
  <c r="P16" i="3" s="1"/>
  <c r="N6" i="3"/>
  <c r="AB6" i="3" s="1"/>
  <c r="M6" i="3"/>
  <c r="M16" i="3" s="1"/>
  <c r="M26" i="3" s="1"/>
  <c r="AS5" i="3"/>
  <c r="AQ5" i="3"/>
  <c r="AQ19" i="3" s="1"/>
  <c r="AQ18" i="3" s="1"/>
  <c r="AP5" i="3"/>
  <c r="AR5" i="3" s="1"/>
  <c r="AR19" i="3" s="1"/>
  <c r="AR18" i="3" s="1"/>
  <c r="AO5" i="3"/>
  <c r="AL5" i="3"/>
  <c r="AJ5" i="3"/>
  <c r="AH5" i="3"/>
  <c r="X5" i="3"/>
  <c r="V5" i="3"/>
  <c r="T5" i="3"/>
  <c r="R5" i="3"/>
  <c r="R15" i="3" s="1"/>
  <c r="P5" i="3"/>
  <c r="N5" i="3"/>
  <c r="O1" i="3" s="1"/>
  <c r="M5" i="3"/>
  <c r="M15" i="3" s="1"/>
  <c r="M25" i="3" s="1"/>
  <c r="AR4" i="3"/>
  <c r="AR15" i="3" s="1"/>
  <c r="AR14" i="3" s="1"/>
  <c r="AQ4" i="3"/>
  <c r="AP4" i="3"/>
  <c r="AS4" i="3" s="1"/>
  <c r="AS15" i="3" s="1"/>
  <c r="AS14" i="3" s="1"/>
  <c r="AO4" i="3"/>
  <c r="AL4" i="3"/>
  <c r="AJ4" i="3"/>
  <c r="X4" i="3"/>
  <c r="X14" i="3" s="1"/>
  <c r="V4" i="3"/>
  <c r="V14" i="3" s="1"/>
  <c r="T4" i="3"/>
  <c r="R4" i="3"/>
  <c r="P4" i="3"/>
  <c r="P14" i="3" s="1"/>
  <c r="N4" i="3"/>
  <c r="N14" i="3" s="1"/>
  <c r="M4" i="3"/>
  <c r="M14" i="3" s="1"/>
  <c r="M24" i="3" s="1"/>
  <c r="AP3" i="3"/>
  <c r="AO3" i="3"/>
  <c r="AL3" i="3"/>
  <c r="AL9" i="3" s="1"/>
  <c r="AJ3" i="3"/>
  <c r="X3" i="3"/>
  <c r="V3" i="3"/>
  <c r="V13" i="3" s="1"/>
  <c r="T3" i="3"/>
  <c r="R3" i="3"/>
  <c r="R13" i="3" s="1"/>
  <c r="P3" i="3"/>
  <c r="N3" i="3"/>
  <c r="AB3" i="3" s="1"/>
  <c r="M3" i="3"/>
  <c r="AS2" i="3"/>
  <c r="AR2" i="3"/>
  <c r="AL2" i="3"/>
  <c r="AJ2" i="3"/>
  <c r="AH2" i="3"/>
  <c r="X2" i="3"/>
  <c r="X12" i="3" s="1"/>
  <c r="V2" i="3"/>
  <c r="T2" i="3"/>
  <c r="T12" i="3" s="1"/>
  <c r="R2" i="3"/>
  <c r="AH4" i="3" s="1"/>
  <c r="P2" i="3"/>
  <c r="AH3" i="3" s="1"/>
  <c r="N2" i="3"/>
  <c r="M2" i="3"/>
  <c r="AP1" i="3"/>
  <c r="AK234" i="2"/>
  <c r="AI234" i="2"/>
  <c r="AG234" i="2"/>
  <c r="U234" i="2" s="1"/>
  <c r="AE234" i="2"/>
  <c r="S234" i="2" s="1"/>
  <c r="AC234" i="2"/>
  <c r="AA234" i="2"/>
  <c r="O234" i="2" s="1"/>
  <c r="Y234" i="2"/>
  <c r="W234" i="2"/>
  <c r="Q234" i="2"/>
  <c r="AK233" i="2"/>
  <c r="AI233" i="2"/>
  <c r="W233" i="2" s="1"/>
  <c r="AG233" i="2"/>
  <c r="U233" i="2" s="1"/>
  <c r="AE233" i="2"/>
  <c r="S233" i="2" s="1"/>
  <c r="AC233" i="2"/>
  <c r="AA233" i="2"/>
  <c r="Y233" i="2"/>
  <c r="Q233" i="2"/>
  <c r="O233" i="2"/>
  <c r="AK232" i="2"/>
  <c r="AI232" i="2"/>
  <c r="AG232" i="2"/>
  <c r="U232" i="2" s="1"/>
  <c r="AE232" i="2"/>
  <c r="S232" i="2" s="1"/>
  <c r="AC232" i="2"/>
  <c r="AA232" i="2"/>
  <c r="O232" i="2" s="1"/>
  <c r="Y232" i="2"/>
  <c r="W232" i="2"/>
  <c r="Q232" i="2"/>
  <c r="AK231" i="2"/>
  <c r="AI231" i="2"/>
  <c r="W231" i="2" s="1"/>
  <c r="AG231" i="2"/>
  <c r="U231" i="2" s="1"/>
  <c r="AE231" i="2"/>
  <c r="S231" i="2" s="1"/>
  <c r="AC231" i="2"/>
  <c r="AA231" i="2"/>
  <c r="Y231" i="2"/>
  <c r="Q231" i="2"/>
  <c r="O231" i="2"/>
  <c r="AK230" i="2"/>
  <c r="AI230" i="2"/>
  <c r="AG230" i="2"/>
  <c r="U230" i="2" s="1"/>
  <c r="AE230" i="2"/>
  <c r="S230" i="2" s="1"/>
  <c r="AC230" i="2"/>
  <c r="AA230" i="2"/>
  <c r="O230" i="2" s="1"/>
  <c r="Y230" i="2"/>
  <c r="W230" i="2"/>
  <c r="Q230" i="2"/>
  <c r="AK229" i="2"/>
  <c r="AI229" i="2"/>
  <c r="W229" i="2" s="1"/>
  <c r="AG229" i="2"/>
  <c r="U229" i="2" s="1"/>
  <c r="AE229" i="2"/>
  <c r="S229" i="2" s="1"/>
  <c r="AC229" i="2"/>
  <c r="AA229" i="2"/>
  <c r="Y229" i="2"/>
  <c r="Q229" i="2"/>
  <c r="O229" i="2"/>
  <c r="AK228" i="2"/>
  <c r="AI228" i="2"/>
  <c r="AG228" i="2"/>
  <c r="U228" i="2" s="1"/>
  <c r="AE228" i="2"/>
  <c r="S228" i="2" s="1"/>
  <c r="AC228" i="2"/>
  <c r="AA228" i="2"/>
  <c r="O228" i="2" s="1"/>
  <c r="Y228" i="2"/>
  <c r="W228" i="2"/>
  <c r="Q228" i="2"/>
  <c r="AK227" i="2"/>
  <c r="AI227" i="2"/>
  <c r="W227" i="2" s="1"/>
  <c r="AG227" i="2"/>
  <c r="U227" i="2" s="1"/>
  <c r="AE227" i="2"/>
  <c r="S227" i="2" s="1"/>
  <c r="AC227" i="2"/>
  <c r="AA227" i="2"/>
  <c r="Y227" i="2"/>
  <c r="Q227" i="2"/>
  <c r="O227" i="2"/>
  <c r="AK224" i="2"/>
  <c r="AI224" i="2"/>
  <c r="AG224" i="2"/>
  <c r="U224" i="2" s="1"/>
  <c r="AE224" i="2"/>
  <c r="S224" i="2" s="1"/>
  <c r="AC224" i="2"/>
  <c r="AA224" i="2"/>
  <c r="O224" i="2" s="1"/>
  <c r="Y224" i="2"/>
  <c r="W224" i="2"/>
  <c r="Q224" i="2"/>
  <c r="AK223" i="2"/>
  <c r="AI223" i="2"/>
  <c r="W223" i="2" s="1"/>
  <c r="AG223" i="2"/>
  <c r="U223" i="2" s="1"/>
  <c r="AE223" i="2"/>
  <c r="S223" i="2" s="1"/>
  <c r="AC223" i="2"/>
  <c r="AA223" i="2"/>
  <c r="Y223" i="2"/>
  <c r="Q223" i="2"/>
  <c r="O223" i="2"/>
  <c r="AK222" i="2"/>
  <c r="AI222" i="2"/>
  <c r="AG222" i="2"/>
  <c r="U222" i="2" s="1"/>
  <c r="AE222" i="2"/>
  <c r="S222" i="2" s="1"/>
  <c r="AC222" i="2"/>
  <c r="AA222" i="2"/>
  <c r="O222" i="2" s="1"/>
  <c r="Y222" i="2"/>
  <c r="W222" i="2"/>
  <c r="Q222" i="2"/>
  <c r="AK221" i="2"/>
  <c r="AI221" i="2"/>
  <c r="W221" i="2" s="1"/>
  <c r="AG221" i="2"/>
  <c r="U221" i="2" s="1"/>
  <c r="AE221" i="2"/>
  <c r="S221" i="2" s="1"/>
  <c r="AC221" i="2"/>
  <c r="AA221" i="2"/>
  <c r="Y221" i="2"/>
  <c r="Q221" i="2"/>
  <c r="O221" i="2"/>
  <c r="AK220" i="2"/>
  <c r="AI220" i="2"/>
  <c r="AG220" i="2"/>
  <c r="U220" i="2" s="1"/>
  <c r="AE220" i="2"/>
  <c r="S220" i="2" s="1"/>
  <c r="AC220" i="2"/>
  <c r="AA220" i="2"/>
  <c r="O220" i="2" s="1"/>
  <c r="Y220" i="2"/>
  <c r="W220" i="2"/>
  <c r="Q220" i="2"/>
  <c r="AK219" i="2"/>
  <c r="AI219" i="2"/>
  <c r="W219" i="2" s="1"/>
  <c r="AG219" i="2"/>
  <c r="U219" i="2" s="1"/>
  <c r="AE219" i="2"/>
  <c r="S219" i="2" s="1"/>
  <c r="AC219" i="2"/>
  <c r="AA219" i="2"/>
  <c r="Y219" i="2"/>
  <c r="Q219" i="2"/>
  <c r="O219" i="2"/>
  <c r="AK218" i="2"/>
  <c r="AI218" i="2"/>
  <c r="AG218" i="2"/>
  <c r="U218" i="2" s="1"/>
  <c r="AE218" i="2"/>
  <c r="S218" i="2" s="1"/>
  <c r="AC218" i="2"/>
  <c r="AA218" i="2"/>
  <c r="O218" i="2" s="1"/>
  <c r="Y218" i="2"/>
  <c r="W218" i="2"/>
  <c r="Q218" i="2"/>
  <c r="AK217" i="2"/>
  <c r="AI217" i="2"/>
  <c r="W217" i="2" s="1"/>
  <c r="AG217" i="2"/>
  <c r="U217" i="2" s="1"/>
  <c r="AE217" i="2"/>
  <c r="S217" i="2" s="1"/>
  <c r="AC217" i="2"/>
  <c r="AA217" i="2"/>
  <c r="Y217" i="2"/>
  <c r="Q217" i="2"/>
  <c r="O217" i="2"/>
  <c r="AK214" i="2"/>
  <c r="AI214" i="2"/>
  <c r="AG214" i="2"/>
  <c r="U214" i="2" s="1"/>
  <c r="AE214" i="2"/>
  <c r="S214" i="2" s="1"/>
  <c r="AC214" i="2"/>
  <c r="AA214" i="2"/>
  <c r="O214" i="2" s="1"/>
  <c r="Y214" i="2"/>
  <c r="W214" i="2"/>
  <c r="Q214" i="2"/>
  <c r="AK213" i="2"/>
  <c r="AI213" i="2"/>
  <c r="W213" i="2" s="1"/>
  <c r="AG213" i="2"/>
  <c r="U213" i="2" s="1"/>
  <c r="AE213" i="2"/>
  <c r="S213" i="2" s="1"/>
  <c r="AC213" i="2"/>
  <c r="AA213" i="2"/>
  <c r="Y213" i="2"/>
  <c r="Q213" i="2"/>
  <c r="O213" i="2"/>
  <c r="AK212" i="2"/>
  <c r="AI212" i="2"/>
  <c r="AG212" i="2"/>
  <c r="U212" i="2" s="1"/>
  <c r="AE212" i="2"/>
  <c r="S212" i="2" s="1"/>
  <c r="AC212" i="2"/>
  <c r="AA212" i="2"/>
  <c r="O212" i="2" s="1"/>
  <c r="Y212" i="2"/>
  <c r="W212" i="2"/>
  <c r="Q212" i="2"/>
  <c r="AK211" i="2"/>
  <c r="AI211" i="2"/>
  <c r="W211" i="2" s="1"/>
  <c r="AG211" i="2"/>
  <c r="U211" i="2" s="1"/>
  <c r="AE211" i="2"/>
  <c r="S211" i="2" s="1"/>
  <c r="AC211" i="2"/>
  <c r="AA211" i="2"/>
  <c r="Y211" i="2"/>
  <c r="Q211" i="2"/>
  <c r="O211" i="2"/>
  <c r="AK210" i="2"/>
  <c r="AI210" i="2"/>
  <c r="AG210" i="2"/>
  <c r="U210" i="2" s="1"/>
  <c r="AE210" i="2"/>
  <c r="S210" i="2" s="1"/>
  <c r="AC210" i="2"/>
  <c r="AA210" i="2"/>
  <c r="O210" i="2" s="1"/>
  <c r="Y210" i="2"/>
  <c r="W210" i="2"/>
  <c r="Q210" i="2"/>
  <c r="AK209" i="2"/>
  <c r="AI209" i="2"/>
  <c r="W209" i="2" s="1"/>
  <c r="AG209" i="2"/>
  <c r="U209" i="2" s="1"/>
  <c r="AE209" i="2"/>
  <c r="S209" i="2" s="1"/>
  <c r="AC209" i="2"/>
  <c r="AA209" i="2"/>
  <c r="Y209" i="2"/>
  <c r="Q209" i="2"/>
  <c r="O209" i="2"/>
  <c r="AK208" i="2"/>
  <c r="AI208" i="2"/>
  <c r="AG208" i="2"/>
  <c r="U208" i="2" s="1"/>
  <c r="AE208" i="2"/>
  <c r="S208" i="2" s="1"/>
  <c r="AC208" i="2"/>
  <c r="AA208" i="2"/>
  <c r="O208" i="2" s="1"/>
  <c r="Y208" i="2"/>
  <c r="W208" i="2"/>
  <c r="Q208" i="2"/>
  <c r="AK207" i="2"/>
  <c r="AI207" i="2"/>
  <c r="W207" i="2" s="1"/>
  <c r="AG207" i="2"/>
  <c r="U207" i="2" s="1"/>
  <c r="AE207" i="2"/>
  <c r="S207" i="2" s="1"/>
  <c r="AC207" i="2"/>
  <c r="AA207" i="2"/>
  <c r="Y207" i="2"/>
  <c r="Q207" i="2"/>
  <c r="O207" i="2"/>
  <c r="AM206" i="2"/>
  <c r="AK204" i="2"/>
  <c r="AI204" i="2"/>
  <c r="W204" i="2" s="1"/>
  <c r="AG204" i="2"/>
  <c r="U204" i="2" s="1"/>
  <c r="AE204" i="2"/>
  <c r="AC204" i="2"/>
  <c r="Q204" i="2" s="1"/>
  <c r="AA204" i="2"/>
  <c r="O204" i="2" s="1"/>
  <c r="Y204" i="2"/>
  <c r="S204" i="2"/>
  <c r="AK203" i="2"/>
  <c r="Y203" i="2" s="1"/>
  <c r="AI203" i="2"/>
  <c r="W203" i="2" s="1"/>
  <c r="AG203" i="2"/>
  <c r="U203" i="2" s="1"/>
  <c r="AE203" i="2"/>
  <c r="AC203" i="2"/>
  <c r="AA203" i="2"/>
  <c r="O203" i="2" s="1"/>
  <c r="S203" i="2"/>
  <c r="Q203" i="2"/>
  <c r="AK202" i="2"/>
  <c r="AI202" i="2"/>
  <c r="W202" i="2" s="1"/>
  <c r="AG202" i="2"/>
  <c r="U202" i="2" s="1"/>
  <c r="AE202" i="2"/>
  <c r="AC202" i="2"/>
  <c r="AA202" i="2"/>
  <c r="O202" i="2" s="1"/>
  <c r="Y202" i="2"/>
  <c r="S202" i="2"/>
  <c r="AK201" i="2"/>
  <c r="AI201" i="2"/>
  <c r="W201" i="2" s="1"/>
  <c r="AG201" i="2"/>
  <c r="U201" i="2" s="1"/>
  <c r="AE201" i="2"/>
  <c r="AC201" i="2"/>
  <c r="AA201" i="2"/>
  <c r="O201" i="2" s="1"/>
  <c r="S201" i="2"/>
  <c r="Q201" i="2"/>
  <c r="AK200" i="2"/>
  <c r="AI200" i="2"/>
  <c r="W200" i="2" s="1"/>
  <c r="AG200" i="2"/>
  <c r="U200" i="2" s="1"/>
  <c r="AE200" i="2"/>
  <c r="AC200" i="2"/>
  <c r="AA200" i="2"/>
  <c r="O200" i="2" s="1"/>
  <c r="Y200" i="2"/>
  <c r="S200" i="2"/>
  <c r="Q200" i="2"/>
  <c r="AK199" i="2"/>
  <c r="AI199" i="2"/>
  <c r="W199" i="2" s="1"/>
  <c r="AG199" i="2"/>
  <c r="U199" i="2" s="1"/>
  <c r="AE199" i="2"/>
  <c r="AC199" i="2"/>
  <c r="AA199" i="2"/>
  <c r="O199" i="2" s="1"/>
  <c r="Y199" i="2"/>
  <c r="S199" i="2"/>
  <c r="Q199" i="2"/>
  <c r="AK198" i="2"/>
  <c r="AI198" i="2"/>
  <c r="W198" i="2" s="1"/>
  <c r="AG198" i="2"/>
  <c r="U198" i="2" s="1"/>
  <c r="AE198" i="2"/>
  <c r="AC198" i="2"/>
  <c r="AA198" i="2"/>
  <c r="O198" i="2" s="1"/>
  <c r="Y198" i="2"/>
  <c r="S198" i="2"/>
  <c r="Q198" i="2"/>
  <c r="AK197" i="2"/>
  <c r="AI197" i="2"/>
  <c r="W197" i="2" s="1"/>
  <c r="AG197" i="2"/>
  <c r="U197" i="2" s="1"/>
  <c r="AE197" i="2"/>
  <c r="AC197" i="2"/>
  <c r="AA197" i="2"/>
  <c r="O197" i="2" s="1"/>
  <c r="Y197" i="2"/>
  <c r="S197" i="2"/>
  <c r="Q197" i="2"/>
  <c r="AM196" i="2"/>
  <c r="Q202" i="2" s="1"/>
  <c r="AK194" i="2"/>
  <c r="Y194" i="2" s="1"/>
  <c r="AI194" i="2"/>
  <c r="W194" i="2" s="1"/>
  <c r="AG194" i="2"/>
  <c r="AE194" i="2"/>
  <c r="AC194" i="2"/>
  <c r="Q194" i="2" s="1"/>
  <c r="AA194" i="2"/>
  <c r="O194" i="2" s="1"/>
  <c r="U194" i="2"/>
  <c r="S194" i="2"/>
  <c r="AK193" i="2"/>
  <c r="Y193" i="2" s="1"/>
  <c r="AI193" i="2"/>
  <c r="W193" i="2" s="1"/>
  <c r="AG193" i="2"/>
  <c r="AE193" i="2"/>
  <c r="AC193" i="2"/>
  <c r="Q193" i="2" s="1"/>
  <c r="AA193" i="2"/>
  <c r="O193" i="2" s="1"/>
  <c r="U193" i="2"/>
  <c r="S193" i="2"/>
  <c r="AK192" i="2"/>
  <c r="Y192" i="2" s="1"/>
  <c r="AI192" i="2"/>
  <c r="W192" i="2" s="1"/>
  <c r="AG192" i="2"/>
  <c r="AE192" i="2"/>
  <c r="AC192" i="2"/>
  <c r="Q192" i="2" s="1"/>
  <c r="AA192" i="2"/>
  <c r="O192" i="2" s="1"/>
  <c r="U192" i="2"/>
  <c r="S192" i="2"/>
  <c r="AK191" i="2"/>
  <c r="Y191" i="2" s="1"/>
  <c r="AI191" i="2"/>
  <c r="W191" i="2" s="1"/>
  <c r="AG191" i="2"/>
  <c r="AE191" i="2"/>
  <c r="AC191" i="2"/>
  <c r="Q191" i="2" s="1"/>
  <c r="AA191" i="2"/>
  <c r="O191" i="2" s="1"/>
  <c r="U191" i="2"/>
  <c r="S191" i="2"/>
  <c r="AK190" i="2"/>
  <c r="Y190" i="2" s="1"/>
  <c r="AI190" i="2"/>
  <c r="W190" i="2" s="1"/>
  <c r="AG190" i="2"/>
  <c r="AE190" i="2"/>
  <c r="AC190" i="2"/>
  <c r="Q190" i="2" s="1"/>
  <c r="AA190" i="2"/>
  <c r="O190" i="2" s="1"/>
  <c r="U190" i="2"/>
  <c r="S190" i="2"/>
  <c r="AK189" i="2"/>
  <c r="Y189" i="2" s="1"/>
  <c r="AI189" i="2"/>
  <c r="W189" i="2" s="1"/>
  <c r="AG189" i="2"/>
  <c r="AE189" i="2"/>
  <c r="AC189" i="2"/>
  <c r="Q189" i="2" s="1"/>
  <c r="AA189" i="2"/>
  <c r="O189" i="2" s="1"/>
  <c r="U189" i="2"/>
  <c r="S189" i="2"/>
  <c r="AK188" i="2"/>
  <c r="Y188" i="2" s="1"/>
  <c r="AI188" i="2"/>
  <c r="W188" i="2" s="1"/>
  <c r="AG188" i="2"/>
  <c r="AE188" i="2"/>
  <c r="AC188" i="2"/>
  <c r="Q188" i="2" s="1"/>
  <c r="AA188" i="2"/>
  <c r="O188" i="2" s="1"/>
  <c r="U188" i="2"/>
  <c r="S188" i="2"/>
  <c r="AK187" i="2"/>
  <c r="Y187" i="2" s="1"/>
  <c r="AI187" i="2"/>
  <c r="W187" i="2" s="1"/>
  <c r="AG187" i="2"/>
  <c r="AE187" i="2"/>
  <c r="AC187" i="2"/>
  <c r="Q187" i="2" s="1"/>
  <c r="AA187" i="2"/>
  <c r="O187" i="2" s="1"/>
  <c r="U187" i="2"/>
  <c r="S187" i="2"/>
  <c r="AK184" i="2"/>
  <c r="Y184" i="2" s="1"/>
  <c r="AI184" i="2"/>
  <c r="W184" i="2" s="1"/>
  <c r="AG184" i="2"/>
  <c r="AE184" i="2"/>
  <c r="AC184" i="2"/>
  <c r="Q184" i="2" s="1"/>
  <c r="AA184" i="2"/>
  <c r="O184" i="2" s="1"/>
  <c r="AK183" i="2"/>
  <c r="Y183" i="2" s="1"/>
  <c r="AI183" i="2"/>
  <c r="W183" i="2" s="1"/>
  <c r="AG183" i="2"/>
  <c r="AE183" i="2"/>
  <c r="AC183" i="2"/>
  <c r="Q183" i="2" s="1"/>
  <c r="AA183" i="2"/>
  <c r="O183" i="2" s="1"/>
  <c r="U183" i="2"/>
  <c r="S183" i="2"/>
  <c r="AK182" i="2"/>
  <c r="Y182" i="2" s="1"/>
  <c r="AI182" i="2"/>
  <c r="W182" i="2" s="1"/>
  <c r="AG182" i="2"/>
  <c r="AE182" i="2"/>
  <c r="AC182" i="2"/>
  <c r="Q182" i="2" s="1"/>
  <c r="AA182" i="2"/>
  <c r="O182" i="2" s="1"/>
  <c r="AK181" i="2"/>
  <c r="Y181" i="2" s="1"/>
  <c r="AI181" i="2"/>
  <c r="W181" i="2" s="1"/>
  <c r="AG181" i="2"/>
  <c r="AE181" i="2"/>
  <c r="AC181" i="2"/>
  <c r="Q181" i="2" s="1"/>
  <c r="AA181" i="2"/>
  <c r="O181" i="2" s="1"/>
  <c r="U181" i="2"/>
  <c r="S181" i="2"/>
  <c r="AK180" i="2"/>
  <c r="Y180" i="2" s="1"/>
  <c r="AI180" i="2"/>
  <c r="W180" i="2" s="1"/>
  <c r="AG180" i="2"/>
  <c r="AE180" i="2"/>
  <c r="AC180" i="2"/>
  <c r="Q180" i="2" s="1"/>
  <c r="AA180" i="2"/>
  <c r="O180" i="2" s="1"/>
  <c r="AK179" i="2"/>
  <c r="Y179" i="2" s="1"/>
  <c r="AI179" i="2"/>
  <c r="W179" i="2" s="1"/>
  <c r="AG179" i="2"/>
  <c r="AE179" i="2"/>
  <c r="AC179" i="2"/>
  <c r="Q179" i="2" s="1"/>
  <c r="AA179" i="2"/>
  <c r="O179" i="2" s="1"/>
  <c r="U179" i="2"/>
  <c r="S179" i="2"/>
  <c r="AK178" i="2"/>
  <c r="Y178" i="2" s="1"/>
  <c r="AI178" i="2"/>
  <c r="W178" i="2" s="1"/>
  <c r="AG178" i="2"/>
  <c r="AE178" i="2"/>
  <c r="AC178" i="2"/>
  <c r="Q178" i="2" s="1"/>
  <c r="AA178" i="2"/>
  <c r="O178" i="2" s="1"/>
  <c r="AK177" i="2"/>
  <c r="Y177" i="2" s="1"/>
  <c r="AI177" i="2"/>
  <c r="W177" i="2" s="1"/>
  <c r="AG177" i="2"/>
  <c r="AE177" i="2"/>
  <c r="AC177" i="2"/>
  <c r="Q177" i="2" s="1"/>
  <c r="AA177" i="2"/>
  <c r="O177" i="2" s="1"/>
  <c r="U177" i="2"/>
  <c r="S177" i="2"/>
  <c r="AM176" i="2"/>
  <c r="U184" i="2" s="1"/>
  <c r="AK174" i="2"/>
  <c r="Y174" i="2" s="1"/>
  <c r="AI174" i="2"/>
  <c r="AG174" i="2"/>
  <c r="AE174" i="2"/>
  <c r="S174" i="2" s="1"/>
  <c r="AC174" i="2"/>
  <c r="Q174" i="2" s="1"/>
  <c r="AA174" i="2"/>
  <c r="O174" i="2"/>
  <c r="AK173" i="2"/>
  <c r="Y173" i="2" s="1"/>
  <c r="AI173" i="2"/>
  <c r="AG173" i="2"/>
  <c r="AE173" i="2"/>
  <c r="S173" i="2" s="1"/>
  <c r="AC173" i="2"/>
  <c r="Q173" i="2" s="1"/>
  <c r="AA173" i="2"/>
  <c r="W173" i="2"/>
  <c r="U173" i="2"/>
  <c r="AK172" i="2"/>
  <c r="Y172" i="2" s="1"/>
  <c r="AI172" i="2"/>
  <c r="AG172" i="2"/>
  <c r="AE172" i="2"/>
  <c r="S172" i="2" s="1"/>
  <c r="AC172" i="2"/>
  <c r="Q172" i="2" s="1"/>
  <c r="AA172" i="2"/>
  <c r="O172" i="2"/>
  <c r="AK171" i="2"/>
  <c r="Y171" i="2" s="1"/>
  <c r="AI171" i="2"/>
  <c r="AG171" i="2"/>
  <c r="AE171" i="2"/>
  <c r="S171" i="2" s="1"/>
  <c r="AC171" i="2"/>
  <c r="Q171" i="2" s="1"/>
  <c r="AA171" i="2"/>
  <c r="W171" i="2"/>
  <c r="U171" i="2"/>
  <c r="O171" i="2"/>
  <c r="AK170" i="2"/>
  <c r="Y170" i="2" s="1"/>
  <c r="AI170" i="2"/>
  <c r="AG170" i="2"/>
  <c r="AE170" i="2"/>
  <c r="S170" i="2" s="1"/>
  <c r="AC170" i="2"/>
  <c r="Q170" i="2" s="1"/>
  <c r="AA170" i="2"/>
  <c r="W170" i="2"/>
  <c r="O170" i="2"/>
  <c r="AK169" i="2"/>
  <c r="Y169" i="2" s="1"/>
  <c r="AI169" i="2"/>
  <c r="AG169" i="2"/>
  <c r="AE169" i="2"/>
  <c r="S169" i="2" s="1"/>
  <c r="AC169" i="2"/>
  <c r="Q169" i="2" s="1"/>
  <c r="AA169" i="2"/>
  <c r="W169" i="2"/>
  <c r="U169" i="2"/>
  <c r="O169" i="2"/>
  <c r="AK168" i="2"/>
  <c r="Y168" i="2" s="1"/>
  <c r="AI168" i="2"/>
  <c r="AG168" i="2"/>
  <c r="AE168" i="2"/>
  <c r="S168" i="2" s="1"/>
  <c r="AC168" i="2"/>
  <c r="Q168" i="2" s="1"/>
  <c r="AA168" i="2"/>
  <c r="W168" i="2"/>
  <c r="O168" i="2"/>
  <c r="AK167" i="2"/>
  <c r="Y167" i="2" s="1"/>
  <c r="AI167" i="2"/>
  <c r="AG167" i="2"/>
  <c r="AE167" i="2"/>
  <c r="S167" i="2" s="1"/>
  <c r="AC167" i="2"/>
  <c r="Q167" i="2" s="1"/>
  <c r="AA167" i="2"/>
  <c r="W167" i="2"/>
  <c r="U167" i="2"/>
  <c r="O167" i="2"/>
  <c r="AM166" i="2"/>
  <c r="W174" i="2" s="1"/>
  <c r="AK164" i="2"/>
  <c r="AI164" i="2"/>
  <c r="AG164" i="2"/>
  <c r="U164" i="2" s="1"/>
  <c r="AE164" i="2"/>
  <c r="S164" i="2" s="1"/>
  <c r="AC164" i="2"/>
  <c r="AA164" i="2"/>
  <c r="Y164" i="2"/>
  <c r="W164" i="2"/>
  <c r="Q164" i="2"/>
  <c r="O164" i="2"/>
  <c r="AK163" i="2"/>
  <c r="AI163" i="2"/>
  <c r="AG163" i="2"/>
  <c r="U163" i="2" s="1"/>
  <c r="AE163" i="2"/>
  <c r="S163" i="2" s="1"/>
  <c r="AC163" i="2"/>
  <c r="AA163" i="2"/>
  <c r="Y163" i="2"/>
  <c r="W163" i="2"/>
  <c r="Q163" i="2"/>
  <c r="O163" i="2"/>
  <c r="AK162" i="2"/>
  <c r="AI162" i="2"/>
  <c r="AG162" i="2"/>
  <c r="U162" i="2" s="1"/>
  <c r="AE162" i="2"/>
  <c r="S162" i="2" s="1"/>
  <c r="AC162" i="2"/>
  <c r="AA162" i="2"/>
  <c r="Y162" i="2"/>
  <c r="W162" i="2"/>
  <c r="Q162" i="2"/>
  <c r="O162" i="2"/>
  <c r="AK161" i="2"/>
  <c r="AI161" i="2"/>
  <c r="AG161" i="2"/>
  <c r="U161" i="2" s="1"/>
  <c r="AE161" i="2"/>
  <c r="S161" i="2" s="1"/>
  <c r="AC161" i="2"/>
  <c r="AA161" i="2"/>
  <c r="Y161" i="2"/>
  <c r="W161" i="2"/>
  <c r="Q161" i="2"/>
  <c r="O161" i="2"/>
  <c r="AK160" i="2"/>
  <c r="AI160" i="2"/>
  <c r="AG160" i="2"/>
  <c r="U160" i="2" s="1"/>
  <c r="AE160" i="2"/>
  <c r="S160" i="2" s="1"/>
  <c r="AC160" i="2"/>
  <c r="AA160" i="2"/>
  <c r="Y160" i="2"/>
  <c r="W160" i="2"/>
  <c r="Q160" i="2"/>
  <c r="O160" i="2"/>
  <c r="AK159" i="2"/>
  <c r="AI159" i="2"/>
  <c r="AG159" i="2"/>
  <c r="U159" i="2" s="1"/>
  <c r="AE159" i="2"/>
  <c r="S159" i="2" s="1"/>
  <c r="AC159" i="2"/>
  <c r="AA159" i="2"/>
  <c r="Y159" i="2"/>
  <c r="W159" i="2"/>
  <c r="Q159" i="2"/>
  <c r="O159" i="2"/>
  <c r="AK158" i="2"/>
  <c r="AI158" i="2"/>
  <c r="AG158" i="2"/>
  <c r="U158" i="2" s="1"/>
  <c r="AE158" i="2"/>
  <c r="S158" i="2" s="1"/>
  <c r="AC158" i="2"/>
  <c r="AA158" i="2"/>
  <c r="Y158" i="2"/>
  <c r="W158" i="2"/>
  <c r="Q158" i="2"/>
  <c r="O158" i="2"/>
  <c r="AK157" i="2"/>
  <c r="AI157" i="2"/>
  <c r="AG157" i="2"/>
  <c r="U157" i="2" s="1"/>
  <c r="AE157" i="2"/>
  <c r="S157" i="2" s="1"/>
  <c r="AC157" i="2"/>
  <c r="AA157" i="2"/>
  <c r="Y157" i="2"/>
  <c r="W157" i="2"/>
  <c r="Q157" i="2"/>
  <c r="O157" i="2"/>
  <c r="AM156" i="2"/>
  <c r="AK154" i="2"/>
  <c r="AI154" i="2"/>
  <c r="W154" i="2" s="1"/>
  <c r="AG154" i="2"/>
  <c r="U154" i="2" s="1"/>
  <c r="AE154" i="2"/>
  <c r="AC154" i="2"/>
  <c r="AA154" i="2"/>
  <c r="O154" i="2" s="1"/>
  <c r="Y154" i="2"/>
  <c r="S154" i="2"/>
  <c r="Q154" i="2"/>
  <c r="AK153" i="2"/>
  <c r="AI153" i="2"/>
  <c r="W153" i="2" s="1"/>
  <c r="AG153" i="2"/>
  <c r="U153" i="2" s="1"/>
  <c r="AE153" i="2"/>
  <c r="AC153" i="2"/>
  <c r="AA153" i="2"/>
  <c r="O153" i="2" s="1"/>
  <c r="Y153" i="2"/>
  <c r="S153" i="2"/>
  <c r="Q153" i="2"/>
  <c r="AK152" i="2"/>
  <c r="AI152" i="2"/>
  <c r="W152" i="2" s="1"/>
  <c r="AG152" i="2"/>
  <c r="U152" i="2" s="1"/>
  <c r="AE152" i="2"/>
  <c r="AC152" i="2"/>
  <c r="AA152" i="2"/>
  <c r="O152" i="2" s="1"/>
  <c r="Y152" i="2"/>
  <c r="S152" i="2"/>
  <c r="Q152" i="2"/>
  <c r="AK151" i="2"/>
  <c r="AI151" i="2"/>
  <c r="W151" i="2" s="1"/>
  <c r="AG151" i="2"/>
  <c r="U151" i="2" s="1"/>
  <c r="AE151" i="2"/>
  <c r="AC151" i="2"/>
  <c r="AA151" i="2"/>
  <c r="O151" i="2" s="1"/>
  <c r="Y151" i="2"/>
  <c r="S151" i="2"/>
  <c r="Q151" i="2"/>
  <c r="AK150" i="2"/>
  <c r="AI150" i="2"/>
  <c r="W150" i="2" s="1"/>
  <c r="AG150" i="2"/>
  <c r="U150" i="2" s="1"/>
  <c r="AE150" i="2"/>
  <c r="AC150" i="2"/>
  <c r="AA150" i="2"/>
  <c r="O150" i="2" s="1"/>
  <c r="Y150" i="2"/>
  <c r="S150" i="2"/>
  <c r="Q150" i="2"/>
  <c r="AK149" i="2"/>
  <c r="AI149" i="2"/>
  <c r="W149" i="2" s="1"/>
  <c r="AG149" i="2"/>
  <c r="U149" i="2" s="1"/>
  <c r="AE149" i="2"/>
  <c r="AC149" i="2"/>
  <c r="AA149" i="2"/>
  <c r="O149" i="2" s="1"/>
  <c r="Y149" i="2"/>
  <c r="S149" i="2"/>
  <c r="Q149" i="2"/>
  <c r="AK148" i="2"/>
  <c r="AI148" i="2"/>
  <c r="W148" i="2" s="1"/>
  <c r="AG148" i="2"/>
  <c r="U148" i="2" s="1"/>
  <c r="AE148" i="2"/>
  <c r="AC148" i="2"/>
  <c r="AA148" i="2"/>
  <c r="O148" i="2" s="1"/>
  <c r="Y148" i="2"/>
  <c r="S148" i="2"/>
  <c r="Q148" i="2"/>
  <c r="AK147" i="2"/>
  <c r="AI147" i="2"/>
  <c r="W147" i="2" s="1"/>
  <c r="AG147" i="2"/>
  <c r="U147" i="2" s="1"/>
  <c r="AE147" i="2"/>
  <c r="AC147" i="2"/>
  <c r="AA147" i="2"/>
  <c r="O147" i="2" s="1"/>
  <c r="Y147" i="2"/>
  <c r="S147" i="2"/>
  <c r="Q147" i="2"/>
  <c r="AM146" i="2"/>
  <c r="AK144" i="2"/>
  <c r="Y144" i="2" s="1"/>
  <c r="AI144" i="2"/>
  <c r="W144" i="2" s="1"/>
  <c r="AG144" i="2"/>
  <c r="AE144" i="2"/>
  <c r="AC144" i="2"/>
  <c r="Q144" i="2" s="1"/>
  <c r="AA144" i="2"/>
  <c r="O144" i="2" s="1"/>
  <c r="U144" i="2"/>
  <c r="S144" i="2"/>
  <c r="AK143" i="2"/>
  <c r="Y143" i="2" s="1"/>
  <c r="AI143" i="2"/>
  <c r="W143" i="2" s="1"/>
  <c r="AG143" i="2"/>
  <c r="AE143" i="2"/>
  <c r="AC143" i="2"/>
  <c r="Q143" i="2" s="1"/>
  <c r="AA143" i="2"/>
  <c r="O143" i="2" s="1"/>
  <c r="U143" i="2"/>
  <c r="S143" i="2"/>
  <c r="AK142" i="2"/>
  <c r="Y142" i="2" s="1"/>
  <c r="AI142" i="2"/>
  <c r="W142" i="2" s="1"/>
  <c r="AG142" i="2"/>
  <c r="AE142" i="2"/>
  <c r="AC142" i="2"/>
  <c r="Q142" i="2" s="1"/>
  <c r="AA142" i="2"/>
  <c r="O142" i="2" s="1"/>
  <c r="U142" i="2"/>
  <c r="S142" i="2"/>
  <c r="AK141" i="2"/>
  <c r="Y141" i="2" s="1"/>
  <c r="AI141" i="2"/>
  <c r="W141" i="2" s="1"/>
  <c r="AG141" i="2"/>
  <c r="AE141" i="2"/>
  <c r="AC141" i="2"/>
  <c r="Q141" i="2" s="1"/>
  <c r="AA141" i="2"/>
  <c r="O141" i="2" s="1"/>
  <c r="U141" i="2"/>
  <c r="S141" i="2"/>
  <c r="AK140" i="2"/>
  <c r="Y140" i="2" s="1"/>
  <c r="AI140" i="2"/>
  <c r="W140" i="2" s="1"/>
  <c r="AG140" i="2"/>
  <c r="AE140" i="2"/>
  <c r="AC140" i="2"/>
  <c r="Q140" i="2" s="1"/>
  <c r="AA140" i="2"/>
  <c r="O140" i="2" s="1"/>
  <c r="U140" i="2"/>
  <c r="S140" i="2"/>
  <c r="AK139" i="2"/>
  <c r="Y139" i="2" s="1"/>
  <c r="AI139" i="2"/>
  <c r="W139" i="2" s="1"/>
  <c r="AG139" i="2"/>
  <c r="AE139" i="2"/>
  <c r="AC139" i="2"/>
  <c r="Q139" i="2" s="1"/>
  <c r="AA139" i="2"/>
  <c r="O139" i="2" s="1"/>
  <c r="U139" i="2"/>
  <c r="S139" i="2"/>
  <c r="AK138" i="2"/>
  <c r="Y138" i="2" s="1"/>
  <c r="AI138" i="2"/>
  <c r="W138" i="2" s="1"/>
  <c r="AG138" i="2"/>
  <c r="AE138" i="2"/>
  <c r="AC138" i="2"/>
  <c r="Q138" i="2" s="1"/>
  <c r="AA138" i="2"/>
  <c r="O138" i="2" s="1"/>
  <c r="U138" i="2"/>
  <c r="S138" i="2"/>
  <c r="AK137" i="2"/>
  <c r="Y137" i="2" s="1"/>
  <c r="AI137" i="2"/>
  <c r="W137" i="2" s="1"/>
  <c r="AG137" i="2"/>
  <c r="AE137" i="2"/>
  <c r="AC137" i="2"/>
  <c r="Q137" i="2" s="1"/>
  <c r="AA137" i="2"/>
  <c r="O137" i="2" s="1"/>
  <c r="U137" i="2"/>
  <c r="S137" i="2"/>
  <c r="AM136" i="2"/>
  <c r="AK134" i="2"/>
  <c r="Y134" i="2" s="1"/>
  <c r="AI134" i="2"/>
  <c r="AG134" i="2"/>
  <c r="AE134" i="2"/>
  <c r="S134" i="2" s="1"/>
  <c r="AC134" i="2"/>
  <c r="Q134" i="2" s="1"/>
  <c r="AA134" i="2"/>
  <c r="W134" i="2"/>
  <c r="U134" i="2"/>
  <c r="O134" i="2"/>
  <c r="AK133" i="2"/>
  <c r="Y133" i="2" s="1"/>
  <c r="AI133" i="2"/>
  <c r="AG133" i="2"/>
  <c r="AE133" i="2"/>
  <c r="S133" i="2" s="1"/>
  <c r="AC133" i="2"/>
  <c r="Q133" i="2" s="1"/>
  <c r="AA133" i="2"/>
  <c r="W133" i="2"/>
  <c r="U133" i="2"/>
  <c r="O133" i="2"/>
  <c r="AK132" i="2"/>
  <c r="Y132" i="2" s="1"/>
  <c r="AI132" i="2"/>
  <c r="AG132" i="2"/>
  <c r="AE132" i="2"/>
  <c r="S132" i="2" s="1"/>
  <c r="AC132" i="2"/>
  <c r="Q132" i="2" s="1"/>
  <c r="AA132" i="2"/>
  <c r="W132" i="2"/>
  <c r="U132" i="2"/>
  <c r="O132" i="2"/>
  <c r="AK131" i="2"/>
  <c r="Y131" i="2" s="1"/>
  <c r="AI131" i="2"/>
  <c r="AG131" i="2"/>
  <c r="AE131" i="2"/>
  <c r="S131" i="2" s="1"/>
  <c r="AC131" i="2"/>
  <c r="Q131" i="2" s="1"/>
  <c r="AA131" i="2"/>
  <c r="W131" i="2"/>
  <c r="U131" i="2"/>
  <c r="O131" i="2"/>
  <c r="AK130" i="2"/>
  <c r="Y130" i="2" s="1"/>
  <c r="AI130" i="2"/>
  <c r="AG130" i="2"/>
  <c r="AE130" i="2"/>
  <c r="S130" i="2" s="1"/>
  <c r="AC130" i="2"/>
  <c r="Q130" i="2" s="1"/>
  <c r="AA130" i="2"/>
  <c r="O130" i="2" s="1"/>
  <c r="W130" i="2"/>
  <c r="U130" i="2"/>
  <c r="AK129" i="2"/>
  <c r="Y129" i="2" s="1"/>
  <c r="AI129" i="2"/>
  <c r="W129" i="2" s="1"/>
  <c r="AG129" i="2"/>
  <c r="AE129" i="2"/>
  <c r="S129" i="2" s="1"/>
  <c r="AC129" i="2"/>
  <c r="Q129" i="2" s="1"/>
  <c r="AA129" i="2"/>
  <c r="U129" i="2"/>
  <c r="O129" i="2"/>
  <c r="AK128" i="2"/>
  <c r="Y128" i="2" s="1"/>
  <c r="AI128" i="2"/>
  <c r="AG128" i="2"/>
  <c r="AE128" i="2"/>
  <c r="S128" i="2" s="1"/>
  <c r="AC128" i="2"/>
  <c r="Q128" i="2" s="1"/>
  <c r="AA128" i="2"/>
  <c r="O128" i="2" s="1"/>
  <c r="W128" i="2"/>
  <c r="U128" i="2"/>
  <c r="AK127" i="2"/>
  <c r="Y127" i="2" s="1"/>
  <c r="AI127" i="2"/>
  <c r="W127" i="2" s="1"/>
  <c r="AG127" i="2"/>
  <c r="AE127" i="2"/>
  <c r="S127" i="2" s="1"/>
  <c r="AC127" i="2"/>
  <c r="Q127" i="2" s="1"/>
  <c r="AA127" i="2"/>
  <c r="U127" i="2"/>
  <c r="O127" i="2"/>
  <c r="AM126" i="2"/>
  <c r="AM116" i="2" s="1"/>
  <c r="AM106" i="2" s="1"/>
  <c r="AM96" i="2" s="1"/>
  <c r="AM86" i="2" s="1"/>
  <c r="AM76" i="2" s="1"/>
  <c r="AM66" i="2" s="1"/>
  <c r="AM55" i="2" s="1"/>
  <c r="AM44" i="2" s="1"/>
  <c r="AM33" i="2" s="1"/>
  <c r="AM22" i="2" s="1"/>
  <c r="AM12" i="2" s="1"/>
  <c r="AM1" i="2" s="1"/>
  <c r="AK124" i="2"/>
  <c r="AI124" i="2"/>
  <c r="AG124" i="2"/>
  <c r="U124" i="2" s="1"/>
  <c r="AE124" i="2"/>
  <c r="S124" i="2" s="1"/>
  <c r="AC124" i="2"/>
  <c r="Q124" i="2" s="1"/>
  <c r="AA124" i="2"/>
  <c r="Y124" i="2"/>
  <c r="W124" i="2"/>
  <c r="O124" i="2"/>
  <c r="AK123" i="2"/>
  <c r="Y123" i="2" s="1"/>
  <c r="AI123" i="2"/>
  <c r="AG123" i="2"/>
  <c r="U123" i="2" s="1"/>
  <c r="AE123" i="2"/>
  <c r="S123" i="2" s="1"/>
  <c r="AC123" i="2"/>
  <c r="AA123" i="2"/>
  <c r="W123" i="2"/>
  <c r="Q123" i="2"/>
  <c r="O123" i="2"/>
  <c r="AK122" i="2"/>
  <c r="AI122" i="2"/>
  <c r="AG122" i="2"/>
  <c r="U122" i="2" s="1"/>
  <c r="AE122" i="2"/>
  <c r="S122" i="2" s="1"/>
  <c r="AC122" i="2"/>
  <c r="Q122" i="2" s="1"/>
  <c r="AA122" i="2"/>
  <c r="Y122" i="2"/>
  <c r="W122" i="2"/>
  <c r="O122" i="2"/>
  <c r="AK121" i="2"/>
  <c r="Y121" i="2" s="1"/>
  <c r="AI121" i="2"/>
  <c r="AG121" i="2"/>
  <c r="U121" i="2" s="1"/>
  <c r="AE121" i="2"/>
  <c r="S121" i="2" s="1"/>
  <c r="AC121" i="2"/>
  <c r="AA121" i="2"/>
  <c r="W121" i="2"/>
  <c r="Q121" i="2"/>
  <c r="O121" i="2"/>
  <c r="AK120" i="2"/>
  <c r="AI120" i="2"/>
  <c r="AG120" i="2"/>
  <c r="U120" i="2" s="1"/>
  <c r="AE120" i="2"/>
  <c r="S120" i="2" s="1"/>
  <c r="AC120" i="2"/>
  <c r="Q120" i="2" s="1"/>
  <c r="AA120" i="2"/>
  <c r="Y120" i="2"/>
  <c r="W120" i="2"/>
  <c r="O120" i="2"/>
  <c r="AK119" i="2"/>
  <c r="Y119" i="2" s="1"/>
  <c r="AI119" i="2"/>
  <c r="AG119" i="2"/>
  <c r="U119" i="2" s="1"/>
  <c r="AE119" i="2"/>
  <c r="S119" i="2" s="1"/>
  <c r="AC119" i="2"/>
  <c r="AA119" i="2"/>
  <c r="W119" i="2"/>
  <c r="Q119" i="2"/>
  <c r="O119" i="2"/>
  <c r="AK118" i="2"/>
  <c r="AI118" i="2"/>
  <c r="AG118" i="2"/>
  <c r="U118" i="2" s="1"/>
  <c r="AE118" i="2"/>
  <c r="S118" i="2" s="1"/>
  <c r="AC118" i="2"/>
  <c r="Q118" i="2" s="1"/>
  <c r="AA118" i="2"/>
  <c r="Y118" i="2"/>
  <c r="W118" i="2"/>
  <c r="O118" i="2"/>
  <c r="AK117" i="2"/>
  <c r="Y117" i="2" s="1"/>
  <c r="AI117" i="2"/>
  <c r="AG117" i="2"/>
  <c r="U117" i="2" s="1"/>
  <c r="AE117" i="2"/>
  <c r="S117" i="2" s="1"/>
  <c r="AC117" i="2"/>
  <c r="AA117" i="2"/>
  <c r="W117" i="2"/>
  <c r="Q117" i="2"/>
  <c r="O117" i="2"/>
  <c r="AK114" i="2"/>
  <c r="AI114" i="2"/>
  <c r="AG114" i="2"/>
  <c r="AE114" i="2"/>
  <c r="S114" i="2" s="1"/>
  <c r="AC114" i="2"/>
  <c r="AA114" i="2"/>
  <c r="O114" i="2" s="1"/>
  <c r="Y114" i="2"/>
  <c r="W114" i="2"/>
  <c r="U114" i="2"/>
  <c r="Q114" i="2"/>
  <c r="AK113" i="2"/>
  <c r="AI113" i="2"/>
  <c r="W113" i="2" s="1"/>
  <c r="AG113" i="2"/>
  <c r="U113" i="2" s="1"/>
  <c r="AE113" i="2"/>
  <c r="AC113" i="2"/>
  <c r="AA113" i="2"/>
  <c r="Y113" i="2"/>
  <c r="S113" i="2"/>
  <c r="Q113" i="2"/>
  <c r="O113" i="2"/>
  <c r="AK112" i="2"/>
  <c r="AI112" i="2"/>
  <c r="AG112" i="2"/>
  <c r="AE112" i="2"/>
  <c r="S112" i="2" s="1"/>
  <c r="AC112" i="2"/>
  <c r="AA112" i="2"/>
  <c r="O112" i="2" s="1"/>
  <c r="Y112" i="2"/>
  <c r="W112" i="2"/>
  <c r="U112" i="2"/>
  <c r="Q112" i="2"/>
  <c r="AK111" i="2"/>
  <c r="AI111" i="2"/>
  <c r="W111" i="2" s="1"/>
  <c r="AG111" i="2"/>
  <c r="U111" i="2" s="1"/>
  <c r="AE111" i="2"/>
  <c r="AC111" i="2"/>
  <c r="AA111" i="2"/>
  <c r="Y111" i="2"/>
  <c r="S111" i="2"/>
  <c r="Q111" i="2"/>
  <c r="O111" i="2"/>
  <c r="AK110" i="2"/>
  <c r="AI110" i="2"/>
  <c r="AG110" i="2"/>
  <c r="AE110" i="2"/>
  <c r="S110" i="2" s="1"/>
  <c r="AC110" i="2"/>
  <c r="AA110" i="2"/>
  <c r="O110" i="2" s="1"/>
  <c r="Y110" i="2"/>
  <c r="W110" i="2"/>
  <c r="U110" i="2"/>
  <c r="Q110" i="2"/>
  <c r="AK109" i="2"/>
  <c r="AI109" i="2"/>
  <c r="W109" i="2" s="1"/>
  <c r="AG109" i="2"/>
  <c r="U109" i="2" s="1"/>
  <c r="AE109" i="2"/>
  <c r="AC109" i="2"/>
  <c r="AA109" i="2"/>
  <c r="Y109" i="2"/>
  <c r="S109" i="2"/>
  <c r="Q109" i="2"/>
  <c r="O109" i="2"/>
  <c r="AK108" i="2"/>
  <c r="AI108" i="2"/>
  <c r="AG108" i="2"/>
  <c r="AE108" i="2"/>
  <c r="S108" i="2" s="1"/>
  <c r="AC108" i="2"/>
  <c r="AA108" i="2"/>
  <c r="O108" i="2" s="1"/>
  <c r="Y108" i="2"/>
  <c r="W108" i="2"/>
  <c r="U108" i="2"/>
  <c r="Q108" i="2"/>
  <c r="AK107" i="2"/>
  <c r="AI107" i="2"/>
  <c r="W107" i="2" s="1"/>
  <c r="AG107" i="2"/>
  <c r="U107" i="2" s="1"/>
  <c r="AE107" i="2"/>
  <c r="AC107" i="2"/>
  <c r="AA107" i="2"/>
  <c r="Y107" i="2"/>
  <c r="S107" i="2"/>
  <c r="Q107" i="2"/>
  <c r="O107" i="2"/>
  <c r="AK104" i="2"/>
  <c r="AI104" i="2"/>
  <c r="AG104" i="2"/>
  <c r="U104" i="2" s="1"/>
  <c r="AE104" i="2"/>
  <c r="AC104" i="2"/>
  <c r="Q104" i="2" s="1"/>
  <c r="AA104" i="2"/>
  <c r="O104" i="2" s="1"/>
  <c r="Y104" i="2"/>
  <c r="W104" i="2"/>
  <c r="S104" i="2"/>
  <c r="AK103" i="2"/>
  <c r="Y103" i="2" s="1"/>
  <c r="AI103" i="2"/>
  <c r="W103" i="2" s="1"/>
  <c r="AG103" i="2"/>
  <c r="AE103" i="2"/>
  <c r="AC103" i="2"/>
  <c r="AA103" i="2"/>
  <c r="U103" i="2"/>
  <c r="S103" i="2"/>
  <c r="Q103" i="2"/>
  <c r="O103" i="2"/>
  <c r="AK102" i="2"/>
  <c r="AI102" i="2"/>
  <c r="AG102" i="2"/>
  <c r="U102" i="2" s="1"/>
  <c r="AE102" i="2"/>
  <c r="AC102" i="2"/>
  <c r="Q102" i="2" s="1"/>
  <c r="AA102" i="2"/>
  <c r="O102" i="2" s="1"/>
  <c r="Y102" i="2"/>
  <c r="W102" i="2"/>
  <c r="S102" i="2"/>
  <c r="AK101" i="2"/>
  <c r="Y101" i="2" s="1"/>
  <c r="AI101" i="2"/>
  <c r="W101" i="2" s="1"/>
  <c r="AG101" i="2"/>
  <c r="AE101" i="2"/>
  <c r="AC101" i="2"/>
  <c r="AA101" i="2"/>
  <c r="U101" i="2"/>
  <c r="S101" i="2"/>
  <c r="Q101" i="2"/>
  <c r="O101" i="2"/>
  <c r="AK100" i="2"/>
  <c r="AI100" i="2"/>
  <c r="AG100" i="2"/>
  <c r="AE100" i="2"/>
  <c r="AC100" i="2"/>
  <c r="Q100" i="2" s="1"/>
  <c r="AA100" i="2"/>
  <c r="O100" i="2" s="1"/>
  <c r="Y100" i="2"/>
  <c r="W100" i="2"/>
  <c r="U100" i="2"/>
  <c r="S100" i="2"/>
  <c r="AK99" i="2"/>
  <c r="Y99" i="2" s="1"/>
  <c r="AI99" i="2"/>
  <c r="W99" i="2" s="1"/>
  <c r="AG99" i="2"/>
  <c r="AE99" i="2"/>
  <c r="AC99" i="2"/>
  <c r="AA99" i="2"/>
  <c r="U99" i="2"/>
  <c r="S99" i="2"/>
  <c r="Q99" i="2"/>
  <c r="O99" i="2"/>
  <c r="AK98" i="2"/>
  <c r="AI98" i="2"/>
  <c r="AG98" i="2"/>
  <c r="AE98" i="2"/>
  <c r="AC98" i="2"/>
  <c r="Q98" i="2" s="1"/>
  <c r="AA98" i="2"/>
  <c r="O98" i="2" s="1"/>
  <c r="Y98" i="2"/>
  <c r="W98" i="2"/>
  <c r="U98" i="2"/>
  <c r="S98" i="2"/>
  <c r="AK97" i="2"/>
  <c r="Y97" i="2" s="1"/>
  <c r="AI97" i="2"/>
  <c r="W97" i="2" s="1"/>
  <c r="AG97" i="2"/>
  <c r="AE97" i="2"/>
  <c r="AC97" i="2"/>
  <c r="AA97" i="2"/>
  <c r="U97" i="2"/>
  <c r="S97" i="2"/>
  <c r="Q97" i="2"/>
  <c r="O97" i="2"/>
  <c r="AK94" i="2"/>
  <c r="AI94" i="2"/>
  <c r="AG94" i="2"/>
  <c r="AE94" i="2"/>
  <c r="S94" i="2" s="1"/>
  <c r="AC94" i="2"/>
  <c r="Q94" i="2" s="1"/>
  <c r="AA94" i="2"/>
  <c r="Y94" i="2"/>
  <c r="W94" i="2"/>
  <c r="U94" i="2"/>
  <c r="O94" i="2"/>
  <c r="AK93" i="2"/>
  <c r="Y93" i="2" s="1"/>
  <c r="AI93" i="2"/>
  <c r="AG93" i="2"/>
  <c r="AE93" i="2"/>
  <c r="AC93" i="2"/>
  <c r="AA93" i="2"/>
  <c r="W93" i="2"/>
  <c r="U93" i="2"/>
  <c r="S93" i="2"/>
  <c r="Q93" i="2"/>
  <c r="O93" i="2"/>
  <c r="AK92" i="2"/>
  <c r="AI92" i="2"/>
  <c r="W92" i="2" s="1"/>
  <c r="AG92" i="2"/>
  <c r="U92" i="2" s="1"/>
  <c r="AE92" i="2"/>
  <c r="S92" i="2" s="1"/>
  <c r="AC92" i="2"/>
  <c r="Q92" i="2" s="1"/>
  <c r="AA92" i="2"/>
  <c r="Y92" i="2"/>
  <c r="O92" i="2"/>
  <c r="AK91" i="2"/>
  <c r="Y91" i="2" s="1"/>
  <c r="AI91" i="2"/>
  <c r="AG91" i="2"/>
  <c r="AE91" i="2"/>
  <c r="AC91" i="2"/>
  <c r="AA91" i="2"/>
  <c r="O91" i="2" s="1"/>
  <c r="W91" i="2"/>
  <c r="U91" i="2"/>
  <c r="S91" i="2"/>
  <c r="Q91" i="2"/>
  <c r="AK90" i="2"/>
  <c r="AI90" i="2"/>
  <c r="W90" i="2" s="1"/>
  <c r="AG90" i="2"/>
  <c r="U90" i="2" s="1"/>
  <c r="AE90" i="2"/>
  <c r="S90" i="2" s="1"/>
  <c r="AC90" i="2"/>
  <c r="Q90" i="2" s="1"/>
  <c r="AA90" i="2"/>
  <c r="Y90" i="2"/>
  <c r="O90" i="2"/>
  <c r="AK89" i="2"/>
  <c r="Y89" i="2" s="1"/>
  <c r="AI89" i="2"/>
  <c r="AG89" i="2"/>
  <c r="AE89" i="2"/>
  <c r="AC89" i="2"/>
  <c r="AA89" i="2"/>
  <c r="O89" i="2" s="1"/>
  <c r="W89" i="2"/>
  <c r="U89" i="2"/>
  <c r="S89" i="2"/>
  <c r="Q89" i="2"/>
  <c r="AK88" i="2"/>
  <c r="AI88" i="2"/>
  <c r="W88" i="2" s="1"/>
  <c r="AG88" i="2"/>
  <c r="U88" i="2" s="1"/>
  <c r="AE88" i="2"/>
  <c r="S88" i="2" s="1"/>
  <c r="AC88" i="2"/>
  <c r="Q88" i="2" s="1"/>
  <c r="AA88" i="2"/>
  <c r="Y88" i="2"/>
  <c r="O88" i="2"/>
  <c r="AK87" i="2"/>
  <c r="Y87" i="2" s="1"/>
  <c r="AI87" i="2"/>
  <c r="AG87" i="2"/>
  <c r="AE87" i="2"/>
  <c r="AC87" i="2"/>
  <c r="AA87" i="2"/>
  <c r="O87" i="2" s="1"/>
  <c r="W87" i="2"/>
  <c r="U87" i="2"/>
  <c r="S87" i="2"/>
  <c r="Q87" i="2"/>
  <c r="AK84" i="2"/>
  <c r="Y84" i="2" s="1"/>
  <c r="AI84" i="2"/>
  <c r="W84" i="2" s="1"/>
  <c r="AG84" i="2"/>
  <c r="U84" i="2" s="1"/>
  <c r="AE84" i="2"/>
  <c r="S84" i="2" s="1"/>
  <c r="AC84" i="2"/>
  <c r="AA84" i="2"/>
  <c r="Q84" i="2"/>
  <c r="O84" i="2"/>
  <c r="AK83" i="2"/>
  <c r="AI83" i="2"/>
  <c r="AG83" i="2"/>
  <c r="AE83" i="2"/>
  <c r="AC83" i="2"/>
  <c r="Q83" i="2" s="1"/>
  <c r="AA83" i="2"/>
  <c r="O83" i="2" s="1"/>
  <c r="Y83" i="2"/>
  <c r="W83" i="2"/>
  <c r="U83" i="2"/>
  <c r="S83" i="2"/>
  <c r="AK82" i="2"/>
  <c r="Y82" i="2" s="1"/>
  <c r="AI82" i="2"/>
  <c r="W82" i="2" s="1"/>
  <c r="AG82" i="2"/>
  <c r="U82" i="2" s="1"/>
  <c r="AE82" i="2"/>
  <c r="S82" i="2" s="1"/>
  <c r="AC82" i="2"/>
  <c r="AA82" i="2"/>
  <c r="Q82" i="2"/>
  <c r="O82" i="2"/>
  <c r="AK81" i="2"/>
  <c r="AI81" i="2"/>
  <c r="AG81" i="2"/>
  <c r="AE81" i="2"/>
  <c r="AC81" i="2"/>
  <c r="Q81" i="2" s="1"/>
  <c r="AA81" i="2"/>
  <c r="O81" i="2" s="1"/>
  <c r="Y81" i="2"/>
  <c r="W81" i="2"/>
  <c r="U81" i="2"/>
  <c r="S81" i="2"/>
  <c r="AK80" i="2"/>
  <c r="Y80" i="2" s="1"/>
  <c r="AI80" i="2"/>
  <c r="W80" i="2" s="1"/>
  <c r="AG80" i="2"/>
  <c r="U80" i="2" s="1"/>
  <c r="AE80" i="2"/>
  <c r="S80" i="2" s="1"/>
  <c r="AC80" i="2"/>
  <c r="AA80" i="2"/>
  <c r="Q80" i="2"/>
  <c r="O80" i="2"/>
  <c r="AK79" i="2"/>
  <c r="AI79" i="2"/>
  <c r="AG79" i="2"/>
  <c r="AE79" i="2"/>
  <c r="AC79" i="2"/>
  <c r="Q79" i="2" s="1"/>
  <c r="AA79" i="2"/>
  <c r="Y79" i="2"/>
  <c r="W79" i="2"/>
  <c r="U79" i="2"/>
  <c r="S79" i="2"/>
  <c r="O79" i="2"/>
  <c r="AK78" i="2"/>
  <c r="Y78" i="2" s="1"/>
  <c r="AI78" i="2"/>
  <c r="AG78" i="2"/>
  <c r="U78" i="2" s="1"/>
  <c r="AE78" i="2"/>
  <c r="S78" i="2" s="1"/>
  <c r="AC78" i="2"/>
  <c r="AA78" i="2"/>
  <c r="W78" i="2"/>
  <c r="Q78" i="2"/>
  <c r="O78" i="2"/>
  <c r="AK77" i="2"/>
  <c r="AI77" i="2"/>
  <c r="AG77" i="2"/>
  <c r="AE77" i="2"/>
  <c r="AC77" i="2"/>
  <c r="Q77" i="2" s="1"/>
  <c r="AA77" i="2"/>
  <c r="Y77" i="2"/>
  <c r="W77" i="2"/>
  <c r="U77" i="2"/>
  <c r="S77" i="2"/>
  <c r="O77" i="2"/>
  <c r="AK74" i="2"/>
  <c r="AI74" i="2"/>
  <c r="W74" i="2" s="1"/>
  <c r="AG74" i="2"/>
  <c r="U74" i="2" s="1"/>
  <c r="AE74" i="2"/>
  <c r="AC74" i="2"/>
  <c r="AA74" i="2"/>
  <c r="Y74" i="2"/>
  <c r="S74" i="2"/>
  <c r="Q74" i="2"/>
  <c r="O74" i="2"/>
  <c r="AK73" i="2"/>
  <c r="AI73" i="2"/>
  <c r="AG73" i="2"/>
  <c r="AE73" i="2"/>
  <c r="S73" i="2" s="1"/>
  <c r="AC73" i="2"/>
  <c r="AA73" i="2"/>
  <c r="O73" i="2" s="1"/>
  <c r="Y73" i="2"/>
  <c r="W73" i="2"/>
  <c r="U73" i="2"/>
  <c r="Q73" i="2"/>
  <c r="AK72" i="2"/>
  <c r="AI72" i="2"/>
  <c r="W72" i="2" s="1"/>
  <c r="AG72" i="2"/>
  <c r="U72" i="2" s="1"/>
  <c r="AE72" i="2"/>
  <c r="AC72" i="2"/>
  <c r="AA72" i="2"/>
  <c r="Y72" i="2"/>
  <c r="S72" i="2"/>
  <c r="Q72" i="2"/>
  <c r="O72" i="2"/>
  <c r="AK71" i="2"/>
  <c r="AI71" i="2"/>
  <c r="AG71" i="2"/>
  <c r="AE71" i="2"/>
  <c r="S71" i="2" s="1"/>
  <c r="AC71" i="2"/>
  <c r="AA71" i="2"/>
  <c r="O71" i="2" s="1"/>
  <c r="Y71" i="2"/>
  <c r="W71" i="2"/>
  <c r="U71" i="2"/>
  <c r="Q71" i="2"/>
  <c r="AK70" i="2"/>
  <c r="AI70" i="2"/>
  <c r="W70" i="2" s="1"/>
  <c r="AG70" i="2"/>
  <c r="U70" i="2" s="1"/>
  <c r="AE70" i="2"/>
  <c r="AC70" i="2"/>
  <c r="AA70" i="2"/>
  <c r="Y70" i="2"/>
  <c r="S70" i="2"/>
  <c r="Q70" i="2"/>
  <c r="O70" i="2"/>
  <c r="AK69" i="2"/>
  <c r="AI69" i="2"/>
  <c r="AG69" i="2"/>
  <c r="AE69" i="2"/>
  <c r="S69" i="2" s="1"/>
  <c r="AC69" i="2"/>
  <c r="AA69" i="2"/>
  <c r="O69" i="2" s="1"/>
  <c r="Y69" i="2"/>
  <c r="W69" i="2"/>
  <c r="U69" i="2"/>
  <c r="Q69" i="2"/>
  <c r="AK68" i="2"/>
  <c r="AI68" i="2"/>
  <c r="W68" i="2" s="1"/>
  <c r="AG68" i="2"/>
  <c r="U68" i="2" s="1"/>
  <c r="AE68" i="2"/>
  <c r="AC68" i="2"/>
  <c r="AA68" i="2"/>
  <c r="Y68" i="2"/>
  <c r="S68" i="2"/>
  <c r="Q68" i="2"/>
  <c r="O68" i="2"/>
  <c r="AK67" i="2"/>
  <c r="AI67" i="2"/>
  <c r="AG67" i="2"/>
  <c r="AE67" i="2"/>
  <c r="S67" i="2" s="1"/>
  <c r="AC67" i="2"/>
  <c r="AA67" i="2"/>
  <c r="O67" i="2" s="1"/>
  <c r="Y67" i="2"/>
  <c r="W67" i="2"/>
  <c r="U67" i="2"/>
  <c r="Q67" i="2"/>
  <c r="AK64" i="2"/>
  <c r="Y64" i="2" s="1"/>
  <c r="AI64" i="2"/>
  <c r="W64" i="2" s="1"/>
  <c r="AG64" i="2"/>
  <c r="AE64" i="2"/>
  <c r="AC64" i="2"/>
  <c r="AA64" i="2"/>
  <c r="U64" i="2"/>
  <c r="S64" i="2"/>
  <c r="Q64" i="2"/>
  <c r="O64" i="2"/>
  <c r="AK63" i="2"/>
  <c r="AI63" i="2"/>
  <c r="AG63" i="2"/>
  <c r="U63" i="2" s="1"/>
  <c r="AE63" i="2"/>
  <c r="S63" i="2" s="1"/>
  <c r="AC63" i="2"/>
  <c r="Q63" i="2" s="1"/>
  <c r="AA63" i="2"/>
  <c r="O63" i="2" s="1"/>
  <c r="Y63" i="2"/>
  <c r="W63" i="2"/>
  <c r="AK62" i="2"/>
  <c r="Y62" i="2" s="1"/>
  <c r="AI62" i="2"/>
  <c r="W62" i="2" s="1"/>
  <c r="AG62" i="2"/>
  <c r="AE62" i="2"/>
  <c r="AC62" i="2"/>
  <c r="AA62" i="2"/>
  <c r="U62" i="2"/>
  <c r="S62" i="2"/>
  <c r="Q62" i="2"/>
  <c r="O62" i="2"/>
  <c r="AK61" i="2"/>
  <c r="AI61" i="2"/>
  <c r="AG61" i="2"/>
  <c r="U61" i="2" s="1"/>
  <c r="AE61" i="2"/>
  <c r="S61" i="2" s="1"/>
  <c r="AC61" i="2"/>
  <c r="Q61" i="2" s="1"/>
  <c r="AA61" i="2"/>
  <c r="O61" i="2" s="1"/>
  <c r="Y61" i="2"/>
  <c r="W61" i="2"/>
  <c r="AK60" i="2"/>
  <c r="Y60" i="2" s="1"/>
  <c r="AI60" i="2"/>
  <c r="W60" i="2" s="1"/>
  <c r="AG60" i="2"/>
  <c r="AE60" i="2"/>
  <c r="AC60" i="2"/>
  <c r="AA60" i="2"/>
  <c r="U60" i="2"/>
  <c r="S60" i="2"/>
  <c r="Q60" i="2"/>
  <c r="O60" i="2"/>
  <c r="AK59" i="2"/>
  <c r="AI59" i="2"/>
  <c r="AG59" i="2"/>
  <c r="U59" i="2" s="1"/>
  <c r="AE59" i="2"/>
  <c r="S59" i="2" s="1"/>
  <c r="AC59" i="2"/>
  <c r="Q59" i="2" s="1"/>
  <c r="AA59" i="2"/>
  <c r="O59" i="2" s="1"/>
  <c r="Y59" i="2"/>
  <c r="W59" i="2"/>
  <c r="AK58" i="2"/>
  <c r="Y58" i="2" s="1"/>
  <c r="AI58" i="2"/>
  <c r="W58" i="2" s="1"/>
  <c r="AG58" i="2"/>
  <c r="AE58" i="2"/>
  <c r="AC58" i="2"/>
  <c r="AA58" i="2"/>
  <c r="U58" i="2"/>
  <c r="S58" i="2"/>
  <c r="Q58" i="2"/>
  <c r="O58" i="2"/>
  <c r="AK57" i="2"/>
  <c r="AI57" i="2"/>
  <c r="AG57" i="2"/>
  <c r="U57" i="2" s="1"/>
  <c r="AE57" i="2"/>
  <c r="S57" i="2" s="1"/>
  <c r="AC57" i="2"/>
  <c r="Q57" i="2" s="1"/>
  <c r="AA57" i="2"/>
  <c r="O57" i="2" s="1"/>
  <c r="Y57" i="2"/>
  <c r="W57" i="2"/>
  <c r="AK56" i="2"/>
  <c r="Y56" i="2" s="1"/>
  <c r="AI56" i="2"/>
  <c r="W56" i="2" s="1"/>
  <c r="AG56" i="2"/>
  <c r="AE56" i="2"/>
  <c r="AC56" i="2"/>
  <c r="AA56" i="2"/>
  <c r="U56" i="2"/>
  <c r="S56" i="2"/>
  <c r="Q56" i="2"/>
  <c r="O56" i="2"/>
  <c r="AK53" i="2"/>
  <c r="Y53" i="2" s="1"/>
  <c r="AI53" i="2"/>
  <c r="W53" i="2" s="1"/>
  <c r="AG53" i="2"/>
  <c r="U53" i="2" s="1"/>
  <c r="AE53" i="2"/>
  <c r="S53" i="2" s="1"/>
  <c r="AC53" i="2"/>
  <c r="AA53" i="2"/>
  <c r="Q53" i="2"/>
  <c r="O53" i="2"/>
  <c r="AK52" i="2"/>
  <c r="AI52" i="2"/>
  <c r="AG52" i="2"/>
  <c r="AE52" i="2"/>
  <c r="S52" i="2" s="1"/>
  <c r="AC52" i="2"/>
  <c r="Q52" i="2" s="1"/>
  <c r="AA52" i="2"/>
  <c r="O52" i="2" s="1"/>
  <c r="Y52" i="2"/>
  <c r="W52" i="2"/>
  <c r="U52" i="2"/>
  <c r="AK51" i="2"/>
  <c r="Y51" i="2" s="1"/>
  <c r="AI51" i="2"/>
  <c r="W51" i="2" s="1"/>
  <c r="AG51" i="2"/>
  <c r="AE51" i="2"/>
  <c r="AC51" i="2"/>
  <c r="AA51" i="2"/>
  <c r="U51" i="2"/>
  <c r="S51" i="2"/>
  <c r="Q51" i="2"/>
  <c r="O51" i="2"/>
  <c r="AK50" i="2"/>
  <c r="AI50" i="2"/>
  <c r="W50" i="2" s="1"/>
  <c r="AG50" i="2"/>
  <c r="U50" i="2" s="1"/>
  <c r="AE50" i="2"/>
  <c r="S50" i="2" s="1"/>
  <c r="AC50" i="2"/>
  <c r="Q50" i="2" s="1"/>
  <c r="AA50" i="2"/>
  <c r="Y50" i="2"/>
  <c r="O50" i="2"/>
  <c r="AK49" i="2"/>
  <c r="AI49" i="2"/>
  <c r="AG49" i="2"/>
  <c r="AE49" i="2"/>
  <c r="AC49" i="2"/>
  <c r="Q49" i="2" s="1"/>
  <c r="AA49" i="2"/>
  <c r="O49" i="2" s="1"/>
  <c r="Y49" i="2"/>
  <c r="W49" i="2"/>
  <c r="U49" i="2"/>
  <c r="S49" i="2"/>
  <c r="AK48" i="2"/>
  <c r="Y48" i="2" s="1"/>
  <c r="AI48" i="2"/>
  <c r="W48" i="2" s="1"/>
  <c r="AG48" i="2"/>
  <c r="U48" i="2" s="1"/>
  <c r="AE48" i="2"/>
  <c r="AC48" i="2"/>
  <c r="AA48" i="2"/>
  <c r="S48" i="2"/>
  <c r="Q48" i="2"/>
  <c r="O48" i="2"/>
  <c r="AK47" i="2"/>
  <c r="AI47" i="2"/>
  <c r="W47" i="2" s="1"/>
  <c r="AG47" i="2"/>
  <c r="U47" i="2" s="1"/>
  <c r="AE47" i="2"/>
  <c r="S47" i="2" s="1"/>
  <c r="AC47" i="2"/>
  <c r="Q47" i="2" s="1"/>
  <c r="AA47" i="2"/>
  <c r="O47" i="2" s="1"/>
  <c r="Y47" i="2"/>
  <c r="AM46" i="2"/>
  <c r="AM47" i="2" s="1"/>
  <c r="AM48" i="2" s="1"/>
  <c r="AM49" i="2" s="1"/>
  <c r="AM50" i="2" s="1"/>
  <c r="AM51" i="2" s="1"/>
  <c r="AM52" i="2" s="1"/>
  <c r="AM53" i="2" s="1"/>
  <c r="AK46" i="2"/>
  <c r="AI46" i="2"/>
  <c r="AG46" i="2"/>
  <c r="AE46" i="2"/>
  <c r="AC46" i="2"/>
  <c r="AA46" i="2"/>
  <c r="O46" i="2" s="1"/>
  <c r="Y46" i="2"/>
  <c r="W46" i="2"/>
  <c r="U46" i="2"/>
  <c r="S46" i="2"/>
  <c r="Q46" i="2"/>
  <c r="AK45" i="2"/>
  <c r="AI45" i="2"/>
  <c r="W45" i="2" s="1"/>
  <c r="AG45" i="2"/>
  <c r="U45" i="2" s="1"/>
  <c r="AE45" i="2"/>
  <c r="S45" i="2" s="1"/>
  <c r="AC45" i="2"/>
  <c r="Q45" i="2" s="1"/>
  <c r="AA45" i="2"/>
  <c r="Y45" i="2"/>
  <c r="O45" i="2"/>
  <c r="AK42" i="2"/>
  <c r="AI42" i="2"/>
  <c r="AG42" i="2"/>
  <c r="AE42" i="2"/>
  <c r="AC42" i="2"/>
  <c r="Q42" i="2" s="1"/>
  <c r="AA42" i="2"/>
  <c r="O42" i="2" s="1"/>
  <c r="Y42" i="2"/>
  <c r="W42" i="2"/>
  <c r="U42" i="2"/>
  <c r="S42" i="2"/>
  <c r="AK41" i="2"/>
  <c r="Y41" i="2" s="1"/>
  <c r="AI41" i="2"/>
  <c r="W41" i="2" s="1"/>
  <c r="AG41" i="2"/>
  <c r="U41" i="2" s="1"/>
  <c r="AE41" i="2"/>
  <c r="S41" i="2" s="1"/>
  <c r="AC41" i="2"/>
  <c r="AA41" i="2"/>
  <c r="Q41" i="2"/>
  <c r="O41" i="2"/>
  <c r="AK40" i="2"/>
  <c r="AI40" i="2"/>
  <c r="AG40" i="2"/>
  <c r="AE40" i="2"/>
  <c r="S40" i="2" s="1"/>
  <c r="AC40" i="2"/>
  <c r="Q40" i="2" s="1"/>
  <c r="AA40" i="2"/>
  <c r="O40" i="2" s="1"/>
  <c r="Y40" i="2"/>
  <c r="W40" i="2"/>
  <c r="U40" i="2"/>
  <c r="AK39" i="2"/>
  <c r="Y39" i="2" s="1"/>
  <c r="AI39" i="2"/>
  <c r="W39" i="2" s="1"/>
  <c r="AG39" i="2"/>
  <c r="U39" i="2" s="1"/>
  <c r="AE39" i="2"/>
  <c r="S39" i="2" s="1"/>
  <c r="AC39" i="2"/>
  <c r="AA39" i="2"/>
  <c r="Q39" i="2"/>
  <c r="O39" i="2"/>
  <c r="AK38" i="2"/>
  <c r="AI38" i="2"/>
  <c r="AG38" i="2"/>
  <c r="AE38" i="2"/>
  <c r="S38" i="2" s="1"/>
  <c r="AC38" i="2"/>
  <c r="Q38" i="2" s="1"/>
  <c r="AA38" i="2"/>
  <c r="O38" i="2" s="1"/>
  <c r="Y38" i="2"/>
  <c r="W38" i="2"/>
  <c r="U38" i="2"/>
  <c r="AK37" i="2"/>
  <c r="Y37" i="2" s="1"/>
  <c r="AI37" i="2"/>
  <c r="W37" i="2" s="1"/>
  <c r="AG37" i="2"/>
  <c r="U37" i="2" s="1"/>
  <c r="AE37" i="2"/>
  <c r="AC37" i="2"/>
  <c r="AA37" i="2"/>
  <c r="S37" i="2"/>
  <c r="Q37" i="2"/>
  <c r="O37" i="2"/>
  <c r="AK36" i="2"/>
  <c r="AI36" i="2"/>
  <c r="AG36" i="2"/>
  <c r="AE36" i="2"/>
  <c r="AC36" i="2"/>
  <c r="Q36" i="2" s="1"/>
  <c r="AA36" i="2"/>
  <c r="O36" i="2" s="1"/>
  <c r="Y36" i="2"/>
  <c r="W36" i="2"/>
  <c r="U36" i="2"/>
  <c r="S36" i="2"/>
  <c r="AK35" i="2"/>
  <c r="Y35" i="2" s="1"/>
  <c r="AI35" i="2"/>
  <c r="AG35" i="2"/>
  <c r="U35" i="2" s="1"/>
  <c r="AE35" i="2"/>
  <c r="S35" i="2" s="1"/>
  <c r="AC35" i="2"/>
  <c r="AA35" i="2"/>
  <c r="W35" i="2"/>
  <c r="Q35" i="2"/>
  <c r="O35" i="2"/>
  <c r="AK34" i="2"/>
  <c r="AI34" i="2"/>
  <c r="W34" i="2" s="1"/>
  <c r="AG34" i="2"/>
  <c r="AE34" i="2"/>
  <c r="AC34" i="2"/>
  <c r="Q34" i="2" s="1"/>
  <c r="AA34" i="2"/>
  <c r="Y34" i="2"/>
  <c r="U34" i="2"/>
  <c r="S34" i="2"/>
  <c r="O34" i="2"/>
  <c r="AK31" i="2"/>
  <c r="Y31" i="2" s="1"/>
  <c r="AI31" i="2"/>
  <c r="AG31" i="2"/>
  <c r="AE31" i="2"/>
  <c r="S31" i="2" s="1"/>
  <c r="AC31" i="2"/>
  <c r="AA31" i="2"/>
  <c r="W31" i="2"/>
  <c r="U31" i="2"/>
  <c r="Q31" i="2"/>
  <c r="O31" i="2"/>
  <c r="AK30" i="2"/>
  <c r="AI30" i="2"/>
  <c r="AG30" i="2"/>
  <c r="U30" i="2" s="1"/>
  <c r="AE30" i="2"/>
  <c r="AC30" i="2"/>
  <c r="Q30" i="2" s="1"/>
  <c r="AA30" i="2"/>
  <c r="Y30" i="2"/>
  <c r="W30" i="2"/>
  <c r="S30" i="2"/>
  <c r="O30" i="2"/>
  <c r="AK29" i="2"/>
  <c r="Y29" i="2" s="1"/>
  <c r="AI29" i="2"/>
  <c r="AG29" i="2"/>
  <c r="AE29" i="2"/>
  <c r="S29" i="2" s="1"/>
  <c r="AC29" i="2"/>
  <c r="AA29" i="2"/>
  <c r="O29" i="2" s="1"/>
  <c r="W29" i="2"/>
  <c r="U29" i="2"/>
  <c r="Q29" i="2"/>
  <c r="AK28" i="2"/>
  <c r="AI28" i="2"/>
  <c r="W28" i="2" s="1"/>
  <c r="AG28" i="2"/>
  <c r="U28" i="2" s="1"/>
  <c r="AE28" i="2"/>
  <c r="AC28" i="2"/>
  <c r="Q28" i="2" s="1"/>
  <c r="AA28" i="2"/>
  <c r="Y28" i="2"/>
  <c r="S28" i="2"/>
  <c r="O28" i="2"/>
  <c r="AK27" i="2"/>
  <c r="Y27" i="2" s="1"/>
  <c r="AI27" i="2"/>
  <c r="AG27" i="2"/>
  <c r="AE27" i="2"/>
  <c r="S27" i="2" s="1"/>
  <c r="AC27" i="2"/>
  <c r="AA27" i="2"/>
  <c r="O27" i="2" s="1"/>
  <c r="W27" i="2"/>
  <c r="U27" i="2"/>
  <c r="Q27" i="2"/>
  <c r="AK26" i="2"/>
  <c r="AI26" i="2"/>
  <c r="W26" i="2" s="1"/>
  <c r="AG26" i="2"/>
  <c r="U26" i="2" s="1"/>
  <c r="AE26" i="2"/>
  <c r="AC26" i="2"/>
  <c r="Q26" i="2" s="1"/>
  <c r="AA26" i="2"/>
  <c r="Y26" i="2"/>
  <c r="S26" i="2"/>
  <c r="O26" i="2"/>
  <c r="AK25" i="2"/>
  <c r="Y25" i="2" s="1"/>
  <c r="AI25" i="2"/>
  <c r="AG25" i="2"/>
  <c r="AE25" i="2"/>
  <c r="S25" i="2" s="1"/>
  <c r="AC25" i="2"/>
  <c r="AA25" i="2"/>
  <c r="O25" i="2" s="1"/>
  <c r="W25" i="2"/>
  <c r="U25" i="2"/>
  <c r="Q25" i="2"/>
  <c r="AK24" i="2"/>
  <c r="AI24" i="2"/>
  <c r="W24" i="2" s="1"/>
  <c r="AG24" i="2"/>
  <c r="U24" i="2" s="1"/>
  <c r="AE24" i="2"/>
  <c r="AC24" i="2"/>
  <c r="Q24" i="2" s="1"/>
  <c r="AA24" i="2"/>
  <c r="Y24" i="2"/>
  <c r="S24" i="2"/>
  <c r="O24" i="2"/>
  <c r="AK23" i="2"/>
  <c r="Y23" i="2" s="1"/>
  <c r="AI23" i="2"/>
  <c r="AG23" i="2"/>
  <c r="AE23" i="2"/>
  <c r="S23" i="2" s="1"/>
  <c r="AC23" i="2"/>
  <c r="AA23" i="2"/>
  <c r="O23" i="2" s="1"/>
  <c r="W23" i="2"/>
  <c r="U23" i="2"/>
  <c r="Q23" i="2"/>
  <c r="AK20" i="2"/>
  <c r="Y20" i="2" s="1"/>
  <c r="AI20" i="2"/>
  <c r="W20" i="2" s="1"/>
  <c r="AG20" i="2"/>
  <c r="AE20" i="2"/>
  <c r="S20" i="2" s="1"/>
  <c r="AC20" i="2"/>
  <c r="AA20" i="2"/>
  <c r="U20" i="2"/>
  <c r="Q20" i="2"/>
  <c r="O20" i="2"/>
  <c r="AK19" i="2"/>
  <c r="AI19" i="2"/>
  <c r="AG19" i="2"/>
  <c r="U19" i="2" s="1"/>
  <c r="AE19" i="2"/>
  <c r="AC19" i="2"/>
  <c r="Q19" i="2" s="1"/>
  <c r="AA19" i="2"/>
  <c r="O19" i="2" s="1"/>
  <c r="Y19" i="2"/>
  <c r="W19" i="2"/>
  <c r="S19" i="2"/>
  <c r="AK18" i="2"/>
  <c r="Y18" i="2" s="1"/>
  <c r="AI18" i="2"/>
  <c r="W18" i="2" s="1"/>
  <c r="AG18" i="2"/>
  <c r="AE18" i="2"/>
  <c r="S18" i="2" s="1"/>
  <c r="AC18" i="2"/>
  <c r="AA18" i="2"/>
  <c r="U18" i="2"/>
  <c r="Q18" i="2"/>
  <c r="O18" i="2"/>
  <c r="AK17" i="2"/>
  <c r="AI17" i="2"/>
  <c r="AG17" i="2"/>
  <c r="U17" i="2" s="1"/>
  <c r="AE17" i="2"/>
  <c r="AC17" i="2"/>
  <c r="Q17" i="2" s="1"/>
  <c r="AA17" i="2"/>
  <c r="O17" i="2" s="1"/>
  <c r="Y17" i="2"/>
  <c r="W17" i="2"/>
  <c r="S17" i="2"/>
  <c r="AK16" i="2"/>
  <c r="Y16" i="2" s="1"/>
  <c r="AI16" i="2"/>
  <c r="W16" i="2" s="1"/>
  <c r="AG16" i="2"/>
  <c r="AE16" i="2"/>
  <c r="S16" i="2" s="1"/>
  <c r="AC16" i="2"/>
  <c r="AA16" i="2"/>
  <c r="U16" i="2"/>
  <c r="Q16" i="2"/>
  <c r="O16" i="2"/>
  <c r="AK15" i="2"/>
  <c r="AI15" i="2"/>
  <c r="AG15" i="2"/>
  <c r="U15" i="2" s="1"/>
  <c r="AE15" i="2"/>
  <c r="AC15" i="2"/>
  <c r="Q15" i="2" s="1"/>
  <c r="AA15" i="2"/>
  <c r="O15" i="2" s="1"/>
  <c r="Y15" i="2"/>
  <c r="W15" i="2"/>
  <c r="S15" i="2"/>
  <c r="AK14" i="2"/>
  <c r="Y14" i="2" s="1"/>
  <c r="AI14" i="2"/>
  <c r="W14" i="2" s="1"/>
  <c r="AG14" i="2"/>
  <c r="AE14" i="2"/>
  <c r="S14" i="2" s="1"/>
  <c r="AC14" i="2"/>
  <c r="AA14" i="2"/>
  <c r="U14" i="2"/>
  <c r="Q14" i="2"/>
  <c r="O14" i="2"/>
  <c r="AK13" i="2"/>
  <c r="AI13" i="2"/>
  <c r="AG13" i="2"/>
  <c r="U13" i="2" s="1"/>
  <c r="AE13" i="2"/>
  <c r="AC13" i="2"/>
  <c r="Q13" i="2" s="1"/>
  <c r="AA13" i="2"/>
  <c r="O13" i="2" s="1"/>
  <c r="Y13" i="2"/>
  <c r="W13" i="2"/>
  <c r="S13" i="2"/>
  <c r="AK10" i="2"/>
  <c r="Y10" i="2" s="1"/>
  <c r="AI10" i="2"/>
  <c r="AG10" i="2"/>
  <c r="U10" i="2" s="1"/>
  <c r="AE10" i="2"/>
  <c r="AC10" i="2"/>
  <c r="AA10" i="2"/>
  <c r="O10" i="2" s="1"/>
  <c r="W10" i="2"/>
  <c r="S10" i="2"/>
  <c r="Q10" i="2"/>
  <c r="AK9" i="2"/>
  <c r="AI9" i="2"/>
  <c r="W9" i="2" s="1"/>
  <c r="AG9" i="2"/>
  <c r="AE9" i="2"/>
  <c r="S9" i="2" s="1"/>
  <c r="AC9" i="2"/>
  <c r="Q9" i="2" s="1"/>
  <c r="AA9" i="2"/>
  <c r="Y9" i="2"/>
  <c r="U9" i="2"/>
  <c r="O9" i="2"/>
  <c r="AK8" i="2"/>
  <c r="Y8" i="2" s="1"/>
  <c r="AI8" i="2"/>
  <c r="AG8" i="2"/>
  <c r="U8" i="2" s="1"/>
  <c r="AE8" i="2"/>
  <c r="AC8" i="2"/>
  <c r="AA8" i="2"/>
  <c r="O8" i="2" s="1"/>
  <c r="W8" i="2"/>
  <c r="S8" i="2"/>
  <c r="Q8" i="2"/>
  <c r="AK7" i="2"/>
  <c r="AI7" i="2"/>
  <c r="W7" i="2" s="1"/>
  <c r="AG7" i="2"/>
  <c r="AE7" i="2"/>
  <c r="S7" i="2" s="1"/>
  <c r="AC7" i="2"/>
  <c r="Q7" i="2" s="1"/>
  <c r="AA7" i="2"/>
  <c r="Y7" i="2"/>
  <c r="U7" i="2"/>
  <c r="O7" i="2"/>
  <c r="AK6" i="2"/>
  <c r="Y6" i="2" s="1"/>
  <c r="AI6" i="2"/>
  <c r="AG6" i="2"/>
  <c r="U6" i="2" s="1"/>
  <c r="AE6" i="2"/>
  <c r="AC6" i="2"/>
  <c r="AA6" i="2"/>
  <c r="O6" i="2" s="1"/>
  <c r="W6" i="2"/>
  <c r="S6" i="2"/>
  <c r="Q6" i="2"/>
  <c r="AK5" i="2"/>
  <c r="AI5" i="2"/>
  <c r="W5" i="2" s="1"/>
  <c r="AG5" i="2"/>
  <c r="AE5" i="2"/>
  <c r="S5" i="2" s="1"/>
  <c r="AC5" i="2"/>
  <c r="Q5" i="2" s="1"/>
  <c r="AA5" i="2"/>
  <c r="Y5" i="2"/>
  <c r="U5" i="2"/>
  <c r="O5" i="2"/>
  <c r="AK4" i="2"/>
  <c r="Y4" i="2" s="1"/>
  <c r="AI4" i="2"/>
  <c r="AG4" i="2"/>
  <c r="U4" i="2" s="1"/>
  <c r="AE4" i="2"/>
  <c r="AC4" i="2"/>
  <c r="AA4" i="2"/>
  <c r="O4" i="2" s="1"/>
  <c r="W4" i="2"/>
  <c r="S4" i="2"/>
  <c r="Q4" i="2"/>
  <c r="AK3" i="2"/>
  <c r="AI3" i="2"/>
  <c r="W3" i="2" s="1"/>
  <c r="AG3" i="2"/>
  <c r="AE3" i="2"/>
  <c r="S3" i="2" s="1"/>
  <c r="AC3" i="2"/>
  <c r="Q3" i="2" s="1"/>
  <c r="AA3" i="2"/>
  <c r="Y3" i="2"/>
  <c r="U3" i="2"/>
  <c r="O3" i="2"/>
  <c r="AK2" i="2"/>
  <c r="Y2" i="2" s="1"/>
  <c r="AI2" i="2"/>
  <c r="AG2" i="2"/>
  <c r="U2" i="2" s="1"/>
  <c r="AE2" i="2"/>
  <c r="AC2" i="2"/>
  <c r="AA2" i="2"/>
  <c r="O2" i="2" s="1"/>
  <c r="W2" i="2"/>
  <c r="S2" i="2"/>
  <c r="Q2" i="2"/>
  <c r="AL44" i="1"/>
  <c r="AM44" i="1" s="1"/>
  <c r="AH44" i="1"/>
  <c r="AI44" i="1" s="1"/>
  <c r="AG44" i="1"/>
  <c r="AK44" i="1" s="1"/>
  <c r="AM43" i="1"/>
  <c r="AL43" i="1"/>
  <c r="AK43" i="1"/>
  <c r="AI43" i="1"/>
  <c r="AH43" i="1"/>
  <c r="AG43" i="1"/>
  <c r="AM42" i="1"/>
  <c r="AL42" i="1"/>
  <c r="AK42" i="1"/>
  <c r="AH42" i="1"/>
  <c r="AI42" i="1" s="1"/>
  <c r="AG42" i="1"/>
  <c r="AL41" i="1"/>
  <c r="AM41" i="1" s="1"/>
  <c r="AK41" i="1"/>
  <c r="AH41" i="1"/>
  <c r="AI41" i="1" s="1"/>
  <c r="AG41" i="1"/>
  <c r="AL40" i="1"/>
  <c r="AM40" i="1" s="1"/>
  <c r="AH40" i="1"/>
  <c r="AI40" i="1" s="1"/>
  <c r="AG40" i="1"/>
  <c r="AK40" i="1" s="1"/>
  <c r="AM39" i="1"/>
  <c r="AL39" i="1"/>
  <c r="AK39" i="1"/>
  <c r="AI39" i="1"/>
  <c r="AH39" i="1"/>
  <c r="AG39" i="1"/>
  <c r="AK35" i="1" a="1"/>
  <c r="AG35" i="1"/>
  <c r="AG34" i="1"/>
  <c r="AK32" i="1"/>
  <c r="AJ32" i="1"/>
  <c r="AI32" i="1"/>
  <c r="AH32" i="1"/>
  <c r="AT31" i="1"/>
  <c r="AS31" i="1"/>
  <c r="AR31" i="1"/>
  <c r="AK31" i="1"/>
  <c r="AJ31" i="1"/>
  <c r="AI31" i="1"/>
  <c r="AH31" i="1"/>
  <c r="Z31" i="1"/>
  <c r="T31" i="1"/>
  <c r="AK30" i="1"/>
  <c r="AJ30" i="1"/>
  <c r="AI30" i="1"/>
  <c r="AH30" i="1"/>
  <c r="X30" i="1"/>
  <c r="T30" i="1"/>
  <c r="R30" i="1"/>
  <c r="AK29" i="1"/>
  <c r="AJ29" i="1"/>
  <c r="AJ35" i="1" s="1" a="1"/>
  <c r="AI29" i="1"/>
  <c r="AH29" i="1"/>
  <c r="Z29" i="1"/>
  <c r="T29" i="1"/>
  <c r="P29" i="1"/>
  <c r="I29" i="1"/>
  <c r="AI19" i="1" s="1"/>
  <c r="AK28" i="1"/>
  <c r="AK34" i="1" s="1" a="1"/>
  <c r="AJ28" i="1"/>
  <c r="AJ34" i="1" s="1" a="1"/>
  <c r="AI28" i="1"/>
  <c r="AI34" i="1" s="1" a="1"/>
  <c r="AH28" i="1"/>
  <c r="AH34" i="1" s="1" a="1"/>
  <c r="X28" i="1"/>
  <c r="T28" i="1"/>
  <c r="R28" i="1"/>
  <c r="G28" i="1"/>
  <c r="AK27" i="1"/>
  <c r="AJ27" i="1"/>
  <c r="AI27" i="1"/>
  <c r="AI35" i="1" s="1" a="1"/>
  <c r="AH27" i="1"/>
  <c r="Z27" i="1"/>
  <c r="T27" i="1"/>
  <c r="AL26" i="1"/>
  <c r="AK26" i="1"/>
  <c r="Z26" i="1"/>
  <c r="T26" i="1"/>
  <c r="X25" i="1"/>
  <c r="T25" i="1"/>
  <c r="I25" i="1"/>
  <c r="I34" i="1" s="1"/>
  <c r="G25" i="1"/>
  <c r="G34" i="1" s="1"/>
  <c r="F25" i="1"/>
  <c r="E25" i="1"/>
  <c r="E34" i="1" s="1"/>
  <c r="C25" i="1"/>
  <c r="AJ17" i="1" s="1"/>
  <c r="D25" i="1" s="1"/>
  <c r="B25" i="1"/>
  <c r="X24" i="1"/>
  <c r="T24" i="1"/>
  <c r="I13" i="1" s="1"/>
  <c r="I24" i="1"/>
  <c r="I33" i="1" s="1"/>
  <c r="G24" i="1"/>
  <c r="G33" i="1" s="1"/>
  <c r="F24" i="1"/>
  <c r="E24" i="1"/>
  <c r="E33" i="1" s="1"/>
  <c r="C24" i="1"/>
  <c r="C33" i="1" s="1"/>
  <c r="B24" i="1"/>
  <c r="Z23" i="1"/>
  <c r="Z32" i="1" s="1"/>
  <c r="X23" i="1"/>
  <c r="X31" i="1" s="1"/>
  <c r="V23" i="1"/>
  <c r="V30" i="1" s="1"/>
  <c r="T23" i="1"/>
  <c r="T32" i="1" s="1"/>
  <c r="R23" i="1"/>
  <c r="R25" i="1" s="1"/>
  <c r="P23" i="1"/>
  <c r="P25" i="1" s="1"/>
  <c r="I23" i="1"/>
  <c r="I32" i="1" s="1"/>
  <c r="G23" i="1"/>
  <c r="AN15" i="1" s="1"/>
  <c r="E23" i="1"/>
  <c r="E32" i="1" s="1"/>
  <c r="C23" i="1"/>
  <c r="AK15" i="1" s="1"/>
  <c r="B23" i="1"/>
  <c r="AY22" i="1"/>
  <c r="AV22" i="1"/>
  <c r="AV26" i="1" s="1"/>
  <c r="AU27" i="1" s="1"/>
  <c r="I22" i="1"/>
  <c r="AI14" i="1" s="1"/>
  <c r="G22" i="1"/>
  <c r="G31" i="1" s="1"/>
  <c r="E22" i="1"/>
  <c r="E31" i="1" s="1"/>
  <c r="C22" i="1"/>
  <c r="C31" i="1" s="1"/>
  <c r="B22" i="1"/>
  <c r="AX21" i="1"/>
  <c r="AX25" i="1" s="1"/>
  <c r="AS21" i="1"/>
  <c r="AS25" i="1" s="1"/>
  <c r="I21" i="1"/>
  <c r="I30" i="1" s="1"/>
  <c r="G21" i="1"/>
  <c r="G30" i="1" s="1"/>
  <c r="E21" i="1"/>
  <c r="E30" i="1" s="1"/>
  <c r="C21" i="1"/>
  <c r="AK13" i="1" s="1"/>
  <c r="B21" i="1"/>
  <c r="S20" i="1"/>
  <c r="N20" i="1"/>
  <c r="N31" i="1" s="1"/>
  <c r="I20" i="1"/>
  <c r="AH12" i="1" s="1"/>
  <c r="G20" i="1"/>
  <c r="G29" i="1" s="1"/>
  <c r="E20" i="1"/>
  <c r="AL12" i="1" s="1"/>
  <c r="F20" i="1" s="1"/>
  <c r="C20" i="1"/>
  <c r="C29" i="1" s="1"/>
  <c r="B20" i="1"/>
  <c r="AU19" i="1"/>
  <c r="AG19" i="1"/>
  <c r="S19" i="1"/>
  <c r="N19" i="1"/>
  <c r="N30" i="1" s="1"/>
  <c r="G19" i="1"/>
  <c r="B19" i="1"/>
  <c r="AY18" i="1"/>
  <c r="AX18" i="1"/>
  <c r="AX22" i="1" s="1"/>
  <c r="AX26" i="1" s="1"/>
  <c r="AW18" i="1"/>
  <c r="AW22" i="1" s="1"/>
  <c r="AW26" i="1" s="1"/>
  <c r="AV18" i="1"/>
  <c r="AN18" i="1"/>
  <c r="AL18" i="1"/>
  <c r="AJ18" i="1"/>
  <c r="AH18" i="1"/>
  <c r="S18" i="1"/>
  <c r="AX17" i="1"/>
  <c r="AW17" i="1"/>
  <c r="AW21" i="1" s="1"/>
  <c r="AW25" i="1" s="1"/>
  <c r="AT17" i="1"/>
  <c r="AT21" i="1" s="1"/>
  <c r="AT25" i="1" s="1"/>
  <c r="AS17" i="1"/>
  <c r="AR17" i="1"/>
  <c r="AR21" i="1" s="1"/>
  <c r="AR25" i="1" s="1"/>
  <c r="AQ17" i="1"/>
  <c r="AQ21" i="1" s="1"/>
  <c r="AQ25" i="1" s="1"/>
  <c r="AM17" i="1"/>
  <c r="AL17" i="1"/>
  <c r="AK17" i="1"/>
  <c r="AH17" i="1"/>
  <c r="N17" i="1"/>
  <c r="N28" i="1" s="1"/>
  <c r="AM16" i="1"/>
  <c r="AL16" i="1"/>
  <c r="AJ16" i="1"/>
  <c r="AI16" i="1"/>
  <c r="AH16" i="1"/>
  <c r="U16" i="1"/>
  <c r="S16" i="1"/>
  <c r="AU15" i="1"/>
  <c r="AO14" i="1"/>
  <c r="AN14" i="1"/>
  <c r="AM14" i="1"/>
  <c r="AL14" i="1"/>
  <c r="F22" i="1" s="1"/>
  <c r="AJ14" i="1"/>
  <c r="U14" i="1"/>
  <c r="O14" i="1"/>
  <c r="AQ13" i="1"/>
  <c r="AL13" i="1"/>
  <c r="AI13" i="1"/>
  <c r="W13" i="1"/>
  <c r="O13" i="1"/>
  <c r="AM12" i="1"/>
  <c r="AI12" i="1"/>
  <c r="AG12" i="1"/>
  <c r="Y10" i="1"/>
  <c r="Y21" i="1" s="1"/>
  <c r="W10" i="1"/>
  <c r="W21" i="1" s="1"/>
  <c r="U10" i="1"/>
  <c r="U21" i="1" s="1"/>
  <c r="S10" i="1"/>
  <c r="Q10" i="1"/>
  <c r="O10" i="1"/>
  <c r="O21" i="1" s="1"/>
  <c r="N10" i="1"/>
  <c r="N21" i="1" s="1"/>
  <c r="N32" i="1" s="1"/>
  <c r="Y9" i="1"/>
  <c r="Y20" i="1" s="1"/>
  <c r="W9" i="1"/>
  <c r="W20" i="1" s="1"/>
  <c r="U9" i="1"/>
  <c r="U20" i="1" s="1"/>
  <c r="S9" i="1"/>
  <c r="Q9" i="1"/>
  <c r="Q20" i="1" s="1"/>
  <c r="O9" i="1"/>
  <c r="N9" i="1"/>
  <c r="L9" i="1"/>
  <c r="AQ8" i="1"/>
  <c r="AP8" i="1"/>
  <c r="Y8" i="1"/>
  <c r="Y19" i="1" s="1"/>
  <c r="W8" i="1"/>
  <c r="W19" i="1" s="1"/>
  <c r="U8" i="1"/>
  <c r="V8" i="1" s="1"/>
  <c r="S8" i="1"/>
  <c r="Q8" i="1"/>
  <c r="O8" i="1"/>
  <c r="O19" i="1" s="1"/>
  <c r="N8" i="1"/>
  <c r="AT7" i="1"/>
  <c r="AT27" i="1" s="1"/>
  <c r="AS7" i="1"/>
  <c r="AS27" i="1" s="1"/>
  <c r="AR7" i="1"/>
  <c r="AR27" i="1" s="1"/>
  <c r="AQ7" i="1"/>
  <c r="AY26" i="1" s="1"/>
  <c r="AP7" i="1"/>
  <c r="AM7" i="1"/>
  <c r="AK7" i="1"/>
  <c r="Y7" i="1"/>
  <c r="Y18" i="1" s="1"/>
  <c r="W7" i="1"/>
  <c r="W18" i="1" s="1"/>
  <c r="U7" i="1"/>
  <c r="V7" i="1" s="1"/>
  <c r="S7" i="1"/>
  <c r="Q7" i="1"/>
  <c r="Q18" i="1" s="1"/>
  <c r="O7" i="1"/>
  <c r="O18" i="1" s="1"/>
  <c r="N7" i="1"/>
  <c r="N18" i="1" s="1"/>
  <c r="N29" i="1" s="1"/>
  <c r="AQ6" i="1"/>
  <c r="AT6" i="1" s="1"/>
  <c r="AT23" i="1" s="1"/>
  <c r="AP6" i="1"/>
  <c r="AM6" i="1"/>
  <c r="AK6" i="1"/>
  <c r="Y6" i="1"/>
  <c r="Y17" i="1" s="1"/>
  <c r="W6" i="1"/>
  <c r="U6" i="1"/>
  <c r="U17" i="1" s="1"/>
  <c r="S6" i="1"/>
  <c r="S17" i="1" s="1"/>
  <c r="Q6" i="1"/>
  <c r="Q17" i="1" s="1"/>
  <c r="O6" i="1"/>
  <c r="N6" i="1"/>
  <c r="AR5" i="1"/>
  <c r="AR19" i="1" s="1"/>
  <c r="AR18" i="1" s="1"/>
  <c r="AQ5" i="1"/>
  <c r="AT5" i="1" s="1"/>
  <c r="AT19" i="1" s="1"/>
  <c r="AT18" i="1" s="1"/>
  <c r="AP5" i="1"/>
  <c r="AM5" i="1"/>
  <c r="AK5" i="1"/>
  <c r="Y5" i="1"/>
  <c r="Y16" i="1" s="1"/>
  <c r="W5" i="1"/>
  <c r="U5" i="1"/>
  <c r="S5" i="1"/>
  <c r="AB5" i="1" s="1"/>
  <c r="Q5" i="1"/>
  <c r="Q16" i="1" s="1"/>
  <c r="O5" i="1"/>
  <c r="N5" i="1"/>
  <c r="N16" i="1" s="1"/>
  <c r="N27" i="1" s="1"/>
  <c r="AQ4" i="1"/>
  <c r="AT4" i="1" s="1"/>
  <c r="AT15" i="1" s="1"/>
  <c r="AT14" i="1" s="1"/>
  <c r="AP4" i="1"/>
  <c r="AM4" i="1"/>
  <c r="AK4" i="1"/>
  <c r="Y4" i="1"/>
  <c r="W4" i="1"/>
  <c r="W15" i="1" s="1"/>
  <c r="U4" i="1"/>
  <c r="U15" i="1" s="1"/>
  <c r="S4" i="1"/>
  <c r="Q4" i="1"/>
  <c r="O4" i="1"/>
  <c r="O15" i="1" s="1"/>
  <c r="N4" i="1"/>
  <c r="N15" i="1" s="1"/>
  <c r="N26" i="1" s="1"/>
  <c r="AQ3" i="1"/>
  <c r="AP3" i="1"/>
  <c r="AM3" i="1"/>
  <c r="AK3" i="1"/>
  <c r="Y3" i="1"/>
  <c r="W3" i="1"/>
  <c r="W14" i="1" s="1"/>
  <c r="U3" i="1"/>
  <c r="S3" i="1"/>
  <c r="S14" i="1" s="1"/>
  <c r="Q3" i="1"/>
  <c r="AB3" i="1" s="1"/>
  <c r="O3" i="1"/>
  <c r="N3" i="1"/>
  <c r="N14" i="1" s="1"/>
  <c r="N25" i="1" s="1"/>
  <c r="AS2" i="1"/>
  <c r="AT2" i="1" s="1"/>
  <c r="AM2" i="1"/>
  <c r="AK2" i="1"/>
  <c r="Y2" i="1"/>
  <c r="Y13" i="1" s="1"/>
  <c r="W2" i="1"/>
  <c r="U2" i="1"/>
  <c r="U13" i="1" s="1"/>
  <c r="S2" i="1"/>
  <c r="T1" i="1" s="1"/>
  <c r="Q2" i="1"/>
  <c r="Q13" i="1" s="1"/>
  <c r="O2" i="1"/>
  <c r="N2" i="1"/>
  <c r="N13" i="1" s="1"/>
  <c r="N24" i="1" s="1"/>
  <c r="AQ1" i="1"/>
  <c r="V1" i="1"/>
  <c r="V6" i="1" s="1"/>
  <c r="J20" i="1" l="1"/>
  <c r="AK35" i="1"/>
  <c r="AI17" i="1"/>
  <c r="J25" i="1" s="1"/>
  <c r="AI35" i="1"/>
  <c r="AK34" i="1"/>
  <c r="AB8" i="1"/>
  <c r="AB9" i="1"/>
  <c r="J24" i="1"/>
  <c r="AI34" i="1"/>
  <c r="AM9" i="1"/>
  <c r="Q19" i="1"/>
  <c r="AM10" i="1"/>
  <c r="AC3" i="1"/>
  <c r="AB4" i="1"/>
  <c r="AC10" i="1"/>
  <c r="AL15" i="1"/>
  <c r="AM15" i="1"/>
  <c r="F23" i="1" s="1"/>
  <c r="AT8" i="1"/>
  <c r="AN17" i="1"/>
  <c r="AO17" i="1"/>
  <c r="AO16" i="1"/>
  <c r="AN16" i="1"/>
  <c r="H24" i="1" s="1"/>
  <c r="G32" i="1"/>
  <c r="AO15" i="1"/>
  <c r="H23" i="1" s="1"/>
  <c r="AJ34" i="1"/>
  <c r="H22" i="1"/>
  <c r="AN13" i="1"/>
  <c r="AJ35" i="1"/>
  <c r="AN12" i="1"/>
  <c r="AO12" i="1"/>
  <c r="H20" i="1" s="1"/>
  <c r="AI54" i="1"/>
  <c r="AH34" i="1"/>
  <c r="AJ15" i="1"/>
  <c r="D23" i="1" s="1"/>
  <c r="AJ13" i="1"/>
  <c r="D21" i="1" s="1"/>
  <c r="AC2" i="21"/>
  <c r="O13" i="21"/>
  <c r="P2" i="21"/>
  <c r="V3" i="21"/>
  <c r="J32" i="21"/>
  <c r="W14" i="21"/>
  <c r="X3" i="21"/>
  <c r="AT22" i="21"/>
  <c r="H22" i="21"/>
  <c r="R29" i="21"/>
  <c r="R30" i="21"/>
  <c r="R28" i="21"/>
  <c r="R25" i="21"/>
  <c r="R24" i="21"/>
  <c r="R31" i="21"/>
  <c r="R27" i="21"/>
  <c r="R26" i="21"/>
  <c r="V1" i="21"/>
  <c r="U13" i="21"/>
  <c r="V2" i="21"/>
  <c r="U20" i="21"/>
  <c r="AT18" i="21"/>
  <c r="AT30" i="21" s="1"/>
  <c r="AH20" i="21"/>
  <c r="J30" i="21" s="1"/>
  <c r="AI20" i="21"/>
  <c r="AJ21" i="21"/>
  <c r="D31" i="21" s="1"/>
  <c r="AK21" i="21"/>
  <c r="AM23" i="21"/>
  <c r="AL23" i="21"/>
  <c r="F33" i="21" s="1"/>
  <c r="AM24" i="21"/>
  <c r="AL24" i="21"/>
  <c r="AK20" i="21"/>
  <c r="AJ20" i="21"/>
  <c r="Z3" i="21"/>
  <c r="Y14" i="21"/>
  <c r="X1" i="21"/>
  <c r="W13" i="21"/>
  <c r="X2" i="21"/>
  <c r="T5" i="21"/>
  <c r="AK22" i="21"/>
  <c r="AJ22" i="21"/>
  <c r="D32" i="21" s="1"/>
  <c r="AO23" i="21"/>
  <c r="AN23" i="21"/>
  <c r="AN24" i="21"/>
  <c r="H34" i="21" s="1"/>
  <c r="AT8" i="21"/>
  <c r="P1" i="21"/>
  <c r="O14" i="21"/>
  <c r="AC3" i="21"/>
  <c r="P3" i="21"/>
  <c r="U16" i="21"/>
  <c r="V5" i="21"/>
  <c r="S18" i="21"/>
  <c r="AC7" i="21"/>
  <c r="AE7" i="21" s="1"/>
  <c r="Z9" i="21"/>
  <c r="F24" i="21"/>
  <c r="AR3" i="21"/>
  <c r="AK19" i="21"/>
  <c r="D29" i="21" s="1"/>
  <c r="AN20" i="21"/>
  <c r="H30" i="21" s="1"/>
  <c r="F22" i="21"/>
  <c r="AI16" i="21"/>
  <c r="AH16" i="21"/>
  <c r="I33" i="21"/>
  <c r="AI17" i="21"/>
  <c r="J25" i="21" s="1"/>
  <c r="I34" i="21"/>
  <c r="AB3" i="21"/>
  <c r="R1" i="21"/>
  <c r="Q14" i="21"/>
  <c r="X5" i="21"/>
  <c r="W16" i="21"/>
  <c r="U18" i="21"/>
  <c r="V7" i="21"/>
  <c r="AY26" i="21"/>
  <c r="AT7" i="21"/>
  <c r="AT27" i="21" s="1"/>
  <c r="AT26" i="21" s="1"/>
  <c r="AR7" i="21"/>
  <c r="AR27" i="21" s="1"/>
  <c r="AR26" i="21" s="1"/>
  <c r="V8" i="21"/>
  <c r="T10" i="21"/>
  <c r="AS3" i="21"/>
  <c r="AM19" i="21"/>
  <c r="AL19" i="21"/>
  <c r="AO21" i="21"/>
  <c r="AN21" i="21"/>
  <c r="AM22" i="21"/>
  <c r="AL22" i="21"/>
  <c r="F32" i="21" s="1"/>
  <c r="AC5" i="21"/>
  <c r="P5" i="21"/>
  <c r="O16" i="21"/>
  <c r="S20" i="21"/>
  <c r="T9" i="21"/>
  <c r="AO19" i="21"/>
  <c r="AN19" i="21"/>
  <c r="H29" i="21" s="1"/>
  <c r="AT3" i="21"/>
  <c r="AR22" i="21"/>
  <c r="AS26" i="21"/>
  <c r="AS30" i="21" s="1"/>
  <c r="AI34" i="21" a="1"/>
  <c r="AI34" i="21" s="1"/>
  <c r="AI35" i="21" a="1"/>
  <c r="AI35" i="21" s="1"/>
  <c r="AM54" i="21"/>
  <c r="AB8" i="21"/>
  <c r="AH13" i="21"/>
  <c r="J21" i="21" s="1"/>
  <c r="E31" i="21"/>
  <c r="T32" i="21"/>
  <c r="V32" i="21"/>
  <c r="C33" i="21"/>
  <c r="AB10" i="21"/>
  <c r="AJ13" i="21"/>
  <c r="AN16" i="21"/>
  <c r="H24" i="21" s="1"/>
  <c r="Q18" i="21"/>
  <c r="Y18" i="21"/>
  <c r="P24" i="21"/>
  <c r="P25" i="21"/>
  <c r="V26" i="21"/>
  <c r="V27" i="21"/>
  <c r="T28" i="21"/>
  <c r="T30" i="21"/>
  <c r="V31" i="21"/>
  <c r="X32" i="21"/>
  <c r="T1" i="21"/>
  <c r="R4" i="21"/>
  <c r="Z4" i="21"/>
  <c r="P6" i="21"/>
  <c r="X6" i="21"/>
  <c r="AC10" i="21"/>
  <c r="AK13" i="21"/>
  <c r="O15" i="21"/>
  <c r="AL15" i="21"/>
  <c r="F23" i="21" s="1"/>
  <c r="AJ17" i="21"/>
  <c r="D25" i="21" s="1"/>
  <c r="X26" i="21"/>
  <c r="X27" i="21"/>
  <c r="V28" i="21"/>
  <c r="V30" i="21"/>
  <c r="X31" i="21"/>
  <c r="Z32" i="21"/>
  <c r="C34" i="21"/>
  <c r="AB4" i="21"/>
  <c r="AL13" i="21"/>
  <c r="U14" i="21"/>
  <c r="S16" i="21"/>
  <c r="T12" i="21" s="1"/>
  <c r="AN22" i="21"/>
  <c r="H32" i="21" s="1"/>
  <c r="T24" i="21"/>
  <c r="I13" i="21" s="1"/>
  <c r="T25" i="21"/>
  <c r="Z26" i="21"/>
  <c r="I16" i="21" s="1"/>
  <c r="Z27" i="21"/>
  <c r="X28" i="21"/>
  <c r="P29" i="21"/>
  <c r="X30" i="21"/>
  <c r="AB2" i="21"/>
  <c r="AB5" i="21"/>
  <c r="AD5" i="21" s="1"/>
  <c r="AN12" i="21"/>
  <c r="H20" i="21" s="1"/>
  <c r="AM13" i="21"/>
  <c r="AY14" i="21"/>
  <c r="AL17" i="21"/>
  <c r="F25" i="21" s="1"/>
  <c r="AL20" i="21"/>
  <c r="F30" i="21" s="1"/>
  <c r="V24" i="21"/>
  <c r="I14" i="21" s="1"/>
  <c r="Z1" i="21"/>
  <c r="AR5" i="21"/>
  <c r="AR19" i="21" s="1"/>
  <c r="AR18" i="21" s="1"/>
  <c r="AR30" i="21" s="1"/>
  <c r="D22" i="1"/>
  <c r="AO23" i="1"/>
  <c r="AN23" i="1"/>
  <c r="H33" i="1" s="1"/>
  <c r="AO24" i="1"/>
  <c r="AN24" i="1"/>
  <c r="AM54" i="1"/>
  <c r="AT26" i="1"/>
  <c r="O3" i="3"/>
  <c r="O8" i="3"/>
  <c r="O4" i="3"/>
  <c r="AH23" i="1"/>
  <c r="AI23" i="1"/>
  <c r="AK21" i="1"/>
  <c r="AJ21" i="1"/>
  <c r="D31" i="1" s="1"/>
  <c r="H13" i="1"/>
  <c r="F13" i="1"/>
  <c r="D13" i="1"/>
  <c r="AL29" i="1"/>
  <c r="AI24" i="1"/>
  <c r="AH24" i="1"/>
  <c r="AI55" i="1"/>
  <c r="D24" i="1"/>
  <c r="AL21" i="1"/>
  <c r="AM21" i="1"/>
  <c r="AM22" i="1"/>
  <c r="AL22" i="1"/>
  <c r="F32" i="1" s="1"/>
  <c r="T10" i="1"/>
  <c r="AI4" i="1" s="1"/>
  <c r="AK19" i="1"/>
  <c r="AJ19" i="1"/>
  <c r="AR3" i="1"/>
  <c r="AM20" i="1"/>
  <c r="AL20" i="1"/>
  <c r="AO21" i="1"/>
  <c r="AN21" i="1"/>
  <c r="T3" i="1"/>
  <c r="T8" i="1"/>
  <c r="T9" i="1"/>
  <c r="T7" i="1"/>
  <c r="T5" i="1"/>
  <c r="T2" i="1"/>
  <c r="AR26" i="1"/>
  <c r="AO20" i="1"/>
  <c r="AN20" i="1"/>
  <c r="H30" i="1" s="1"/>
  <c r="AI22" i="1"/>
  <c r="AH22" i="1"/>
  <c r="J32" i="1" s="1"/>
  <c r="AK23" i="1"/>
  <c r="AJ23" i="1"/>
  <c r="AM55" i="1"/>
  <c r="AS26" i="1"/>
  <c r="AT3" i="1"/>
  <c r="AO19" i="1"/>
  <c r="AN19" i="1"/>
  <c r="H29" i="1" s="1"/>
  <c r="AI20" i="1"/>
  <c r="AH20" i="1"/>
  <c r="AM23" i="1"/>
  <c r="AL23" i="1"/>
  <c r="AL24" i="1"/>
  <c r="F34" i="1" s="1"/>
  <c r="AS8" i="1"/>
  <c r="AM24" i="1"/>
  <c r="T16" i="10"/>
  <c r="AB6" i="10"/>
  <c r="X1" i="1"/>
  <c r="X10" i="1" s="1"/>
  <c r="AB2" i="1"/>
  <c r="T4" i="1"/>
  <c r="AC4" i="1"/>
  <c r="AR4" i="1"/>
  <c r="AR15" i="1" s="1"/>
  <c r="AR14" i="1" s="1"/>
  <c r="R6" i="1"/>
  <c r="V10" i="1"/>
  <c r="AM13" i="1"/>
  <c r="F21" i="1" s="1"/>
  <c r="AK14" i="1"/>
  <c r="AY14" i="1"/>
  <c r="Q15" i="1"/>
  <c r="Y15" i="1"/>
  <c r="O17" i="1"/>
  <c r="W17" i="1"/>
  <c r="O20" i="1"/>
  <c r="Q21" i="1"/>
  <c r="V24" i="1"/>
  <c r="V25" i="1"/>
  <c r="Z28" i="1"/>
  <c r="E29" i="1"/>
  <c r="R29" i="1"/>
  <c r="Z30" i="1"/>
  <c r="C32" i="1"/>
  <c r="P13" i="3"/>
  <c r="AA3" i="3"/>
  <c r="Q1" i="3"/>
  <c r="T17" i="3"/>
  <c r="AB7" i="3"/>
  <c r="AD7" i="3" s="1"/>
  <c r="AL21" i="3"/>
  <c r="AT23" i="3"/>
  <c r="AU26" i="3"/>
  <c r="AT27" i="3" s="1"/>
  <c r="AS26" i="3" s="1"/>
  <c r="AM32" i="3"/>
  <c r="H25" i="3" s="1"/>
  <c r="W1" i="3"/>
  <c r="V12" i="3"/>
  <c r="AH6" i="3"/>
  <c r="AC2" i="1"/>
  <c r="U18" i="1"/>
  <c r="P32" i="1"/>
  <c r="AH35" i="1" a="1"/>
  <c r="AH35" i="1" s="1"/>
  <c r="N15" i="3"/>
  <c r="AB5" i="3"/>
  <c r="O5" i="3"/>
  <c r="W7" i="3"/>
  <c r="AG35" i="3"/>
  <c r="AH35" i="3"/>
  <c r="AX14" i="4"/>
  <c r="AS4" i="4"/>
  <c r="AS15" i="4" s="1"/>
  <c r="AS14" i="4" s="1"/>
  <c r="AS30" i="4" s="1"/>
  <c r="AR4" i="4"/>
  <c r="AR15" i="4" s="1"/>
  <c r="AR14" i="4" s="1"/>
  <c r="AQ4" i="4"/>
  <c r="AQ15" i="4" s="1"/>
  <c r="AQ14" i="4" s="1"/>
  <c r="Z1" i="1"/>
  <c r="Z8" i="1" s="1"/>
  <c r="V3" i="1"/>
  <c r="AS4" i="1"/>
  <c r="AS15" i="1" s="1"/>
  <c r="AS14" i="1" s="1"/>
  <c r="AB6" i="1"/>
  <c r="V4" i="1"/>
  <c r="AS5" i="1"/>
  <c r="AS19" i="1" s="1"/>
  <c r="AS18" i="1" s="1"/>
  <c r="T6" i="1"/>
  <c r="AC6" i="1"/>
  <c r="AR6" i="1"/>
  <c r="AR23" i="1" s="1"/>
  <c r="AR22" i="1" s="1"/>
  <c r="AB7" i="1"/>
  <c r="AO13" i="1"/>
  <c r="H21" i="1" s="1"/>
  <c r="S15" i="1"/>
  <c r="AH15" i="1"/>
  <c r="J23" i="1" s="1"/>
  <c r="AK16" i="1"/>
  <c r="AH19" i="1"/>
  <c r="J29" i="1" s="1"/>
  <c r="S21" i="1"/>
  <c r="AU23" i="1"/>
  <c r="AT22" i="1" s="1"/>
  <c r="Z24" i="1"/>
  <c r="Z25" i="1"/>
  <c r="P26" i="1"/>
  <c r="P27" i="1"/>
  <c r="V29" i="1"/>
  <c r="C30" i="1"/>
  <c r="P31" i="1"/>
  <c r="R32" i="1"/>
  <c r="AA5" i="3"/>
  <c r="AR22" i="3"/>
  <c r="AH22" i="3"/>
  <c r="AJ37" i="3"/>
  <c r="AI37" i="3"/>
  <c r="D32" i="3" s="1"/>
  <c r="AJ39" i="4"/>
  <c r="AI39" i="4"/>
  <c r="D34" i="4" s="1"/>
  <c r="V18" i="5"/>
  <c r="W1" i="5"/>
  <c r="I31" i="1"/>
  <c r="AC5" i="1"/>
  <c r="V2" i="1"/>
  <c r="V5" i="1"/>
  <c r="AS6" i="1"/>
  <c r="AS23" i="1" s="1"/>
  <c r="AS22" i="1" s="1"/>
  <c r="AC7" i="1"/>
  <c r="AC9" i="1"/>
  <c r="S13" i="1"/>
  <c r="AH13" i="1"/>
  <c r="J21" i="1" s="1"/>
  <c r="Q14" i="1"/>
  <c r="Y14" i="1"/>
  <c r="Z12" i="1" s="1"/>
  <c r="AI15" i="1"/>
  <c r="O16" i="1"/>
  <c r="W16" i="1"/>
  <c r="U19" i="1"/>
  <c r="R26" i="1"/>
  <c r="R27" i="1"/>
  <c r="P28" i="1"/>
  <c r="X29" i="1"/>
  <c r="P30" i="1"/>
  <c r="R31" i="1"/>
  <c r="AB2" i="3"/>
  <c r="N12" i="3"/>
  <c r="O2" i="3"/>
  <c r="AL10" i="3"/>
  <c r="AS22" i="3"/>
  <c r="AS30" i="3" s="1"/>
  <c r="AJ36" i="3"/>
  <c r="AI36" i="3"/>
  <c r="D31" i="3" s="1"/>
  <c r="AN39" i="3"/>
  <c r="AM39" i="3"/>
  <c r="U7" i="4"/>
  <c r="U5" i="4"/>
  <c r="U2" i="4"/>
  <c r="U3" i="4"/>
  <c r="R16" i="4"/>
  <c r="AA6" i="4"/>
  <c r="AL38" i="4"/>
  <c r="AK38" i="4"/>
  <c r="AC8" i="1"/>
  <c r="AJ12" i="1"/>
  <c r="V32" i="1"/>
  <c r="C34" i="1"/>
  <c r="AH9" i="3"/>
  <c r="Y1" i="3"/>
  <c r="X13" i="3"/>
  <c r="Y3" i="3"/>
  <c r="AB9" i="3"/>
  <c r="T19" i="3"/>
  <c r="AL22" i="3"/>
  <c r="U16" i="3"/>
  <c r="AM38" i="3"/>
  <c r="H33" i="3" s="1"/>
  <c r="AN38" i="3"/>
  <c r="AI35" i="3"/>
  <c r="AQ3" i="3"/>
  <c r="AJ35" i="3"/>
  <c r="AH37" i="5"/>
  <c r="AG37" i="5"/>
  <c r="J32" i="5" s="1"/>
  <c r="AD3" i="3"/>
  <c r="P1" i="1"/>
  <c r="P8" i="1" s="1"/>
  <c r="R1" i="1"/>
  <c r="R3" i="1" s="1"/>
  <c r="X2" i="1"/>
  <c r="V9" i="1"/>
  <c r="AB10" i="1"/>
  <c r="AK12" i="1"/>
  <c r="AH14" i="1"/>
  <c r="J22" i="1" s="1"/>
  <c r="P24" i="1"/>
  <c r="V26" i="1"/>
  <c r="V27" i="1"/>
  <c r="V31" i="1"/>
  <c r="X32" i="1"/>
  <c r="V15" i="3"/>
  <c r="O7" i="3"/>
  <c r="U29" i="3"/>
  <c r="U25" i="3"/>
  <c r="U24" i="3"/>
  <c r="U28" i="3"/>
  <c r="U26" i="3"/>
  <c r="U27" i="3"/>
  <c r="U23" i="3"/>
  <c r="I15" i="3" s="1"/>
  <c r="G31" i="3"/>
  <c r="AN29" i="3"/>
  <c r="AM29" i="3"/>
  <c r="H22" i="3" s="1"/>
  <c r="AG38" i="3"/>
  <c r="AH38" i="3"/>
  <c r="AK31" i="3"/>
  <c r="F24" i="3" s="1"/>
  <c r="O29" i="4"/>
  <c r="O25" i="4"/>
  <c r="O24" i="4"/>
  <c r="O28" i="4"/>
  <c r="O26" i="4"/>
  <c r="O27" i="4"/>
  <c r="I12" i="4" s="1"/>
  <c r="O23" i="4"/>
  <c r="AH36" i="5"/>
  <c r="AG36" i="5"/>
  <c r="J31" i="5" s="1"/>
  <c r="R24" i="1"/>
  <c r="X26" i="1"/>
  <c r="X27" i="1"/>
  <c r="V28" i="1"/>
  <c r="U11" i="3"/>
  <c r="U15" i="3" s="1"/>
  <c r="AH21" i="3"/>
  <c r="V18" i="4"/>
  <c r="W1" i="4"/>
  <c r="W8" i="4"/>
  <c r="W22" i="3"/>
  <c r="AI31" i="3"/>
  <c r="AI32" i="3"/>
  <c r="AL37" i="3"/>
  <c r="AK37" i="3"/>
  <c r="F32" i="3" s="1"/>
  <c r="AK33" i="3"/>
  <c r="F26" i="3" s="1"/>
  <c r="E35" i="3"/>
  <c r="U6" i="4"/>
  <c r="U5" i="5"/>
  <c r="U2" i="5"/>
  <c r="AH6" i="5"/>
  <c r="AL9" i="5"/>
  <c r="W5" i="5"/>
  <c r="W9" i="5"/>
  <c r="Y13" i="5"/>
  <c r="AL40" i="5"/>
  <c r="AK40" i="5"/>
  <c r="F35" i="5" s="1"/>
  <c r="AR8" i="5"/>
  <c r="V39" i="6" a="1"/>
  <c r="V39" i="6" s="1"/>
  <c r="S1" i="3"/>
  <c r="Q4" i="3"/>
  <c r="Y4" i="3"/>
  <c r="O6" i="3"/>
  <c r="AH7" i="3"/>
  <c r="AH10" i="3" s="1"/>
  <c r="N13" i="3"/>
  <c r="T14" i="3"/>
  <c r="N16" i="3"/>
  <c r="AX18" i="3"/>
  <c r="Y22" i="3"/>
  <c r="W23" i="3"/>
  <c r="O24" i="3"/>
  <c r="O25" i="3"/>
  <c r="S26" i="3"/>
  <c r="W27" i="3"/>
  <c r="Q28" i="3"/>
  <c r="AI28" i="3"/>
  <c r="D21" i="3" s="1"/>
  <c r="O29" i="3"/>
  <c r="AI29" i="3"/>
  <c r="D22" i="3" s="1"/>
  <c r="E30" i="3"/>
  <c r="AI30" i="3"/>
  <c r="AM31" i="3"/>
  <c r="H24" i="3" s="1"/>
  <c r="C33" i="3"/>
  <c r="R39" i="3" a="1"/>
  <c r="R39" i="3" s="1"/>
  <c r="AG36" i="3"/>
  <c r="J31" i="3" s="1"/>
  <c r="AA4" i="4"/>
  <c r="AX18" i="4"/>
  <c r="AS5" i="4"/>
  <c r="AS19" i="4" s="1"/>
  <c r="AS18" i="4" s="1"/>
  <c r="AR5" i="4"/>
  <c r="AR19" i="4" s="1"/>
  <c r="AR18" i="4" s="1"/>
  <c r="W6" i="4"/>
  <c r="X17" i="4"/>
  <c r="Y7" i="4"/>
  <c r="Y8" i="4"/>
  <c r="AH22" i="4"/>
  <c r="AH28" i="4"/>
  <c r="AG28" i="4"/>
  <c r="J21" i="4" s="1"/>
  <c r="AM28" i="4"/>
  <c r="H21" i="4" s="1"/>
  <c r="C31" i="4"/>
  <c r="AJ29" i="4"/>
  <c r="AI29" i="4"/>
  <c r="AM31" i="4"/>
  <c r="H24" i="4" s="1"/>
  <c r="G33" i="4"/>
  <c r="AN37" i="4"/>
  <c r="AM37" i="4"/>
  <c r="H32" i="4" s="1"/>
  <c r="Y11" i="5"/>
  <c r="Y17" i="5" s="1"/>
  <c r="R14" i="5"/>
  <c r="AB4" i="5"/>
  <c r="S4" i="5"/>
  <c r="AX14" i="5"/>
  <c r="AS4" i="5"/>
  <c r="AS15" i="5" s="1"/>
  <c r="AS14" i="5" s="1"/>
  <c r="AR4" i="5"/>
  <c r="AR15" i="5" s="1"/>
  <c r="AR14" i="5" s="1"/>
  <c r="AQ4" i="5"/>
  <c r="AQ15" i="5" s="1"/>
  <c r="AQ14" i="5" s="1"/>
  <c r="AA6" i="5"/>
  <c r="Q6" i="5"/>
  <c r="X19" i="5"/>
  <c r="AQ26" i="5"/>
  <c r="AJ36" i="7"/>
  <c r="AI36" i="7"/>
  <c r="U1" i="3"/>
  <c r="U9" i="3" s="1"/>
  <c r="Q2" i="3"/>
  <c r="Y2" i="3"/>
  <c r="S3" i="3"/>
  <c r="AA4" i="3"/>
  <c r="Q5" i="3"/>
  <c r="O9" i="3"/>
  <c r="P12" i="3"/>
  <c r="P17" i="3"/>
  <c r="AX22" i="3"/>
  <c r="Y23" i="3"/>
  <c r="AL38" i="3"/>
  <c r="AK38" i="3"/>
  <c r="F33" i="3" s="1"/>
  <c r="Q24" i="3"/>
  <c r="I13" i="3" s="1"/>
  <c r="Q25" i="3"/>
  <c r="AN33" i="3"/>
  <c r="H26" i="3" s="1"/>
  <c r="G35" i="3"/>
  <c r="Y27" i="3"/>
  <c r="S28" i="3"/>
  <c r="Q29" i="3"/>
  <c r="AJ29" i="3"/>
  <c r="AJ30" i="3"/>
  <c r="AN31" i="3"/>
  <c r="G32" i="3"/>
  <c r="AG32" i="3"/>
  <c r="T39" i="3" a="1"/>
  <c r="T39" i="3" s="1"/>
  <c r="C34" i="3"/>
  <c r="AK36" i="3"/>
  <c r="F31" i="3" s="1"/>
  <c r="AH37" i="3"/>
  <c r="S1" i="4"/>
  <c r="AH4" i="4"/>
  <c r="O4" i="4"/>
  <c r="AB4" i="4"/>
  <c r="AD2" i="4" s="1"/>
  <c r="N18" i="4"/>
  <c r="AB8" i="4"/>
  <c r="O1" i="4"/>
  <c r="W9" i="4"/>
  <c r="R12" i="4"/>
  <c r="AJ28" i="4"/>
  <c r="AI28" i="4"/>
  <c r="D21" i="4" s="1"/>
  <c r="C30" i="4"/>
  <c r="AM32" i="4"/>
  <c r="G34" i="4"/>
  <c r="AI40" i="4"/>
  <c r="D35" i="4" s="1"/>
  <c r="AQ8" i="4"/>
  <c r="AK28" i="4"/>
  <c r="F21" i="4" s="1"/>
  <c r="J32" i="4"/>
  <c r="AN32" i="4"/>
  <c r="AM36" i="4"/>
  <c r="H31" i="4" s="1"/>
  <c r="S3" i="5"/>
  <c r="S6" i="5"/>
  <c r="AR26" i="5"/>
  <c r="AH35" i="5"/>
  <c r="AG35" i="5"/>
  <c r="J30" i="5" s="1"/>
  <c r="AH22" i="6"/>
  <c r="AH33" i="6"/>
  <c r="AG33" i="6"/>
  <c r="J26" i="6" s="1"/>
  <c r="I35" i="6"/>
  <c r="U168" i="2"/>
  <c r="U170" i="2"/>
  <c r="U172" i="2"/>
  <c r="U174" i="2"/>
  <c r="S178" i="2"/>
  <c r="S180" i="2"/>
  <c r="S182" i="2"/>
  <c r="S184" i="2"/>
  <c r="Y201" i="2"/>
  <c r="AA2" i="3"/>
  <c r="AB4" i="3"/>
  <c r="P18" i="3"/>
  <c r="X18" i="3"/>
  <c r="S24" i="3"/>
  <c r="I14" i="3" s="1"/>
  <c r="S25" i="3"/>
  <c r="W26" i="3"/>
  <c r="AK28" i="3"/>
  <c r="F21" i="3" s="1"/>
  <c r="S29" i="3"/>
  <c r="G30" i="3"/>
  <c r="AK30" i="3"/>
  <c r="F23" i="3" s="1"/>
  <c r="AH32" i="3"/>
  <c r="V39" i="3" a="1"/>
  <c r="V39" i="3" s="1"/>
  <c r="E34" i="3"/>
  <c r="S2" i="4"/>
  <c r="AH5" i="4"/>
  <c r="T13" i="4"/>
  <c r="AL9" i="4"/>
  <c r="Y5" i="4"/>
  <c r="Y6" i="4"/>
  <c r="O8" i="4"/>
  <c r="AH30" i="4"/>
  <c r="AG30" i="4"/>
  <c r="J23" i="4" s="1"/>
  <c r="AM30" i="4"/>
  <c r="H23" i="4" s="1"/>
  <c r="AL30" i="4"/>
  <c r="AH39" i="4"/>
  <c r="AG39" i="4"/>
  <c r="J34" i="4" s="1"/>
  <c r="AL28" i="4"/>
  <c r="AN35" i="4"/>
  <c r="AM35" i="4"/>
  <c r="H30" i="4" s="1"/>
  <c r="AL39" i="4"/>
  <c r="AK39" i="4"/>
  <c r="O2" i="5"/>
  <c r="U6" i="5"/>
  <c r="N18" i="5"/>
  <c r="AB8" i="5"/>
  <c r="O1" i="5"/>
  <c r="O8" i="5"/>
  <c r="AL30" i="5"/>
  <c r="AH30" i="5"/>
  <c r="AG30" i="5"/>
  <c r="AS26" i="5"/>
  <c r="AN31" i="6"/>
  <c r="AM31" i="6"/>
  <c r="H24" i="6" s="1"/>
  <c r="G33" i="6"/>
  <c r="AL30" i="8"/>
  <c r="AK30" i="8"/>
  <c r="F23" i="8" s="1"/>
  <c r="E32" i="8"/>
  <c r="O5" i="9"/>
  <c r="O9" i="9"/>
  <c r="O8" i="9"/>
  <c r="O6" i="9"/>
  <c r="O2" i="9"/>
  <c r="W172" i="2"/>
  <c r="O173" i="2"/>
  <c r="U178" i="2"/>
  <c r="U180" i="2"/>
  <c r="U182" i="2"/>
  <c r="AA6" i="3"/>
  <c r="R12" i="3"/>
  <c r="O22" i="3"/>
  <c r="I12" i="3" s="1"/>
  <c r="AH33" i="3"/>
  <c r="I35" i="3"/>
  <c r="W28" i="3"/>
  <c r="AG31" i="3"/>
  <c r="J32" i="3"/>
  <c r="AJ32" i="3"/>
  <c r="AC5" i="4"/>
  <c r="P17" i="4"/>
  <c r="AB7" i="4"/>
  <c r="AA7" i="4"/>
  <c r="AA8" i="4"/>
  <c r="AC8" i="4" s="1"/>
  <c r="Y9" i="4"/>
  <c r="AJ30" i="4"/>
  <c r="AI30" i="4"/>
  <c r="D23" i="4" s="1"/>
  <c r="C32" i="4"/>
  <c r="AN40" i="4"/>
  <c r="AM40" i="4"/>
  <c r="H35" i="4" s="1"/>
  <c r="R40" i="4" a="1"/>
  <c r="R40" i="4" s="1"/>
  <c r="W6" i="5"/>
  <c r="AA8" i="5"/>
  <c r="O9" i="5"/>
  <c r="Y18" i="5"/>
  <c r="C31" i="5"/>
  <c r="AJ29" i="5"/>
  <c r="AI29" i="5"/>
  <c r="D22" i="5" s="1"/>
  <c r="S6" i="3"/>
  <c r="AQ6" i="3"/>
  <c r="AQ23" i="3" s="1"/>
  <c r="AQ22" i="3" s="1"/>
  <c r="Q8" i="3"/>
  <c r="AA9" i="3"/>
  <c r="AC9" i="3" s="1"/>
  <c r="O23" i="3"/>
  <c r="W24" i="3"/>
  <c r="W25" i="3"/>
  <c r="Y28" i="3"/>
  <c r="AM28" i="3"/>
  <c r="H21" i="3" s="1"/>
  <c r="AM30" i="3"/>
  <c r="H23" i="3" s="1"/>
  <c r="AH31" i="3"/>
  <c r="P40" i="3" a="1"/>
  <c r="P40" i="3" s="1"/>
  <c r="AK32" i="3"/>
  <c r="F25" i="3" s="1"/>
  <c r="AG33" i="3"/>
  <c r="AH6" i="4"/>
  <c r="S4" i="4"/>
  <c r="AB5" i="4"/>
  <c r="Q1" i="4"/>
  <c r="Q7" i="4" s="1"/>
  <c r="S8" i="4"/>
  <c r="AH36" i="4"/>
  <c r="AG36" i="4"/>
  <c r="J31" i="4" s="1"/>
  <c r="AQ26" i="4"/>
  <c r="AK30" i="4"/>
  <c r="F23" i="4" s="1"/>
  <c r="Y1" i="5"/>
  <c r="Y6" i="5" s="1"/>
  <c r="S8" i="5"/>
  <c r="P19" i="5"/>
  <c r="Q11" i="5" s="1"/>
  <c r="AA9" i="5"/>
  <c r="Q9" i="5"/>
  <c r="Y12" i="5"/>
  <c r="Y14" i="5"/>
  <c r="P16" i="5"/>
  <c r="AH28" i="5"/>
  <c r="AG28" i="5"/>
  <c r="AM28" i="5"/>
  <c r="H21" i="5" s="1"/>
  <c r="AL28" i="5"/>
  <c r="F21" i="5" s="1"/>
  <c r="AJ37" i="5"/>
  <c r="AI37" i="5"/>
  <c r="D32" i="5" s="1"/>
  <c r="AN37" i="6"/>
  <c r="AM37" i="6"/>
  <c r="H32" i="6" s="1"/>
  <c r="AJ31" i="3"/>
  <c r="R40" i="3" a="1"/>
  <c r="R40" i="3" s="1"/>
  <c r="AI33" i="3"/>
  <c r="D26" i="3" s="1"/>
  <c r="T14" i="4"/>
  <c r="U4" i="4"/>
  <c r="U8" i="4"/>
  <c r="P19" i="4"/>
  <c r="AA9" i="4"/>
  <c r="AH33" i="4"/>
  <c r="AG33" i="4"/>
  <c r="I35" i="4"/>
  <c r="R39" i="4" a="1"/>
  <c r="R39" i="4" s="1"/>
  <c r="T40" i="4" a="1"/>
  <c r="T40" i="4" s="1"/>
  <c r="U8" i="5"/>
  <c r="Y15" i="5"/>
  <c r="Y16" i="5"/>
  <c r="AM36" i="6"/>
  <c r="AN36" i="6"/>
  <c r="AI38" i="4"/>
  <c r="D33" i="4" s="1"/>
  <c r="AK40" i="4"/>
  <c r="AA2" i="5"/>
  <c r="AA5" i="5"/>
  <c r="R12" i="5"/>
  <c r="O22" i="5"/>
  <c r="AJ30" i="5"/>
  <c r="AN31" i="5"/>
  <c r="AM31" i="5"/>
  <c r="AN32" i="5"/>
  <c r="AM32" i="5"/>
  <c r="H25" i="5" s="1"/>
  <c r="G34" i="5"/>
  <c r="AH33" i="5"/>
  <c r="AG33" i="5"/>
  <c r="AL36" i="5"/>
  <c r="AK36" i="5"/>
  <c r="F31" i="5" s="1"/>
  <c r="O6" i="6"/>
  <c r="AC8" i="6"/>
  <c r="AN35" i="6"/>
  <c r="AM35" i="6"/>
  <c r="AS3" i="6"/>
  <c r="AH38" i="6"/>
  <c r="AG38" i="6"/>
  <c r="J24" i="6"/>
  <c r="U1" i="7"/>
  <c r="U7" i="7" s="1"/>
  <c r="AH5" i="7"/>
  <c r="T13" i="7"/>
  <c r="U3" i="7"/>
  <c r="Y14" i="7"/>
  <c r="C32" i="7"/>
  <c r="AJ30" i="7"/>
  <c r="AI30" i="7"/>
  <c r="AD4" i="9"/>
  <c r="P14" i="4"/>
  <c r="X14" i="4"/>
  <c r="Y11" i="4" s="1"/>
  <c r="Q22" i="4"/>
  <c r="AK33" i="4"/>
  <c r="F26" i="4" s="1"/>
  <c r="AL40" i="4"/>
  <c r="S2" i="5"/>
  <c r="AB2" i="5"/>
  <c r="AD2" i="5" s="1"/>
  <c r="U3" i="5"/>
  <c r="S5" i="5"/>
  <c r="AB5" i="5"/>
  <c r="AQ5" i="5"/>
  <c r="AQ19" i="5" s="1"/>
  <c r="AQ18" i="5" s="1"/>
  <c r="Y7" i="5"/>
  <c r="R16" i="5"/>
  <c r="Q22" i="5"/>
  <c r="O23" i="5"/>
  <c r="O27" i="5"/>
  <c r="F32" i="5"/>
  <c r="AH39" i="5"/>
  <c r="AG39" i="5"/>
  <c r="P39" i="5" a="1"/>
  <c r="P39" i="5" s="1"/>
  <c r="N14" i="6"/>
  <c r="O4" i="6"/>
  <c r="O5" i="6"/>
  <c r="P17" i="6"/>
  <c r="AA7" i="6"/>
  <c r="O8" i="6"/>
  <c r="T19" i="6"/>
  <c r="AL22" i="6"/>
  <c r="AH35" i="6"/>
  <c r="AG35" i="6"/>
  <c r="J30" i="6" s="1"/>
  <c r="O5" i="7"/>
  <c r="U6" i="7"/>
  <c r="X17" i="7"/>
  <c r="C30" i="7"/>
  <c r="AJ28" i="7"/>
  <c r="AI28" i="7"/>
  <c r="D21" i="7" s="1"/>
  <c r="AN36" i="7"/>
  <c r="AM36" i="7"/>
  <c r="H31" i="7" s="1"/>
  <c r="Y1" i="8"/>
  <c r="Y2" i="8" s="1"/>
  <c r="X12" i="8"/>
  <c r="AH7" i="8"/>
  <c r="AL22" i="8"/>
  <c r="J35" i="8"/>
  <c r="AH3" i="4"/>
  <c r="AB6" i="4"/>
  <c r="AD6" i="4" s="1"/>
  <c r="AQ6" i="4"/>
  <c r="AQ23" i="4" s="1"/>
  <c r="Q8" i="4"/>
  <c r="S9" i="4"/>
  <c r="AB9" i="4"/>
  <c r="S22" i="4"/>
  <c r="I14" i="4" s="1"/>
  <c r="Q23" i="4"/>
  <c r="AT23" i="4"/>
  <c r="Y24" i="4"/>
  <c r="Y25" i="4"/>
  <c r="Q27" i="4"/>
  <c r="Y29" i="4"/>
  <c r="AN29" i="4"/>
  <c r="H22" i="4" s="1"/>
  <c r="AI31" i="4"/>
  <c r="D24" i="4" s="1"/>
  <c r="AI32" i="4"/>
  <c r="AK37" i="4"/>
  <c r="F32" i="4" s="1"/>
  <c r="AH3" i="5"/>
  <c r="U4" i="5"/>
  <c r="AR5" i="5"/>
  <c r="AR19" i="5" s="1"/>
  <c r="AR18" i="5" s="1"/>
  <c r="AB6" i="5"/>
  <c r="AQ6" i="5"/>
  <c r="AQ23" i="5" s="1"/>
  <c r="AQ22" i="5" s="1"/>
  <c r="AA7" i="5"/>
  <c r="AC7" i="5" s="1"/>
  <c r="S9" i="5"/>
  <c r="AB9" i="5"/>
  <c r="N15" i="5"/>
  <c r="V15" i="5"/>
  <c r="T17" i="5"/>
  <c r="S22" i="5"/>
  <c r="I14" i="5" s="1"/>
  <c r="AK30" i="5"/>
  <c r="F23" i="5" s="1"/>
  <c r="Q23" i="5"/>
  <c r="AT23" i="5"/>
  <c r="AH38" i="5"/>
  <c r="AG38" i="5"/>
  <c r="Y24" i="5"/>
  <c r="AH32" i="5"/>
  <c r="J25" i="5" s="1"/>
  <c r="Y25" i="5"/>
  <c r="AI33" i="5"/>
  <c r="D26" i="5" s="1"/>
  <c r="C35" i="5"/>
  <c r="Q27" i="5"/>
  <c r="AN28" i="5"/>
  <c r="Y29" i="5"/>
  <c r="C30" i="5"/>
  <c r="AI30" i="5"/>
  <c r="D23" i="5" s="1"/>
  <c r="AK31" i="5"/>
  <c r="F24" i="5" s="1"/>
  <c r="AK32" i="5"/>
  <c r="F25" i="5" s="1"/>
  <c r="O29" i="6"/>
  <c r="O25" i="6"/>
  <c r="O24" i="6"/>
  <c r="O28" i="6"/>
  <c r="O26" i="6"/>
  <c r="O27" i="6"/>
  <c r="O23" i="6"/>
  <c r="I12" i="6" s="1"/>
  <c r="AS22" i="7"/>
  <c r="AH22" i="7"/>
  <c r="AN31" i="7"/>
  <c r="G33" i="7"/>
  <c r="G34" i="7"/>
  <c r="AN32" i="7"/>
  <c r="AM32" i="7"/>
  <c r="H25" i="7" s="1"/>
  <c r="AA5" i="8"/>
  <c r="P15" i="8"/>
  <c r="W29" i="10"/>
  <c r="W27" i="10"/>
  <c r="W26" i="10"/>
  <c r="W28" i="10"/>
  <c r="W25" i="10"/>
  <c r="W24" i="10"/>
  <c r="W23" i="10"/>
  <c r="W22" i="10"/>
  <c r="AR6" i="4"/>
  <c r="AR23" i="4" s="1"/>
  <c r="AR22" i="4" s="1"/>
  <c r="T16" i="4"/>
  <c r="T18" i="4"/>
  <c r="U22" i="4"/>
  <c r="I15" i="4" s="1"/>
  <c r="AG29" i="4"/>
  <c r="J22" i="4" s="1"/>
  <c r="AJ32" i="4"/>
  <c r="AM33" i="4"/>
  <c r="H26" i="4" s="1"/>
  <c r="AH4" i="5"/>
  <c r="AS5" i="5"/>
  <c r="AS19" i="5" s="1"/>
  <c r="AS18" i="5" s="1"/>
  <c r="AR6" i="5"/>
  <c r="AR23" i="5" s="1"/>
  <c r="AB7" i="5"/>
  <c r="T13" i="5"/>
  <c r="T16" i="5"/>
  <c r="T18" i="5"/>
  <c r="G31" i="5"/>
  <c r="AN29" i="5"/>
  <c r="H22" i="5" s="1"/>
  <c r="U22" i="5"/>
  <c r="I15" i="5" s="1"/>
  <c r="O26" i="5"/>
  <c r="AL37" i="5"/>
  <c r="O3" i="6"/>
  <c r="R15" i="6"/>
  <c r="AB8" i="6"/>
  <c r="AD8" i="6" s="1"/>
  <c r="R18" i="6"/>
  <c r="S1" i="7"/>
  <c r="AH4" i="7"/>
  <c r="S2" i="7"/>
  <c r="R15" i="7"/>
  <c r="AX18" i="7"/>
  <c r="AS5" i="7"/>
  <c r="AS19" i="7" s="1"/>
  <c r="AS18" i="7" s="1"/>
  <c r="AR5" i="7"/>
  <c r="AR19" i="7" s="1"/>
  <c r="AR18" i="7" s="1"/>
  <c r="AQ5" i="7"/>
  <c r="AQ19" i="7" s="1"/>
  <c r="AQ18" i="7" s="1"/>
  <c r="AQ30" i="7" s="1"/>
  <c r="AH21" i="7"/>
  <c r="AR18" i="8"/>
  <c r="AH2" i="4"/>
  <c r="AS6" i="4"/>
  <c r="AS23" i="4" s="1"/>
  <c r="AS22" i="4" s="1"/>
  <c r="U9" i="4"/>
  <c r="V12" i="4"/>
  <c r="W22" i="4"/>
  <c r="U23" i="4"/>
  <c r="Q26" i="4"/>
  <c r="U27" i="4"/>
  <c r="AH29" i="4"/>
  <c r="AK31" i="4"/>
  <c r="F24" i="4" s="1"/>
  <c r="AK32" i="4"/>
  <c r="F25" i="4" s="1"/>
  <c r="AG35" i="4"/>
  <c r="J30" i="4" s="1"/>
  <c r="AH2" i="5"/>
  <c r="AS6" i="5"/>
  <c r="AS23" i="5" s="1"/>
  <c r="AS22" i="5" s="1"/>
  <c r="U9" i="5"/>
  <c r="N12" i="5"/>
  <c r="V12" i="5"/>
  <c r="W22" i="5"/>
  <c r="I16" i="5" s="1"/>
  <c r="G32" i="5"/>
  <c r="AN30" i="5"/>
  <c r="U23" i="5"/>
  <c r="C34" i="5"/>
  <c r="AI32" i="5"/>
  <c r="D25" i="5" s="1"/>
  <c r="AL33" i="5"/>
  <c r="AK33" i="5"/>
  <c r="Q26" i="5"/>
  <c r="U27" i="5"/>
  <c r="O28" i="5"/>
  <c r="AM30" i="5"/>
  <c r="C33" i="5"/>
  <c r="AK35" i="5"/>
  <c r="F30" i="5" s="1"/>
  <c r="O2" i="6"/>
  <c r="N12" i="6"/>
  <c r="AH2" i="6"/>
  <c r="AH10" i="6" s="1"/>
  <c r="AB2" i="6"/>
  <c r="U6" i="6"/>
  <c r="T16" i="6"/>
  <c r="U11" i="6" s="1"/>
  <c r="U8" i="6"/>
  <c r="AH21" i="6"/>
  <c r="AJ36" i="6"/>
  <c r="AI36" i="6"/>
  <c r="AJ39" i="6"/>
  <c r="AI39" i="6"/>
  <c r="D34" i="6" s="1"/>
  <c r="D26" i="6"/>
  <c r="AL36" i="6"/>
  <c r="AK36" i="6"/>
  <c r="F31" i="6" s="1"/>
  <c r="AR8" i="6"/>
  <c r="AL40" i="6"/>
  <c r="AL22" i="7"/>
  <c r="I35" i="7"/>
  <c r="AH33" i="7"/>
  <c r="J26" i="7" s="1"/>
  <c r="H24" i="7"/>
  <c r="AL38" i="7"/>
  <c r="AK38" i="7"/>
  <c r="AH22" i="8"/>
  <c r="AH21" i="8"/>
  <c r="AT19" i="8"/>
  <c r="AU22" i="8"/>
  <c r="J30" i="8"/>
  <c r="AO12" i="9"/>
  <c r="J34" i="9" s="1"/>
  <c r="AP12" i="9"/>
  <c r="N16" i="4"/>
  <c r="V16" i="4"/>
  <c r="Y22" i="4"/>
  <c r="I17" i="4" s="1"/>
  <c r="W23" i="4"/>
  <c r="Q28" i="4"/>
  <c r="AK36" i="4"/>
  <c r="F31" i="4" s="1"/>
  <c r="Q1" i="5"/>
  <c r="Q7" i="5" s="1"/>
  <c r="W2" i="5"/>
  <c r="Q3" i="5"/>
  <c r="N16" i="5"/>
  <c r="V16" i="5"/>
  <c r="Y22" i="5"/>
  <c r="W23" i="5"/>
  <c r="O24" i="5"/>
  <c r="O25" i="5"/>
  <c r="Q28" i="5"/>
  <c r="AI28" i="5"/>
  <c r="D21" i="5" s="1"/>
  <c r="I35" i="5"/>
  <c r="AN35" i="5"/>
  <c r="H30" i="5" s="1"/>
  <c r="AX18" i="6"/>
  <c r="AR5" i="6"/>
  <c r="AR19" i="6" s="1"/>
  <c r="AR18" i="6" s="1"/>
  <c r="AQ5" i="6"/>
  <c r="AQ19" i="6" s="1"/>
  <c r="AQ18" i="6" s="1"/>
  <c r="AQ30" i="6" s="1"/>
  <c r="W6" i="6"/>
  <c r="AJ30" i="6"/>
  <c r="AI30" i="6"/>
  <c r="D23" i="6" s="1"/>
  <c r="C32" i="6"/>
  <c r="AL39" i="6"/>
  <c r="AK39" i="6"/>
  <c r="AK40" i="6"/>
  <c r="F35" i="6" s="1"/>
  <c r="P17" i="7"/>
  <c r="AB7" i="7"/>
  <c r="AA7" i="7"/>
  <c r="U8" i="7"/>
  <c r="O27" i="7"/>
  <c r="O28" i="7"/>
  <c r="O29" i="7"/>
  <c r="O25" i="7"/>
  <c r="O24" i="7"/>
  <c r="O26" i="7"/>
  <c r="I12" i="7" s="1"/>
  <c r="O23" i="7"/>
  <c r="AJ40" i="7"/>
  <c r="AI40" i="7"/>
  <c r="D35" i="7" s="1"/>
  <c r="AQ8" i="7"/>
  <c r="Q11" i="8"/>
  <c r="Q14" i="8" s="1"/>
  <c r="AH3" i="8"/>
  <c r="AD6" i="8"/>
  <c r="AH7" i="4"/>
  <c r="Y23" i="4"/>
  <c r="Q24" i="4"/>
  <c r="Q25" i="4"/>
  <c r="AH7" i="5"/>
  <c r="Y23" i="5"/>
  <c r="Q24" i="5"/>
  <c r="AL39" i="5"/>
  <c r="AK39" i="5"/>
  <c r="F34" i="5" s="1"/>
  <c r="Q25" i="5"/>
  <c r="T40" i="5" a="1"/>
  <c r="T40" i="5" s="1"/>
  <c r="G33" i="5"/>
  <c r="AM33" i="5"/>
  <c r="H26" i="5" s="1"/>
  <c r="AL38" i="5"/>
  <c r="F33" i="5" s="1"/>
  <c r="S1" i="6"/>
  <c r="S5" i="6" s="1"/>
  <c r="U1" i="6"/>
  <c r="U9" i="6" s="1"/>
  <c r="AH5" i="6"/>
  <c r="U3" i="6"/>
  <c r="V14" i="6"/>
  <c r="W4" i="6"/>
  <c r="W5" i="6"/>
  <c r="AS5" i="6"/>
  <c r="AS19" i="6" s="1"/>
  <c r="AS18" i="6" s="1"/>
  <c r="X17" i="6"/>
  <c r="AS26" i="6"/>
  <c r="W8" i="6"/>
  <c r="AJ28" i="6"/>
  <c r="AI28" i="6"/>
  <c r="D21" i="6" s="1"/>
  <c r="C30" i="6"/>
  <c r="F22" i="6"/>
  <c r="F23" i="6"/>
  <c r="AN32" i="6"/>
  <c r="AM32" i="6"/>
  <c r="G34" i="6"/>
  <c r="AN40" i="6"/>
  <c r="AM40" i="6"/>
  <c r="H35" i="6" s="1"/>
  <c r="P40" i="6" a="1"/>
  <c r="P40" i="6" s="1"/>
  <c r="T40" i="6" a="1"/>
  <c r="T40" i="6" s="1"/>
  <c r="AI38" i="6"/>
  <c r="D33" i="6" s="1"/>
  <c r="W7" i="7"/>
  <c r="W9" i="7"/>
  <c r="W6" i="7"/>
  <c r="W3" i="7"/>
  <c r="Y11" i="7"/>
  <c r="Y15" i="7" s="1"/>
  <c r="R12" i="7"/>
  <c r="AL21" i="7"/>
  <c r="AJ33" i="8"/>
  <c r="AI33" i="8"/>
  <c r="D26" i="8" s="1"/>
  <c r="C35" i="8"/>
  <c r="Y1" i="6"/>
  <c r="Y7" i="6" s="1"/>
  <c r="AB5" i="6"/>
  <c r="AA6" i="6"/>
  <c r="AA9" i="6"/>
  <c r="P14" i="6"/>
  <c r="X14" i="6"/>
  <c r="R16" i="6"/>
  <c r="Q22" i="6"/>
  <c r="W24" i="6"/>
  <c r="W25" i="6"/>
  <c r="AM28" i="6"/>
  <c r="W29" i="6"/>
  <c r="AM29" i="6"/>
  <c r="AM30" i="6"/>
  <c r="H23" i="6" s="1"/>
  <c r="AH31" i="6"/>
  <c r="AH32" i="6"/>
  <c r="J25" i="6" s="1"/>
  <c r="AK33" i="6"/>
  <c r="F26" i="6" s="1"/>
  <c r="AG36" i="6"/>
  <c r="J31" i="6" s="1"/>
  <c r="AG39" i="6"/>
  <c r="J34" i="6" s="1"/>
  <c r="V40" i="6" a="1"/>
  <c r="V40" i="6" s="1"/>
  <c r="Y1" i="7"/>
  <c r="AB2" i="7"/>
  <c r="AD2" i="7" s="1"/>
  <c r="AB5" i="7"/>
  <c r="AA6" i="7"/>
  <c r="AA9" i="7"/>
  <c r="AC9" i="7" s="1"/>
  <c r="R16" i="7"/>
  <c r="R18" i="7"/>
  <c r="P19" i="7"/>
  <c r="E31" i="7"/>
  <c r="AL29" i="7"/>
  <c r="AK29" i="7"/>
  <c r="Q22" i="7"/>
  <c r="W24" i="7"/>
  <c r="W25" i="7"/>
  <c r="AG28" i="7"/>
  <c r="J21" i="7" s="1"/>
  <c r="Q13" i="8"/>
  <c r="S5" i="8"/>
  <c r="AA6" i="8"/>
  <c r="N17" i="8"/>
  <c r="AB7" i="8"/>
  <c r="Q17" i="8"/>
  <c r="AL28" i="8"/>
  <c r="AK28" i="8"/>
  <c r="F21" i="8" s="1"/>
  <c r="E30" i="8"/>
  <c r="AH36" i="8"/>
  <c r="AG36" i="8"/>
  <c r="AL38" i="8"/>
  <c r="AK38" i="8"/>
  <c r="F25" i="8"/>
  <c r="F26" i="8"/>
  <c r="Q8" i="9"/>
  <c r="Q7" i="9"/>
  <c r="Q4" i="9"/>
  <c r="AJ37" i="9"/>
  <c r="AJ14" i="9"/>
  <c r="AJ27" i="9"/>
  <c r="H26" i="9"/>
  <c r="AV3" i="9"/>
  <c r="AU3" i="9"/>
  <c r="AP3" i="9"/>
  <c r="J23" i="9" s="1"/>
  <c r="AH3" i="6"/>
  <c r="U4" i="6"/>
  <c r="AB6" i="6"/>
  <c r="AQ6" i="6"/>
  <c r="AQ23" i="6" s="1"/>
  <c r="AQ22" i="6" s="1"/>
  <c r="Y8" i="6"/>
  <c r="AB9" i="6"/>
  <c r="N15" i="6"/>
  <c r="V15" i="6"/>
  <c r="T17" i="6"/>
  <c r="S22" i="6"/>
  <c r="I14" i="6" s="1"/>
  <c r="Q23" i="6"/>
  <c r="AT23" i="6"/>
  <c r="AS22" i="6" s="1"/>
  <c r="AS30" i="6" s="1"/>
  <c r="Y24" i="6"/>
  <c r="Y25" i="6"/>
  <c r="Q27" i="6"/>
  <c r="AN28" i="6"/>
  <c r="Y29" i="6"/>
  <c r="AN29" i="6"/>
  <c r="AN30" i="6"/>
  <c r="AI32" i="6"/>
  <c r="E33" i="6"/>
  <c r="AH3" i="7"/>
  <c r="AH9" i="7" s="1"/>
  <c r="U4" i="7"/>
  <c r="AS4" i="7"/>
  <c r="AS15" i="7" s="1"/>
  <c r="AS14" i="7" s="1"/>
  <c r="AB6" i="7"/>
  <c r="AQ6" i="7"/>
  <c r="AQ23" i="7" s="1"/>
  <c r="AQ22" i="7" s="1"/>
  <c r="N15" i="7"/>
  <c r="V15" i="7"/>
  <c r="T17" i="7"/>
  <c r="AL28" i="7"/>
  <c r="AK28" i="7"/>
  <c r="F21" i="7" s="1"/>
  <c r="S22" i="7"/>
  <c r="I14" i="7" s="1"/>
  <c r="AL30" i="7"/>
  <c r="AK30" i="7"/>
  <c r="Q23" i="7"/>
  <c r="AT23" i="7"/>
  <c r="AR22" i="7" s="1"/>
  <c r="AH31" i="7"/>
  <c r="AG31" i="7"/>
  <c r="AH32" i="7"/>
  <c r="AG32" i="7"/>
  <c r="J25" i="7" s="1"/>
  <c r="AJ33" i="7"/>
  <c r="AI33" i="7"/>
  <c r="AI29" i="7"/>
  <c r="D22" i="7" s="1"/>
  <c r="T40" i="7" a="1"/>
  <c r="T40" i="7" s="1"/>
  <c r="AH35" i="7"/>
  <c r="J30" i="7" s="1"/>
  <c r="AB2" i="8"/>
  <c r="R13" i="8"/>
  <c r="Q18" i="8"/>
  <c r="U13" i="8"/>
  <c r="H21" i="8"/>
  <c r="AH37" i="8"/>
  <c r="AG37" i="8"/>
  <c r="AJ39" i="8"/>
  <c r="AI39" i="8"/>
  <c r="R13" i="9"/>
  <c r="AH4" i="9"/>
  <c r="AH10" i="9" s="1"/>
  <c r="AB3" i="9"/>
  <c r="S1" i="9"/>
  <c r="Q5" i="9"/>
  <c r="P15" i="9"/>
  <c r="AB5" i="9"/>
  <c r="U22" i="6"/>
  <c r="AJ31" i="6"/>
  <c r="D24" i="6" s="1"/>
  <c r="AJ32" i="6"/>
  <c r="AA8" i="7"/>
  <c r="T16" i="7"/>
  <c r="U29" i="7"/>
  <c r="U28" i="7"/>
  <c r="U27" i="7"/>
  <c r="U22" i="7"/>
  <c r="AA2" i="8"/>
  <c r="Q2" i="8"/>
  <c r="Q1" i="8"/>
  <c r="U3" i="8"/>
  <c r="AQ18" i="8"/>
  <c r="U11" i="8"/>
  <c r="U16" i="8" s="1"/>
  <c r="AH31" i="8"/>
  <c r="AG31" i="8"/>
  <c r="I33" i="8"/>
  <c r="I34" i="8"/>
  <c r="AH32" i="8"/>
  <c r="AG32" i="8"/>
  <c r="AH35" i="8"/>
  <c r="AH9" i="9"/>
  <c r="S5" i="9"/>
  <c r="U11" i="9"/>
  <c r="U12" i="9" s="1"/>
  <c r="V12" i="6"/>
  <c r="W22" i="6"/>
  <c r="U23" i="6"/>
  <c r="U27" i="6"/>
  <c r="O1" i="7"/>
  <c r="AH2" i="7"/>
  <c r="O4" i="7"/>
  <c r="W4" i="7"/>
  <c r="AB8" i="7"/>
  <c r="U9" i="7"/>
  <c r="N12" i="7"/>
  <c r="V12" i="7"/>
  <c r="AM28" i="7"/>
  <c r="H21" i="7" s="1"/>
  <c r="G30" i="7"/>
  <c r="W29" i="7"/>
  <c r="W28" i="7"/>
  <c r="W22" i="7"/>
  <c r="AM30" i="7"/>
  <c r="H23" i="7" s="1"/>
  <c r="G32" i="7"/>
  <c r="U23" i="7"/>
  <c r="AJ38" i="7"/>
  <c r="AI38" i="7"/>
  <c r="AK33" i="7"/>
  <c r="F26" i="7" s="1"/>
  <c r="E35" i="7"/>
  <c r="AN28" i="7"/>
  <c r="AN29" i="7"/>
  <c r="H22" i="7" s="1"/>
  <c r="AN30" i="7"/>
  <c r="AI32" i="7"/>
  <c r="D25" i="7" s="1"/>
  <c r="P39" i="7" a="1"/>
  <c r="P39" i="7" s="1"/>
  <c r="C34" i="7"/>
  <c r="AG38" i="7"/>
  <c r="J33" i="7" s="1"/>
  <c r="W1" i="8"/>
  <c r="W4" i="8" s="1"/>
  <c r="V13" i="8"/>
  <c r="AH6" i="8"/>
  <c r="V14" i="8"/>
  <c r="U6" i="8"/>
  <c r="R18" i="8"/>
  <c r="S11" i="9"/>
  <c r="S16" i="9" s="1"/>
  <c r="U6" i="9"/>
  <c r="U2" i="9"/>
  <c r="U5" i="9"/>
  <c r="U3" i="9"/>
  <c r="U9" i="9"/>
  <c r="I13" i="9"/>
  <c r="V39" i="10" a="1"/>
  <c r="V39" i="10" s="1"/>
  <c r="Q1" i="6"/>
  <c r="Q8" i="6" s="1"/>
  <c r="W2" i="6"/>
  <c r="Q3" i="6"/>
  <c r="N16" i="6"/>
  <c r="V16" i="6"/>
  <c r="Y22" i="6"/>
  <c r="W23" i="6"/>
  <c r="S26" i="6"/>
  <c r="W27" i="6"/>
  <c r="Q28" i="6"/>
  <c r="AI29" i="6"/>
  <c r="E30" i="6"/>
  <c r="E32" i="6"/>
  <c r="AL32" i="6"/>
  <c r="F25" i="6" s="1"/>
  <c r="Q1" i="7"/>
  <c r="Q8" i="7" s="1"/>
  <c r="W2" i="7"/>
  <c r="Y3" i="7"/>
  <c r="AS7" i="7"/>
  <c r="AS27" i="7" s="1"/>
  <c r="AS26" i="7" s="1"/>
  <c r="N16" i="7"/>
  <c r="I31" i="7"/>
  <c r="AH29" i="7"/>
  <c r="J22" i="7" s="1"/>
  <c r="Y22" i="7"/>
  <c r="I17" i="7" s="1"/>
  <c r="W23" i="7"/>
  <c r="U26" i="7"/>
  <c r="AI31" i="7"/>
  <c r="D24" i="7" s="1"/>
  <c r="E32" i="7"/>
  <c r="AM40" i="7"/>
  <c r="H35" i="7" s="1"/>
  <c r="U1" i="8"/>
  <c r="AH5" i="8"/>
  <c r="W3" i="8"/>
  <c r="Y5" i="8"/>
  <c r="X15" i="8"/>
  <c r="AS18" i="8"/>
  <c r="U8" i="9"/>
  <c r="AO22" i="9"/>
  <c r="AO20" i="9"/>
  <c r="V17" i="10"/>
  <c r="AA3" i="6"/>
  <c r="AC3" i="6" s="1"/>
  <c r="Q4" i="6"/>
  <c r="AH7" i="6"/>
  <c r="O9" i="6"/>
  <c r="W9" i="6"/>
  <c r="P12" i="6"/>
  <c r="Y23" i="6"/>
  <c r="Q24" i="6"/>
  <c r="Q25" i="6"/>
  <c r="U26" i="6"/>
  <c r="S28" i="6"/>
  <c r="AJ29" i="6"/>
  <c r="C35" i="6"/>
  <c r="AG37" i="6"/>
  <c r="J32" i="6" s="1"/>
  <c r="AA3" i="7"/>
  <c r="AC5" i="7" s="1"/>
  <c r="AH7" i="7"/>
  <c r="I32" i="7"/>
  <c r="AH30" i="7"/>
  <c r="J23" i="7" s="1"/>
  <c r="Y23" i="7"/>
  <c r="AK31" i="7"/>
  <c r="F24" i="7" s="1"/>
  <c r="Q24" i="7"/>
  <c r="E34" i="7"/>
  <c r="AK32" i="7"/>
  <c r="Q25" i="7"/>
  <c r="AN33" i="7"/>
  <c r="H26" i="7" s="1"/>
  <c r="W26" i="7"/>
  <c r="Q28" i="7"/>
  <c r="E30" i="7"/>
  <c r="AJ31" i="7"/>
  <c r="AL32" i="7"/>
  <c r="T39" i="7" a="1"/>
  <c r="T39" i="7" s="1"/>
  <c r="AB4" i="8"/>
  <c r="AD4" i="8" s="1"/>
  <c r="N14" i="8"/>
  <c r="W7" i="8"/>
  <c r="V17" i="8"/>
  <c r="AX26" i="8"/>
  <c r="AS7" i="8"/>
  <c r="AS27" i="8" s="1"/>
  <c r="AR7" i="8"/>
  <c r="AR27" i="8" s="1"/>
  <c r="T19" i="8"/>
  <c r="U9" i="8"/>
  <c r="S29" i="8"/>
  <c r="S25" i="8"/>
  <c r="S24" i="8"/>
  <c r="I14" i="8" s="1"/>
  <c r="S28" i="8"/>
  <c r="S26" i="8"/>
  <c r="S27" i="8"/>
  <c r="S23" i="8"/>
  <c r="J21" i="8"/>
  <c r="J22" i="8"/>
  <c r="AA3" i="9"/>
  <c r="U4" i="9"/>
  <c r="U27" i="9"/>
  <c r="U26" i="9"/>
  <c r="U28" i="9"/>
  <c r="U25" i="9"/>
  <c r="U24" i="9"/>
  <c r="U23" i="9"/>
  <c r="U22" i="9"/>
  <c r="I15" i="9" s="1"/>
  <c r="U29" i="9"/>
  <c r="AB3" i="6"/>
  <c r="AB3" i="7"/>
  <c r="Q27" i="7"/>
  <c r="J34" i="7"/>
  <c r="S1" i="8"/>
  <c r="S4" i="8" s="1"/>
  <c r="W11" i="8"/>
  <c r="W15" i="8" s="1"/>
  <c r="AB3" i="8"/>
  <c r="N13" i="8"/>
  <c r="O1" i="8"/>
  <c r="O8" i="8" s="1"/>
  <c r="AA3" i="8"/>
  <c r="AB5" i="8"/>
  <c r="Y6" i="8"/>
  <c r="Y7" i="8"/>
  <c r="W8" i="8"/>
  <c r="AJ37" i="8"/>
  <c r="AI37" i="8"/>
  <c r="D32" i="8" s="1"/>
  <c r="AN36" i="8"/>
  <c r="AM36" i="8"/>
  <c r="AH40" i="8"/>
  <c r="W5" i="9"/>
  <c r="W9" i="9"/>
  <c r="W8" i="9"/>
  <c r="AA5" i="9"/>
  <c r="AC5" i="9" s="1"/>
  <c r="AC9" i="9"/>
  <c r="U22" i="8"/>
  <c r="AJ31" i="8"/>
  <c r="D24" i="8" s="1"/>
  <c r="AI35" i="8"/>
  <c r="D30" i="8" s="1"/>
  <c r="V17" i="9"/>
  <c r="W7" i="9"/>
  <c r="P16" i="9"/>
  <c r="AV3" i="10"/>
  <c r="AU3" i="10"/>
  <c r="H23" i="10" s="1"/>
  <c r="G32" i="10"/>
  <c r="AO12" i="11"/>
  <c r="AP12" i="11"/>
  <c r="T17" i="12"/>
  <c r="AH2" i="8"/>
  <c r="AH10" i="8" s="1"/>
  <c r="AB8" i="8"/>
  <c r="N12" i="8"/>
  <c r="AX14" i="8"/>
  <c r="W22" i="8"/>
  <c r="U23" i="8"/>
  <c r="Q26" i="8"/>
  <c r="I13" i="8" s="1"/>
  <c r="U27" i="8"/>
  <c r="O28" i="8"/>
  <c r="AH29" i="8"/>
  <c r="AH30" i="8"/>
  <c r="J23" i="8" s="1"/>
  <c r="AK31" i="8"/>
  <c r="G32" i="8"/>
  <c r="E34" i="8"/>
  <c r="AJ35" i="8"/>
  <c r="AM39" i="8"/>
  <c r="H34" i="8" s="1"/>
  <c r="Q2" i="9"/>
  <c r="O4" i="9"/>
  <c r="W4" i="9"/>
  <c r="AJ29" i="9"/>
  <c r="AJ16" i="9"/>
  <c r="Q6" i="9"/>
  <c r="Y6" i="9"/>
  <c r="J26" i="9"/>
  <c r="N17" i="9"/>
  <c r="O7" i="9"/>
  <c r="J30" i="9"/>
  <c r="N14" i="9"/>
  <c r="S24" i="9"/>
  <c r="AP32" i="9"/>
  <c r="AK7" i="9" s="1"/>
  <c r="AP42" i="9"/>
  <c r="X12" i="10"/>
  <c r="Y1" i="10"/>
  <c r="Y7" i="10" s="1"/>
  <c r="N18" i="10"/>
  <c r="AB8" i="10"/>
  <c r="O8" i="10"/>
  <c r="AJ19" i="10"/>
  <c r="AV1" i="10"/>
  <c r="AU1" i="10"/>
  <c r="H21" i="10" s="1"/>
  <c r="G30" i="10"/>
  <c r="G31" i="10"/>
  <c r="AV2" i="10"/>
  <c r="J32" i="10"/>
  <c r="D13" i="11"/>
  <c r="N18" i="8"/>
  <c r="V18" i="8"/>
  <c r="AX18" i="8"/>
  <c r="Y22" i="8"/>
  <c r="AI29" i="8"/>
  <c r="D22" i="8" s="1"/>
  <c r="AL31" i="8"/>
  <c r="AA2" i="9"/>
  <c r="H24" i="9"/>
  <c r="AA6" i="9"/>
  <c r="J31" i="9"/>
  <c r="H35" i="9"/>
  <c r="P14" i="9"/>
  <c r="I14" i="9"/>
  <c r="AJ40" i="9"/>
  <c r="Q3" i="10"/>
  <c r="Q8" i="10"/>
  <c r="Q4" i="10"/>
  <c r="AJ27" i="10"/>
  <c r="AJ14" i="10"/>
  <c r="AJ37" i="10"/>
  <c r="J23" i="10"/>
  <c r="V14" i="10"/>
  <c r="W11" i="10" s="1"/>
  <c r="AB7" i="10"/>
  <c r="N17" i="10"/>
  <c r="AH7" i="10"/>
  <c r="T19" i="10"/>
  <c r="U9" i="10"/>
  <c r="H34" i="10"/>
  <c r="AV13" i="10"/>
  <c r="AU13" i="10"/>
  <c r="H35" i="10" s="1"/>
  <c r="AJ42" i="10"/>
  <c r="O3" i="11"/>
  <c r="AB3" i="11"/>
  <c r="N13" i="11"/>
  <c r="Y5" i="11"/>
  <c r="Y1" i="11"/>
  <c r="Y7" i="11" s="1"/>
  <c r="X15" i="11"/>
  <c r="U26" i="8"/>
  <c r="Y1" i="9"/>
  <c r="Y2" i="9" s="1"/>
  <c r="AB2" i="9"/>
  <c r="AD6" i="9" s="1"/>
  <c r="AA7" i="9"/>
  <c r="J32" i="9"/>
  <c r="V13" i="9"/>
  <c r="X37" i="9"/>
  <c r="H17" i="9"/>
  <c r="AS22" i="9"/>
  <c r="AS20" i="9"/>
  <c r="AJ38" i="9"/>
  <c r="AJ39" i="9"/>
  <c r="S7" i="10"/>
  <c r="S2" i="10"/>
  <c r="S3" i="10"/>
  <c r="S8" i="10"/>
  <c r="I12" i="10"/>
  <c r="AP13" i="10"/>
  <c r="AO13" i="10"/>
  <c r="J35" i="10" s="1"/>
  <c r="AU10" i="11"/>
  <c r="AV10" i="11"/>
  <c r="AA4" i="8"/>
  <c r="P16" i="8"/>
  <c r="X16" i="8"/>
  <c r="W26" i="8"/>
  <c r="U28" i="8"/>
  <c r="AK29" i="8"/>
  <c r="G30" i="8"/>
  <c r="AS3" i="8" s="1"/>
  <c r="AN31" i="8"/>
  <c r="H24" i="8" s="1"/>
  <c r="AI32" i="8"/>
  <c r="D25" i="8" s="1"/>
  <c r="G35" i="8"/>
  <c r="O3" i="9"/>
  <c r="AU5" i="9"/>
  <c r="H25" i="9" s="1"/>
  <c r="AB7" i="9"/>
  <c r="AA8" i="9"/>
  <c r="Q9" i="9"/>
  <c r="Y9" i="9"/>
  <c r="V12" i="9"/>
  <c r="X13" i="9"/>
  <c r="T40" i="9" a="1"/>
  <c r="T40" i="9" s="1"/>
  <c r="P12" i="10"/>
  <c r="AH3" i="10"/>
  <c r="AH9" i="10" s="1"/>
  <c r="AB2" i="10"/>
  <c r="AA2" i="10"/>
  <c r="AC3" i="10" s="1"/>
  <c r="Q2" i="10"/>
  <c r="J25" i="11"/>
  <c r="AP42" i="11"/>
  <c r="H17" i="11"/>
  <c r="AP32" i="11"/>
  <c r="AK7" i="11" s="1"/>
  <c r="AQ4" i="8"/>
  <c r="AQ15" i="8" s="1"/>
  <c r="AQ14" i="8" s="1"/>
  <c r="Q6" i="8"/>
  <c r="Q9" i="8"/>
  <c r="R12" i="8"/>
  <c r="O22" i="8"/>
  <c r="I12" i="8" s="1"/>
  <c r="U24" i="8"/>
  <c r="U25" i="8"/>
  <c r="Y26" i="8"/>
  <c r="W28" i="8"/>
  <c r="AL29" i="8"/>
  <c r="AM33" i="8"/>
  <c r="H26" i="8" s="1"/>
  <c r="AI36" i="8"/>
  <c r="D31" i="8" s="1"/>
  <c r="AB8" i="9"/>
  <c r="AD8" i="9" s="1"/>
  <c r="N12" i="9"/>
  <c r="H34" i="9"/>
  <c r="N13" i="9"/>
  <c r="AJ17" i="9"/>
  <c r="AG19" i="9"/>
  <c r="AH19" i="9" s="1"/>
  <c r="O1" i="10"/>
  <c r="AB4" i="10"/>
  <c r="N14" i="10"/>
  <c r="O4" i="10"/>
  <c r="AH4" i="10"/>
  <c r="P15" i="10"/>
  <c r="AA5" i="10"/>
  <c r="J26" i="10"/>
  <c r="AA7" i="10"/>
  <c r="AB9" i="10"/>
  <c r="AV4" i="10"/>
  <c r="AU4" i="10"/>
  <c r="H24" i="10" s="1"/>
  <c r="G33" i="10"/>
  <c r="N15" i="11"/>
  <c r="AB5" i="11"/>
  <c r="I32" i="11"/>
  <c r="AP3" i="11"/>
  <c r="J23" i="11" s="1"/>
  <c r="AG15" i="11"/>
  <c r="AH15" i="11" s="1"/>
  <c r="C13" i="11"/>
  <c r="AQ28" i="11"/>
  <c r="AK15" i="11" s="1"/>
  <c r="AL3" i="11"/>
  <c r="AQ38" i="11"/>
  <c r="AA9" i="8"/>
  <c r="AC9" i="8" s="1"/>
  <c r="O23" i="8"/>
  <c r="W24" i="8"/>
  <c r="W25" i="8"/>
  <c r="Q3" i="9"/>
  <c r="Y5" i="9"/>
  <c r="AJ18" i="9"/>
  <c r="AJ31" i="9"/>
  <c r="U18" i="9"/>
  <c r="AB9" i="9"/>
  <c r="AN22" i="9"/>
  <c r="AN20" i="9"/>
  <c r="S27" i="9"/>
  <c r="S26" i="9"/>
  <c r="T39" i="9" a="1"/>
  <c r="T39" i="9" s="1"/>
  <c r="AF42" i="9"/>
  <c r="AH5" i="10"/>
  <c r="H22" i="10"/>
  <c r="Q5" i="10"/>
  <c r="S6" i="10"/>
  <c r="V18" i="10"/>
  <c r="W8" i="10"/>
  <c r="AP11" i="10"/>
  <c r="AO11" i="10"/>
  <c r="J33" i="10" s="1"/>
  <c r="Y8" i="11"/>
  <c r="X18" i="11"/>
  <c r="AP8" i="11"/>
  <c r="AO8" i="11"/>
  <c r="J30" i="11" s="1"/>
  <c r="W4" i="12"/>
  <c r="W8" i="12"/>
  <c r="S26" i="10"/>
  <c r="S27" i="10"/>
  <c r="AA3" i="11"/>
  <c r="P14" i="11"/>
  <c r="AA4" i="11"/>
  <c r="AA5" i="11"/>
  <c r="Q6" i="11"/>
  <c r="S7" i="11"/>
  <c r="N19" i="11"/>
  <c r="AB9" i="11"/>
  <c r="T13" i="11"/>
  <c r="AO22" i="11"/>
  <c r="AO4" i="11"/>
  <c r="J24" i="11" s="1"/>
  <c r="I33" i="11"/>
  <c r="AB3" i="12"/>
  <c r="W5" i="12"/>
  <c r="V15" i="12"/>
  <c r="Q26" i="9"/>
  <c r="Q27" i="9"/>
  <c r="W29" i="9"/>
  <c r="U1" i="10"/>
  <c r="R18" i="10"/>
  <c r="S11" i="10" s="1"/>
  <c r="Y22" i="10"/>
  <c r="Y23" i="10"/>
  <c r="Y24" i="10"/>
  <c r="Y25" i="10"/>
  <c r="U26" i="10"/>
  <c r="I15" i="10" s="1"/>
  <c r="U27" i="10"/>
  <c r="Y28" i="10"/>
  <c r="AJ31" i="10"/>
  <c r="Q2" i="11"/>
  <c r="Q3" i="11"/>
  <c r="Q4" i="11"/>
  <c r="Q5" i="11"/>
  <c r="AA6" i="11"/>
  <c r="AA8" i="11"/>
  <c r="Q8" i="11"/>
  <c r="P18" i="11"/>
  <c r="Q11" i="11"/>
  <c r="Q13" i="11" s="1"/>
  <c r="T17" i="11"/>
  <c r="S27" i="11"/>
  <c r="S26" i="11"/>
  <c r="H22" i="11"/>
  <c r="R12" i="12"/>
  <c r="AH4" i="12"/>
  <c r="S1" i="12"/>
  <c r="S2" i="12"/>
  <c r="AA2" i="12"/>
  <c r="AA3" i="12"/>
  <c r="Q1" i="12"/>
  <c r="Q5" i="12" s="1"/>
  <c r="AH3" i="12"/>
  <c r="P13" i="12"/>
  <c r="Q11" i="12" s="1"/>
  <c r="X17" i="12"/>
  <c r="AP3" i="12"/>
  <c r="AF16" i="9"/>
  <c r="W22" i="9"/>
  <c r="W23" i="9"/>
  <c r="W24" i="9"/>
  <c r="W25" i="9"/>
  <c r="AJ42" i="9"/>
  <c r="W1" i="10"/>
  <c r="W7" i="10" s="1"/>
  <c r="U3" i="10"/>
  <c r="AB5" i="10"/>
  <c r="AD5" i="10" s="1"/>
  <c r="AP5" i="10"/>
  <c r="J25" i="10" s="1"/>
  <c r="Q7" i="10"/>
  <c r="T12" i="10"/>
  <c r="AJ15" i="10"/>
  <c r="AJ17" i="10"/>
  <c r="P19" i="10"/>
  <c r="X19" i="10"/>
  <c r="O29" i="10"/>
  <c r="AJ29" i="10"/>
  <c r="O1" i="11"/>
  <c r="R12" i="11"/>
  <c r="AH4" i="11"/>
  <c r="AH9" i="11" s="1"/>
  <c r="S1" i="11"/>
  <c r="AA2" i="11"/>
  <c r="R13" i="11"/>
  <c r="S3" i="11"/>
  <c r="AB4" i="11"/>
  <c r="S6" i="11"/>
  <c r="AB6" i="11"/>
  <c r="AD6" i="11" s="1"/>
  <c r="AJ14" i="11"/>
  <c r="U28" i="11"/>
  <c r="U25" i="11"/>
  <c r="U24" i="11"/>
  <c r="U23" i="11"/>
  <c r="U22" i="11"/>
  <c r="J31" i="11"/>
  <c r="S23" i="11"/>
  <c r="S28" i="11"/>
  <c r="S29" i="11"/>
  <c r="AJ37" i="11"/>
  <c r="S3" i="12"/>
  <c r="AU3" i="12"/>
  <c r="H23" i="12" s="1"/>
  <c r="AA5" i="12"/>
  <c r="J31" i="12"/>
  <c r="H32" i="12"/>
  <c r="AJ16" i="10"/>
  <c r="Y26" i="10"/>
  <c r="Q29" i="10"/>
  <c r="H23" i="11"/>
  <c r="H25" i="11"/>
  <c r="R19" i="11"/>
  <c r="S9" i="11"/>
  <c r="O14" i="11"/>
  <c r="X17" i="11"/>
  <c r="AR22" i="11"/>
  <c r="S24" i="11"/>
  <c r="AU6" i="11"/>
  <c r="H26" i="11" s="1"/>
  <c r="G35" i="11"/>
  <c r="V40" i="11" a="1"/>
  <c r="V40" i="11" s="1"/>
  <c r="AV11" i="11"/>
  <c r="AU11" i="11"/>
  <c r="H33" i="11" s="1"/>
  <c r="AH5" i="12"/>
  <c r="AP42" i="12"/>
  <c r="H17" i="12"/>
  <c r="AP32" i="12"/>
  <c r="AK7" i="12" s="1"/>
  <c r="X37" i="12"/>
  <c r="AA4" i="10"/>
  <c r="AA8" i="10"/>
  <c r="AC8" i="10" s="1"/>
  <c r="AJ28" i="10"/>
  <c r="U3" i="11"/>
  <c r="U5" i="11"/>
  <c r="U6" i="11"/>
  <c r="T18" i="11"/>
  <c r="U8" i="11"/>
  <c r="H13" i="11"/>
  <c r="AV8" i="11"/>
  <c r="AU8" i="11"/>
  <c r="H30" i="11" s="1"/>
  <c r="AF39" i="11"/>
  <c r="AF16" i="11"/>
  <c r="AF38" i="11"/>
  <c r="W2" i="12"/>
  <c r="O5" i="12"/>
  <c r="O1" i="12"/>
  <c r="N15" i="12"/>
  <c r="AB5" i="12"/>
  <c r="O7" i="12"/>
  <c r="T13" i="12"/>
  <c r="AP13" i="12"/>
  <c r="AO13" i="12"/>
  <c r="O29" i="9"/>
  <c r="I12" i="9" s="1"/>
  <c r="U2" i="10"/>
  <c r="S4" i="10"/>
  <c r="Q6" i="10"/>
  <c r="Q9" i="10"/>
  <c r="Q22" i="10"/>
  <c r="Q23" i="10"/>
  <c r="Q24" i="10"/>
  <c r="Q25" i="10"/>
  <c r="AJ30" i="10"/>
  <c r="V40" i="10" a="1"/>
  <c r="V40" i="10" s="1"/>
  <c r="U2" i="11"/>
  <c r="AH2" i="11"/>
  <c r="W3" i="11"/>
  <c r="V13" i="11"/>
  <c r="U4" i="11"/>
  <c r="AJ39" i="11"/>
  <c r="AJ29" i="11"/>
  <c r="AJ16" i="11"/>
  <c r="AJ18" i="11"/>
  <c r="AJ41" i="11"/>
  <c r="AJ31" i="11"/>
  <c r="AB7" i="11"/>
  <c r="N17" i="11"/>
  <c r="O7" i="11"/>
  <c r="S22" i="11"/>
  <c r="AP13" i="11"/>
  <c r="AO13" i="11"/>
  <c r="AJ30" i="11"/>
  <c r="AH7" i="12"/>
  <c r="Y1" i="12"/>
  <c r="Y5" i="12" s="1"/>
  <c r="X13" i="12"/>
  <c r="AA7" i="12"/>
  <c r="AC7" i="12" s="1"/>
  <c r="Y15" i="12"/>
  <c r="AA6" i="10"/>
  <c r="AF14" i="10"/>
  <c r="S22" i="10"/>
  <c r="S23" i="10"/>
  <c r="S24" i="10"/>
  <c r="S25" i="10"/>
  <c r="O26" i="10"/>
  <c r="O11" i="11"/>
  <c r="O16" i="11" s="1"/>
  <c r="AH7" i="11"/>
  <c r="W5" i="11"/>
  <c r="W6" i="11"/>
  <c r="AA7" i="11"/>
  <c r="AC7" i="11" s="1"/>
  <c r="W9" i="11"/>
  <c r="V19" i="11"/>
  <c r="V39" i="11" a="1"/>
  <c r="V39" i="11" s="1"/>
  <c r="U1" i="12"/>
  <c r="U8" i="12" s="1"/>
  <c r="O2" i="12"/>
  <c r="AJ39" i="12"/>
  <c r="AJ29" i="12"/>
  <c r="AJ16" i="12"/>
  <c r="R15" i="12"/>
  <c r="S5" i="12"/>
  <c r="O27" i="12"/>
  <c r="O26" i="12"/>
  <c r="O28" i="12"/>
  <c r="O25" i="12"/>
  <c r="O24" i="12"/>
  <c r="O23" i="12"/>
  <c r="O22" i="12"/>
  <c r="I12" i="12" s="1"/>
  <c r="AJ30" i="12"/>
  <c r="AJ28" i="13"/>
  <c r="AJ38" i="13"/>
  <c r="AQ20" i="13"/>
  <c r="I35" i="13"/>
  <c r="AO6" i="13"/>
  <c r="AP6" i="13"/>
  <c r="AH3" i="14"/>
  <c r="Q1" i="14"/>
  <c r="P12" i="14"/>
  <c r="AA2" i="14"/>
  <c r="AH6" i="12"/>
  <c r="P12" i="13"/>
  <c r="AB2" i="13"/>
  <c r="AA2" i="13"/>
  <c r="V18" i="13"/>
  <c r="W8" i="13"/>
  <c r="J32" i="13"/>
  <c r="AP4" i="13"/>
  <c r="AO4" i="13"/>
  <c r="J24" i="13" s="1"/>
  <c r="I33" i="13"/>
  <c r="S2" i="14"/>
  <c r="R12" i="14"/>
  <c r="S1" i="14"/>
  <c r="AH4" i="14"/>
  <c r="R17" i="11"/>
  <c r="W29" i="11"/>
  <c r="H21" i="12"/>
  <c r="AB2" i="12"/>
  <c r="AD4" i="12" s="1"/>
  <c r="O6" i="12"/>
  <c r="W6" i="12"/>
  <c r="AJ31" i="12"/>
  <c r="AJ18" i="12"/>
  <c r="Q8" i="12"/>
  <c r="O9" i="12"/>
  <c r="W9" i="12"/>
  <c r="AU11" i="12"/>
  <c r="H33" i="12" s="1"/>
  <c r="R13" i="12"/>
  <c r="S27" i="12"/>
  <c r="S26" i="12"/>
  <c r="S28" i="12"/>
  <c r="S25" i="12"/>
  <c r="S24" i="12"/>
  <c r="S23" i="12"/>
  <c r="S22" i="12"/>
  <c r="AF42" i="12"/>
  <c r="AF19" i="12"/>
  <c r="S4" i="13"/>
  <c r="Y8" i="13"/>
  <c r="AV5" i="11"/>
  <c r="W7" i="11"/>
  <c r="W22" i="11"/>
  <c r="W23" i="11"/>
  <c r="W24" i="11"/>
  <c r="W25" i="11"/>
  <c r="O3" i="12"/>
  <c r="W3" i="12"/>
  <c r="AJ38" i="12"/>
  <c r="AJ28" i="12"/>
  <c r="AA4" i="12"/>
  <c r="AO4" i="12"/>
  <c r="J24" i="12" s="1"/>
  <c r="S7" i="12"/>
  <c r="AB7" i="12"/>
  <c r="AA8" i="12"/>
  <c r="Y11" i="12"/>
  <c r="Y19" i="12" s="1"/>
  <c r="N12" i="12"/>
  <c r="V12" i="12"/>
  <c r="N16" i="12"/>
  <c r="N17" i="12"/>
  <c r="AJ17" i="12"/>
  <c r="S2" i="13"/>
  <c r="S9" i="13"/>
  <c r="AV8" i="13"/>
  <c r="AU8" i="13"/>
  <c r="H30" i="13" s="1"/>
  <c r="AF14" i="13"/>
  <c r="AF37" i="13"/>
  <c r="J22" i="13"/>
  <c r="AH6" i="13"/>
  <c r="W1" i="13"/>
  <c r="V13" i="13"/>
  <c r="AA7" i="13"/>
  <c r="AP10" i="13"/>
  <c r="I30" i="13"/>
  <c r="AO1" i="13"/>
  <c r="J21" i="13" s="1"/>
  <c r="AP5" i="13"/>
  <c r="AO5" i="13"/>
  <c r="J25" i="13" s="1"/>
  <c r="AV5" i="13"/>
  <c r="AH2" i="12"/>
  <c r="AH10" i="12" s="1"/>
  <c r="AA6" i="12"/>
  <c r="AA9" i="12"/>
  <c r="S29" i="12"/>
  <c r="Q1" i="13"/>
  <c r="Q2" i="13" s="1"/>
  <c r="H23" i="13"/>
  <c r="S5" i="13"/>
  <c r="S6" i="13"/>
  <c r="AU2" i="13"/>
  <c r="H22" i="13" s="1"/>
  <c r="AP2" i="13"/>
  <c r="O29" i="11"/>
  <c r="AJ38" i="11"/>
  <c r="AJ37" i="12"/>
  <c r="AJ27" i="12"/>
  <c r="AO3" i="12"/>
  <c r="J23" i="12" s="1"/>
  <c r="H25" i="12"/>
  <c r="S6" i="12"/>
  <c r="S9" i="12"/>
  <c r="AB9" i="12"/>
  <c r="N13" i="12"/>
  <c r="AF16" i="12"/>
  <c r="AF39" i="12"/>
  <c r="I32" i="12"/>
  <c r="AJ15" i="13"/>
  <c r="H34" i="13"/>
  <c r="AV1" i="11"/>
  <c r="H21" i="11" s="1"/>
  <c r="AF19" i="11"/>
  <c r="O22" i="11"/>
  <c r="O23" i="11"/>
  <c r="O24" i="11"/>
  <c r="O25" i="11"/>
  <c r="H22" i="12"/>
  <c r="W7" i="12"/>
  <c r="AJ19" i="12"/>
  <c r="AJ42" i="12"/>
  <c r="AJ32" i="12"/>
  <c r="T40" i="12" a="1"/>
  <c r="T40" i="12" s="1"/>
  <c r="AJ41" i="12"/>
  <c r="X12" i="13"/>
  <c r="Y1" i="13"/>
  <c r="O1" i="13"/>
  <c r="N13" i="13"/>
  <c r="AB3" i="13"/>
  <c r="AD3" i="13" s="1"/>
  <c r="AH3" i="13"/>
  <c r="AH9" i="13" s="1"/>
  <c r="AU5" i="13"/>
  <c r="H25" i="13" s="1"/>
  <c r="AF41" i="13"/>
  <c r="AF18" i="13"/>
  <c r="O28" i="13"/>
  <c r="O26" i="13"/>
  <c r="O25" i="13"/>
  <c r="O24" i="13"/>
  <c r="O23" i="13"/>
  <c r="O22" i="13"/>
  <c r="AJ27" i="13"/>
  <c r="V14" i="14"/>
  <c r="S6" i="14"/>
  <c r="T17" i="14"/>
  <c r="U11" i="14" s="1"/>
  <c r="AH5" i="14"/>
  <c r="Q29" i="12"/>
  <c r="Y3" i="13"/>
  <c r="U5" i="13"/>
  <c r="S7" i="13"/>
  <c r="N18" i="13"/>
  <c r="AB8" i="13"/>
  <c r="T15" i="13"/>
  <c r="T16" i="13"/>
  <c r="X18" i="13"/>
  <c r="AJ19" i="13"/>
  <c r="AJ29" i="13"/>
  <c r="T39" i="13" a="1"/>
  <c r="T39" i="13" s="1"/>
  <c r="J21" i="14"/>
  <c r="X14" i="14"/>
  <c r="AA3" i="13"/>
  <c r="W4" i="13"/>
  <c r="U7" i="13"/>
  <c r="U9" i="13"/>
  <c r="AP22" i="13"/>
  <c r="G32" i="13"/>
  <c r="AV3" i="13"/>
  <c r="Y11" i="14"/>
  <c r="Y16" i="14" s="1"/>
  <c r="V17" i="14"/>
  <c r="U29" i="12"/>
  <c r="AJ41" i="13"/>
  <c r="AJ18" i="13"/>
  <c r="AA8" i="13"/>
  <c r="X13" i="13"/>
  <c r="V15" i="13"/>
  <c r="R17" i="13"/>
  <c r="O29" i="13"/>
  <c r="U22" i="12"/>
  <c r="U23" i="12"/>
  <c r="U24" i="12"/>
  <c r="U25" i="12"/>
  <c r="Q26" i="12"/>
  <c r="I13" i="12" s="1"/>
  <c r="W29" i="12"/>
  <c r="Q4" i="13"/>
  <c r="P18" i="13"/>
  <c r="W27" i="13"/>
  <c r="W26" i="13"/>
  <c r="W29" i="13"/>
  <c r="W24" i="13"/>
  <c r="I16" i="13" s="1"/>
  <c r="AP9" i="13"/>
  <c r="AO9" i="13"/>
  <c r="J31" i="13" s="1"/>
  <c r="N14" i="14"/>
  <c r="O1" i="14"/>
  <c r="P15" i="14"/>
  <c r="AA5" i="14"/>
  <c r="AB6" i="14"/>
  <c r="AD6" i="14" s="1"/>
  <c r="AH7" i="14"/>
  <c r="AA8" i="14"/>
  <c r="Q8" i="14"/>
  <c r="P18" i="14"/>
  <c r="Y3" i="15"/>
  <c r="X13" i="15"/>
  <c r="W22" i="12"/>
  <c r="I16" i="12" s="1"/>
  <c r="W23" i="12"/>
  <c r="W24" i="12"/>
  <c r="W25" i="12"/>
  <c r="AH2" i="13"/>
  <c r="AA4" i="13"/>
  <c r="AC4" i="13" s="1"/>
  <c r="AA5" i="13"/>
  <c r="AB7" i="13"/>
  <c r="Y28" i="13"/>
  <c r="Y29" i="13"/>
  <c r="Y27" i="13"/>
  <c r="Y24" i="13"/>
  <c r="O27" i="13"/>
  <c r="W28" i="13"/>
  <c r="AH2" i="14"/>
  <c r="Q5" i="14"/>
  <c r="AJ32" i="14"/>
  <c r="AJ42" i="14"/>
  <c r="AJ19" i="14"/>
  <c r="AV11" i="14"/>
  <c r="AU11" i="14"/>
  <c r="I33" i="14"/>
  <c r="AO4" i="14"/>
  <c r="J24" i="14" s="1"/>
  <c r="Q5" i="15"/>
  <c r="Q9" i="15"/>
  <c r="Q4" i="15"/>
  <c r="Q8" i="15"/>
  <c r="W9" i="15"/>
  <c r="AB5" i="15"/>
  <c r="O1" i="15"/>
  <c r="O8" i="15" s="1"/>
  <c r="AJ37" i="14"/>
  <c r="AJ27" i="14"/>
  <c r="AJ14" i="14"/>
  <c r="AA4" i="14"/>
  <c r="AC4" i="14" s="1"/>
  <c r="P14" i="14"/>
  <c r="AB7" i="14"/>
  <c r="N17" i="14"/>
  <c r="W13" i="14"/>
  <c r="AO22" i="14"/>
  <c r="I31" i="14"/>
  <c r="AP2" i="14"/>
  <c r="M14" i="16"/>
  <c r="I22" i="16"/>
  <c r="AJ40" i="14"/>
  <c r="AJ30" i="14"/>
  <c r="AJ17" i="14"/>
  <c r="H26" i="14"/>
  <c r="J34" i="14"/>
  <c r="I29" i="15"/>
  <c r="AM13" i="15"/>
  <c r="AA2" i="15"/>
  <c r="Q2" i="15"/>
  <c r="AB2" i="15"/>
  <c r="P12" i="15"/>
  <c r="AA3" i="15"/>
  <c r="Q3" i="15"/>
  <c r="P13" i="15"/>
  <c r="S5" i="15"/>
  <c r="R15" i="15"/>
  <c r="N18" i="15"/>
  <c r="AB8" i="15"/>
  <c r="H26" i="13"/>
  <c r="N12" i="13"/>
  <c r="Q27" i="13"/>
  <c r="V39" i="13" a="1"/>
  <c r="V39" i="13" s="1"/>
  <c r="W11" i="14"/>
  <c r="AO2" i="14"/>
  <c r="J22" i="14" s="1"/>
  <c r="Y3" i="14"/>
  <c r="J26" i="14"/>
  <c r="AA7" i="14"/>
  <c r="J32" i="14"/>
  <c r="Q7" i="15"/>
  <c r="S27" i="13"/>
  <c r="V40" i="13" a="1"/>
  <c r="V40" i="13" s="1"/>
  <c r="U1" i="14"/>
  <c r="U6" i="14" s="1"/>
  <c r="U27" i="14"/>
  <c r="U25" i="14"/>
  <c r="U29" i="14"/>
  <c r="U22" i="14"/>
  <c r="I15" i="14" s="1"/>
  <c r="U28" i="14"/>
  <c r="U23" i="14"/>
  <c r="U26" i="14"/>
  <c r="U9" i="15"/>
  <c r="U4" i="15"/>
  <c r="AM16" i="15"/>
  <c r="I16" i="15"/>
  <c r="V27" i="16"/>
  <c r="V26" i="16"/>
  <c r="V25" i="16"/>
  <c r="V24" i="16"/>
  <c r="V28" i="16"/>
  <c r="V22" i="16"/>
  <c r="V23" i="16"/>
  <c r="AA6" i="13"/>
  <c r="U27" i="13"/>
  <c r="U26" i="13"/>
  <c r="I15" i="13" s="1"/>
  <c r="S22" i="13"/>
  <c r="S23" i="13"/>
  <c r="S24" i="13"/>
  <c r="Q26" i="13"/>
  <c r="W1" i="14"/>
  <c r="W7" i="14" s="1"/>
  <c r="N12" i="14"/>
  <c r="AB2" i="14"/>
  <c r="AD4" i="14" s="1"/>
  <c r="Y1" i="14"/>
  <c r="Y4" i="14" s="1"/>
  <c r="AB3" i="14"/>
  <c r="H23" i="14"/>
  <c r="U4" i="14"/>
  <c r="N18" i="14"/>
  <c r="AB8" i="14"/>
  <c r="T19" i="14"/>
  <c r="H34" i="14"/>
  <c r="Y11" i="15"/>
  <c r="Y14" i="15" s="1"/>
  <c r="V19" i="15"/>
  <c r="S1" i="15"/>
  <c r="S8" i="15" s="1"/>
  <c r="T16" i="15"/>
  <c r="U6" i="15"/>
  <c r="O7" i="15"/>
  <c r="V18" i="15"/>
  <c r="W8" i="15"/>
  <c r="X2" i="16"/>
  <c r="R1" i="17"/>
  <c r="Q12" i="17"/>
  <c r="X18" i="14"/>
  <c r="Y28" i="14"/>
  <c r="Y26" i="14"/>
  <c r="Y24" i="14"/>
  <c r="W26" i="14"/>
  <c r="W29" i="14"/>
  <c r="W4" i="15"/>
  <c r="P17" i="15"/>
  <c r="AB7" i="15"/>
  <c r="AA7" i="15"/>
  <c r="P2" i="20"/>
  <c r="P5" i="20"/>
  <c r="AJ29" i="14"/>
  <c r="AJ39" i="14"/>
  <c r="AO13" i="14"/>
  <c r="J35" i="14" s="1"/>
  <c r="P17" i="14"/>
  <c r="AN22" i="14"/>
  <c r="Y22" i="14"/>
  <c r="W24" i="14"/>
  <c r="I16" i="14" s="1"/>
  <c r="W1" i="15"/>
  <c r="S3" i="15"/>
  <c r="U5" i="15"/>
  <c r="Y6" i="15"/>
  <c r="Y19" i="15"/>
  <c r="AF19" i="15" a="1"/>
  <c r="AF19" i="15" s="1"/>
  <c r="Y15" i="15"/>
  <c r="N1" i="16"/>
  <c r="N8" i="16" s="1"/>
  <c r="M16" i="16"/>
  <c r="N6" i="16"/>
  <c r="T39" i="14" a="1"/>
  <c r="T39" i="14" s="1"/>
  <c r="T40" i="14" a="1"/>
  <c r="T40" i="14" s="1"/>
  <c r="AB6" i="15"/>
  <c r="U7" i="15"/>
  <c r="T17" i="15"/>
  <c r="AB9" i="15"/>
  <c r="N19" i="15"/>
  <c r="O9" i="15"/>
  <c r="X4" i="16"/>
  <c r="W18" i="16"/>
  <c r="AU1" i="14"/>
  <c r="H21" i="14" s="1"/>
  <c r="W9" i="14"/>
  <c r="Q23" i="14"/>
  <c r="Q26" i="14"/>
  <c r="Q24" i="14"/>
  <c r="I13" i="14" s="1"/>
  <c r="Q28" i="14"/>
  <c r="W25" i="14"/>
  <c r="W27" i="14"/>
  <c r="Y1" i="15"/>
  <c r="Y2" i="15"/>
  <c r="I33" i="15"/>
  <c r="AM17" i="15"/>
  <c r="U3" i="15"/>
  <c r="W5" i="15"/>
  <c r="AA6" i="15"/>
  <c r="W7" i="15"/>
  <c r="O11" i="15"/>
  <c r="O12" i="15" s="1"/>
  <c r="H32" i="14"/>
  <c r="S26" i="14"/>
  <c r="S24" i="14"/>
  <c r="S27" i="14"/>
  <c r="S25" i="14"/>
  <c r="AQ22" i="14"/>
  <c r="Y25" i="14"/>
  <c r="Y27" i="14"/>
  <c r="S4" i="15"/>
  <c r="M12" i="16"/>
  <c r="O29" i="15"/>
  <c r="O24" i="15"/>
  <c r="O26" i="15"/>
  <c r="O23" i="15"/>
  <c r="B35" i="15" a="1"/>
  <c r="B35" i="15" s="1"/>
  <c r="B30" i="16" a="1"/>
  <c r="B30" i="16" s="1"/>
  <c r="C29" i="16" a="1"/>
  <c r="C29" i="16" s="1"/>
  <c r="AB4" i="15"/>
  <c r="AM12" i="15"/>
  <c r="Q22" i="15"/>
  <c r="I13" i="15" s="1"/>
  <c r="Q26" i="15"/>
  <c r="Q27" i="15"/>
  <c r="Q23" i="15"/>
  <c r="T3" i="16"/>
  <c r="T5" i="16"/>
  <c r="T7" i="16"/>
  <c r="O18" i="16"/>
  <c r="C30" i="16" a="1"/>
  <c r="C30" i="16" s="1"/>
  <c r="U12" i="17"/>
  <c r="V1" i="17"/>
  <c r="V3" i="17" s="1"/>
  <c r="V2" i="17"/>
  <c r="O14" i="17"/>
  <c r="V7" i="17"/>
  <c r="W12" i="18"/>
  <c r="X1" i="18"/>
  <c r="P6" i="18"/>
  <c r="O16" i="18"/>
  <c r="O15" i="19"/>
  <c r="AM14" i="15"/>
  <c r="X16" i="15"/>
  <c r="S22" i="15"/>
  <c r="S28" i="15"/>
  <c r="S25" i="15"/>
  <c r="S27" i="15"/>
  <c r="S23" i="15"/>
  <c r="S26" i="15"/>
  <c r="Q12" i="16"/>
  <c r="Q16" i="16"/>
  <c r="X1" i="17"/>
  <c r="W12" i="17"/>
  <c r="T3" i="17"/>
  <c r="M16" i="17"/>
  <c r="P8" i="18"/>
  <c r="P4" i="18"/>
  <c r="Z4" i="18" s="1" a="1"/>
  <c r="Z4" i="18" s="1"/>
  <c r="P7" i="18"/>
  <c r="M14" i="19"/>
  <c r="S16" i="19"/>
  <c r="U14" i="20"/>
  <c r="U28" i="15"/>
  <c r="U25" i="15"/>
  <c r="U29" i="15"/>
  <c r="U24" i="15"/>
  <c r="U23" i="15"/>
  <c r="U26" i="15"/>
  <c r="I30" i="15"/>
  <c r="R2" i="16"/>
  <c r="I27" i="16"/>
  <c r="W13" i="16"/>
  <c r="X1" i="16"/>
  <c r="X8" i="16" s="1"/>
  <c r="R4" i="16"/>
  <c r="N26" i="16"/>
  <c r="N22" i="16"/>
  <c r="I2" i="16" s="1"/>
  <c r="N25" i="16"/>
  <c r="N24" i="16"/>
  <c r="T4" i="17"/>
  <c r="T1" i="19"/>
  <c r="V1" i="20"/>
  <c r="R11" i="20"/>
  <c r="R18" i="20" s="1"/>
  <c r="I31" i="15"/>
  <c r="AA8" i="15"/>
  <c r="AA9" i="15"/>
  <c r="AC9" i="15" s="1"/>
  <c r="W26" i="15"/>
  <c r="W23" i="15"/>
  <c r="W29" i="15"/>
  <c r="S24" i="15"/>
  <c r="O28" i="15"/>
  <c r="Q29" i="15"/>
  <c r="T11" i="16"/>
  <c r="T16" i="16" s="1"/>
  <c r="X3" i="16"/>
  <c r="X5" i="16"/>
  <c r="X7" i="16"/>
  <c r="S18" i="16"/>
  <c r="T8" i="16"/>
  <c r="U12" i="16"/>
  <c r="U16" i="16"/>
  <c r="P28" i="16"/>
  <c r="P22" i="16"/>
  <c r="P24" i="16"/>
  <c r="N27" i="16"/>
  <c r="U14" i="17"/>
  <c r="V4" i="17"/>
  <c r="Q16" i="17"/>
  <c r="R6" i="17"/>
  <c r="P3" i="18"/>
  <c r="S18" i="20"/>
  <c r="T1" i="20"/>
  <c r="T8" i="20" s="1"/>
  <c r="O23" i="14"/>
  <c r="U2" i="15"/>
  <c r="Q6" i="15"/>
  <c r="S9" i="15"/>
  <c r="R12" i="15"/>
  <c r="AM15" i="15"/>
  <c r="Y26" i="15"/>
  <c r="Y23" i="15"/>
  <c r="I17" i="15" s="1"/>
  <c r="Y27" i="15"/>
  <c r="O22" i="15"/>
  <c r="W24" i="15"/>
  <c r="O27" i="15"/>
  <c r="Q28" i="15"/>
  <c r="S29" i="15"/>
  <c r="T1" i="16"/>
  <c r="P1" i="16"/>
  <c r="P4" i="16" s="1"/>
  <c r="Z4" i="16" s="1" a="1"/>
  <c r="Z4" i="16" s="1"/>
  <c r="O13" i="16"/>
  <c r="I23" i="16"/>
  <c r="I29" i="16" s="1"/>
  <c r="O17" i="16"/>
  <c r="X17" i="16"/>
  <c r="X18" i="16"/>
  <c r="X13" i="16"/>
  <c r="X14" i="16"/>
  <c r="X16" i="16"/>
  <c r="P27" i="16"/>
  <c r="T5" i="17"/>
  <c r="S16" i="17"/>
  <c r="T6" i="17"/>
  <c r="P2" i="18"/>
  <c r="M17" i="19"/>
  <c r="O22" i="14"/>
  <c r="I12" i="14" s="1"/>
  <c r="I28" i="15"/>
  <c r="I32" i="15"/>
  <c r="AB3" i="15"/>
  <c r="U22" i="15"/>
  <c r="Y24" i="15"/>
  <c r="O25" i="15"/>
  <c r="U27" i="15"/>
  <c r="W28" i="15"/>
  <c r="Y29" i="15"/>
  <c r="V1" i="16"/>
  <c r="V8" i="16" s="1"/>
  <c r="X12" i="16"/>
  <c r="I7" i="16" s="1"/>
  <c r="X15" i="16"/>
  <c r="N28" i="16"/>
  <c r="P1" i="17"/>
  <c r="Q12" i="18"/>
  <c r="R2" i="18"/>
  <c r="R1" i="18"/>
  <c r="V8" i="17"/>
  <c r="T2" i="18"/>
  <c r="O15" i="18"/>
  <c r="P5" i="18"/>
  <c r="R6" i="18"/>
  <c r="Q16" i="18"/>
  <c r="M12" i="19"/>
  <c r="N1" i="19"/>
  <c r="N8" i="19" s="1"/>
  <c r="Q18" i="19"/>
  <c r="R8" i="19"/>
  <c r="X1" i="20"/>
  <c r="T2" i="16"/>
  <c r="T6" i="16"/>
  <c r="D30" i="16" a="1"/>
  <c r="D30" i="16" s="1"/>
  <c r="V5" i="17"/>
  <c r="V5" i="18"/>
  <c r="V4" i="18"/>
  <c r="Q15" i="18"/>
  <c r="R5" i="18"/>
  <c r="P1" i="19"/>
  <c r="P6" i="19" s="1"/>
  <c r="O12" i="19"/>
  <c r="R3" i="19"/>
  <c r="Q13" i="19"/>
  <c r="R16" i="20"/>
  <c r="P20" i="20"/>
  <c r="AA22" i="20" a="1"/>
  <c r="AA22" i="20" s="1"/>
  <c r="Z22" i="20" a="1"/>
  <c r="Z22" i="20" s="1"/>
  <c r="W16" i="20"/>
  <c r="AA24" i="17" a="1"/>
  <c r="AA24" i="17" s="1"/>
  <c r="S18" i="18"/>
  <c r="T1" i="18"/>
  <c r="T8" i="18"/>
  <c r="V4" i="19"/>
  <c r="V1" i="19"/>
  <c r="O13" i="20"/>
  <c r="P3" i="20"/>
  <c r="T26" i="16"/>
  <c r="I5" i="16" s="1"/>
  <c r="R27" i="16"/>
  <c r="I4" i="16" s="1"/>
  <c r="M12" i="17"/>
  <c r="N1" i="17"/>
  <c r="N6" i="17" s="1"/>
  <c r="R3" i="17"/>
  <c r="N1" i="18"/>
  <c r="M12" i="18"/>
  <c r="W15" i="18"/>
  <c r="V7" i="18"/>
  <c r="P7" i="20"/>
  <c r="T4" i="16"/>
  <c r="X6" i="16"/>
  <c r="O12" i="17"/>
  <c r="M14" i="17"/>
  <c r="W14" i="17"/>
  <c r="X4" i="17"/>
  <c r="V6" i="17"/>
  <c r="W14" i="18"/>
  <c r="X2" i="19"/>
  <c r="X1" i="19"/>
  <c r="W12" i="19"/>
  <c r="R1" i="20"/>
  <c r="R4" i="20" s="1"/>
  <c r="Q14" i="20"/>
  <c r="R13" i="20"/>
  <c r="U17" i="17"/>
  <c r="S12" i="18"/>
  <c r="S12" i="20"/>
  <c r="X13" i="20"/>
  <c r="V6" i="20"/>
  <c r="U16" i="20"/>
  <c r="V11" i="20" s="1"/>
  <c r="Z23" i="20" a="1"/>
  <c r="Z23" i="20" s="1"/>
  <c r="U12" i="18"/>
  <c r="Q12" i="19"/>
  <c r="R1" i="19"/>
  <c r="R4" i="19" s="1"/>
  <c r="O14" i="19"/>
  <c r="M16" i="19"/>
  <c r="X6" i="19"/>
  <c r="AA22" i="19" a="1"/>
  <c r="AA22" i="19" s="1"/>
  <c r="R15" i="20"/>
  <c r="G16" i="20"/>
  <c r="E16" i="20"/>
  <c r="C16" i="20"/>
  <c r="X11" i="20"/>
  <c r="X18" i="20" s="1"/>
  <c r="R3" i="18"/>
  <c r="R4" i="18"/>
  <c r="U18" i="19"/>
  <c r="W14" i="20"/>
  <c r="N6" i="20"/>
  <c r="M16" i="20"/>
  <c r="M18" i="17"/>
  <c r="Z23" i="17" a="1"/>
  <c r="Z23" i="17" s="1"/>
  <c r="Z24" i="17" a="1"/>
  <c r="Z24" i="17" s="1"/>
  <c r="T4" i="18"/>
  <c r="V8" i="18"/>
  <c r="P11" i="18"/>
  <c r="P12" i="18" s="1"/>
  <c r="M17" i="18"/>
  <c r="M18" i="19"/>
  <c r="V11" i="19"/>
  <c r="V14" i="19" s="1"/>
  <c r="Z23" i="19" a="1"/>
  <c r="Z23" i="19" s="1"/>
  <c r="M14" i="20"/>
  <c r="N11" i="20" s="1"/>
  <c r="N1" i="20"/>
  <c r="O16" i="20"/>
  <c r="P6" i="20"/>
  <c r="U21" i="20"/>
  <c r="V20" i="20" s="1"/>
  <c r="P5" i="17"/>
  <c r="X5" i="17"/>
  <c r="T3" i="18"/>
  <c r="O12" i="20"/>
  <c r="S21" i="20"/>
  <c r="T20" i="20" s="1"/>
  <c r="G15" i="20"/>
  <c r="C15" i="20"/>
  <c r="V2" i="18"/>
  <c r="AA23" i="18" a="1"/>
  <c r="AA23" i="18" s="1"/>
  <c r="W15" i="19"/>
  <c r="X5" i="19"/>
  <c r="V7" i="19"/>
  <c r="P4" i="20"/>
  <c r="O14" i="20"/>
  <c r="X7" i="20"/>
  <c r="P8" i="20"/>
  <c r="M21" i="20"/>
  <c r="P10" i="1" l="1"/>
  <c r="X8" i="1"/>
  <c r="AE10" i="1"/>
  <c r="AD9" i="1"/>
  <c r="AD4" i="1"/>
  <c r="AE7" i="1"/>
  <c r="H25" i="1"/>
  <c r="AT30" i="1"/>
  <c r="AO22" i="1"/>
  <c r="AN22" i="1"/>
  <c r="H32" i="1" s="1"/>
  <c r="H31" i="1"/>
  <c r="F31" i="1"/>
  <c r="F30" i="1"/>
  <c r="J30" i="1"/>
  <c r="D29" i="1"/>
  <c r="T13" i="21"/>
  <c r="T15" i="21"/>
  <c r="T19" i="21"/>
  <c r="T17" i="21"/>
  <c r="T21" i="21"/>
  <c r="T14" i="21"/>
  <c r="H16" i="21"/>
  <c r="F16" i="21"/>
  <c r="D16" i="21"/>
  <c r="AL32" i="21"/>
  <c r="AR8" i="21"/>
  <c r="AK24" i="21"/>
  <c r="AJ24" i="21"/>
  <c r="D34" i="21" s="1"/>
  <c r="R6" i="21"/>
  <c r="R5" i="21"/>
  <c r="R2" i="21"/>
  <c r="R10" i="21"/>
  <c r="R8" i="21"/>
  <c r="AE3" i="21"/>
  <c r="X14" i="21"/>
  <c r="P15" i="21"/>
  <c r="T4" i="21"/>
  <c r="T3" i="21"/>
  <c r="T8" i="21"/>
  <c r="T6" i="21"/>
  <c r="I11" i="21"/>
  <c r="T20" i="21"/>
  <c r="F29" i="21"/>
  <c r="R3" i="21"/>
  <c r="T7" i="21"/>
  <c r="D30" i="21"/>
  <c r="P12" i="21"/>
  <c r="AL29" i="21"/>
  <c r="F13" i="21"/>
  <c r="H13" i="21"/>
  <c r="D13" i="21"/>
  <c r="AM21" i="21"/>
  <c r="AL21" i="21"/>
  <c r="AE9" i="21"/>
  <c r="P16" i="21"/>
  <c r="AD3" i="21"/>
  <c r="Z12" i="21"/>
  <c r="X13" i="21"/>
  <c r="X12" i="21"/>
  <c r="R9" i="21"/>
  <c r="AE2" i="21"/>
  <c r="AE6" i="21"/>
  <c r="AE4" i="21"/>
  <c r="Z6" i="21"/>
  <c r="Z5" i="21"/>
  <c r="Z2" i="21"/>
  <c r="Z10" i="21"/>
  <c r="Z8" i="21"/>
  <c r="AD10" i="21"/>
  <c r="AD2" i="21"/>
  <c r="AE10" i="21"/>
  <c r="AI24" i="21"/>
  <c r="AH24" i="21"/>
  <c r="T18" i="21"/>
  <c r="P8" i="21"/>
  <c r="P9" i="21"/>
  <c r="P7" i="21"/>
  <c r="P4" i="21"/>
  <c r="AI2" i="21" s="1"/>
  <c r="P10" i="21"/>
  <c r="X8" i="21"/>
  <c r="X9" i="21"/>
  <c r="X7" i="21"/>
  <c r="X10" i="21"/>
  <c r="X4" i="21"/>
  <c r="AI6" i="21" s="1"/>
  <c r="F34" i="21"/>
  <c r="V10" i="21"/>
  <c r="V6" i="21"/>
  <c r="V4" i="21"/>
  <c r="AI5" i="21" s="1"/>
  <c r="H14" i="21"/>
  <c r="AL30" i="21"/>
  <c r="F14" i="21"/>
  <c r="D14" i="21"/>
  <c r="T16" i="21"/>
  <c r="AD8" i="21"/>
  <c r="AE5" i="21"/>
  <c r="X16" i="21"/>
  <c r="D21" i="21"/>
  <c r="AI23" i="21"/>
  <c r="AH23" i="21"/>
  <c r="J33" i="21" s="1"/>
  <c r="AE8" i="21"/>
  <c r="V9" i="21"/>
  <c r="T2" i="21"/>
  <c r="AI4" i="21" s="1"/>
  <c r="AD7" i="21"/>
  <c r="V12" i="21"/>
  <c r="V20" i="21" s="1"/>
  <c r="F21" i="21"/>
  <c r="I15" i="21"/>
  <c r="AD9" i="21"/>
  <c r="J24" i="21"/>
  <c r="H33" i="21"/>
  <c r="R7" i="21"/>
  <c r="AD6" i="21"/>
  <c r="Z7" i="21"/>
  <c r="AD4" i="21"/>
  <c r="AJ23" i="21"/>
  <c r="AK23" i="21"/>
  <c r="H31" i="21"/>
  <c r="Z14" i="21"/>
  <c r="I12" i="21"/>
  <c r="R12" i="21"/>
  <c r="R18" i="21" s="1"/>
  <c r="AP30" i="13"/>
  <c r="AP40" i="13"/>
  <c r="AK5" i="13" s="1"/>
  <c r="X35" i="13"/>
  <c r="AQ30" i="13"/>
  <c r="AG18" i="13" s="1"/>
  <c r="AH18" i="13" s="1"/>
  <c r="AQ40" i="13"/>
  <c r="AK17" i="13" s="1"/>
  <c r="H15" i="13"/>
  <c r="S15" i="10"/>
  <c r="S13" i="10"/>
  <c r="S17" i="10"/>
  <c r="S16" i="10"/>
  <c r="S12" i="10"/>
  <c r="S19" i="10"/>
  <c r="S14" i="10"/>
  <c r="X32" i="7"/>
  <c r="D12" i="7"/>
  <c r="H12" i="7"/>
  <c r="F12" i="7"/>
  <c r="U16" i="14"/>
  <c r="U12" i="14"/>
  <c r="U13" i="14"/>
  <c r="U15" i="14"/>
  <c r="U14" i="14"/>
  <c r="U18" i="14"/>
  <c r="D14" i="3"/>
  <c r="X34" i="3"/>
  <c r="H14" i="3"/>
  <c r="F14" i="3"/>
  <c r="X34" i="8"/>
  <c r="H14" i="8"/>
  <c r="F14" i="8"/>
  <c r="D14" i="8"/>
  <c r="H12" i="4"/>
  <c r="F12" i="4"/>
  <c r="X32" i="4"/>
  <c r="D12" i="4"/>
  <c r="Z19" i="1"/>
  <c r="Z16" i="1"/>
  <c r="Z18" i="1"/>
  <c r="Z21" i="1"/>
  <c r="Z17" i="1"/>
  <c r="Z20" i="1"/>
  <c r="Z13" i="1"/>
  <c r="Z4" i="20" a="1"/>
  <c r="Z4" i="20" s="1"/>
  <c r="AQ31" i="14"/>
  <c r="AP31" i="14"/>
  <c r="X36" i="14"/>
  <c r="AQ41" i="14"/>
  <c r="AK18" i="14" s="1"/>
  <c r="AP41" i="14"/>
  <c r="AK6" i="14" s="1"/>
  <c r="H16" i="14"/>
  <c r="AP30" i="10"/>
  <c r="AQ30" i="10"/>
  <c r="X35" i="10"/>
  <c r="AQ40" i="10"/>
  <c r="AK17" i="10" s="1"/>
  <c r="AP40" i="10"/>
  <c r="AK5" i="10" s="1"/>
  <c r="H15" i="10"/>
  <c r="AP38" i="14"/>
  <c r="H13" i="14"/>
  <c r="AP28" i="14"/>
  <c r="AK3" i="14" s="1"/>
  <c r="X33" i="14"/>
  <c r="Q14" i="12"/>
  <c r="Q18" i="12"/>
  <c r="Q12" i="12"/>
  <c r="Q17" i="12"/>
  <c r="Q16" i="12"/>
  <c r="Q19" i="12"/>
  <c r="Q15" i="12"/>
  <c r="AP38" i="12"/>
  <c r="AP28" i="12"/>
  <c r="AK3" i="12" s="1"/>
  <c r="X33" i="12"/>
  <c r="H13" i="12"/>
  <c r="W13" i="10"/>
  <c r="W12" i="10"/>
  <c r="W15" i="10"/>
  <c r="W19" i="10"/>
  <c r="W16" i="10"/>
  <c r="Y13" i="4"/>
  <c r="Y15" i="4"/>
  <c r="Y16" i="4"/>
  <c r="Y19" i="4"/>
  <c r="Y12" i="4"/>
  <c r="Y18" i="4"/>
  <c r="V17" i="20"/>
  <c r="V12" i="20"/>
  <c r="V13" i="20"/>
  <c r="V18" i="20"/>
  <c r="V15" i="20"/>
  <c r="AP31" i="13"/>
  <c r="AK6" i="13" s="1"/>
  <c r="X36" i="13"/>
  <c r="AQ41" i="13"/>
  <c r="AP41" i="13"/>
  <c r="AQ31" i="13"/>
  <c r="AK18" i="13" s="1"/>
  <c r="H16" i="13"/>
  <c r="AA6" i="17" a="1"/>
  <c r="AA6" i="17" s="1"/>
  <c r="G14" i="16"/>
  <c r="C14" i="16"/>
  <c r="E24" i="16"/>
  <c r="E14" i="16"/>
  <c r="X32" i="6"/>
  <c r="D12" i="6"/>
  <c r="H12" i="6"/>
  <c r="F12" i="6"/>
  <c r="Q13" i="5"/>
  <c r="Q18" i="5"/>
  <c r="Q17" i="5"/>
  <c r="Q12" i="5"/>
  <c r="Q14" i="5"/>
  <c r="Q15" i="5"/>
  <c r="X35" i="3"/>
  <c r="H15" i="3"/>
  <c r="F15" i="3"/>
  <c r="D15" i="3"/>
  <c r="N18" i="20"/>
  <c r="N17" i="20"/>
  <c r="N15" i="20"/>
  <c r="N13" i="20"/>
  <c r="N12" i="20"/>
  <c r="X33" i="8"/>
  <c r="F13" i="8"/>
  <c r="D13" i="8"/>
  <c r="H13" i="8"/>
  <c r="U13" i="6"/>
  <c r="U18" i="6"/>
  <c r="U14" i="6"/>
  <c r="U12" i="6"/>
  <c r="U15" i="6"/>
  <c r="AR30" i="7"/>
  <c r="E27" i="16"/>
  <c r="G17" i="16"/>
  <c r="E17" i="16"/>
  <c r="C17" i="16"/>
  <c r="AK7" i="15"/>
  <c r="AI7" i="15"/>
  <c r="AG7" i="15"/>
  <c r="H17" i="15"/>
  <c r="F17" i="15"/>
  <c r="D17" i="15"/>
  <c r="AI17" i="15"/>
  <c r="V11" i="17"/>
  <c r="V17" i="17" s="1"/>
  <c r="O3" i="14"/>
  <c r="O2" i="14"/>
  <c r="O5" i="14"/>
  <c r="O9" i="14"/>
  <c r="O6" i="13"/>
  <c r="O7" i="13"/>
  <c r="O2" i="13"/>
  <c r="Y13" i="9"/>
  <c r="AK39" i="7"/>
  <c r="F34" i="7" s="1"/>
  <c r="AL39" i="7"/>
  <c r="Q11" i="3"/>
  <c r="Q12" i="3" s="1"/>
  <c r="W3" i="3"/>
  <c r="W8" i="3"/>
  <c r="W4" i="3"/>
  <c r="R5" i="20"/>
  <c r="Z5" i="20" s="1" a="1"/>
  <c r="Z5" i="20" s="1"/>
  <c r="N16" i="20"/>
  <c r="V11" i="18"/>
  <c r="V12" i="18" s="1"/>
  <c r="T2" i="20"/>
  <c r="P18" i="18"/>
  <c r="V2" i="19"/>
  <c r="V5" i="19"/>
  <c r="V3" i="19"/>
  <c r="V6" i="19"/>
  <c r="N8" i="17"/>
  <c r="P7" i="16"/>
  <c r="Z7" i="16" s="1" a="1"/>
  <c r="Z7" i="16" s="1"/>
  <c r="V14" i="17"/>
  <c r="T18" i="16"/>
  <c r="X7" i="17"/>
  <c r="X8" i="17"/>
  <c r="X3" i="17"/>
  <c r="X6" i="17"/>
  <c r="X12" i="18"/>
  <c r="X11" i="18"/>
  <c r="P2" i="16"/>
  <c r="Z2" i="16" s="1" a="1"/>
  <c r="Z2" i="16" s="1"/>
  <c r="Y5" i="15"/>
  <c r="Y9" i="15"/>
  <c r="Y4" i="15"/>
  <c r="Y8" i="15"/>
  <c r="Y7" i="15"/>
  <c r="O19" i="15"/>
  <c r="N2" i="16"/>
  <c r="I17" i="14"/>
  <c r="AC7" i="15"/>
  <c r="T15" i="16"/>
  <c r="U9" i="14"/>
  <c r="I13" i="13"/>
  <c r="I6" i="16"/>
  <c r="Q12" i="15"/>
  <c r="Q11" i="15"/>
  <c r="AP11" i="14"/>
  <c r="AO11" i="14"/>
  <c r="J33" i="14" s="1"/>
  <c r="AH10" i="13"/>
  <c r="I15" i="12"/>
  <c r="W17" i="14"/>
  <c r="U7" i="14"/>
  <c r="Y9" i="13"/>
  <c r="Y5" i="13"/>
  <c r="Y4" i="13"/>
  <c r="Y7" i="13"/>
  <c r="Y6" i="13"/>
  <c r="Y2" i="13"/>
  <c r="AD5" i="14"/>
  <c r="Q7" i="13"/>
  <c r="AC6" i="14"/>
  <c r="AC7" i="13"/>
  <c r="O11" i="12"/>
  <c r="O12" i="12"/>
  <c r="AP11" i="13"/>
  <c r="AO11" i="13"/>
  <c r="AC2" i="14"/>
  <c r="J35" i="11"/>
  <c r="O17" i="11"/>
  <c r="U11" i="12"/>
  <c r="AC5" i="12"/>
  <c r="I15" i="11"/>
  <c r="S11" i="11"/>
  <c r="S12" i="11"/>
  <c r="U11" i="10"/>
  <c r="Y17" i="12"/>
  <c r="AC3" i="12"/>
  <c r="AC6" i="11"/>
  <c r="AP11" i="11"/>
  <c r="AO11" i="11"/>
  <c r="Q15" i="11"/>
  <c r="W18" i="10"/>
  <c r="AC5" i="10"/>
  <c r="W11" i="9"/>
  <c r="W12" i="9" s="1"/>
  <c r="AN40" i="8"/>
  <c r="AM40" i="8"/>
  <c r="AS8" i="8"/>
  <c r="Q16" i="8"/>
  <c r="U16" i="9"/>
  <c r="U19" i="9"/>
  <c r="AC2" i="9"/>
  <c r="Y11" i="10"/>
  <c r="AD8" i="8"/>
  <c r="AV10" i="10"/>
  <c r="AU10" i="10"/>
  <c r="W12" i="8"/>
  <c r="AC3" i="9"/>
  <c r="AJ40" i="6"/>
  <c r="AI40" i="6"/>
  <c r="AQ8" i="6"/>
  <c r="W16" i="8"/>
  <c r="AL37" i="7"/>
  <c r="AK37" i="7"/>
  <c r="D22" i="6"/>
  <c r="Y3" i="6"/>
  <c r="S18" i="9"/>
  <c r="S14" i="9"/>
  <c r="AJ39" i="7"/>
  <c r="AI39" i="7"/>
  <c r="D34" i="7" s="1"/>
  <c r="D33" i="7"/>
  <c r="AN35" i="7"/>
  <c r="AM35" i="7"/>
  <c r="H30" i="7" s="1"/>
  <c r="AS3" i="7"/>
  <c r="AH10" i="7"/>
  <c r="AH39" i="8"/>
  <c r="AG39" i="8"/>
  <c r="J34" i="8" s="1"/>
  <c r="Q3" i="8"/>
  <c r="Q8" i="8"/>
  <c r="Q4" i="8"/>
  <c r="AC8" i="7"/>
  <c r="AD9" i="8"/>
  <c r="AD9" i="6"/>
  <c r="F33" i="8"/>
  <c r="AK36" i="7"/>
  <c r="AL36" i="7"/>
  <c r="Y5" i="7"/>
  <c r="Y2" i="7"/>
  <c r="Y6" i="7"/>
  <c r="Y9" i="7"/>
  <c r="H22" i="6"/>
  <c r="S11" i="7"/>
  <c r="S12" i="7"/>
  <c r="H25" i="6"/>
  <c r="AH9" i="8"/>
  <c r="F34" i="6"/>
  <c r="AH40" i="5"/>
  <c r="AG40" i="5"/>
  <c r="J35" i="5" s="1"/>
  <c r="AD2" i="6"/>
  <c r="AN37" i="5"/>
  <c r="AM37" i="5"/>
  <c r="H32" i="5" s="1"/>
  <c r="S6" i="6"/>
  <c r="I16" i="10"/>
  <c r="X34" i="5"/>
  <c r="H14" i="5"/>
  <c r="F14" i="5"/>
  <c r="D14" i="5"/>
  <c r="AD9" i="4"/>
  <c r="AD4" i="7"/>
  <c r="J33" i="6"/>
  <c r="AM39" i="5"/>
  <c r="AN39" i="5"/>
  <c r="AC5" i="5"/>
  <c r="J21" i="5"/>
  <c r="AC9" i="5"/>
  <c r="AH40" i="3"/>
  <c r="AG40" i="3"/>
  <c r="AL37" i="8"/>
  <c r="AK37" i="8"/>
  <c r="F34" i="4"/>
  <c r="Q4" i="4"/>
  <c r="Q18" i="3"/>
  <c r="W9" i="3"/>
  <c r="D31" i="7"/>
  <c r="AC6" i="5"/>
  <c r="AJ36" i="4"/>
  <c r="AI36" i="4"/>
  <c r="AC4" i="4"/>
  <c r="I17" i="3"/>
  <c r="I15" i="1"/>
  <c r="J33" i="3"/>
  <c r="W5" i="3"/>
  <c r="F33" i="4"/>
  <c r="O11" i="3"/>
  <c r="O12" i="3"/>
  <c r="AE9" i="1"/>
  <c r="T15" i="1"/>
  <c r="AE6" i="1"/>
  <c r="U17" i="3"/>
  <c r="AK22" i="1"/>
  <c r="AJ22" i="1"/>
  <c r="AR30" i="1"/>
  <c r="D33" i="1"/>
  <c r="AQ30" i="14"/>
  <c r="AK17" i="14" s="1"/>
  <c r="AP30" i="14"/>
  <c r="AK5" i="14" s="1"/>
  <c r="AP40" i="14"/>
  <c r="X35" i="14"/>
  <c r="AQ40" i="14"/>
  <c r="H15" i="14"/>
  <c r="AC3" i="15"/>
  <c r="AP27" i="12"/>
  <c r="AK2" i="12" s="1"/>
  <c r="X32" i="12"/>
  <c r="H12" i="12"/>
  <c r="AP37" i="12"/>
  <c r="W17" i="8"/>
  <c r="Q12" i="6"/>
  <c r="Q11" i="6"/>
  <c r="AL35" i="6"/>
  <c r="AK35" i="6"/>
  <c r="F30" i="6" s="1"/>
  <c r="AR3" i="6"/>
  <c r="S11" i="5"/>
  <c r="S16" i="5" s="1"/>
  <c r="S12" i="5"/>
  <c r="S11" i="4"/>
  <c r="S12" i="4"/>
  <c r="S14" i="5"/>
  <c r="AI21" i="1"/>
  <c r="AH21" i="1"/>
  <c r="J31" i="1" s="1"/>
  <c r="R14" i="20"/>
  <c r="N6" i="18"/>
  <c r="N5" i="18"/>
  <c r="N3" i="18"/>
  <c r="AA3" i="18" s="1" a="1"/>
  <c r="AA3" i="18" s="1"/>
  <c r="N4" i="18"/>
  <c r="AA4" i="18" s="1" a="1"/>
  <c r="AA4" i="18" s="1"/>
  <c r="N11" i="19"/>
  <c r="N12" i="19"/>
  <c r="P5" i="16"/>
  <c r="Z5" i="16" s="1" a="1"/>
  <c r="Z5" i="16" s="1"/>
  <c r="P5" i="19"/>
  <c r="Y19" i="14"/>
  <c r="U19" i="14"/>
  <c r="AD3" i="14"/>
  <c r="W16" i="14"/>
  <c r="W15" i="14"/>
  <c r="Y17" i="14"/>
  <c r="V2" i="16"/>
  <c r="O17" i="14"/>
  <c r="O4" i="14"/>
  <c r="O5" i="13"/>
  <c r="Y5" i="14"/>
  <c r="O8" i="13"/>
  <c r="Y15" i="14"/>
  <c r="I12" i="13"/>
  <c r="Y11" i="13"/>
  <c r="Y12" i="13" s="1"/>
  <c r="AP10" i="12"/>
  <c r="AO10" i="12"/>
  <c r="J32" i="12" s="1"/>
  <c r="W18" i="14"/>
  <c r="AD5" i="13"/>
  <c r="Q11" i="14"/>
  <c r="Q12" i="14" s="1"/>
  <c r="Y12" i="12"/>
  <c r="I14" i="10"/>
  <c r="AD7" i="11"/>
  <c r="AP37" i="9"/>
  <c r="X32" i="9"/>
  <c r="AP27" i="9"/>
  <c r="AK2" i="9" s="1"/>
  <c r="H12" i="9"/>
  <c r="Y16" i="12"/>
  <c r="O6" i="11"/>
  <c r="O8" i="11"/>
  <c r="O2" i="11"/>
  <c r="O4" i="11"/>
  <c r="Y7" i="12"/>
  <c r="AC2" i="12"/>
  <c r="AC5" i="11"/>
  <c r="Y14" i="12"/>
  <c r="AP10" i="11"/>
  <c r="AO10" i="11"/>
  <c r="J32" i="11" s="1"/>
  <c r="AC4" i="8"/>
  <c r="O12" i="11"/>
  <c r="AD7" i="10"/>
  <c r="AD8" i="10"/>
  <c r="S9" i="8"/>
  <c r="S6" i="8"/>
  <c r="AL35" i="7"/>
  <c r="AK35" i="7"/>
  <c r="AR3" i="7"/>
  <c r="U15" i="9"/>
  <c r="W14" i="8"/>
  <c r="O7" i="7"/>
  <c r="O3" i="7"/>
  <c r="O8" i="7"/>
  <c r="AH38" i="8"/>
  <c r="AG38" i="8"/>
  <c r="U17" i="9"/>
  <c r="S8" i="9"/>
  <c r="S7" i="9"/>
  <c r="S4" i="9"/>
  <c r="S6" i="9"/>
  <c r="S2" i="9"/>
  <c r="AL38" i="6"/>
  <c r="AK38" i="6"/>
  <c r="F33" i="6" s="1"/>
  <c r="AC9" i="6"/>
  <c r="Q7" i="7"/>
  <c r="AC8" i="8"/>
  <c r="X36" i="5"/>
  <c r="H16" i="5"/>
  <c r="F16" i="5"/>
  <c r="D16" i="5"/>
  <c r="S3" i="7"/>
  <c r="S7" i="7"/>
  <c r="S4" i="7"/>
  <c r="AM36" i="5"/>
  <c r="H31" i="5" s="1"/>
  <c r="AN36" i="5"/>
  <c r="AN39" i="7"/>
  <c r="AM39" i="7"/>
  <c r="H34" i="7" s="1"/>
  <c r="Q11" i="7"/>
  <c r="AD6" i="5"/>
  <c r="AJ35" i="7"/>
  <c r="AQ3" i="7"/>
  <c r="AI35" i="7"/>
  <c r="U19" i="6"/>
  <c r="Y11" i="9"/>
  <c r="S6" i="7"/>
  <c r="AC2" i="5"/>
  <c r="Q19" i="5"/>
  <c r="AN35" i="3"/>
  <c r="AM35" i="3"/>
  <c r="H30" i="3" s="1"/>
  <c r="AS3" i="3"/>
  <c r="AD4" i="3"/>
  <c r="O5" i="4"/>
  <c r="O2" i="4"/>
  <c r="O3" i="4"/>
  <c r="O7" i="4"/>
  <c r="S7" i="4"/>
  <c r="S3" i="4"/>
  <c r="S5" i="4"/>
  <c r="H13" i="3"/>
  <c r="F13" i="3"/>
  <c r="X33" i="3"/>
  <c r="D13" i="3"/>
  <c r="AQ30" i="5"/>
  <c r="Y4" i="6"/>
  <c r="Y8" i="5"/>
  <c r="I12" i="1"/>
  <c r="D30" i="3"/>
  <c r="Y9" i="3"/>
  <c r="Y7" i="3"/>
  <c r="Y6" i="3"/>
  <c r="AC3" i="4"/>
  <c r="AD2" i="3"/>
  <c r="AC5" i="3"/>
  <c r="AE4" i="1"/>
  <c r="U12" i="3"/>
  <c r="X12" i="1"/>
  <c r="X16" i="1" s="1"/>
  <c r="AD8" i="1"/>
  <c r="V16" i="19"/>
  <c r="V15" i="19"/>
  <c r="P13" i="18"/>
  <c r="I3" i="18" s="1"/>
  <c r="AC8" i="11"/>
  <c r="AP38" i="9"/>
  <c r="H13" i="9"/>
  <c r="AP28" i="9"/>
  <c r="AK3" i="9" s="1"/>
  <c r="X33" i="9"/>
  <c r="I13" i="5"/>
  <c r="AM37" i="3"/>
  <c r="AN37" i="3"/>
  <c r="AR8" i="3"/>
  <c r="AL40" i="3"/>
  <c r="AK40" i="3"/>
  <c r="F35" i="3" s="1"/>
  <c r="T12" i="1"/>
  <c r="T13" i="1" s="1"/>
  <c r="R17" i="20"/>
  <c r="N18" i="19"/>
  <c r="N16" i="19"/>
  <c r="T11" i="20"/>
  <c r="T12" i="20" s="1"/>
  <c r="C15" i="16"/>
  <c r="E25" i="16"/>
  <c r="E15" i="16"/>
  <c r="G15" i="16"/>
  <c r="X2" i="20"/>
  <c r="X5" i="20"/>
  <c r="X3" i="20"/>
  <c r="X15" i="20"/>
  <c r="P16" i="20"/>
  <c r="X14" i="20"/>
  <c r="T11" i="18"/>
  <c r="T12" i="18"/>
  <c r="X12" i="20"/>
  <c r="N8" i="18"/>
  <c r="N7" i="18"/>
  <c r="V4" i="16"/>
  <c r="I15" i="15"/>
  <c r="N17" i="19"/>
  <c r="S11" i="15"/>
  <c r="S15" i="15" s="1"/>
  <c r="N7" i="16"/>
  <c r="N14" i="19"/>
  <c r="P8" i="16"/>
  <c r="Z8" i="16" s="1" a="1"/>
  <c r="Z8" i="16" s="1"/>
  <c r="T17" i="16"/>
  <c r="AC6" i="15"/>
  <c r="O16" i="15"/>
  <c r="Q17" i="15"/>
  <c r="Y18" i="14"/>
  <c r="Y18" i="15"/>
  <c r="S7" i="15"/>
  <c r="S2" i="15"/>
  <c r="S6" i="15"/>
  <c r="AD8" i="14"/>
  <c r="W12" i="14"/>
  <c r="O18" i="15"/>
  <c r="AD9" i="14"/>
  <c r="O13" i="15"/>
  <c r="AD7" i="14"/>
  <c r="O15" i="15"/>
  <c r="AH10" i="14"/>
  <c r="AD7" i="13"/>
  <c r="AC8" i="14"/>
  <c r="Y13" i="14"/>
  <c r="Y14" i="14"/>
  <c r="AC9" i="14"/>
  <c r="O4" i="13"/>
  <c r="W11" i="13"/>
  <c r="W9" i="13"/>
  <c r="W7" i="13"/>
  <c r="W6" i="13"/>
  <c r="W2" i="13"/>
  <c r="W3" i="13"/>
  <c r="AC8" i="12"/>
  <c r="S13" i="12"/>
  <c r="S17" i="11"/>
  <c r="AC2" i="13"/>
  <c r="AC9" i="13"/>
  <c r="Q7" i="14"/>
  <c r="Q3" i="14"/>
  <c r="Q9" i="14"/>
  <c r="Q6" i="14"/>
  <c r="O9" i="13"/>
  <c r="U9" i="12"/>
  <c r="U2" i="12"/>
  <c r="U6" i="12"/>
  <c r="I14" i="11"/>
  <c r="AC4" i="10"/>
  <c r="AU13" i="11"/>
  <c r="AV13" i="11"/>
  <c r="S19" i="11"/>
  <c r="AD4" i="11"/>
  <c r="AC4" i="11"/>
  <c r="O18" i="11"/>
  <c r="AC2" i="10"/>
  <c r="AH10" i="10"/>
  <c r="O18" i="10"/>
  <c r="C17" i="9"/>
  <c r="AQ42" i="9"/>
  <c r="AQ32" i="9"/>
  <c r="AK19" i="9" s="1"/>
  <c r="AL7" i="9"/>
  <c r="U7" i="12"/>
  <c r="AD5" i="8"/>
  <c r="O4" i="8"/>
  <c r="Q3" i="7"/>
  <c r="W12" i="7"/>
  <c r="W11" i="7"/>
  <c r="W15" i="7" s="1"/>
  <c r="AC4" i="9"/>
  <c r="J24" i="8"/>
  <c r="AC2" i="8"/>
  <c r="S3" i="9"/>
  <c r="J32" i="8"/>
  <c r="Q7" i="8"/>
  <c r="D26" i="7"/>
  <c r="F23" i="7"/>
  <c r="Y8" i="7"/>
  <c r="D25" i="6"/>
  <c r="H23" i="9"/>
  <c r="J31" i="8"/>
  <c r="S18" i="7"/>
  <c r="H21" i="6"/>
  <c r="AC6" i="6"/>
  <c r="AN38" i="5"/>
  <c r="AM38" i="5"/>
  <c r="Q12" i="8"/>
  <c r="AC7" i="7"/>
  <c r="F33" i="7"/>
  <c r="O9" i="7"/>
  <c r="O12" i="6"/>
  <c r="O11" i="6"/>
  <c r="O14" i="6" s="1"/>
  <c r="F26" i="5"/>
  <c r="W12" i="5"/>
  <c r="W11" i="5"/>
  <c r="AH10" i="4"/>
  <c r="U18" i="5"/>
  <c r="AN38" i="7"/>
  <c r="AM38" i="7"/>
  <c r="AJ35" i="5"/>
  <c r="AI35" i="5"/>
  <c r="AQ3" i="5"/>
  <c r="W15" i="5"/>
  <c r="Y12" i="8"/>
  <c r="Y11" i="8"/>
  <c r="O2" i="7"/>
  <c r="J34" i="5"/>
  <c r="D23" i="7"/>
  <c r="Y4" i="7"/>
  <c r="AC5" i="6"/>
  <c r="F35" i="4"/>
  <c r="AH40" i="4"/>
  <c r="AG40" i="4"/>
  <c r="J26" i="3"/>
  <c r="S11" i="6"/>
  <c r="H12" i="3"/>
  <c r="F12" i="3"/>
  <c r="D12" i="3"/>
  <c r="X32" i="3"/>
  <c r="S19" i="9"/>
  <c r="O4" i="5"/>
  <c r="O3" i="5"/>
  <c r="O7" i="5"/>
  <c r="AC2" i="3"/>
  <c r="AD7" i="6"/>
  <c r="AN39" i="4"/>
  <c r="AM39" i="4"/>
  <c r="H34" i="4" s="1"/>
  <c r="AD8" i="4"/>
  <c r="S9" i="7"/>
  <c r="AR30" i="5"/>
  <c r="Y17" i="4"/>
  <c r="O16" i="3"/>
  <c r="S9" i="3"/>
  <c r="S7" i="3"/>
  <c r="S5" i="3"/>
  <c r="S2" i="3"/>
  <c r="S4" i="3"/>
  <c r="S8" i="3"/>
  <c r="O6" i="5"/>
  <c r="W5" i="4"/>
  <c r="W2" i="4"/>
  <c r="W3" i="4"/>
  <c r="W7" i="4"/>
  <c r="U19" i="3"/>
  <c r="AC6" i="4"/>
  <c r="AD8" i="3"/>
  <c r="W4" i="5"/>
  <c r="W3" i="5"/>
  <c r="W7" i="5"/>
  <c r="I16" i="1"/>
  <c r="J30" i="3"/>
  <c r="AD5" i="3"/>
  <c r="AE2" i="1"/>
  <c r="Q9" i="3"/>
  <c r="Q7" i="3"/>
  <c r="Q6" i="3"/>
  <c r="X6" i="1"/>
  <c r="H34" i="1"/>
  <c r="V18" i="19"/>
  <c r="N5" i="19"/>
  <c r="N6" i="19"/>
  <c r="T4" i="19"/>
  <c r="T7" i="19"/>
  <c r="T5" i="19"/>
  <c r="T8" i="19"/>
  <c r="T3" i="19"/>
  <c r="X8" i="18"/>
  <c r="X3" i="18"/>
  <c r="X6" i="18"/>
  <c r="X7" i="18"/>
  <c r="W3" i="14"/>
  <c r="W2" i="14"/>
  <c r="AD6" i="12"/>
  <c r="AD2" i="12"/>
  <c r="AD8" i="11"/>
  <c r="Y3" i="10"/>
  <c r="Y8" i="10"/>
  <c r="Y4" i="10"/>
  <c r="Y5" i="10"/>
  <c r="AQ30" i="9"/>
  <c r="AQ40" i="9"/>
  <c r="AK17" i="9" s="1"/>
  <c r="H15" i="9"/>
  <c r="AP40" i="9"/>
  <c r="AK5" i="9" s="1"/>
  <c r="X35" i="9"/>
  <c r="AP30" i="9"/>
  <c r="O15" i="6"/>
  <c r="X37" i="4"/>
  <c r="H17" i="4"/>
  <c r="F17" i="4"/>
  <c r="D17" i="4"/>
  <c r="AD3" i="5"/>
  <c r="Y18" i="3"/>
  <c r="U5" i="3"/>
  <c r="U2" i="3"/>
  <c r="U3" i="3"/>
  <c r="U6" i="3"/>
  <c r="Z5" i="1"/>
  <c r="Z10" i="1"/>
  <c r="Z7" i="1"/>
  <c r="Z9" i="1"/>
  <c r="Z2" i="1"/>
  <c r="U16" i="10"/>
  <c r="P6" i="16"/>
  <c r="Z6" i="16" s="1" a="1"/>
  <c r="Z6" i="16" s="1"/>
  <c r="V12" i="19"/>
  <c r="I6" i="19" s="1"/>
  <c r="AC8" i="15"/>
  <c r="T6" i="19"/>
  <c r="X17" i="20"/>
  <c r="R6" i="20"/>
  <c r="R8" i="20"/>
  <c r="Z8" i="20" s="1" a="1"/>
  <c r="Z8" i="20" s="1"/>
  <c r="R3" i="20"/>
  <c r="Z3" i="20" s="1" a="1"/>
  <c r="Z3" i="20" s="1"/>
  <c r="R7" i="20"/>
  <c r="Z7" i="20" s="1" a="1"/>
  <c r="Z7" i="20" s="1"/>
  <c r="N2" i="18"/>
  <c r="AA2" i="18" s="1" a="1"/>
  <c r="AA2" i="18" s="1"/>
  <c r="X6" i="20"/>
  <c r="N2" i="20"/>
  <c r="N7" i="20"/>
  <c r="N4" i="20"/>
  <c r="N8" i="20"/>
  <c r="N3" i="20"/>
  <c r="AA3" i="20" s="1" a="1"/>
  <c r="AA3" i="20" s="1"/>
  <c r="N5" i="20"/>
  <c r="X4" i="20"/>
  <c r="R2" i="20"/>
  <c r="Z2" i="20" s="1" a="1"/>
  <c r="Z2" i="20" s="1"/>
  <c r="X4" i="18"/>
  <c r="N7" i="17"/>
  <c r="X16" i="20"/>
  <c r="P11" i="19"/>
  <c r="P15" i="19" s="1"/>
  <c r="R8" i="18"/>
  <c r="Z8" i="18" s="1" a="1"/>
  <c r="Z8" i="18" s="1"/>
  <c r="R7" i="18"/>
  <c r="P6" i="17"/>
  <c r="Z6" i="17" s="1" a="1"/>
  <c r="Z6" i="17" s="1"/>
  <c r="P2" i="17"/>
  <c r="P7" i="17"/>
  <c r="P3" i="17"/>
  <c r="Z3" i="17" s="1" a="1"/>
  <c r="Z3" i="17" s="1"/>
  <c r="P8" i="17"/>
  <c r="P3" i="16"/>
  <c r="Z3" i="16" s="1" a="1"/>
  <c r="Z3" i="16" s="1"/>
  <c r="N7" i="19"/>
  <c r="Z3" i="18" a="1"/>
  <c r="Z3" i="18" s="1"/>
  <c r="I3" i="16"/>
  <c r="R12" i="20"/>
  <c r="R11" i="16"/>
  <c r="R12" i="16" s="1"/>
  <c r="P16" i="18"/>
  <c r="P4" i="17"/>
  <c r="T13" i="16"/>
  <c r="N12" i="16"/>
  <c r="N11" i="16"/>
  <c r="N14" i="16" s="1"/>
  <c r="P17" i="18"/>
  <c r="O14" i="15"/>
  <c r="Y2" i="14"/>
  <c r="I14" i="13"/>
  <c r="Y8" i="14"/>
  <c r="AC2" i="15"/>
  <c r="U8" i="14"/>
  <c r="H33" i="14"/>
  <c r="AC5" i="13"/>
  <c r="S11" i="13"/>
  <c r="Y12" i="14"/>
  <c r="W5" i="13"/>
  <c r="AD8" i="13"/>
  <c r="U4" i="12"/>
  <c r="Q9" i="13"/>
  <c r="Q8" i="13"/>
  <c r="Q6" i="13"/>
  <c r="Q5" i="13"/>
  <c r="AD7" i="12"/>
  <c r="I14" i="12"/>
  <c r="AD2" i="13"/>
  <c r="AD9" i="13"/>
  <c r="AD4" i="13"/>
  <c r="Q2" i="14"/>
  <c r="W11" i="11"/>
  <c r="W13" i="11" s="1"/>
  <c r="AC6" i="10"/>
  <c r="Y13" i="12"/>
  <c r="Q16" i="11"/>
  <c r="I13" i="10"/>
  <c r="J35" i="12"/>
  <c r="I16" i="9"/>
  <c r="S8" i="12"/>
  <c r="S4" i="12"/>
  <c r="Q12" i="11"/>
  <c r="U13" i="11"/>
  <c r="U11" i="11"/>
  <c r="U17" i="11" s="1"/>
  <c r="Q14" i="11"/>
  <c r="O5" i="11"/>
  <c r="O11" i="9"/>
  <c r="O17" i="9" s="1"/>
  <c r="C17" i="11"/>
  <c r="AQ32" i="11"/>
  <c r="AK19" i="11" s="1"/>
  <c r="AQ42" i="11"/>
  <c r="AL7" i="11"/>
  <c r="AD2" i="10"/>
  <c r="AC8" i="9"/>
  <c r="AN35" i="8"/>
  <c r="AM35" i="8"/>
  <c r="H30" i="8" s="1"/>
  <c r="H32" i="11"/>
  <c r="AC7" i="9"/>
  <c r="Y4" i="11"/>
  <c r="Y2" i="11"/>
  <c r="Y9" i="11"/>
  <c r="Y6" i="11"/>
  <c r="Y3" i="11"/>
  <c r="W4" i="10"/>
  <c r="I17" i="8"/>
  <c r="AV9" i="10"/>
  <c r="AU9" i="10"/>
  <c r="W19" i="8"/>
  <c r="AC3" i="8"/>
  <c r="U19" i="8"/>
  <c r="Q5" i="6"/>
  <c r="Q6" i="6"/>
  <c r="Q9" i="6"/>
  <c r="U12" i="8"/>
  <c r="AN37" i="7"/>
  <c r="AM37" i="7"/>
  <c r="O11" i="7"/>
  <c r="O15" i="7" s="1"/>
  <c r="U13" i="9"/>
  <c r="I15" i="7"/>
  <c r="I15" i="6"/>
  <c r="Q11" i="9"/>
  <c r="AD3" i="9"/>
  <c r="U15" i="8"/>
  <c r="AD7" i="8"/>
  <c r="S16" i="7"/>
  <c r="AD5" i="6"/>
  <c r="AD7" i="7"/>
  <c r="AJ37" i="6"/>
  <c r="AI37" i="6"/>
  <c r="Q5" i="5"/>
  <c r="Q2" i="5"/>
  <c r="S8" i="7"/>
  <c r="O11" i="5"/>
  <c r="O15" i="5" s="1"/>
  <c r="AC7" i="8"/>
  <c r="AC4" i="6"/>
  <c r="J33" i="5"/>
  <c r="AQ22" i="4"/>
  <c r="Q7" i="6"/>
  <c r="I13" i="4"/>
  <c r="H30" i="6"/>
  <c r="AD4" i="6"/>
  <c r="H24" i="5"/>
  <c r="J26" i="4"/>
  <c r="Q16" i="5"/>
  <c r="O9" i="4"/>
  <c r="AC7" i="4"/>
  <c r="U11" i="4"/>
  <c r="U14" i="4" s="1"/>
  <c r="S12" i="3"/>
  <c r="S11" i="3"/>
  <c r="J23" i="5"/>
  <c r="AD8" i="5"/>
  <c r="H25" i="4"/>
  <c r="AC4" i="3"/>
  <c r="AR22" i="6"/>
  <c r="AR30" i="6" s="1"/>
  <c r="AS30" i="5"/>
  <c r="AJ38" i="3"/>
  <c r="AI38" i="3"/>
  <c r="U14" i="3"/>
  <c r="D25" i="3"/>
  <c r="Y5" i="3"/>
  <c r="AN36" i="3"/>
  <c r="AM36" i="3"/>
  <c r="H31" i="3" s="1"/>
  <c r="U13" i="3"/>
  <c r="AD9" i="3"/>
  <c r="AK24" i="1"/>
  <c r="AJ24" i="1"/>
  <c r="AR8" i="1"/>
  <c r="S16" i="4"/>
  <c r="H34" i="3"/>
  <c r="W8" i="5"/>
  <c r="U18" i="3"/>
  <c r="O15" i="3"/>
  <c r="Q3" i="3"/>
  <c r="AL19" i="1"/>
  <c r="F29" i="1" s="1"/>
  <c r="AM19" i="1"/>
  <c r="AS3" i="1"/>
  <c r="Z15" i="1"/>
  <c r="AD10" i="1"/>
  <c r="AD2" i="1"/>
  <c r="AD5" i="1"/>
  <c r="P5" i="1"/>
  <c r="AE3" i="1"/>
  <c r="P6" i="1"/>
  <c r="V17" i="19"/>
  <c r="AP13" i="13"/>
  <c r="AO13" i="13"/>
  <c r="J35" i="13" s="1"/>
  <c r="AD3" i="12"/>
  <c r="Y14" i="6"/>
  <c r="AD9" i="7"/>
  <c r="V16" i="20"/>
  <c r="X5" i="18"/>
  <c r="N4" i="19"/>
  <c r="I14" i="15"/>
  <c r="R11" i="17"/>
  <c r="R12" i="17" s="1"/>
  <c r="W8" i="14"/>
  <c r="V6" i="16"/>
  <c r="AO9" i="14"/>
  <c r="AP9" i="14"/>
  <c r="AP41" i="12"/>
  <c r="X36" i="12"/>
  <c r="AQ31" i="12"/>
  <c r="AK18" i="12" s="1"/>
  <c r="AP31" i="12"/>
  <c r="AK6" i="12" s="1"/>
  <c r="AQ41" i="12"/>
  <c r="H16" i="12"/>
  <c r="W15" i="13"/>
  <c r="O3" i="13"/>
  <c r="O13" i="12"/>
  <c r="AH9" i="14"/>
  <c r="Y2" i="12"/>
  <c r="Y6" i="12"/>
  <c r="Y9" i="12"/>
  <c r="S13" i="11"/>
  <c r="Q13" i="12"/>
  <c r="I17" i="10"/>
  <c r="AD9" i="11"/>
  <c r="AC3" i="11"/>
  <c r="AD5" i="11"/>
  <c r="AD9" i="10"/>
  <c r="O14" i="10"/>
  <c r="O11" i="10"/>
  <c r="H12" i="8"/>
  <c r="F12" i="8"/>
  <c r="D12" i="8"/>
  <c r="X32" i="8"/>
  <c r="Y9" i="10"/>
  <c r="AD7" i="9"/>
  <c r="F22" i="8"/>
  <c r="Q17" i="11"/>
  <c r="X32" i="10"/>
  <c r="AP37" i="10"/>
  <c r="H12" i="10"/>
  <c r="AP27" i="10"/>
  <c r="AK2" i="10" s="1"/>
  <c r="AD2" i="9"/>
  <c r="W14" i="10"/>
  <c r="AV8" i="10"/>
  <c r="AU8" i="10"/>
  <c r="AL39" i="8"/>
  <c r="AK39" i="8"/>
  <c r="F34" i="8" s="1"/>
  <c r="I15" i="8"/>
  <c r="O5" i="8"/>
  <c r="O2" i="8"/>
  <c r="O9" i="8"/>
  <c r="O3" i="8"/>
  <c r="O6" i="8"/>
  <c r="AD3" i="7"/>
  <c r="AH37" i="7"/>
  <c r="AG37" i="7"/>
  <c r="U14" i="9"/>
  <c r="X37" i="7"/>
  <c r="D17" i="7"/>
  <c r="H17" i="7"/>
  <c r="F17" i="7"/>
  <c r="Q5" i="7"/>
  <c r="Q2" i="7"/>
  <c r="Q9" i="7"/>
  <c r="Q6" i="7"/>
  <c r="S8" i="8"/>
  <c r="W13" i="8"/>
  <c r="I16" i="6"/>
  <c r="U14" i="8"/>
  <c r="U17" i="8"/>
  <c r="U5" i="12"/>
  <c r="S3" i="8"/>
  <c r="X34" i="7"/>
  <c r="H14" i="7"/>
  <c r="F14" i="7"/>
  <c r="D14" i="7"/>
  <c r="H14" i="6"/>
  <c r="D14" i="6"/>
  <c r="X34" i="6"/>
  <c r="F14" i="6"/>
  <c r="AD6" i="6"/>
  <c r="AR3" i="8"/>
  <c r="AL35" i="8"/>
  <c r="AK35" i="8"/>
  <c r="Y5" i="6"/>
  <c r="Y2" i="6"/>
  <c r="Y9" i="6"/>
  <c r="Y6" i="6"/>
  <c r="AJ35" i="6"/>
  <c r="AQ3" i="6"/>
  <c r="AI35" i="6"/>
  <c r="Q17" i="7"/>
  <c r="AC4" i="7"/>
  <c r="S5" i="7"/>
  <c r="AC2" i="6"/>
  <c r="U13" i="5"/>
  <c r="F15" i="4"/>
  <c r="D15" i="4"/>
  <c r="X35" i="4"/>
  <c r="H15" i="4"/>
  <c r="Q15" i="8"/>
  <c r="AD9" i="5"/>
  <c r="AH9" i="5"/>
  <c r="Y9" i="8"/>
  <c r="Y3" i="8"/>
  <c r="Y4" i="8"/>
  <c r="Y8" i="8"/>
  <c r="Y7" i="7"/>
  <c r="AC7" i="6"/>
  <c r="AD5" i="5"/>
  <c r="Y14" i="4"/>
  <c r="AJ37" i="7"/>
  <c r="AI37" i="7"/>
  <c r="Y5" i="5"/>
  <c r="Y2" i="5"/>
  <c r="AC8" i="5"/>
  <c r="AJ37" i="4"/>
  <c r="AI37" i="4"/>
  <c r="AD7" i="4"/>
  <c r="AC6" i="3"/>
  <c r="Y18" i="7"/>
  <c r="AI35" i="4"/>
  <c r="D30" i="4" s="1"/>
  <c r="AQ3" i="4"/>
  <c r="AJ35" i="4"/>
  <c r="AJ39" i="3"/>
  <c r="AI39" i="3"/>
  <c r="D34" i="3" s="1"/>
  <c r="AN38" i="4"/>
  <c r="AM38" i="4"/>
  <c r="O13" i="3"/>
  <c r="Q4" i="5"/>
  <c r="D24" i="3"/>
  <c r="U4" i="3"/>
  <c r="R5" i="1"/>
  <c r="R10" i="1"/>
  <c r="R2" i="1"/>
  <c r="R9" i="1"/>
  <c r="R7" i="1"/>
  <c r="S6" i="4"/>
  <c r="Z14" i="1"/>
  <c r="W18" i="5"/>
  <c r="T21" i="1"/>
  <c r="AD6" i="1"/>
  <c r="U11" i="5"/>
  <c r="W2" i="3"/>
  <c r="AD3" i="4"/>
  <c r="U8" i="3"/>
  <c r="AC3" i="3"/>
  <c r="X4" i="1"/>
  <c r="X7" i="1"/>
  <c r="AI6" i="1" s="1"/>
  <c r="X3" i="1"/>
  <c r="X9" i="1"/>
  <c r="Z4" i="1"/>
  <c r="P2" i="1"/>
  <c r="AC7" i="3"/>
  <c r="Z3" i="1"/>
  <c r="X5" i="1"/>
  <c r="N11" i="17"/>
  <c r="N18" i="17" s="1"/>
  <c r="T4" i="20"/>
  <c r="T5" i="20"/>
  <c r="T7" i="20"/>
  <c r="T6" i="20"/>
  <c r="X12" i="17"/>
  <c r="X11" i="17"/>
  <c r="AI16" i="15"/>
  <c r="H16" i="15"/>
  <c r="D16" i="15"/>
  <c r="AI6" i="15"/>
  <c r="AG6" i="15"/>
  <c r="AK6" i="15"/>
  <c r="F16" i="15"/>
  <c r="AD8" i="12"/>
  <c r="O11" i="8"/>
  <c r="O12" i="8" s="1"/>
  <c r="S3" i="6"/>
  <c r="S4" i="6"/>
  <c r="S7" i="6"/>
  <c r="W16" i="5"/>
  <c r="W11" i="4"/>
  <c r="W16" i="4" s="1"/>
  <c r="H14" i="4"/>
  <c r="F14" i="4"/>
  <c r="D14" i="4"/>
  <c r="X34" i="4"/>
  <c r="N3" i="19"/>
  <c r="AA3" i="19" s="1" a="1"/>
  <c r="AA3" i="19" s="1"/>
  <c r="P8" i="19"/>
  <c r="Z8" i="19" s="1" a="1"/>
  <c r="Z8" i="19" s="1"/>
  <c r="P3" i="19"/>
  <c r="Z3" i="19" s="1" a="1"/>
  <c r="Z3" i="19" s="1"/>
  <c r="P4" i="19"/>
  <c r="Z4" i="19" s="1" a="1"/>
  <c r="Z4" i="19" s="1"/>
  <c r="P7" i="19"/>
  <c r="E12" i="16"/>
  <c r="C12" i="16"/>
  <c r="G12" i="16"/>
  <c r="E22" i="16"/>
  <c r="AI13" i="15"/>
  <c r="H13" i="15"/>
  <c r="D13" i="15"/>
  <c r="AK3" i="15"/>
  <c r="AI3" i="15"/>
  <c r="F13" i="15"/>
  <c r="AG3" i="15"/>
  <c r="O8" i="14"/>
  <c r="Y6" i="14"/>
  <c r="Y7" i="14"/>
  <c r="Y9" i="14"/>
  <c r="O6" i="14"/>
  <c r="O7" i="14"/>
  <c r="U17" i="14"/>
  <c r="T3" i="20"/>
  <c r="P2" i="19"/>
  <c r="Z2" i="19" s="1" a="1"/>
  <c r="Z2" i="19" s="1"/>
  <c r="I35" i="15"/>
  <c r="W6" i="14"/>
  <c r="N4" i="16"/>
  <c r="AA4" i="16" s="1" a="1"/>
  <c r="AA4" i="16" s="1"/>
  <c r="W19" i="14"/>
  <c r="AC5" i="15"/>
  <c r="AC3" i="13"/>
  <c r="I12" i="11"/>
  <c r="AP8" i="13"/>
  <c r="AO8" i="13"/>
  <c r="O17" i="12"/>
  <c r="Y4" i="12"/>
  <c r="Y18" i="12"/>
  <c r="S15" i="12"/>
  <c r="Y6" i="10"/>
  <c r="O15" i="12"/>
  <c r="Q19" i="11"/>
  <c r="AH9" i="12"/>
  <c r="S12" i="12"/>
  <c r="S11" i="12"/>
  <c r="Q18" i="11"/>
  <c r="S18" i="10"/>
  <c r="W15" i="12"/>
  <c r="O19" i="11"/>
  <c r="AD9" i="9"/>
  <c r="AL15" i="11"/>
  <c r="E13" i="11"/>
  <c r="O15" i="11"/>
  <c r="AC7" i="10"/>
  <c r="AD4" i="10"/>
  <c r="S12" i="8"/>
  <c r="S11" i="8"/>
  <c r="S18" i="8" s="1"/>
  <c r="Q11" i="10"/>
  <c r="Q12" i="10"/>
  <c r="S17" i="9"/>
  <c r="Y8" i="9"/>
  <c r="Y4" i="9"/>
  <c r="Y7" i="9"/>
  <c r="O13" i="11"/>
  <c r="W18" i="8"/>
  <c r="S12" i="9"/>
  <c r="AM37" i="8"/>
  <c r="H32" i="8" s="1"/>
  <c r="AN37" i="8"/>
  <c r="I16" i="8"/>
  <c r="J34" i="11"/>
  <c r="AD3" i="10"/>
  <c r="AC9" i="10"/>
  <c r="AD3" i="6"/>
  <c r="Y3" i="9"/>
  <c r="I17" i="6"/>
  <c r="W5" i="8"/>
  <c r="W2" i="8"/>
  <c r="W6" i="8"/>
  <c r="W9" i="8"/>
  <c r="I16" i="7"/>
  <c r="AD8" i="7"/>
  <c r="W11" i="6"/>
  <c r="S13" i="9"/>
  <c r="S13" i="8"/>
  <c r="AD6" i="7"/>
  <c r="U17" i="6"/>
  <c r="O7" i="8"/>
  <c r="I13" i="7"/>
  <c r="AC6" i="7"/>
  <c r="I13" i="6"/>
  <c r="Y12" i="7"/>
  <c r="U5" i="6"/>
  <c r="U2" i="6"/>
  <c r="O6" i="7"/>
  <c r="AU26" i="8"/>
  <c r="AT27" i="8" s="1"/>
  <c r="AQ26" i="8" s="1"/>
  <c r="AT23" i="8"/>
  <c r="U7" i="6"/>
  <c r="AJ38" i="5"/>
  <c r="AI38" i="5"/>
  <c r="D33" i="5" s="1"/>
  <c r="AJ39" i="5"/>
  <c r="AI39" i="5"/>
  <c r="S15" i="7"/>
  <c r="S18" i="6"/>
  <c r="AD7" i="5"/>
  <c r="Q5" i="8"/>
  <c r="Y11" i="6"/>
  <c r="AH9" i="4"/>
  <c r="Y17" i="7"/>
  <c r="Q17" i="6"/>
  <c r="Q14" i="4"/>
  <c r="H31" i="6"/>
  <c r="AC9" i="4"/>
  <c r="AC4" i="5"/>
  <c r="Q3" i="4"/>
  <c r="Q6" i="4"/>
  <c r="Q5" i="4"/>
  <c r="Q2" i="4"/>
  <c r="Q9" i="4"/>
  <c r="AL39" i="3"/>
  <c r="AK39" i="3"/>
  <c r="F34" i="3" s="1"/>
  <c r="Y13" i="7"/>
  <c r="Y9" i="5"/>
  <c r="D23" i="3"/>
  <c r="Y16" i="7"/>
  <c r="AC2" i="4"/>
  <c r="I16" i="3"/>
  <c r="O11" i="4"/>
  <c r="AC8" i="3"/>
  <c r="D20" i="1"/>
  <c r="R14" i="1"/>
  <c r="AI5" i="1"/>
  <c r="AJ20" i="1"/>
  <c r="AK20" i="1"/>
  <c r="R8" i="1"/>
  <c r="AS30" i="1"/>
  <c r="AQ30" i="4"/>
  <c r="AQ26" i="3"/>
  <c r="Q13" i="3"/>
  <c r="AD6" i="10"/>
  <c r="F33" i="1"/>
  <c r="AD3" i="1"/>
  <c r="R4" i="1"/>
  <c r="N11" i="18"/>
  <c r="T18" i="18"/>
  <c r="P15" i="18"/>
  <c r="O3" i="15"/>
  <c r="O2" i="15"/>
  <c r="O6" i="15"/>
  <c r="W4" i="14"/>
  <c r="W11" i="12"/>
  <c r="W12" i="12"/>
  <c r="Q6" i="12"/>
  <c r="Q9" i="12"/>
  <c r="Q2" i="12"/>
  <c r="Y16" i="8"/>
  <c r="AP39" i="9"/>
  <c r="AP29" i="9"/>
  <c r="AK4" i="9" s="1"/>
  <c r="H14" i="9"/>
  <c r="X34" i="9"/>
  <c r="Q16" i="9"/>
  <c r="Q15" i="9"/>
  <c r="AM39" i="6"/>
  <c r="H34" i="6" s="1"/>
  <c r="AN39" i="6"/>
  <c r="X35" i="5"/>
  <c r="F15" i="5"/>
  <c r="D15" i="5"/>
  <c r="H15" i="5"/>
  <c r="X15" i="19"/>
  <c r="Z21" i="20" a="1"/>
  <c r="Z21" i="20" s="1"/>
  <c r="V13" i="19"/>
  <c r="X14" i="18"/>
  <c r="P13" i="20"/>
  <c r="P14" i="18"/>
  <c r="V7" i="16"/>
  <c r="P14" i="17"/>
  <c r="T12" i="16"/>
  <c r="O4" i="15"/>
  <c r="AM19" i="15"/>
  <c r="Q11" i="13"/>
  <c r="Q18" i="13" s="1"/>
  <c r="AH10" i="11"/>
  <c r="AD5" i="12"/>
  <c r="Y19" i="10"/>
  <c r="N20" i="20"/>
  <c r="N14" i="20"/>
  <c r="T2" i="19"/>
  <c r="R6" i="19"/>
  <c r="Z6" i="19" s="1" a="1"/>
  <c r="Z6" i="19" s="1"/>
  <c r="R7" i="19"/>
  <c r="R2" i="19"/>
  <c r="R5" i="19"/>
  <c r="X11" i="19"/>
  <c r="X12" i="19" s="1"/>
  <c r="X15" i="18"/>
  <c r="N3" i="17"/>
  <c r="N5" i="17"/>
  <c r="AA5" i="17" s="1" a="1"/>
  <c r="AA5" i="17" s="1"/>
  <c r="N4" i="17"/>
  <c r="V5" i="16"/>
  <c r="R18" i="19"/>
  <c r="R11" i="18"/>
  <c r="R16" i="18" s="1"/>
  <c r="I36" i="15"/>
  <c r="Z2" i="18" a="1"/>
  <c r="Z2" i="18" s="1"/>
  <c r="P13" i="16"/>
  <c r="P11" i="16"/>
  <c r="I12" i="15"/>
  <c r="V16" i="16"/>
  <c r="V2" i="20"/>
  <c r="V5" i="20"/>
  <c r="V7" i="20"/>
  <c r="V8" i="20"/>
  <c r="V3" i="20"/>
  <c r="V4" i="20"/>
  <c r="AM20" i="15"/>
  <c r="AC4" i="15"/>
  <c r="N16" i="16"/>
  <c r="R8" i="17"/>
  <c r="R5" i="17"/>
  <c r="Z5" i="17" s="1" a="1"/>
  <c r="Z5" i="17" s="1"/>
  <c r="R4" i="17"/>
  <c r="R7" i="17"/>
  <c r="Y12" i="15"/>
  <c r="AD2" i="14"/>
  <c r="U5" i="14"/>
  <c r="U2" i="14"/>
  <c r="U3" i="14"/>
  <c r="AC7" i="14"/>
  <c r="O11" i="13"/>
  <c r="O13" i="13" s="1"/>
  <c r="Q13" i="15"/>
  <c r="I17" i="13"/>
  <c r="AC5" i="14"/>
  <c r="AC9" i="12"/>
  <c r="S7" i="14"/>
  <c r="S9" i="14"/>
  <c r="S4" i="14"/>
  <c r="S5" i="14"/>
  <c r="S8" i="14"/>
  <c r="S3" i="14"/>
  <c r="W19" i="11"/>
  <c r="Y3" i="12"/>
  <c r="AQ32" i="12"/>
  <c r="AK19" i="12" s="1"/>
  <c r="C17" i="12"/>
  <c r="AQ42" i="12"/>
  <c r="AL7" i="12"/>
  <c r="AC2" i="11"/>
  <c r="X8" i="20"/>
  <c r="P11" i="20"/>
  <c r="P12" i="20" s="1"/>
  <c r="N17" i="18"/>
  <c r="V8" i="19"/>
  <c r="AA8" i="19" s="1" a="1"/>
  <c r="AA8" i="19" s="1"/>
  <c r="R12" i="19"/>
  <c r="R11" i="19"/>
  <c r="R13" i="19" s="1"/>
  <c r="X8" i="19"/>
  <c r="X3" i="19"/>
  <c r="X7" i="19"/>
  <c r="X4" i="19"/>
  <c r="P11" i="17"/>
  <c r="P12" i="17"/>
  <c r="T11" i="19"/>
  <c r="T16" i="19" s="1"/>
  <c r="N2" i="17"/>
  <c r="T5" i="18"/>
  <c r="Z5" i="18" s="1" a="1"/>
  <c r="Z5" i="18" s="1"/>
  <c r="T7" i="18"/>
  <c r="T6" i="18"/>
  <c r="Z6" i="18" s="1" a="1"/>
  <c r="Z6" i="18" s="1"/>
  <c r="N5" i="16"/>
  <c r="N2" i="19"/>
  <c r="T11" i="17"/>
  <c r="T16" i="17" s="1"/>
  <c r="AP27" i="14"/>
  <c r="AK2" i="14" s="1"/>
  <c r="H12" i="14"/>
  <c r="AP37" i="14"/>
  <c r="X32" i="14"/>
  <c r="V11" i="16"/>
  <c r="V12" i="16" s="1"/>
  <c r="N3" i="16"/>
  <c r="AA3" i="16" s="1" a="1"/>
  <c r="AA3" i="16" s="1"/>
  <c r="O17" i="15"/>
  <c r="T14" i="16"/>
  <c r="V14" i="20"/>
  <c r="X2" i="17"/>
  <c r="V3" i="16"/>
  <c r="Y16" i="15"/>
  <c r="X2" i="18"/>
  <c r="Y17" i="15"/>
  <c r="I14" i="14"/>
  <c r="U11" i="15"/>
  <c r="W3" i="15"/>
  <c r="W2" i="15"/>
  <c r="W6" i="15"/>
  <c r="R2" i="17"/>
  <c r="W18" i="15"/>
  <c r="W11" i="15"/>
  <c r="W19" i="15" s="1"/>
  <c r="W5" i="14"/>
  <c r="O12" i="14"/>
  <c r="O11" i="14"/>
  <c r="O18" i="14" s="1"/>
  <c r="AC6" i="13"/>
  <c r="AC3" i="14"/>
  <c r="I30" i="16"/>
  <c r="Q4" i="14"/>
  <c r="O5" i="15"/>
  <c r="Y13" i="15"/>
  <c r="Q15" i="14"/>
  <c r="AC8" i="13"/>
  <c r="AV10" i="13"/>
  <c r="AU10" i="13"/>
  <c r="H32" i="13" s="1"/>
  <c r="Q3" i="13"/>
  <c r="W14" i="14"/>
  <c r="U11" i="13"/>
  <c r="U15" i="13" s="1"/>
  <c r="AD9" i="12"/>
  <c r="AC6" i="12"/>
  <c r="O16" i="12"/>
  <c r="AC4" i="12"/>
  <c r="I16" i="11"/>
  <c r="AD6" i="13"/>
  <c r="Y8" i="12"/>
  <c r="Q4" i="12"/>
  <c r="S11" i="14"/>
  <c r="S12" i="14" s="1"/>
  <c r="J26" i="13"/>
  <c r="Q7" i="12"/>
  <c r="Y11" i="11"/>
  <c r="Y15" i="11" s="1"/>
  <c r="O4" i="12"/>
  <c r="O8" i="12"/>
  <c r="U3" i="12"/>
  <c r="Y17" i="11"/>
  <c r="S8" i="11"/>
  <c r="S5" i="11"/>
  <c r="S4" i="11"/>
  <c r="S2" i="11"/>
  <c r="W5" i="10"/>
  <c r="W3" i="10"/>
  <c r="W9" i="10"/>
  <c r="W6" i="10"/>
  <c r="W2" i="10"/>
  <c r="Q3" i="12"/>
  <c r="U7" i="10"/>
  <c r="U5" i="10"/>
  <c r="U8" i="10"/>
  <c r="U4" i="10"/>
  <c r="O9" i="11"/>
  <c r="Y18" i="11"/>
  <c r="S9" i="9"/>
  <c r="C22" i="11"/>
  <c r="P33" i="11"/>
  <c r="AV11" i="10"/>
  <c r="AU11" i="10"/>
  <c r="H33" i="10" s="1"/>
  <c r="O5" i="10"/>
  <c r="O3" i="10"/>
  <c r="O9" i="10"/>
  <c r="O6" i="10"/>
  <c r="O7" i="10"/>
  <c r="O2" i="10"/>
  <c r="AC9" i="11"/>
  <c r="AD2" i="11"/>
  <c r="AD3" i="11"/>
  <c r="U19" i="10"/>
  <c r="AC6" i="9"/>
  <c r="Y2" i="10"/>
  <c r="F24" i="8"/>
  <c r="H31" i="8"/>
  <c r="AD3" i="8"/>
  <c r="F25" i="7"/>
  <c r="AC3" i="7"/>
  <c r="W17" i="10"/>
  <c r="U7" i="8"/>
  <c r="U8" i="8"/>
  <c r="U2" i="8"/>
  <c r="U5" i="8"/>
  <c r="U4" i="8"/>
  <c r="AG36" i="7"/>
  <c r="J31" i="7" s="1"/>
  <c r="AH36" i="7"/>
  <c r="AL37" i="6"/>
  <c r="AK37" i="6"/>
  <c r="S7" i="8"/>
  <c r="S2" i="8"/>
  <c r="AL40" i="7"/>
  <c r="AK40" i="7"/>
  <c r="AR8" i="7"/>
  <c r="S15" i="9"/>
  <c r="J25" i="8"/>
  <c r="AD5" i="9"/>
  <c r="D34" i="8"/>
  <c r="U18" i="8"/>
  <c r="AD2" i="8"/>
  <c r="J24" i="7"/>
  <c r="AS30" i="7"/>
  <c r="W15" i="6"/>
  <c r="AH9" i="6"/>
  <c r="AC6" i="8"/>
  <c r="F22" i="7"/>
  <c r="AD5" i="7"/>
  <c r="AQ8" i="8"/>
  <c r="AJ40" i="8"/>
  <c r="AI40" i="8"/>
  <c r="D35" i="8" s="1"/>
  <c r="S2" i="6"/>
  <c r="Q19" i="8"/>
  <c r="Q2" i="6"/>
  <c r="I17" i="5"/>
  <c r="AH40" i="7"/>
  <c r="AG40" i="7"/>
  <c r="U11" i="7"/>
  <c r="U13" i="7" s="1"/>
  <c r="D31" i="6"/>
  <c r="U16" i="6"/>
  <c r="H23" i="5"/>
  <c r="AH10" i="5"/>
  <c r="I16" i="4"/>
  <c r="Q4" i="7"/>
  <c r="S8" i="6"/>
  <c r="AR22" i="5"/>
  <c r="U16" i="4"/>
  <c r="AC5" i="8"/>
  <c r="Y19" i="7"/>
  <c r="AJ40" i="5"/>
  <c r="AI40" i="5"/>
  <c r="D35" i="5" s="1"/>
  <c r="AQ8" i="5"/>
  <c r="Q8" i="5"/>
  <c r="D25" i="4"/>
  <c r="U5" i="7"/>
  <c r="U2" i="7"/>
  <c r="S9" i="6"/>
  <c r="J26" i="5"/>
  <c r="I12" i="5"/>
  <c r="Q19" i="4"/>
  <c r="Y3" i="5"/>
  <c r="AD5" i="4"/>
  <c r="AQ30" i="3"/>
  <c r="AJ36" i="5"/>
  <c r="AI36" i="5"/>
  <c r="Y4" i="5"/>
  <c r="O6" i="4"/>
  <c r="J24" i="3"/>
  <c r="AN38" i="6"/>
  <c r="AM38" i="6"/>
  <c r="O5" i="5"/>
  <c r="AH40" i="6"/>
  <c r="AG40" i="6"/>
  <c r="AD4" i="4"/>
  <c r="J25" i="3"/>
  <c r="AN40" i="3"/>
  <c r="AM40" i="3"/>
  <c r="AS8" i="3"/>
  <c r="Q17" i="3"/>
  <c r="Y19" i="5"/>
  <c r="AD4" i="5"/>
  <c r="D22" i="4"/>
  <c r="AL35" i="3"/>
  <c r="AR3" i="3"/>
  <c r="AK35" i="3"/>
  <c r="F30" i="3" s="1"/>
  <c r="W6" i="3"/>
  <c r="AC3" i="5"/>
  <c r="Q11" i="4"/>
  <c r="AC2" i="7"/>
  <c r="I11" i="1"/>
  <c r="P7" i="1"/>
  <c r="P4" i="1"/>
  <c r="P3" i="1"/>
  <c r="P9" i="1"/>
  <c r="W4" i="4"/>
  <c r="AE8" i="1"/>
  <c r="AE5" i="1"/>
  <c r="Y8" i="3"/>
  <c r="AD7" i="1"/>
  <c r="AR30" i="4"/>
  <c r="AR26" i="3"/>
  <c r="AR30" i="3" s="1"/>
  <c r="W11" i="3"/>
  <c r="W12" i="3" s="1"/>
  <c r="U7" i="3"/>
  <c r="Y11" i="3"/>
  <c r="I14" i="1"/>
  <c r="Z6" i="1"/>
  <c r="U6" i="10"/>
  <c r="R12" i="1"/>
  <c r="R21" i="1" s="1"/>
  <c r="V12" i="1"/>
  <c r="AD6" i="3"/>
  <c r="P12" i="1"/>
  <c r="J34" i="1"/>
  <c r="J33" i="1"/>
  <c r="X17" i="1" l="1"/>
  <c r="AI10" i="21"/>
  <c r="V16" i="21"/>
  <c r="V18" i="21"/>
  <c r="Z13" i="21"/>
  <c r="Z17" i="21"/>
  <c r="Z16" i="21"/>
  <c r="Z15" i="21"/>
  <c r="Z19" i="21"/>
  <c r="Z21" i="21"/>
  <c r="Z20" i="21"/>
  <c r="D33" i="21"/>
  <c r="R13" i="21"/>
  <c r="R16" i="21"/>
  <c r="R19" i="21"/>
  <c r="R21" i="21"/>
  <c r="R20" i="21"/>
  <c r="R17" i="21"/>
  <c r="R15" i="21"/>
  <c r="D15" i="21"/>
  <c r="AL31" i="21"/>
  <c r="H15" i="21"/>
  <c r="F15" i="21"/>
  <c r="P18" i="21"/>
  <c r="P21" i="21"/>
  <c r="P17" i="21"/>
  <c r="P20" i="21"/>
  <c r="P19" i="21"/>
  <c r="AL27" i="21"/>
  <c r="AL35" i="21" s="1" a="1"/>
  <c r="AL35" i="21" s="1"/>
  <c r="H11" i="21"/>
  <c r="D11" i="21"/>
  <c r="F11" i="21"/>
  <c r="H12" i="21"/>
  <c r="F12" i="21"/>
  <c r="D12" i="21"/>
  <c r="AL28" i="21"/>
  <c r="F31" i="21"/>
  <c r="P13" i="21"/>
  <c r="V19" i="21"/>
  <c r="V17" i="21"/>
  <c r="V15" i="21"/>
  <c r="V21" i="21"/>
  <c r="AI3" i="21"/>
  <c r="AI9" i="21" s="1"/>
  <c r="R14" i="21"/>
  <c r="V13" i="21"/>
  <c r="V14" i="21"/>
  <c r="J34" i="21"/>
  <c r="X18" i="21"/>
  <c r="X17" i="21"/>
  <c r="X20" i="21"/>
  <c r="X21" i="21"/>
  <c r="X19" i="21"/>
  <c r="X15" i="21"/>
  <c r="Z18" i="21"/>
  <c r="P14" i="21"/>
  <c r="AI7" i="21"/>
  <c r="E13" i="18"/>
  <c r="C13" i="18"/>
  <c r="O21" i="18"/>
  <c r="G13" i="18"/>
  <c r="X35" i="8"/>
  <c r="X39" i="8" s="1" a="1"/>
  <c r="X39" i="8" s="1"/>
  <c r="H15" i="8"/>
  <c r="F15" i="8"/>
  <c r="D15" i="8"/>
  <c r="Q12" i="13"/>
  <c r="R16" i="17"/>
  <c r="AA2" i="19" a="1"/>
  <c r="AA2" i="19" s="1"/>
  <c r="P17" i="17"/>
  <c r="I3" i="17" s="1"/>
  <c r="P13" i="17"/>
  <c r="P15" i="17"/>
  <c r="P16" i="17"/>
  <c r="P18" i="17"/>
  <c r="E17" i="12"/>
  <c r="AL19" i="12"/>
  <c r="C14" i="9"/>
  <c r="AQ39" i="9"/>
  <c r="AL4" i="9"/>
  <c r="AQ29" i="9"/>
  <c r="AK16" i="9" s="1"/>
  <c r="AG16" i="9"/>
  <c r="AH16" i="9" s="1"/>
  <c r="N15" i="18"/>
  <c r="N13" i="18"/>
  <c r="N14" i="18"/>
  <c r="N16" i="18"/>
  <c r="N18" i="18"/>
  <c r="X33" i="6"/>
  <c r="H13" i="6"/>
  <c r="F13" i="6"/>
  <c r="D13" i="6"/>
  <c r="W19" i="6"/>
  <c r="W17" i="6"/>
  <c r="W13" i="6"/>
  <c r="W18" i="6"/>
  <c r="Y14" i="3"/>
  <c r="Y16" i="3"/>
  <c r="Y15" i="3"/>
  <c r="Y19" i="3"/>
  <c r="Y12" i="3"/>
  <c r="Y17" i="3"/>
  <c r="J35" i="6"/>
  <c r="D31" i="5"/>
  <c r="W16" i="6"/>
  <c r="AQ2" i="11"/>
  <c r="C31" i="11"/>
  <c r="AR2" i="11"/>
  <c r="AA5" i="16" a="1"/>
  <c r="AA5" i="16" s="1"/>
  <c r="R12" i="18"/>
  <c r="W18" i="12"/>
  <c r="W14" i="12"/>
  <c r="W16" i="12"/>
  <c r="W17" i="12"/>
  <c r="W19" i="12"/>
  <c r="W13" i="12"/>
  <c r="N12" i="18"/>
  <c r="O19" i="4"/>
  <c r="O14" i="4"/>
  <c r="O12" i="4"/>
  <c r="O17" i="4"/>
  <c r="O13" i="4"/>
  <c r="O15" i="4"/>
  <c r="U18" i="4"/>
  <c r="W12" i="6"/>
  <c r="D17" i="6"/>
  <c r="X37" i="6"/>
  <c r="H17" i="6"/>
  <c r="F17" i="6"/>
  <c r="F16" i="8"/>
  <c r="D16" i="8"/>
  <c r="X36" i="8"/>
  <c r="H16" i="8"/>
  <c r="S19" i="12"/>
  <c r="S14" i="12"/>
  <c r="S18" i="12"/>
  <c r="S16" i="12"/>
  <c r="S17" i="12"/>
  <c r="U16" i="7"/>
  <c r="H33" i="4"/>
  <c r="D30" i="6"/>
  <c r="F30" i="8"/>
  <c r="H16" i="6"/>
  <c r="F16" i="6"/>
  <c r="D16" i="6"/>
  <c r="X36" i="6"/>
  <c r="O14" i="9"/>
  <c r="AL6" i="12"/>
  <c r="C16" i="12"/>
  <c r="W18" i="4"/>
  <c r="O18" i="4"/>
  <c r="O12" i="7"/>
  <c r="O12" i="9"/>
  <c r="AP41" i="9"/>
  <c r="AK6" i="9" s="1"/>
  <c r="AQ31" i="9"/>
  <c r="AP31" i="9"/>
  <c r="AQ41" i="9"/>
  <c r="AK18" i="9" s="1"/>
  <c r="AG18" i="9"/>
  <c r="AH18" i="9" s="1"/>
  <c r="H16" i="9"/>
  <c r="X36" i="9"/>
  <c r="Z4" i="17" a="1"/>
  <c r="Z4" i="17" s="1"/>
  <c r="AA6" i="19" a="1"/>
  <c r="AA6" i="19" s="1"/>
  <c r="W13" i="5"/>
  <c r="W17" i="5"/>
  <c r="W14" i="5"/>
  <c r="W19" i="5"/>
  <c r="T14" i="18"/>
  <c r="T15" i="18"/>
  <c r="T13" i="18"/>
  <c r="T16" i="18"/>
  <c r="T17" i="18"/>
  <c r="W15" i="3"/>
  <c r="J33" i="8"/>
  <c r="F30" i="7"/>
  <c r="W13" i="9"/>
  <c r="X34" i="10"/>
  <c r="AP39" i="10"/>
  <c r="AP29" i="10"/>
  <c r="AK4" i="10" s="1"/>
  <c r="H14" i="10"/>
  <c r="N15" i="19"/>
  <c r="N13" i="19"/>
  <c r="Y13" i="3"/>
  <c r="J35" i="3"/>
  <c r="AP31" i="10"/>
  <c r="AK6" i="10" s="1"/>
  <c r="X36" i="10"/>
  <c r="AQ41" i="10"/>
  <c r="AP41" i="10"/>
  <c r="AQ31" i="10"/>
  <c r="AK18" i="10" s="1"/>
  <c r="AG18" i="10"/>
  <c r="AH18" i="10" s="1"/>
  <c r="H16" i="10"/>
  <c r="Y16" i="10"/>
  <c r="Y14" i="10"/>
  <c r="Y13" i="10"/>
  <c r="Y18" i="10"/>
  <c r="Y17" i="10"/>
  <c r="Y15" i="10"/>
  <c r="AQ30" i="11"/>
  <c r="X35" i="11"/>
  <c r="AP30" i="11"/>
  <c r="H15" i="11"/>
  <c r="AQ40" i="11"/>
  <c r="AK17" i="11" s="1"/>
  <c r="AP40" i="11"/>
  <c r="AK5" i="11" s="1"/>
  <c r="J33" i="13"/>
  <c r="AP42" i="14"/>
  <c r="AP32" i="14"/>
  <c r="AK7" i="14" s="1"/>
  <c r="X37" i="14"/>
  <c r="AG19" i="14"/>
  <c r="AH19" i="14" s="1"/>
  <c r="H17" i="14"/>
  <c r="AQ38" i="12"/>
  <c r="AQ28" i="12"/>
  <c r="AK15" i="12" s="1"/>
  <c r="AG15" i="12"/>
  <c r="AH15" i="12" s="1"/>
  <c r="C13" i="12"/>
  <c r="AL3" i="12"/>
  <c r="E15" i="13"/>
  <c r="AL17" i="13"/>
  <c r="U12" i="15"/>
  <c r="U18" i="15"/>
  <c r="U19" i="15"/>
  <c r="U13" i="15"/>
  <c r="U14" i="15"/>
  <c r="U15" i="15"/>
  <c r="AP42" i="10"/>
  <c r="AP32" i="10"/>
  <c r="AK7" i="10" s="1"/>
  <c r="X37" i="10"/>
  <c r="AG19" i="10"/>
  <c r="AH19" i="10" s="1"/>
  <c r="H17" i="10"/>
  <c r="AP27" i="11"/>
  <c r="AK2" i="11" s="1"/>
  <c r="AP37" i="11"/>
  <c r="H12" i="11"/>
  <c r="X32" i="11"/>
  <c r="X32" i="5"/>
  <c r="H12" i="5"/>
  <c r="F12" i="5"/>
  <c r="D12" i="5"/>
  <c r="X37" i="5"/>
  <c r="H17" i="5"/>
  <c r="F17" i="5"/>
  <c r="D17" i="5"/>
  <c r="AQ41" i="11"/>
  <c r="AQ31" i="11"/>
  <c r="AK18" i="11" s="1"/>
  <c r="AP41" i="11"/>
  <c r="X36" i="11"/>
  <c r="AP31" i="11"/>
  <c r="AK6" i="11" s="1"/>
  <c r="AG18" i="11"/>
  <c r="AH18" i="11" s="1"/>
  <c r="H16" i="11"/>
  <c r="P37" i="12"/>
  <c r="C26" i="12"/>
  <c r="D17" i="12"/>
  <c r="O12" i="13"/>
  <c r="Y16" i="6"/>
  <c r="Y13" i="6"/>
  <c r="Y15" i="6"/>
  <c r="Y12" i="6"/>
  <c r="Y19" i="6"/>
  <c r="Y18" i="6"/>
  <c r="H14" i="1"/>
  <c r="AL30" i="1"/>
  <c r="F14" i="1"/>
  <c r="D14" i="1"/>
  <c r="H11" i="1"/>
  <c r="AL27" i="1"/>
  <c r="F11" i="1"/>
  <c r="D11" i="1"/>
  <c r="P15" i="1"/>
  <c r="P13" i="1"/>
  <c r="P19" i="1"/>
  <c r="P21" i="1"/>
  <c r="P18" i="1"/>
  <c r="P14" i="1"/>
  <c r="Q13" i="4"/>
  <c r="Q12" i="4"/>
  <c r="Q18" i="4"/>
  <c r="Q15" i="4"/>
  <c r="Q16" i="4"/>
  <c r="F32" i="6"/>
  <c r="O18" i="8"/>
  <c r="O16" i="14"/>
  <c r="O15" i="14"/>
  <c r="O19" i="14"/>
  <c r="O13" i="14"/>
  <c r="P15" i="20"/>
  <c r="P17" i="20"/>
  <c r="P18" i="20"/>
  <c r="Y13" i="13"/>
  <c r="R18" i="18"/>
  <c r="R14" i="18"/>
  <c r="R17" i="18"/>
  <c r="R13" i="18"/>
  <c r="X13" i="19"/>
  <c r="I7" i="19" s="1"/>
  <c r="X16" i="19"/>
  <c r="X17" i="19"/>
  <c r="X18" i="19"/>
  <c r="X14" i="19"/>
  <c r="H16" i="3"/>
  <c r="F16" i="3"/>
  <c r="D16" i="3"/>
  <c r="X36" i="3"/>
  <c r="Q17" i="4"/>
  <c r="AS22" i="8"/>
  <c r="AQ22" i="8"/>
  <c r="AQ30" i="8" s="1"/>
  <c r="AR22" i="8"/>
  <c r="X33" i="7"/>
  <c r="H13" i="7"/>
  <c r="F13" i="7"/>
  <c r="D13" i="7"/>
  <c r="R33" i="11"/>
  <c r="AS28" i="11"/>
  <c r="AA33" i="11"/>
  <c r="E22" i="11"/>
  <c r="F13" i="11"/>
  <c r="Q14" i="14"/>
  <c r="Z7" i="19" a="1"/>
  <c r="Z7" i="19" s="1"/>
  <c r="N12" i="17"/>
  <c r="U15" i="5"/>
  <c r="U12" i="5"/>
  <c r="U14" i="5"/>
  <c r="U19" i="5"/>
  <c r="AI3" i="1"/>
  <c r="AI9" i="1" s="1"/>
  <c r="D32" i="7"/>
  <c r="H30" i="10"/>
  <c r="AL18" i="12"/>
  <c r="E16" i="12"/>
  <c r="D34" i="1"/>
  <c r="H32" i="7"/>
  <c r="U18" i="11"/>
  <c r="Z8" i="17" a="1"/>
  <c r="Z8" i="17" s="1"/>
  <c r="P12" i="19"/>
  <c r="AA5" i="20" a="1"/>
  <c r="AA5" i="20" s="1"/>
  <c r="AG17" i="9"/>
  <c r="AH17" i="9" s="1"/>
  <c r="AL5" i="9"/>
  <c r="C15" i="9"/>
  <c r="AA5" i="19" a="1"/>
  <c r="AA5" i="19" s="1"/>
  <c r="P16" i="1"/>
  <c r="U13" i="4"/>
  <c r="D30" i="5"/>
  <c r="H33" i="5"/>
  <c r="AG5" i="15"/>
  <c r="H15" i="15"/>
  <c r="AI15" i="15"/>
  <c r="F15" i="15"/>
  <c r="D15" i="15"/>
  <c r="AK5" i="15"/>
  <c r="AI5" i="15"/>
  <c r="T18" i="1"/>
  <c r="T19" i="1"/>
  <c r="T16" i="1"/>
  <c r="T14" i="1"/>
  <c r="T17" i="1"/>
  <c r="T20" i="1"/>
  <c r="X39" i="9" a="1"/>
  <c r="X39" i="9" s="1"/>
  <c r="AL28" i="1"/>
  <c r="H12" i="1"/>
  <c r="D12" i="1"/>
  <c r="F12" i="1"/>
  <c r="D30" i="7"/>
  <c r="U16" i="15"/>
  <c r="Q18" i="6"/>
  <c r="Q15" i="6"/>
  <c r="Q16" i="6"/>
  <c r="Q13" i="6"/>
  <c r="Q19" i="6"/>
  <c r="AG14" i="12"/>
  <c r="AH14" i="12" s="1"/>
  <c r="AQ37" i="12"/>
  <c r="AQ27" i="12"/>
  <c r="AK14" i="12" s="1"/>
  <c r="C12" i="12"/>
  <c r="AL2" i="12"/>
  <c r="AG17" i="14"/>
  <c r="AH17" i="14" s="1"/>
  <c r="C15" i="14"/>
  <c r="AL5" i="14"/>
  <c r="AQ40" i="12"/>
  <c r="AK17" i="12" s="1"/>
  <c r="X35" i="12"/>
  <c r="AP40" i="12"/>
  <c r="AK5" i="12" s="1"/>
  <c r="H15" i="12"/>
  <c r="AQ30" i="12"/>
  <c r="AG18" i="12" s="1"/>
  <c r="AH18" i="12" s="1"/>
  <c r="AP30" i="12"/>
  <c r="Q16" i="15"/>
  <c r="Q14" i="15"/>
  <c r="Q19" i="15"/>
  <c r="Q15" i="15"/>
  <c r="Q18" i="15"/>
  <c r="AA2" i="16" a="1"/>
  <c r="AA2" i="16" s="1"/>
  <c r="X16" i="18"/>
  <c r="X13" i="18"/>
  <c r="X17" i="18"/>
  <c r="I7" i="18" s="1"/>
  <c r="X18" i="18"/>
  <c r="C16" i="14"/>
  <c r="AL6" i="14"/>
  <c r="AA8" i="16" a="1"/>
  <c r="AA8" i="16" s="1"/>
  <c r="S16" i="14"/>
  <c r="S17" i="14"/>
  <c r="S15" i="14"/>
  <c r="S13" i="14"/>
  <c r="S18" i="14"/>
  <c r="S19" i="14"/>
  <c r="S14" i="14"/>
  <c r="O15" i="8"/>
  <c r="O19" i="8"/>
  <c r="O16" i="8"/>
  <c r="Y14" i="13"/>
  <c r="Y16" i="13"/>
  <c r="Y15" i="13"/>
  <c r="Y17" i="13"/>
  <c r="Y19" i="13"/>
  <c r="W19" i="9"/>
  <c r="W18" i="9"/>
  <c r="W15" i="9"/>
  <c r="W14" i="9"/>
  <c r="W16" i="9"/>
  <c r="U15" i="12"/>
  <c r="U16" i="12"/>
  <c r="U19" i="12"/>
  <c r="U14" i="12"/>
  <c r="U18" i="12"/>
  <c r="U12" i="12"/>
  <c r="V15" i="17"/>
  <c r="V18" i="17"/>
  <c r="V13" i="17"/>
  <c r="V16" i="17"/>
  <c r="C15" i="10"/>
  <c r="AG17" i="10"/>
  <c r="AH17" i="10" s="1"/>
  <c r="AL5" i="10"/>
  <c r="V16" i="1"/>
  <c r="V14" i="1"/>
  <c r="V15" i="1"/>
  <c r="V17" i="1"/>
  <c r="V20" i="1"/>
  <c r="V21" i="1"/>
  <c r="V13" i="1"/>
  <c r="H33" i="6"/>
  <c r="U18" i="7"/>
  <c r="U12" i="7"/>
  <c r="U15" i="7"/>
  <c r="U14" i="7"/>
  <c r="U19" i="7"/>
  <c r="U17" i="13"/>
  <c r="U13" i="13"/>
  <c r="U19" i="13"/>
  <c r="U14" i="13"/>
  <c r="U18" i="13"/>
  <c r="U12" i="13"/>
  <c r="X34" i="14"/>
  <c r="X40" i="14" s="1" a="1"/>
  <c r="X40" i="14" s="1"/>
  <c r="AP29" i="14"/>
  <c r="AK4" i="14" s="1"/>
  <c r="AP39" i="14"/>
  <c r="H14" i="14"/>
  <c r="AP42" i="13"/>
  <c r="AG19" i="13"/>
  <c r="AH19" i="13" s="1"/>
  <c r="AP32" i="13"/>
  <c r="AK7" i="13" s="1"/>
  <c r="X37" i="13"/>
  <c r="H17" i="13"/>
  <c r="F12" i="15"/>
  <c r="AI2" i="15"/>
  <c r="D12" i="15"/>
  <c r="AG2" i="15"/>
  <c r="AI12" i="15"/>
  <c r="H12" i="15"/>
  <c r="AK2" i="15"/>
  <c r="D30" i="1"/>
  <c r="Q16" i="10"/>
  <c r="Q17" i="10"/>
  <c r="Q18" i="10"/>
  <c r="Q13" i="10"/>
  <c r="Q14" i="10"/>
  <c r="Q19" i="10"/>
  <c r="J30" i="13"/>
  <c r="W12" i="4"/>
  <c r="X17" i="17"/>
  <c r="X16" i="17"/>
  <c r="X18" i="17"/>
  <c r="X15" i="17"/>
  <c r="X13" i="17"/>
  <c r="D32" i="4"/>
  <c r="O13" i="10"/>
  <c r="O12" i="10"/>
  <c r="O16" i="10"/>
  <c r="O15" i="10"/>
  <c r="O19" i="10"/>
  <c r="O18" i="13"/>
  <c r="U17" i="7"/>
  <c r="D33" i="3"/>
  <c r="D32" i="6"/>
  <c r="Q13" i="9"/>
  <c r="Q19" i="9"/>
  <c r="Q18" i="9"/>
  <c r="Q17" i="9"/>
  <c r="Q12" i="9"/>
  <c r="U17" i="12"/>
  <c r="U15" i="11"/>
  <c r="U16" i="11"/>
  <c r="U14" i="11"/>
  <c r="U19" i="11"/>
  <c r="U12" i="11"/>
  <c r="X33" i="10"/>
  <c r="AP28" i="10"/>
  <c r="AK3" i="10" s="1"/>
  <c r="H13" i="10"/>
  <c r="AP38" i="10"/>
  <c r="Z7" i="17" a="1"/>
  <c r="Z7" i="17" s="1"/>
  <c r="AA8" i="20" a="1"/>
  <c r="AA8" i="20" s="1"/>
  <c r="AL17" i="9"/>
  <c r="E15" i="9"/>
  <c r="H33" i="7"/>
  <c r="O13" i="6"/>
  <c r="O17" i="6"/>
  <c r="O19" i="6"/>
  <c r="O18" i="6"/>
  <c r="W14" i="6"/>
  <c r="W19" i="7"/>
  <c r="W14" i="7"/>
  <c r="W17" i="7"/>
  <c r="W13" i="7"/>
  <c r="W18" i="7"/>
  <c r="W16" i="7"/>
  <c r="E17" i="9"/>
  <c r="AL19" i="9"/>
  <c r="Q17" i="14"/>
  <c r="AA7" i="18" a="1"/>
  <c r="AA7" i="18" s="1"/>
  <c r="AQ38" i="9"/>
  <c r="AG15" i="9"/>
  <c r="AH15" i="9" s="1"/>
  <c r="AH21" i="9" s="1"/>
  <c r="C13" i="9"/>
  <c r="AQ28" i="9"/>
  <c r="AK15" i="9" s="1"/>
  <c r="AL3" i="9"/>
  <c r="X20" i="1"/>
  <c r="X15" i="1"/>
  <c r="X18" i="1"/>
  <c r="X21" i="1"/>
  <c r="X19" i="1"/>
  <c r="X14" i="1"/>
  <c r="X13" i="1"/>
  <c r="O16" i="4"/>
  <c r="O13" i="9"/>
  <c r="AP37" i="13"/>
  <c r="X32" i="13"/>
  <c r="X40" i="13" s="1" a="1"/>
  <c r="X40" i="13" s="1"/>
  <c r="AP27" i="13"/>
  <c r="AK2" i="13" s="1"/>
  <c r="H12" i="13"/>
  <c r="Z5" i="19" a="1"/>
  <c r="Z5" i="19" s="1"/>
  <c r="S15" i="4"/>
  <c r="S13" i="4"/>
  <c r="S18" i="4"/>
  <c r="S19" i="4"/>
  <c r="S14" i="4"/>
  <c r="S17" i="4"/>
  <c r="AL31" i="1"/>
  <c r="H15" i="1"/>
  <c r="F15" i="1"/>
  <c r="D15" i="1"/>
  <c r="F32" i="7"/>
  <c r="H32" i="10"/>
  <c r="O17" i="10"/>
  <c r="U13" i="12"/>
  <c r="O14" i="12"/>
  <c r="O19" i="12"/>
  <c r="O18" i="12"/>
  <c r="O14" i="14"/>
  <c r="E16" i="16"/>
  <c r="E26" i="16"/>
  <c r="C16" i="16"/>
  <c r="G16" i="16"/>
  <c r="V12" i="17"/>
  <c r="I6" i="17" s="1"/>
  <c r="C16" i="13"/>
  <c r="AL6" i="13"/>
  <c r="E15" i="10"/>
  <c r="AL17" i="10"/>
  <c r="AL18" i="14"/>
  <c r="E16" i="14"/>
  <c r="W18" i="3"/>
  <c r="W13" i="3"/>
  <c r="W16" i="3"/>
  <c r="W19" i="3"/>
  <c r="W17" i="3"/>
  <c r="W14" i="3"/>
  <c r="X36" i="7"/>
  <c r="H16" i="7"/>
  <c r="F16" i="7"/>
  <c r="D16" i="7"/>
  <c r="N17" i="17"/>
  <c r="N13" i="17"/>
  <c r="N15" i="17"/>
  <c r="R14" i="16"/>
  <c r="R18" i="16"/>
  <c r="R13" i="16"/>
  <c r="R17" i="16"/>
  <c r="R15" i="16"/>
  <c r="X34" i="11"/>
  <c r="X39" i="11" s="1" a="1"/>
  <c r="X39" i="11" s="1"/>
  <c r="H14" i="11"/>
  <c r="AP39" i="11"/>
  <c r="AP29" i="11"/>
  <c r="AK4" i="11" s="1"/>
  <c r="N16" i="17"/>
  <c r="Q13" i="14"/>
  <c r="Q16" i="14"/>
  <c r="Q19" i="14"/>
  <c r="R19" i="1"/>
  <c r="R16" i="1"/>
  <c r="R17" i="1"/>
  <c r="R13" i="1"/>
  <c r="R18" i="1"/>
  <c r="R20" i="1"/>
  <c r="H35" i="3"/>
  <c r="J35" i="7"/>
  <c r="F35" i="7"/>
  <c r="W12" i="15"/>
  <c r="W13" i="15"/>
  <c r="W15" i="15"/>
  <c r="W14" i="15"/>
  <c r="W17" i="15"/>
  <c r="W16" i="15"/>
  <c r="AA2" i="17" a="1"/>
  <c r="AA2" i="17" s="1"/>
  <c r="R15" i="19"/>
  <c r="R14" i="19"/>
  <c r="I4" i="19" s="1"/>
  <c r="R16" i="19"/>
  <c r="R17" i="19"/>
  <c r="P12" i="16"/>
  <c r="P16" i="16"/>
  <c r="P15" i="16"/>
  <c r="P14" i="16"/>
  <c r="AA4" i="17" a="1"/>
  <c r="AA4" i="17" s="1"/>
  <c r="D34" i="5"/>
  <c r="O13" i="8"/>
  <c r="S16" i="8"/>
  <c r="S19" i="8"/>
  <c r="S17" i="8"/>
  <c r="S15" i="8"/>
  <c r="S14" i="8"/>
  <c r="R15" i="1"/>
  <c r="J32" i="7"/>
  <c r="AK4" i="15"/>
  <c r="AI4" i="15"/>
  <c r="AI14" i="15"/>
  <c r="AI19" i="15" s="1" a="1"/>
  <c r="AI19" i="15" s="1"/>
  <c r="H14" i="15"/>
  <c r="D14" i="15"/>
  <c r="AG4" i="15"/>
  <c r="F14" i="15"/>
  <c r="S17" i="3"/>
  <c r="S13" i="3"/>
  <c r="S15" i="3"/>
  <c r="S14" i="3"/>
  <c r="S19" i="3"/>
  <c r="S18" i="3"/>
  <c r="S16" i="3"/>
  <c r="U16" i="5"/>
  <c r="H15" i="6"/>
  <c r="F15" i="6"/>
  <c r="D15" i="6"/>
  <c r="X35" i="6"/>
  <c r="H31" i="10"/>
  <c r="AP39" i="12"/>
  <c r="H14" i="12"/>
  <c r="AP29" i="12"/>
  <c r="AK4" i="12" s="1"/>
  <c r="X34" i="12"/>
  <c r="N17" i="16"/>
  <c r="N15" i="16"/>
  <c r="N18" i="16"/>
  <c r="N13" i="16"/>
  <c r="Z2" i="17" a="1"/>
  <c r="Z2" i="17" s="1"/>
  <c r="AA7" i="17" a="1"/>
  <c r="AA7" i="17" s="1"/>
  <c r="AA4" i="20" a="1"/>
  <c r="AA4" i="20" s="1"/>
  <c r="AA7" i="16" a="1"/>
  <c r="AA7" i="16" s="1"/>
  <c r="AB7" i="16" s="1"/>
  <c r="AA8" i="18" a="1"/>
  <c r="AA8" i="18" s="1"/>
  <c r="T14" i="20"/>
  <c r="T15" i="20"/>
  <c r="T16" i="20"/>
  <c r="T13" i="20"/>
  <c r="T17" i="20"/>
  <c r="W17" i="9"/>
  <c r="Q15" i="10"/>
  <c r="AQ27" i="9"/>
  <c r="AK14" i="9" s="1"/>
  <c r="AG14" i="9"/>
  <c r="AH14" i="9" s="1"/>
  <c r="AH22" i="9" s="1"/>
  <c r="AQ37" i="9"/>
  <c r="AL2" i="9"/>
  <c r="C12" i="9"/>
  <c r="U16" i="13"/>
  <c r="R16" i="16"/>
  <c r="AA5" i="18" a="1"/>
  <c r="AA5" i="18" s="1"/>
  <c r="V19" i="1"/>
  <c r="H17" i="3"/>
  <c r="F17" i="3"/>
  <c r="D17" i="3"/>
  <c r="X37" i="3"/>
  <c r="U18" i="10"/>
  <c r="U14" i="10"/>
  <c r="U15" i="10"/>
  <c r="U17" i="10"/>
  <c r="U13" i="10"/>
  <c r="Q18" i="14"/>
  <c r="AP38" i="13"/>
  <c r="AP28" i="13"/>
  <c r="AK3" i="13" s="1"/>
  <c r="X33" i="13"/>
  <c r="H13" i="13"/>
  <c r="C15" i="13"/>
  <c r="AL5" i="13"/>
  <c r="AG17" i="13"/>
  <c r="AH17" i="13" s="1"/>
  <c r="AS26" i="8"/>
  <c r="X40" i="10" a="1"/>
  <c r="X40" i="10" s="1"/>
  <c r="R14" i="17"/>
  <c r="R18" i="17"/>
  <c r="R15" i="17"/>
  <c r="R17" i="17"/>
  <c r="R13" i="17"/>
  <c r="I4" i="17" s="1"/>
  <c r="S13" i="6"/>
  <c r="S12" i="6"/>
  <c r="S14" i="6"/>
  <c r="S17" i="6"/>
  <c r="S19" i="6"/>
  <c r="E15" i="14"/>
  <c r="AL17" i="14"/>
  <c r="V17" i="16"/>
  <c r="V18" i="16"/>
  <c r="V15" i="16"/>
  <c r="V14" i="16"/>
  <c r="V13" i="16"/>
  <c r="AA4" i="19" a="1"/>
  <c r="AA4" i="19" s="1"/>
  <c r="H15" i="7"/>
  <c r="F15" i="7"/>
  <c r="D15" i="7"/>
  <c r="X35" i="7"/>
  <c r="E17" i="11"/>
  <c r="AL19" i="11"/>
  <c r="G13" i="16"/>
  <c r="E23" i="16"/>
  <c r="E29" i="16" s="1" a="1"/>
  <c r="E29" i="16" s="1"/>
  <c r="E13" i="16"/>
  <c r="C13" i="16"/>
  <c r="AA7" i="20" a="1"/>
  <c r="AA7" i="20" s="1"/>
  <c r="AA6" i="20" a="1"/>
  <c r="AA6" i="20" s="1"/>
  <c r="Z6" i="20" a="1"/>
  <c r="Z6" i="20" s="1"/>
  <c r="AI7" i="1"/>
  <c r="D16" i="1"/>
  <c r="F16" i="1"/>
  <c r="AL32" i="1"/>
  <c r="H16" i="1"/>
  <c r="J35" i="4"/>
  <c r="Y14" i="8"/>
  <c r="Y13" i="8"/>
  <c r="Y18" i="8"/>
  <c r="Y19" i="8"/>
  <c r="Y17" i="8"/>
  <c r="P37" i="9"/>
  <c r="C26" i="9"/>
  <c r="D17" i="9"/>
  <c r="W19" i="13"/>
  <c r="W17" i="13"/>
  <c r="W12" i="13"/>
  <c r="W16" i="13"/>
  <c r="W14" i="13"/>
  <c r="U17" i="15"/>
  <c r="S17" i="15"/>
  <c r="S13" i="15"/>
  <c r="S14" i="15"/>
  <c r="S18" i="15"/>
  <c r="S16" i="15"/>
  <c r="S19" i="15"/>
  <c r="I7" i="20"/>
  <c r="U17" i="5"/>
  <c r="X40" i="9" a="1"/>
  <c r="X40" i="9" s="1"/>
  <c r="T18" i="20"/>
  <c r="AA6" i="18" a="1"/>
  <c r="AA6" i="18" s="1"/>
  <c r="S18" i="5"/>
  <c r="S19" i="5"/>
  <c r="S15" i="5"/>
  <c r="S17" i="5"/>
  <c r="S13" i="5"/>
  <c r="P20" i="1"/>
  <c r="S14" i="7"/>
  <c r="S19" i="7"/>
  <c r="S13" i="7"/>
  <c r="S17" i="7"/>
  <c r="F31" i="7"/>
  <c r="U12" i="10"/>
  <c r="AA8" i="17" a="1"/>
  <c r="AA8" i="17" s="1"/>
  <c r="V18" i="18"/>
  <c r="V16" i="18"/>
  <c r="V14" i="18"/>
  <c r="V13" i="18"/>
  <c r="I6" i="18" s="1"/>
  <c r="V17" i="18"/>
  <c r="V15" i="18"/>
  <c r="Q14" i="3"/>
  <c r="Q19" i="3"/>
  <c r="Q15" i="3"/>
  <c r="Q16" i="3"/>
  <c r="X40" i="6" a="1"/>
  <c r="X40" i="6" s="1"/>
  <c r="AQ38" i="14"/>
  <c r="AG15" i="14"/>
  <c r="AH15" i="14" s="1"/>
  <c r="AQ28" i="14"/>
  <c r="AK15" i="14" s="1"/>
  <c r="C13" i="14"/>
  <c r="AL3" i="14"/>
  <c r="W14" i="4"/>
  <c r="W17" i="4"/>
  <c r="W19" i="4"/>
  <c r="W13" i="4"/>
  <c r="W15" i="4"/>
  <c r="P18" i="19"/>
  <c r="P17" i="19"/>
  <c r="P16" i="19"/>
  <c r="P13" i="19"/>
  <c r="S16" i="6"/>
  <c r="T14" i="19"/>
  <c r="T13" i="19"/>
  <c r="T12" i="19"/>
  <c r="T17" i="19"/>
  <c r="T18" i="19"/>
  <c r="T15" i="19"/>
  <c r="H16" i="4"/>
  <c r="F16" i="4"/>
  <c r="X36" i="4"/>
  <c r="X40" i="4" s="1" a="1"/>
  <c r="X40" i="4" s="1"/>
  <c r="D16" i="4"/>
  <c r="AR26" i="8"/>
  <c r="AQ37" i="10"/>
  <c r="C12" i="10"/>
  <c r="AQ27" i="10"/>
  <c r="AK14" i="10" s="1"/>
  <c r="AL2" i="10"/>
  <c r="AG14" i="10"/>
  <c r="AH14" i="10" s="1"/>
  <c r="U15" i="4"/>
  <c r="U12" i="4"/>
  <c r="U19" i="4"/>
  <c r="U17" i="4"/>
  <c r="X33" i="4"/>
  <c r="H13" i="4"/>
  <c r="F13" i="4"/>
  <c r="D13" i="4"/>
  <c r="O19" i="5"/>
  <c r="O13" i="5"/>
  <c r="O14" i="5"/>
  <c r="O17" i="5"/>
  <c r="H17" i="8"/>
  <c r="F17" i="8"/>
  <c r="D17" i="8"/>
  <c r="X37" i="8"/>
  <c r="X40" i="8" s="1" a="1"/>
  <c r="X40" i="8" s="1"/>
  <c r="P37" i="11"/>
  <c r="C26" i="11"/>
  <c r="D17" i="11"/>
  <c r="S18" i="13"/>
  <c r="S12" i="13"/>
  <c r="S14" i="13"/>
  <c r="S13" i="13"/>
  <c r="S19" i="13"/>
  <c r="S15" i="13"/>
  <c r="S16" i="13"/>
  <c r="X34" i="13"/>
  <c r="AP39" i="13"/>
  <c r="AP29" i="13"/>
  <c r="AK4" i="13" s="1"/>
  <c r="H14" i="13"/>
  <c r="Z7" i="18" a="1"/>
  <c r="Z7" i="18" s="1"/>
  <c r="AA2" i="20" a="1"/>
  <c r="AA2" i="20" s="1"/>
  <c r="P17" i="1"/>
  <c r="X40" i="3" a="1"/>
  <c r="X40" i="3" s="1"/>
  <c r="S15" i="6"/>
  <c r="Y15" i="8"/>
  <c r="S12" i="15"/>
  <c r="X14" i="17"/>
  <c r="I7" i="17" s="1"/>
  <c r="H32" i="3"/>
  <c r="X39" i="3" a="1"/>
  <c r="X39" i="3" s="1"/>
  <c r="Q16" i="7"/>
  <c r="Q13" i="7"/>
  <c r="Q18" i="7"/>
  <c r="Q14" i="7"/>
  <c r="Q15" i="7"/>
  <c r="Q12" i="7"/>
  <c r="Q19" i="7"/>
  <c r="Q14" i="9"/>
  <c r="W13" i="13"/>
  <c r="X40" i="12" a="1"/>
  <c r="X40" i="12" s="1"/>
  <c r="D32" i="1"/>
  <c r="O19" i="3"/>
  <c r="O18" i="3"/>
  <c r="O14" i="3"/>
  <c r="O17" i="3"/>
  <c r="D31" i="4"/>
  <c r="F32" i="8"/>
  <c r="H34" i="5"/>
  <c r="O16" i="5"/>
  <c r="Q14" i="6"/>
  <c r="Y18" i="13"/>
  <c r="O16" i="6"/>
  <c r="AL18" i="13"/>
  <c r="E16" i="13"/>
  <c r="U21" i="19"/>
  <c r="V20" i="19" s="1"/>
  <c r="G16" i="19"/>
  <c r="E16" i="19"/>
  <c r="C16" i="19"/>
  <c r="AQ27" i="14"/>
  <c r="AK14" i="14" s="1"/>
  <c r="AQ37" i="14"/>
  <c r="AG14" i="14"/>
  <c r="AH14" i="14" s="1"/>
  <c r="AL2" i="14"/>
  <c r="C12" i="14"/>
  <c r="O15" i="13"/>
  <c r="O17" i="13"/>
  <c r="O16" i="13"/>
  <c r="O19" i="13"/>
  <c r="O14" i="13"/>
  <c r="Q13" i="13"/>
  <c r="Q16" i="13"/>
  <c r="Q19" i="13"/>
  <c r="Q17" i="13"/>
  <c r="Q14" i="13"/>
  <c r="Q15" i="13"/>
  <c r="Y12" i="11"/>
  <c r="Y13" i="11"/>
  <c r="Y19" i="11"/>
  <c r="Y16" i="11"/>
  <c r="Y14" i="11"/>
  <c r="T17" i="17"/>
  <c r="T15" i="17"/>
  <c r="T13" i="17"/>
  <c r="T18" i="17"/>
  <c r="T12" i="17"/>
  <c r="T14" i="17"/>
  <c r="AA3" i="17" a="1"/>
  <c r="AA3" i="17" s="1"/>
  <c r="AI2" i="1"/>
  <c r="AI10" i="1" s="1"/>
  <c r="O18" i="5"/>
  <c r="Y17" i="6"/>
  <c r="O17" i="8"/>
  <c r="J31" i="14"/>
  <c r="N14" i="17"/>
  <c r="O12" i="5"/>
  <c r="O19" i="7"/>
  <c r="O14" i="7"/>
  <c r="O17" i="7"/>
  <c r="O13" i="7"/>
  <c r="O18" i="7"/>
  <c r="O14" i="8"/>
  <c r="O18" i="9"/>
  <c r="O19" i="9"/>
  <c r="O16" i="9"/>
  <c r="O15" i="9"/>
  <c r="W18" i="11"/>
  <c r="W16" i="11"/>
  <c r="W15" i="11"/>
  <c r="W14" i="11"/>
  <c r="W17" i="11"/>
  <c r="W12" i="11"/>
  <c r="S17" i="13"/>
  <c r="P18" i="16"/>
  <c r="AA7" i="19" a="1"/>
  <c r="AA7" i="19" s="1"/>
  <c r="P14" i="19"/>
  <c r="R15" i="18"/>
  <c r="H35" i="11"/>
  <c r="P17" i="16"/>
  <c r="I5" i="18"/>
  <c r="X33" i="5"/>
  <c r="X39" i="5" s="1" a="1"/>
  <c r="X39" i="5" s="1"/>
  <c r="H13" i="5"/>
  <c r="F13" i="5"/>
  <c r="D13" i="5"/>
  <c r="V18" i="1"/>
  <c r="Y14" i="9"/>
  <c r="Y17" i="9"/>
  <c r="Y18" i="9"/>
  <c r="Y16" i="9"/>
  <c r="Y15" i="9"/>
  <c r="Y12" i="9"/>
  <c r="Y19" i="9"/>
  <c r="I2" i="19"/>
  <c r="D35" i="6"/>
  <c r="Y12" i="10"/>
  <c r="H35" i="8"/>
  <c r="J33" i="11"/>
  <c r="S14" i="11"/>
  <c r="S18" i="11"/>
  <c r="S16" i="11"/>
  <c r="S15" i="11"/>
  <c r="W18" i="13"/>
  <c r="O16" i="7"/>
  <c r="P14" i="20"/>
  <c r="X39" i="12" a="1"/>
  <c r="X39" i="12" s="1"/>
  <c r="AG18" i="14"/>
  <c r="AH18" i="14" s="1"/>
  <c r="AA6" i="16" a="1"/>
  <c r="AA6" i="16" s="1"/>
  <c r="AL34" i="21" l="1" a="1"/>
  <c r="AL34" i="21" s="1"/>
  <c r="E16" i="18"/>
  <c r="G16" i="18"/>
  <c r="U21" i="18"/>
  <c r="V20" i="18" s="1"/>
  <c r="C16" i="18"/>
  <c r="G14" i="17"/>
  <c r="Q21" i="17"/>
  <c r="R20" i="17" s="1"/>
  <c r="E14" i="17"/>
  <c r="C14" i="17"/>
  <c r="G17" i="18"/>
  <c r="W21" i="18"/>
  <c r="E17" i="18"/>
  <c r="C17" i="18"/>
  <c r="G13" i="17"/>
  <c r="E13" i="17"/>
  <c r="O21" i="17"/>
  <c r="C13" i="17"/>
  <c r="E14" i="19"/>
  <c r="Q21" i="19"/>
  <c r="R20" i="19" s="1"/>
  <c r="C14" i="19"/>
  <c r="G14" i="19"/>
  <c r="W21" i="19"/>
  <c r="C17" i="19"/>
  <c r="G17" i="19"/>
  <c r="E17" i="19"/>
  <c r="W21" i="17"/>
  <c r="C17" i="17"/>
  <c r="G17" i="17"/>
  <c r="E17" i="17"/>
  <c r="C15" i="18"/>
  <c r="S21" i="18"/>
  <c r="T20" i="18" s="1"/>
  <c r="E15" i="18"/>
  <c r="G15" i="18"/>
  <c r="C22" i="14"/>
  <c r="P33" i="14"/>
  <c r="D13" i="14"/>
  <c r="G17" i="20"/>
  <c r="E17" i="20"/>
  <c r="W21" i="20"/>
  <c r="AA21" i="20" s="1" a="1"/>
  <c r="AA21" i="20" s="1"/>
  <c r="C17" i="20"/>
  <c r="E24" i="10"/>
  <c r="R35" i="10"/>
  <c r="AS30" i="10"/>
  <c r="F15" i="10"/>
  <c r="X39" i="7" a="1"/>
  <c r="X39" i="7" s="1"/>
  <c r="AQ6" i="12"/>
  <c r="C35" i="12"/>
  <c r="AR6" i="12"/>
  <c r="R35" i="13"/>
  <c r="AS30" i="13"/>
  <c r="E24" i="13"/>
  <c r="F15" i="13"/>
  <c r="X40" i="7" a="1"/>
  <c r="X40" i="7" s="1"/>
  <c r="E13" i="14"/>
  <c r="AL15" i="14"/>
  <c r="AQ29" i="12"/>
  <c r="AK16" i="12" s="1"/>
  <c r="AG16" i="12"/>
  <c r="AH16" i="12" s="1"/>
  <c r="C14" i="12"/>
  <c r="AL4" i="12"/>
  <c r="AL10" i="12" s="1"/>
  <c r="AQ39" i="12"/>
  <c r="X39" i="14" a="1"/>
  <c r="X39" i="14" s="1"/>
  <c r="X39" i="10" a="1"/>
  <c r="X39" i="10" s="1"/>
  <c r="P36" i="14"/>
  <c r="C25" i="14"/>
  <c r="D16" i="14"/>
  <c r="P32" i="12"/>
  <c r="C21" i="12"/>
  <c r="D12" i="12"/>
  <c r="E31" i="11"/>
  <c r="AT2" i="11"/>
  <c r="AS2" i="11"/>
  <c r="F22" i="11" s="1"/>
  <c r="AR30" i="8"/>
  <c r="E16" i="11"/>
  <c r="AL18" i="11"/>
  <c r="AQ37" i="11"/>
  <c r="AG14" i="11"/>
  <c r="AH14" i="11" s="1"/>
  <c r="C12" i="11"/>
  <c r="AL2" i="11"/>
  <c r="AQ27" i="11"/>
  <c r="AK14" i="11" s="1"/>
  <c r="AL9" i="12"/>
  <c r="C23" i="9"/>
  <c r="P34" i="9"/>
  <c r="D14" i="9"/>
  <c r="AL3" i="10"/>
  <c r="AL10" i="10" s="1"/>
  <c r="AQ38" i="10"/>
  <c r="C13" i="10"/>
  <c r="AQ28" i="10"/>
  <c r="AK15" i="10" s="1"/>
  <c r="AG15" i="10"/>
  <c r="AH15" i="10" s="1"/>
  <c r="AH22" i="10" s="1"/>
  <c r="I5" i="17"/>
  <c r="E25" i="13"/>
  <c r="AS31" i="13"/>
  <c r="R36" i="13"/>
  <c r="F16" i="13"/>
  <c r="AQ6" i="11"/>
  <c r="D26" i="11" s="1"/>
  <c r="AR6" i="11"/>
  <c r="C35" i="11"/>
  <c r="I5" i="19"/>
  <c r="X39" i="13" a="1"/>
  <c r="X39" i="13" s="1"/>
  <c r="AG17" i="12"/>
  <c r="AH17" i="12" s="1"/>
  <c r="AL5" i="12"/>
  <c r="C15" i="12"/>
  <c r="E12" i="12"/>
  <c r="AL14" i="12"/>
  <c r="AL35" i="1" a="1"/>
  <c r="AL35" i="1" s="1"/>
  <c r="X40" i="5" a="1"/>
  <c r="X40" i="5" s="1"/>
  <c r="P33" i="12"/>
  <c r="C22" i="12"/>
  <c r="D13" i="12"/>
  <c r="AL18" i="9"/>
  <c r="E16" i="9"/>
  <c r="I4" i="18"/>
  <c r="AL14" i="14"/>
  <c r="E12" i="14"/>
  <c r="C21" i="14"/>
  <c r="P32" i="14"/>
  <c r="D12" i="14"/>
  <c r="R35" i="9"/>
  <c r="AS30" i="9"/>
  <c r="E24" i="9"/>
  <c r="F15" i="9"/>
  <c r="G12" i="19"/>
  <c r="E12" i="19"/>
  <c r="C12" i="19"/>
  <c r="M21" i="19"/>
  <c r="AA37" i="11"/>
  <c r="E26" i="11"/>
  <c r="R37" i="11"/>
  <c r="AS32" i="11"/>
  <c r="F17" i="11"/>
  <c r="AL3" i="13"/>
  <c r="AQ38" i="13"/>
  <c r="AG15" i="13"/>
  <c r="AH15" i="13" s="1"/>
  <c r="AQ28" i="13"/>
  <c r="AK15" i="13" s="1"/>
  <c r="C13" i="13"/>
  <c r="C21" i="9"/>
  <c r="P32" i="9"/>
  <c r="D12" i="9"/>
  <c r="C14" i="11"/>
  <c r="AQ39" i="11"/>
  <c r="AG16" i="11"/>
  <c r="AH16" i="11" s="1"/>
  <c r="AQ29" i="11"/>
  <c r="AK16" i="11" s="1"/>
  <c r="AL4" i="11"/>
  <c r="P36" i="13"/>
  <c r="C25" i="13"/>
  <c r="D16" i="13"/>
  <c r="AL9" i="9"/>
  <c r="R37" i="9"/>
  <c r="AS32" i="9"/>
  <c r="E26" i="9"/>
  <c r="F17" i="9"/>
  <c r="P35" i="9"/>
  <c r="C24" i="9"/>
  <c r="D15" i="9"/>
  <c r="AS30" i="8"/>
  <c r="E30" i="16" a="1"/>
  <c r="E30" i="16" s="1"/>
  <c r="AH21" i="12"/>
  <c r="AQ42" i="14"/>
  <c r="AQ32" i="14"/>
  <c r="AK19" i="14" s="1"/>
  <c r="C17" i="14"/>
  <c r="AL7" i="14"/>
  <c r="AQ29" i="10"/>
  <c r="AK16" i="10" s="1"/>
  <c r="AQ39" i="10"/>
  <c r="C14" i="10"/>
  <c r="AL4" i="10"/>
  <c r="AG16" i="10"/>
  <c r="AH16" i="10" s="1"/>
  <c r="C25" i="12"/>
  <c r="P36" i="12"/>
  <c r="D16" i="12"/>
  <c r="I2" i="18"/>
  <c r="AB5" i="16"/>
  <c r="AS32" i="12"/>
  <c r="E26" i="12"/>
  <c r="R37" i="12"/>
  <c r="F17" i="12"/>
  <c r="P20" i="18"/>
  <c r="E16" i="17"/>
  <c r="U21" i="17"/>
  <c r="V20" i="17" s="1"/>
  <c r="C16" i="17"/>
  <c r="G16" i="17"/>
  <c r="AL17" i="12"/>
  <c r="E15" i="12"/>
  <c r="AH22" i="12"/>
  <c r="AS31" i="12"/>
  <c r="R36" i="12"/>
  <c r="E25" i="12"/>
  <c r="F16" i="12"/>
  <c r="X40" i="11" a="1"/>
  <c r="X40" i="11" s="1"/>
  <c r="AL15" i="12"/>
  <c r="E13" i="12"/>
  <c r="C16" i="10"/>
  <c r="AL6" i="10"/>
  <c r="AL10" i="9"/>
  <c r="AL15" i="9"/>
  <c r="E13" i="9"/>
  <c r="AB6" i="16"/>
  <c r="AQ39" i="13"/>
  <c r="AQ29" i="13"/>
  <c r="AK16" i="13" s="1"/>
  <c r="AG16" i="13"/>
  <c r="AH16" i="13" s="1"/>
  <c r="AL4" i="13"/>
  <c r="C14" i="13"/>
  <c r="R36" i="14"/>
  <c r="E25" i="14"/>
  <c r="AS31" i="14"/>
  <c r="F16" i="14"/>
  <c r="C22" i="9"/>
  <c r="P33" i="9"/>
  <c r="D13" i="9"/>
  <c r="I2" i="17"/>
  <c r="AR9" i="11"/>
  <c r="AQ9" i="11"/>
  <c r="AL14" i="10"/>
  <c r="E12" i="10"/>
  <c r="C35" i="9"/>
  <c r="AQ6" i="9"/>
  <c r="AR6" i="9"/>
  <c r="P35" i="13"/>
  <c r="C24" i="13"/>
  <c r="D15" i="13"/>
  <c r="AQ37" i="13"/>
  <c r="AQ27" i="13"/>
  <c r="AK14" i="13" s="1"/>
  <c r="C12" i="13"/>
  <c r="AG14" i="13"/>
  <c r="AH14" i="13" s="1"/>
  <c r="AH22" i="13" s="1"/>
  <c r="AL2" i="13"/>
  <c r="P35" i="10"/>
  <c r="C24" i="10"/>
  <c r="D15" i="10"/>
  <c r="P35" i="14"/>
  <c r="C24" i="14"/>
  <c r="D15" i="14"/>
  <c r="AL6" i="11"/>
  <c r="C16" i="11"/>
  <c r="C15" i="11"/>
  <c r="AG17" i="11"/>
  <c r="AH17" i="11" s="1"/>
  <c r="AL5" i="11"/>
  <c r="C16" i="9"/>
  <c r="AL6" i="9"/>
  <c r="D22" i="11"/>
  <c r="E14" i="9"/>
  <c r="AL16" i="9"/>
  <c r="X39" i="4" a="1"/>
  <c r="X39" i="4" s="1"/>
  <c r="P32" i="10"/>
  <c r="C21" i="10"/>
  <c r="D12" i="10"/>
  <c r="E24" i="14"/>
  <c r="AS30" i="14"/>
  <c r="R35" i="14"/>
  <c r="F15" i="14"/>
  <c r="AL14" i="9"/>
  <c r="AL22" i="9" s="1"/>
  <c r="E12" i="9"/>
  <c r="AB3" i="16"/>
  <c r="AI20" i="15" a="1"/>
  <c r="AI20" i="15" s="1"/>
  <c r="C17" i="13"/>
  <c r="AQ42" i="13"/>
  <c r="AQ32" i="13"/>
  <c r="AK19" i="13" s="1"/>
  <c r="AL7" i="13"/>
  <c r="AQ29" i="14"/>
  <c r="AK16" i="14" s="1"/>
  <c r="AL4" i="14"/>
  <c r="AL9" i="14" s="1"/>
  <c r="C14" i="14"/>
  <c r="AQ39" i="14"/>
  <c r="AG16" i="14"/>
  <c r="AH16" i="14" s="1"/>
  <c r="AH22" i="14" s="1"/>
  <c r="AB4" i="16"/>
  <c r="AB8" i="16"/>
  <c r="AB2" i="16"/>
  <c r="AL34" i="1" a="1"/>
  <c r="AL34" i="1" s="1"/>
  <c r="I3" i="19"/>
  <c r="C17" i="10"/>
  <c r="AQ32" i="10"/>
  <c r="AK19" i="10" s="1"/>
  <c r="AL7" i="10"/>
  <c r="AQ42" i="10"/>
  <c r="AL17" i="11"/>
  <c r="E15" i="11"/>
  <c r="AL18" i="10"/>
  <c r="E16" i="10"/>
  <c r="X39" i="6" a="1"/>
  <c r="X39" i="6" s="1"/>
  <c r="O21" i="19" l="1"/>
  <c r="C13" i="19"/>
  <c r="G13" i="19"/>
  <c r="E13" i="19"/>
  <c r="AL16" i="11"/>
  <c r="AL21" i="11" s="1"/>
  <c r="E14" i="11"/>
  <c r="AL21" i="14"/>
  <c r="C24" i="11"/>
  <c r="P35" i="11"/>
  <c r="D15" i="11"/>
  <c r="M21" i="17"/>
  <c r="G12" i="17"/>
  <c r="E12" i="17"/>
  <c r="C12" i="17"/>
  <c r="AL21" i="9"/>
  <c r="E35" i="12"/>
  <c r="AT6" i="12"/>
  <c r="AS6" i="12"/>
  <c r="AH21" i="11"/>
  <c r="AH21" i="13"/>
  <c r="N20" i="19"/>
  <c r="P33" i="10"/>
  <c r="P39" i="10" s="1" a="1"/>
  <c r="P39" i="10" s="1"/>
  <c r="C22" i="10"/>
  <c r="D13" i="10"/>
  <c r="AL10" i="11"/>
  <c r="R33" i="14"/>
  <c r="AS28" i="14"/>
  <c r="E22" i="14"/>
  <c r="F13" i="14"/>
  <c r="AR13" i="12"/>
  <c r="AQ13" i="12"/>
  <c r="D35" i="12" s="1"/>
  <c r="P20" i="17"/>
  <c r="E14" i="14"/>
  <c r="AL16" i="14"/>
  <c r="C33" i="13"/>
  <c r="AQ4" i="13"/>
  <c r="AR4" i="13"/>
  <c r="C31" i="12"/>
  <c r="AQ2" i="12"/>
  <c r="AR2" i="12"/>
  <c r="C21" i="11"/>
  <c r="P32" i="11"/>
  <c r="D12" i="11"/>
  <c r="AS9" i="11"/>
  <c r="AT9" i="11"/>
  <c r="D26" i="12"/>
  <c r="E33" i="10"/>
  <c r="AT4" i="10"/>
  <c r="AS4" i="10"/>
  <c r="F24" i="10" s="1"/>
  <c r="AH22" i="11"/>
  <c r="P34" i="13"/>
  <c r="C23" i="13"/>
  <c r="D14" i="13"/>
  <c r="C26" i="13"/>
  <c r="P37" i="13"/>
  <c r="D17" i="13"/>
  <c r="P32" i="13"/>
  <c r="C21" i="13"/>
  <c r="D12" i="13"/>
  <c r="AR13" i="9"/>
  <c r="AQ13" i="9"/>
  <c r="AR2" i="9"/>
  <c r="AQ2" i="9"/>
  <c r="D22" i="9" s="1"/>
  <c r="C31" i="9"/>
  <c r="P36" i="10"/>
  <c r="C25" i="10"/>
  <c r="D16" i="10"/>
  <c r="G12" i="18"/>
  <c r="C12" i="18"/>
  <c r="M21" i="18"/>
  <c r="E12" i="18"/>
  <c r="AL16" i="10"/>
  <c r="E14" i="10"/>
  <c r="R32" i="14"/>
  <c r="AS27" i="14"/>
  <c r="E21" i="14"/>
  <c r="F12" i="14"/>
  <c r="AH21" i="14"/>
  <c r="AT5" i="13"/>
  <c r="E34" i="13"/>
  <c r="AS5" i="13"/>
  <c r="C30" i="12"/>
  <c r="AR1" i="12"/>
  <c r="AQ1" i="12"/>
  <c r="D21" i="12" s="1"/>
  <c r="AS28" i="9"/>
  <c r="R33" i="9"/>
  <c r="E22" i="9"/>
  <c r="F13" i="9"/>
  <c r="AT6" i="9"/>
  <c r="AS6" i="9"/>
  <c r="F26" i="9" s="1"/>
  <c r="E35" i="9"/>
  <c r="C24" i="12"/>
  <c r="P35" i="12"/>
  <c r="D15" i="12"/>
  <c r="AL14" i="11"/>
  <c r="AL22" i="11" s="1"/>
  <c r="E12" i="11"/>
  <c r="AS30" i="11"/>
  <c r="AA35" i="11"/>
  <c r="R35" i="11"/>
  <c r="E24" i="11"/>
  <c r="F15" i="11"/>
  <c r="P34" i="10"/>
  <c r="C23" i="10"/>
  <c r="D14" i="10"/>
  <c r="D26" i="9"/>
  <c r="C23" i="11"/>
  <c r="P34" i="11"/>
  <c r="P39" i="11" s="1" a="1"/>
  <c r="P39" i="11" s="1"/>
  <c r="D14" i="11"/>
  <c r="AL9" i="10"/>
  <c r="AL10" i="14"/>
  <c r="E33" i="14"/>
  <c r="AT4" i="14"/>
  <c r="AS4" i="14"/>
  <c r="F24" i="14" s="1"/>
  <c r="C33" i="14"/>
  <c r="AQ4" i="14"/>
  <c r="AR4" i="14"/>
  <c r="R32" i="10"/>
  <c r="E21" i="10"/>
  <c r="AS27" i="10"/>
  <c r="F12" i="10"/>
  <c r="AL16" i="13"/>
  <c r="E14" i="13"/>
  <c r="AS28" i="12"/>
  <c r="R33" i="12"/>
  <c r="E22" i="12"/>
  <c r="F13" i="12"/>
  <c r="C33" i="9"/>
  <c r="AQ4" i="9"/>
  <c r="AR4" i="9"/>
  <c r="C34" i="13"/>
  <c r="AR5" i="13"/>
  <c r="AQ5" i="13"/>
  <c r="D25" i="13" s="1"/>
  <c r="G15" i="19"/>
  <c r="S21" i="19"/>
  <c r="T20" i="19" s="1"/>
  <c r="E15" i="19"/>
  <c r="C15" i="19"/>
  <c r="P34" i="12"/>
  <c r="P39" i="12" s="1" a="1"/>
  <c r="P39" i="12" s="1"/>
  <c r="C23" i="12"/>
  <c r="D14" i="12"/>
  <c r="E33" i="13"/>
  <c r="AT4" i="13"/>
  <c r="AS4" i="13"/>
  <c r="F24" i="13" s="1"/>
  <c r="R36" i="10"/>
  <c r="E25" i="10"/>
  <c r="AS31" i="10"/>
  <c r="F16" i="10"/>
  <c r="R32" i="9"/>
  <c r="AS27" i="9"/>
  <c r="E21" i="9"/>
  <c r="F12" i="9"/>
  <c r="AQ4" i="10"/>
  <c r="D24" i="10" s="1"/>
  <c r="C33" i="10"/>
  <c r="AR4" i="10"/>
  <c r="AL15" i="13"/>
  <c r="E13" i="13"/>
  <c r="AL15" i="10"/>
  <c r="AL21" i="10" s="1"/>
  <c r="E13" i="10"/>
  <c r="E17" i="13"/>
  <c r="AL19" i="13"/>
  <c r="C25" i="11"/>
  <c r="P36" i="11"/>
  <c r="D16" i="11"/>
  <c r="AL10" i="13"/>
  <c r="E34" i="12"/>
  <c r="AT5" i="12"/>
  <c r="AS5" i="12"/>
  <c r="R34" i="9"/>
  <c r="AS29" i="9"/>
  <c r="E23" i="9"/>
  <c r="F14" i="9"/>
  <c r="AL9" i="13"/>
  <c r="C30" i="14"/>
  <c r="AR1" i="14"/>
  <c r="AQ1" i="14"/>
  <c r="D21" i="14" s="1"/>
  <c r="E17" i="10"/>
  <c r="AL19" i="10"/>
  <c r="AL14" i="13"/>
  <c r="E12" i="13"/>
  <c r="C26" i="10"/>
  <c r="P37" i="10"/>
  <c r="D17" i="10"/>
  <c r="C23" i="14"/>
  <c r="P34" i="14"/>
  <c r="P39" i="14" s="1" a="1"/>
  <c r="P39" i="14" s="1"/>
  <c r="D14" i="14"/>
  <c r="C25" i="9"/>
  <c r="P36" i="9"/>
  <c r="P40" i="9" s="1" a="1"/>
  <c r="P40" i="9" s="1"/>
  <c r="D16" i="9"/>
  <c r="AL22" i="10"/>
  <c r="R35" i="12"/>
  <c r="AS30" i="12"/>
  <c r="E24" i="12"/>
  <c r="F15" i="12"/>
  <c r="C26" i="14"/>
  <c r="P37" i="14"/>
  <c r="D17" i="14"/>
  <c r="C30" i="9"/>
  <c r="AR1" i="9"/>
  <c r="AQ1" i="9"/>
  <c r="D21" i="9" s="1"/>
  <c r="E33" i="9"/>
  <c r="AT4" i="9"/>
  <c r="AS4" i="9"/>
  <c r="F24" i="9" s="1"/>
  <c r="G14" i="18"/>
  <c r="Q21" i="18"/>
  <c r="E14" i="18"/>
  <c r="C14" i="18"/>
  <c r="AL22" i="12"/>
  <c r="AR13" i="11"/>
  <c r="AQ13" i="11"/>
  <c r="C15" i="17"/>
  <c r="S21" i="17"/>
  <c r="T20" i="17" s="1"/>
  <c r="E15" i="17"/>
  <c r="G15" i="17"/>
  <c r="AR3" i="9"/>
  <c r="AQ3" i="9"/>
  <c r="D23" i="9" s="1"/>
  <c r="C32" i="9"/>
  <c r="AS31" i="11"/>
  <c r="AA36" i="11"/>
  <c r="R36" i="11"/>
  <c r="E25" i="11"/>
  <c r="F16" i="11"/>
  <c r="C30" i="10"/>
  <c r="AR1" i="10"/>
  <c r="AQ1" i="10"/>
  <c r="D31" i="11"/>
  <c r="E34" i="14"/>
  <c r="AT5" i="14"/>
  <c r="AS5" i="14"/>
  <c r="C34" i="12"/>
  <c r="AR5" i="12"/>
  <c r="AQ5" i="12"/>
  <c r="E17" i="14"/>
  <c r="AL19" i="14"/>
  <c r="AL22" i="14" s="1"/>
  <c r="AL9" i="11"/>
  <c r="P33" i="13"/>
  <c r="P39" i="13" s="1" a="1"/>
  <c r="P39" i="13" s="1"/>
  <c r="C22" i="13"/>
  <c r="D13" i="13"/>
  <c r="AT6" i="11"/>
  <c r="E35" i="11"/>
  <c r="AS6" i="11"/>
  <c r="AS31" i="9"/>
  <c r="R36" i="9"/>
  <c r="E25" i="9"/>
  <c r="F16" i="9"/>
  <c r="R32" i="12"/>
  <c r="AS27" i="12"/>
  <c r="E21" i="12"/>
  <c r="F12" i="12"/>
  <c r="AH21" i="10"/>
  <c r="C34" i="14"/>
  <c r="AR5" i="14"/>
  <c r="AQ5" i="14"/>
  <c r="AL16" i="12"/>
  <c r="AL21" i="12" s="1"/>
  <c r="E14" i="12"/>
  <c r="AQ2" i="14"/>
  <c r="C31" i="14"/>
  <c r="AR2" i="14"/>
  <c r="AR5" i="11" l="1"/>
  <c r="C34" i="11"/>
  <c r="AQ5" i="11"/>
  <c r="AR12" i="12"/>
  <c r="AQ12" i="12"/>
  <c r="P40" i="12" a="1"/>
  <c r="P40" i="12" s="1"/>
  <c r="AT13" i="9"/>
  <c r="AS13" i="9"/>
  <c r="C32" i="13"/>
  <c r="AR3" i="13"/>
  <c r="AQ3" i="13"/>
  <c r="D23" i="13" s="1"/>
  <c r="F31" i="11"/>
  <c r="D25" i="14"/>
  <c r="AR2" i="13"/>
  <c r="AQ2" i="13"/>
  <c r="D22" i="13" s="1"/>
  <c r="C31" i="13"/>
  <c r="F25" i="14"/>
  <c r="AR8" i="9"/>
  <c r="AQ8" i="9"/>
  <c r="D30" i="9" s="1"/>
  <c r="F25" i="12"/>
  <c r="R37" i="13"/>
  <c r="AS32" i="13"/>
  <c r="E26" i="13"/>
  <c r="F17" i="13"/>
  <c r="P40" i="10" a="1"/>
  <c r="P40" i="10" s="1"/>
  <c r="AQ12" i="13"/>
  <c r="AR12" i="13"/>
  <c r="R34" i="13"/>
  <c r="AS29" i="13"/>
  <c r="E23" i="13"/>
  <c r="F14" i="13"/>
  <c r="AR11" i="14"/>
  <c r="AQ11" i="14"/>
  <c r="C32" i="11"/>
  <c r="AR3" i="11"/>
  <c r="AQ3" i="11"/>
  <c r="AR8" i="12"/>
  <c r="AQ8" i="12"/>
  <c r="C34" i="10"/>
  <c r="AR5" i="10"/>
  <c r="AQ5" i="10"/>
  <c r="C30" i="13"/>
  <c r="AR1" i="13"/>
  <c r="AQ1" i="13"/>
  <c r="D24" i="13"/>
  <c r="AS29" i="11"/>
  <c r="AA34" i="11"/>
  <c r="E23" i="11"/>
  <c r="R34" i="11"/>
  <c r="R39" i="11" s="1" a="1"/>
  <c r="R39" i="11" s="1"/>
  <c r="F14" i="11"/>
  <c r="F25" i="13"/>
  <c r="R34" i="10"/>
  <c r="AS29" i="10"/>
  <c r="E23" i="10"/>
  <c r="F14" i="10"/>
  <c r="P40" i="13" a="1"/>
  <c r="P40" i="13" s="1"/>
  <c r="P40" i="11" a="1"/>
  <c r="P40" i="11" s="1"/>
  <c r="AR11" i="13"/>
  <c r="AQ11" i="13"/>
  <c r="E31" i="14"/>
  <c r="AS2" i="14"/>
  <c r="AT2" i="14"/>
  <c r="AA21" i="19" a="1"/>
  <c r="AA21" i="19" s="1"/>
  <c r="R34" i="12"/>
  <c r="R40" i="12" s="1" a="1"/>
  <c r="R40" i="12" s="1"/>
  <c r="AS29" i="12"/>
  <c r="E23" i="12"/>
  <c r="F14" i="12"/>
  <c r="AR8" i="10"/>
  <c r="AQ8" i="10"/>
  <c r="AR4" i="12"/>
  <c r="C33" i="12"/>
  <c r="AQ4" i="12"/>
  <c r="P40" i="14" a="1"/>
  <c r="P40" i="14" s="1"/>
  <c r="C32" i="14"/>
  <c r="AQ3" i="14"/>
  <c r="AR3" i="14"/>
  <c r="E34" i="11"/>
  <c r="AT5" i="11"/>
  <c r="AS5" i="11"/>
  <c r="R33" i="10"/>
  <c r="R39" i="10" s="1" a="1"/>
  <c r="R39" i="10" s="1"/>
  <c r="E22" i="10"/>
  <c r="AS28" i="10"/>
  <c r="F13" i="10"/>
  <c r="AR12" i="14"/>
  <c r="AQ12" i="14"/>
  <c r="AT12" i="14"/>
  <c r="AS12" i="14"/>
  <c r="AR6" i="10"/>
  <c r="C35" i="10"/>
  <c r="AQ6" i="10"/>
  <c r="D26" i="10" s="1"/>
  <c r="AS12" i="12"/>
  <c r="AT12" i="12"/>
  <c r="E30" i="9"/>
  <c r="AT1" i="9"/>
  <c r="AS1" i="9"/>
  <c r="D24" i="9"/>
  <c r="AA32" i="11"/>
  <c r="E21" i="11"/>
  <c r="R32" i="11"/>
  <c r="R40" i="11" s="1" a="1"/>
  <c r="R40" i="11" s="1"/>
  <c r="AS27" i="11"/>
  <c r="F12" i="11"/>
  <c r="AT12" i="13"/>
  <c r="AS12" i="13"/>
  <c r="AR9" i="9"/>
  <c r="AQ9" i="9"/>
  <c r="C30" i="11"/>
  <c r="AR1" i="11"/>
  <c r="AQ1" i="11"/>
  <c r="D21" i="11" s="1"/>
  <c r="AT13" i="12"/>
  <c r="AS13" i="12"/>
  <c r="F35" i="12" s="1"/>
  <c r="AR11" i="9"/>
  <c r="AQ11" i="9"/>
  <c r="AT11" i="14"/>
  <c r="AS11" i="14"/>
  <c r="F33" i="14" s="1"/>
  <c r="C32" i="10"/>
  <c r="AR3" i="10"/>
  <c r="AQ3" i="10"/>
  <c r="E31" i="9"/>
  <c r="AS2" i="9"/>
  <c r="F22" i="9" s="1"/>
  <c r="AT2" i="9"/>
  <c r="R34" i="14"/>
  <c r="AS29" i="14"/>
  <c r="E23" i="14"/>
  <c r="F14" i="14"/>
  <c r="R39" i="14" a="1"/>
  <c r="R39" i="14" s="1"/>
  <c r="AA21" i="17" a="1"/>
  <c r="AA21" i="17" s="1"/>
  <c r="N20" i="17"/>
  <c r="AS32" i="10"/>
  <c r="R37" i="10"/>
  <c r="E26" i="10"/>
  <c r="F17" i="10"/>
  <c r="AR11" i="10"/>
  <c r="AQ11" i="10"/>
  <c r="E33" i="11"/>
  <c r="AS4" i="11"/>
  <c r="F24" i="11" s="1"/>
  <c r="AT4" i="11"/>
  <c r="E30" i="14"/>
  <c r="AS1" i="14"/>
  <c r="F21" i="14" s="1"/>
  <c r="AT1" i="14"/>
  <c r="AR2" i="10"/>
  <c r="AQ2" i="10"/>
  <c r="C31" i="10"/>
  <c r="AT5" i="10"/>
  <c r="AS5" i="10"/>
  <c r="E34" i="10"/>
  <c r="R20" i="18"/>
  <c r="Z21" i="18" a="1"/>
  <c r="Z21" i="18" s="1"/>
  <c r="C35" i="14"/>
  <c r="AR6" i="14"/>
  <c r="AQ6" i="14"/>
  <c r="D26" i="14" s="1"/>
  <c r="AS27" i="13"/>
  <c r="E21" i="13"/>
  <c r="R32" i="13"/>
  <c r="F12" i="13"/>
  <c r="P39" i="9" a="1"/>
  <c r="P39" i="9" s="1"/>
  <c r="R33" i="13"/>
  <c r="R39" i="13" s="1" a="1"/>
  <c r="R39" i="13" s="1"/>
  <c r="E22" i="13"/>
  <c r="AS28" i="13"/>
  <c r="F13" i="13"/>
  <c r="AS11" i="13"/>
  <c r="F33" i="13" s="1"/>
  <c r="AT11" i="13"/>
  <c r="AQ9" i="14"/>
  <c r="D31" i="14" s="1"/>
  <c r="AR9" i="14"/>
  <c r="F26" i="11"/>
  <c r="E26" i="14"/>
  <c r="R37" i="14"/>
  <c r="R40" i="14" s="1" a="1"/>
  <c r="R40" i="14" s="1"/>
  <c r="AS32" i="14"/>
  <c r="F17" i="14"/>
  <c r="D21" i="10"/>
  <c r="D35" i="11"/>
  <c r="C34" i="9"/>
  <c r="AR5" i="9"/>
  <c r="AQ5" i="9"/>
  <c r="AL22" i="13"/>
  <c r="AL21" i="13"/>
  <c r="R40" i="9" a="1"/>
  <c r="R40" i="9" s="1"/>
  <c r="E30" i="10"/>
  <c r="AT1" i="10"/>
  <c r="AS1" i="10"/>
  <c r="R39" i="9" a="1"/>
  <c r="R39" i="9" s="1"/>
  <c r="N20" i="18"/>
  <c r="AA21" i="18" a="1"/>
  <c r="AA21" i="18" s="1"/>
  <c r="C35" i="13"/>
  <c r="AR6" i="13"/>
  <c r="AQ6" i="13"/>
  <c r="AT11" i="10"/>
  <c r="AS11" i="10"/>
  <c r="D22" i="12"/>
  <c r="F26" i="12"/>
  <c r="R39" i="12" a="1"/>
  <c r="R39" i="12" s="1"/>
  <c r="C33" i="11"/>
  <c r="AR4" i="11"/>
  <c r="AQ4" i="11"/>
  <c r="D24" i="14"/>
  <c r="E34" i="9"/>
  <c r="AT5" i="9"/>
  <c r="AS5" i="9"/>
  <c r="AR8" i="14"/>
  <c r="AQ8" i="14"/>
  <c r="D22" i="14"/>
  <c r="AT1" i="12"/>
  <c r="E30" i="12"/>
  <c r="AS1" i="12"/>
  <c r="AT13" i="11"/>
  <c r="AS13" i="11"/>
  <c r="D25" i="12"/>
  <c r="AQ10" i="9"/>
  <c r="D32" i="9" s="1"/>
  <c r="AR10" i="9"/>
  <c r="AT11" i="9"/>
  <c r="AS11" i="9"/>
  <c r="F33" i="9" s="1"/>
  <c r="E33" i="12"/>
  <c r="AS4" i="12"/>
  <c r="F24" i="12" s="1"/>
  <c r="AT4" i="12"/>
  <c r="E32" i="9"/>
  <c r="AT3" i="9"/>
  <c r="AS3" i="9"/>
  <c r="C32" i="12"/>
  <c r="AR3" i="12"/>
  <c r="AQ3" i="12"/>
  <c r="E31" i="12"/>
  <c r="AT2" i="12"/>
  <c r="AS2" i="12"/>
  <c r="F22" i="12" s="1"/>
  <c r="R40" i="10" a="1"/>
  <c r="R40" i="10" s="1"/>
  <c r="D35" i="9"/>
  <c r="AR9" i="12"/>
  <c r="AQ9" i="12"/>
  <c r="D31" i="12" s="1"/>
  <c r="Z21" i="17" a="1"/>
  <c r="Z21" i="17" s="1"/>
  <c r="P20" i="19"/>
  <c r="Z21" i="19" a="1"/>
  <c r="Z21" i="19" s="1"/>
  <c r="AQ9" i="10" l="1"/>
  <c r="AR9" i="10"/>
  <c r="AT11" i="11"/>
  <c r="AS11" i="11"/>
  <c r="F33" i="11" s="1"/>
  <c r="E32" i="10"/>
  <c r="AT3" i="10"/>
  <c r="AS3" i="10"/>
  <c r="F23" i="10" s="1"/>
  <c r="E35" i="13"/>
  <c r="AT6" i="13"/>
  <c r="AS6" i="13"/>
  <c r="F35" i="11"/>
  <c r="F25" i="9"/>
  <c r="D25" i="9"/>
  <c r="AT6" i="14"/>
  <c r="E35" i="14"/>
  <c r="AS6" i="14"/>
  <c r="F26" i="14" s="1"/>
  <c r="AS2" i="13"/>
  <c r="AT2" i="13"/>
  <c r="E31" i="13"/>
  <c r="D22" i="10"/>
  <c r="D33" i="10"/>
  <c r="D23" i="10"/>
  <c r="AT8" i="9"/>
  <c r="AS8" i="9"/>
  <c r="F30" i="9" s="1"/>
  <c r="D34" i="14"/>
  <c r="AS12" i="11"/>
  <c r="F34" i="11" s="1"/>
  <c r="AT12" i="11"/>
  <c r="D30" i="10"/>
  <c r="F22" i="14"/>
  <c r="D30" i="12"/>
  <c r="E32" i="13"/>
  <c r="AS3" i="13"/>
  <c r="F23" i="13" s="1"/>
  <c r="AT3" i="13"/>
  <c r="AS10" i="9"/>
  <c r="F32" i="9" s="1"/>
  <c r="AT10" i="9"/>
  <c r="AS9" i="12"/>
  <c r="AT9" i="12"/>
  <c r="AR13" i="14"/>
  <c r="AQ13" i="14"/>
  <c r="D35" i="14" s="1"/>
  <c r="AT9" i="14"/>
  <c r="AS9" i="14"/>
  <c r="D21" i="13"/>
  <c r="D34" i="12"/>
  <c r="AS9" i="9"/>
  <c r="AT9" i="9"/>
  <c r="D23" i="12"/>
  <c r="AT11" i="12"/>
  <c r="AS11" i="12"/>
  <c r="F33" i="12" s="1"/>
  <c r="F21" i="12"/>
  <c r="AT12" i="9"/>
  <c r="AS12" i="9"/>
  <c r="F33" i="10"/>
  <c r="F21" i="10"/>
  <c r="AR12" i="9"/>
  <c r="AQ12" i="9"/>
  <c r="D34" i="9" s="1"/>
  <c r="E32" i="14"/>
  <c r="AT3" i="14"/>
  <c r="AS3" i="14"/>
  <c r="F23" i="14" s="1"/>
  <c r="AR10" i="10"/>
  <c r="AQ10" i="10"/>
  <c r="D32" i="10" s="1"/>
  <c r="F34" i="12"/>
  <c r="D23" i="14"/>
  <c r="D33" i="13"/>
  <c r="D23" i="11"/>
  <c r="AT6" i="10"/>
  <c r="E35" i="10"/>
  <c r="AS6" i="10"/>
  <c r="AR8" i="11"/>
  <c r="AQ8" i="11"/>
  <c r="D30" i="11" s="1"/>
  <c r="AR10" i="14"/>
  <c r="AQ10" i="14"/>
  <c r="D32" i="14" s="1"/>
  <c r="E32" i="12"/>
  <c r="AT3" i="12"/>
  <c r="AS3" i="12"/>
  <c r="F23" i="12" s="1"/>
  <c r="AR8" i="13"/>
  <c r="AQ8" i="13"/>
  <c r="D30" i="13" s="1"/>
  <c r="AQ10" i="12"/>
  <c r="D32" i="12" s="1"/>
  <c r="AR10" i="12"/>
  <c r="D24" i="11"/>
  <c r="D26" i="13"/>
  <c r="AT8" i="10"/>
  <c r="AS8" i="10"/>
  <c r="F30" i="10" s="1"/>
  <c r="R40" i="13" a="1"/>
  <c r="R40" i="13" s="1"/>
  <c r="AT12" i="10"/>
  <c r="AS12" i="10"/>
  <c r="F34" i="10" s="1"/>
  <c r="AT8" i="14"/>
  <c r="AS8" i="14"/>
  <c r="F30" i="14" s="1"/>
  <c r="D31" i="9"/>
  <c r="AR13" i="10"/>
  <c r="AQ13" i="10"/>
  <c r="D35" i="10" s="1"/>
  <c r="AS2" i="10"/>
  <c r="E31" i="10"/>
  <c r="AT2" i="10"/>
  <c r="D25" i="10"/>
  <c r="AQ10" i="11"/>
  <c r="AR10" i="11"/>
  <c r="D34" i="13"/>
  <c r="D25" i="11"/>
  <c r="E30" i="11"/>
  <c r="AT1" i="11"/>
  <c r="AS1" i="11"/>
  <c r="F21" i="11" s="1"/>
  <c r="F23" i="9"/>
  <c r="E30" i="13"/>
  <c r="AT1" i="13"/>
  <c r="AS1" i="13"/>
  <c r="F25" i="10"/>
  <c r="D33" i="9"/>
  <c r="D24" i="12"/>
  <c r="AT3" i="11"/>
  <c r="E32" i="11"/>
  <c r="AS3" i="11"/>
  <c r="D33" i="14"/>
  <c r="AR10" i="13"/>
  <c r="AQ10" i="13"/>
  <c r="D32" i="13" s="1"/>
  <c r="AR12" i="11"/>
  <c r="AQ12" i="11"/>
  <c r="D34" i="11" s="1"/>
  <c r="AT8" i="12"/>
  <c r="AS8" i="12"/>
  <c r="D30" i="14"/>
  <c r="AR11" i="11"/>
  <c r="AQ11" i="11"/>
  <c r="AR13" i="13"/>
  <c r="AQ13" i="13"/>
  <c r="F34" i="13"/>
  <c r="F21" i="9"/>
  <c r="F34" i="14"/>
  <c r="F25" i="11"/>
  <c r="AR11" i="12"/>
  <c r="AQ11" i="12"/>
  <c r="AR12" i="10"/>
  <c r="AQ12" i="10"/>
  <c r="AQ9" i="13"/>
  <c r="AR9" i="13"/>
  <c r="F35" i="9"/>
  <c r="AS13" i="13" l="1"/>
  <c r="F35" i="13" s="1"/>
  <c r="AT13" i="13"/>
  <c r="F23" i="11"/>
  <c r="AT8" i="13"/>
  <c r="AS8" i="13"/>
  <c r="F30" i="13" s="1"/>
  <c r="D32" i="11"/>
  <c r="AT10" i="13"/>
  <c r="AS10" i="13"/>
  <c r="F32" i="13" s="1"/>
  <c r="AT13" i="14"/>
  <c r="AS13" i="14"/>
  <c r="F30" i="12"/>
  <c r="AT10" i="11"/>
  <c r="AS10" i="11"/>
  <c r="F32" i="11" s="1"/>
  <c r="AT10" i="10"/>
  <c r="AS10" i="10"/>
  <c r="AT10" i="12"/>
  <c r="AS10" i="12"/>
  <c r="F32" i="12" s="1"/>
  <c r="AT10" i="14"/>
  <c r="AS10" i="14"/>
  <c r="F32" i="14" s="1"/>
  <c r="D31" i="13"/>
  <c r="AT9" i="10"/>
  <c r="AS9" i="10"/>
  <c r="F31" i="9"/>
  <c r="F31" i="12"/>
  <c r="D34" i="10"/>
  <c r="D35" i="13"/>
  <c r="AT8" i="11"/>
  <c r="AS8" i="11"/>
  <c r="F30" i="11" s="1"/>
  <c r="F22" i="10"/>
  <c r="F26" i="10"/>
  <c r="F34" i="9"/>
  <c r="AT9" i="13"/>
  <c r="AS9" i="13"/>
  <c r="F31" i="13" s="1"/>
  <c r="AT13" i="10"/>
  <c r="AS13" i="10"/>
  <c r="F35" i="10" s="1"/>
  <c r="F26" i="13"/>
  <c r="D33" i="12"/>
  <c r="D33" i="11"/>
  <c r="F21" i="13"/>
  <c r="F31" i="14"/>
  <c r="F22" i="13"/>
  <c r="D31" i="10"/>
  <c r="F32" i="10" l="1"/>
  <c r="F31" i="10"/>
  <c r="F35" i="14"/>
</calcChain>
</file>

<file path=xl/sharedStrings.xml><?xml version="1.0" encoding="utf-8"?>
<sst xmlns="http://schemas.openxmlformats.org/spreadsheetml/2006/main" count="2911" uniqueCount="159">
  <si>
    <t>model</t>
  </si>
  <si>
    <t>O 5.2</t>
  </si>
  <si>
    <t>Grok 4.1</t>
  </si>
  <si>
    <t>Gemini Pro 3</t>
  </si>
  <si>
    <t>Claude</t>
  </si>
  <si>
    <t>GLM-4.7</t>
  </si>
  <si>
    <t>Kimi 2.5</t>
  </si>
  <si>
    <t>Minimax 2.1</t>
  </si>
  <si>
    <t>LeChat</t>
  </si>
  <si>
    <t>Qwen</t>
  </si>
  <si>
    <t>26-Q1-07</t>
  </si>
  <si>
    <t>Accuracy</t>
  </si>
  <si>
    <t>TNX</t>
  </si>
  <si>
    <t>DJI</t>
  </si>
  <si>
    <t>SPX</t>
  </si>
  <si>
    <t>VIX</t>
  </si>
  <si>
    <t>QQQ</t>
  </si>
  <si>
    <t>AAPL</t>
  </si>
  <si>
    <t>AVR-4</t>
  </si>
  <si>
    <t>AVR-6</t>
  </si>
  <si>
    <t>max-Q</t>
  </si>
  <si>
    <t>REPORT</t>
  </si>
  <si>
    <t>Round</t>
  </si>
  <si>
    <t>User1</t>
  </si>
  <si>
    <t>User2</t>
  </si>
  <si>
    <t>User3</t>
  </si>
  <si>
    <t>GLM, L</t>
  </si>
  <si>
    <t>Ticker</t>
  </si>
  <si>
    <t>Exact</t>
  </si>
  <si>
    <t>∆</t>
  </si>
  <si>
    <t xml:space="preserve">Penalty function </t>
  </si>
  <si>
    <t>2026/02/24</t>
  </si>
  <si>
    <t>GLM</t>
  </si>
  <si>
    <t>N/A</t>
  </si>
  <si>
    <t>C</t>
  </si>
  <si>
    <t>F1</t>
  </si>
  <si>
    <t>LLM</t>
  </si>
  <si>
    <t>M</t>
  </si>
  <si>
    <t>F2</t>
  </si>
  <si>
    <t>o</t>
  </si>
  <si>
    <t>F3</t>
  </si>
  <si>
    <t>F &amp; G</t>
  </si>
  <si>
    <t>Q</t>
  </si>
  <si>
    <t>F4</t>
  </si>
  <si>
    <t>max-Q AVR-4</t>
  </si>
  <si>
    <t>Round Penalty</t>
  </si>
  <si>
    <t>Close YF</t>
  </si>
  <si>
    <t>RD</t>
  </si>
  <si>
    <t>MICH</t>
  </si>
  <si>
    <t>ML</t>
  </si>
  <si>
    <t xml:space="preserve">+3-day </t>
  </si>
  <si>
    <t>max AVR-6</t>
  </si>
  <si>
    <t>Total Penalty</t>
  </si>
  <si>
    <t>Update</t>
  </si>
  <si>
    <t>Value</t>
  </si>
  <si>
    <t>Assign</t>
  </si>
  <si>
    <t>TEST</t>
  </si>
  <si>
    <t>BEST =</t>
  </si>
  <si>
    <t>Scale</t>
  </si>
  <si>
    <t>RANGE  =</t>
  </si>
  <si>
    <t>History</t>
  </si>
  <si>
    <t>Oraclum</t>
  </si>
  <si>
    <t>CALC</t>
  </si>
  <si>
    <t>Extreme Fear</t>
  </si>
  <si>
    <t>Fear</t>
  </si>
  <si>
    <t>Neutral</t>
  </si>
  <si>
    <t>Greed</t>
  </si>
  <si>
    <t>Extreme Greed</t>
  </si>
  <si>
    <t>RD CALC</t>
  </si>
  <si>
    <t>85520 CALC</t>
  </si>
  <si>
    <t>1-11</t>
  </si>
  <si>
    <t>1-10</t>
  </si>
  <si>
    <t>1-09</t>
  </si>
  <si>
    <t>1-08</t>
  </si>
  <si>
    <t>1-07</t>
  </si>
  <si>
    <t>1-06</t>
  </si>
  <si>
    <t>1-05</t>
  </si>
  <si>
    <t>1-04</t>
  </si>
  <si>
    <t>1-03</t>
  </si>
  <si>
    <t>1-02</t>
  </si>
  <si>
    <t>1-01</t>
  </si>
  <si>
    <t>4-12</t>
  </si>
  <si>
    <t>4-11</t>
  </si>
  <si>
    <t>4-10</t>
  </si>
  <si>
    <t>4-O9</t>
  </si>
  <si>
    <t>4-O8</t>
  </si>
  <si>
    <t>4-07'</t>
  </si>
  <si>
    <t>4-06'</t>
  </si>
  <si>
    <t>4-05</t>
  </si>
  <si>
    <t>4-04</t>
  </si>
  <si>
    <t>4-03</t>
  </si>
  <si>
    <t>4-02</t>
  </si>
  <si>
    <t>4-01</t>
  </si>
  <si>
    <t>26-Q1-06</t>
  </si>
  <si>
    <t>2026/02/17</t>
  </si>
  <si>
    <t>K</t>
  </si>
  <si>
    <t>L</t>
  </si>
  <si>
    <t>26-Q1-05</t>
  </si>
  <si>
    <t>2026/02/10</t>
  </si>
  <si>
    <t>26-Q1-04</t>
  </si>
  <si>
    <t>2026/02/03</t>
  </si>
  <si>
    <t>Qwen3 Max</t>
  </si>
  <si>
    <t>26-Q1-03</t>
  </si>
  <si>
    <t>2026/01/27</t>
  </si>
  <si>
    <t>Kimi 2</t>
  </si>
  <si>
    <t>26-Q1-02</t>
  </si>
  <si>
    <t>2026/01/20</t>
  </si>
  <si>
    <t>26-Q1-01</t>
  </si>
  <si>
    <t>2026/01/13</t>
  </si>
  <si>
    <t>o 5.1</t>
  </si>
  <si>
    <t>Minimax 2</t>
  </si>
  <si>
    <t>25-Q4-11</t>
  </si>
  <si>
    <t>2025/12/09</t>
  </si>
  <si>
    <t>Δ(M-Comb)</t>
  </si>
  <si>
    <t>ABS</t>
  </si>
  <si>
    <t>Corr</t>
  </si>
  <si>
    <t>%</t>
  </si>
  <si>
    <t xml:space="preserve">  +3 dys / ML</t>
  </si>
  <si>
    <t>Range</t>
  </si>
  <si>
    <t>Ratio</t>
  </si>
  <si>
    <t>Signum</t>
  </si>
  <si>
    <t>Mob</t>
  </si>
  <si>
    <t>25-Q4-12</t>
  </si>
  <si>
    <t>2025/12/16</t>
  </si>
  <si>
    <t>25-Q4-10</t>
  </si>
  <si>
    <t>2025-12-02</t>
  </si>
  <si>
    <t>25-Q4-09</t>
  </si>
  <si>
    <t>2025-11-25</t>
  </si>
  <si>
    <t>25-Q4-08</t>
  </si>
  <si>
    <t>O</t>
  </si>
  <si>
    <t>G</t>
  </si>
  <si>
    <t>P</t>
  </si>
  <si>
    <t>25-Q4-07</t>
  </si>
  <si>
    <t>Comb</t>
  </si>
  <si>
    <t>REAL</t>
  </si>
  <si>
    <t>K, L</t>
  </si>
  <si>
    <t>Weights</t>
  </si>
  <si>
    <t>&gt; 99.99</t>
  </si>
  <si>
    <t>&gt; 99.5</t>
  </si>
  <si>
    <t>&gt; 99</t>
  </si>
  <si>
    <t>&gt; 98</t>
  </si>
  <si>
    <t>&gt; 97</t>
  </si>
  <si>
    <t>&gt; 96</t>
  </si>
  <si>
    <t>&gt; 95</t>
  </si>
  <si>
    <t>&gt; 93</t>
  </si>
  <si>
    <t>&lt; 93</t>
  </si>
  <si>
    <t>INPUT</t>
  </si>
  <si>
    <t>Model</t>
  </si>
  <si>
    <t>&gt; 99,5</t>
  </si>
  <si>
    <t>max AVR-4</t>
  </si>
  <si>
    <t>G,P</t>
  </si>
  <si>
    <t xml:space="preserve">G </t>
  </si>
  <si>
    <t>C,K</t>
  </si>
  <si>
    <t>O,G,P</t>
  </si>
  <si>
    <t>P,C,4</t>
  </si>
  <si>
    <t>G,P,C,4</t>
  </si>
  <si>
    <t>O,G,P,C,4,K</t>
  </si>
  <si>
    <t>26-Q1-08</t>
  </si>
  <si>
    <t>2026/03/03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</si>
</sst>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%"/>
    <numFmt numFmtId="167" formatCode="0.00000"/>
    <numFmt numFmtId="168" formatCode="m/d/yyyy"/>
  </numFmts>
  <fonts count="110" x14ac:knownFonts="1">
    <font>
      <sz val="11"/>
      <color theme="1"/>
      <name val="Aptos Narrow"/>
      <family val="2"/>
      <charset val="1"/>
    </font>
    <font>
      <sz val="10.5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10.5"/>
      <color theme="0" tint="-0.249977111117893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999999"/>
      <name val="Aptos Narrow"/>
      <family val="2"/>
      <charset val="1"/>
    </font>
    <font>
      <sz val="11"/>
      <color rgb="FF00A933"/>
      <name val="Aptos Narrow"/>
      <family val="2"/>
      <charset val="1"/>
    </font>
    <font>
      <b/>
      <sz val="10.5"/>
      <color theme="1"/>
      <name val="Aptos Narrow"/>
      <family val="2"/>
      <charset val="1"/>
    </font>
    <font>
      <b/>
      <sz val="8"/>
      <color theme="1"/>
      <name val="Aptos Narrow"/>
      <family val="2"/>
      <charset val="1"/>
    </font>
    <font>
      <sz val="10"/>
      <color theme="0" tint="-0.249977111117893"/>
      <name val="Aptos Narrow"/>
      <family val="2"/>
      <charset val="1"/>
    </font>
    <font>
      <b/>
      <sz val="10"/>
      <color theme="1"/>
      <name val="Aptos Narrow"/>
      <family val="2"/>
      <charset val="1"/>
    </font>
    <font>
      <b/>
      <sz val="10.5"/>
      <color theme="0" tint="-0.249977111117893"/>
      <name val="Aptos Narrow"/>
      <family val="2"/>
      <charset val="1"/>
    </font>
    <font>
      <sz val="9.5"/>
      <color rgb="FFFF0000"/>
      <name val="Aptos Narrow"/>
      <family val="2"/>
      <charset val="1"/>
    </font>
    <font>
      <b/>
      <sz val="8.5"/>
      <color rgb="FFBF819E"/>
      <name val="Aptos Narrow"/>
      <family val="2"/>
      <charset val="1"/>
    </font>
    <font>
      <sz val="9.5"/>
      <color rgb="FFBF819E"/>
      <name val="Aptos Narrow"/>
      <family val="2"/>
      <charset val="1"/>
    </font>
    <font>
      <b/>
      <sz val="9.5"/>
      <color rgb="FFBF819E"/>
      <name val="Aptos Narrow"/>
      <family val="2"/>
      <charset val="1"/>
    </font>
    <font>
      <b/>
      <sz val="10.5"/>
      <color theme="2" tint="-0.249977111117893"/>
      <name val="Aptos Narrow"/>
      <family val="2"/>
      <charset val="1"/>
    </font>
    <font>
      <b/>
      <sz val="8.5"/>
      <color theme="1"/>
      <name val="Aptos Narrow"/>
      <family val="2"/>
      <charset val="1"/>
    </font>
    <font>
      <sz val="9"/>
      <color theme="8" tint="0.59959715567491678"/>
      <name val="Aptos Narrow"/>
      <family val="2"/>
      <charset val="1"/>
    </font>
    <font>
      <b/>
      <sz val="8.5"/>
      <color rgb="FFFF0000"/>
      <name val="Aptos Narrow"/>
      <family val="2"/>
      <charset val="1"/>
    </font>
    <font>
      <sz val="8.5"/>
      <color theme="1"/>
      <name val="Aptos Narrow"/>
      <family val="2"/>
      <charset val="1"/>
    </font>
    <font>
      <sz val="11"/>
      <color theme="1"/>
      <name val="Arial"/>
      <family val="2"/>
      <charset val="238"/>
    </font>
    <font>
      <sz val="9"/>
      <color theme="1"/>
      <name val="Aptos Narrow"/>
      <family val="2"/>
      <charset val="1"/>
    </font>
    <font>
      <b/>
      <sz val="9"/>
      <color theme="1"/>
      <name val="Aptos Narrow"/>
      <family val="2"/>
      <charset val="1"/>
    </font>
    <font>
      <b/>
      <sz val="9"/>
      <color theme="8" tint="0.39939573351237523"/>
      <name val="Aptos Narrow"/>
      <family val="2"/>
      <charset val="1"/>
    </font>
    <font>
      <sz val="11"/>
      <color rgb="FFDDDDDD"/>
      <name val="Aptos Narrow"/>
      <family val="2"/>
      <charset val="1"/>
    </font>
    <font>
      <sz val="9"/>
      <color rgb="FFDDDDDD"/>
      <name val="Aptos Narrow"/>
      <family val="2"/>
      <charset val="1"/>
    </font>
    <font>
      <sz val="9"/>
      <name val="Aptos Narrow"/>
      <family val="2"/>
      <charset val="1"/>
    </font>
    <font>
      <sz val="9"/>
      <color rgb="FF666666"/>
      <name val="Aptos Narrow"/>
      <family val="2"/>
      <charset val="1"/>
    </font>
    <font>
      <b/>
      <sz val="11.5"/>
      <color rgb="FFFF0000"/>
      <name val="Aptos Narrow"/>
      <family val="2"/>
      <charset val="1"/>
    </font>
    <font>
      <b/>
      <sz val="10"/>
      <color rgb="FFBF819E"/>
      <name val="Aptos Narrow"/>
      <family val="2"/>
      <charset val="1"/>
    </font>
    <font>
      <b/>
      <sz val="9.5"/>
      <color theme="1"/>
      <name val="Aptos Narrow"/>
      <family val="2"/>
      <charset val="1"/>
    </font>
    <font>
      <sz val="10.5"/>
      <color theme="0" tint="-0.34998626667073579"/>
      <name val="Aptos Narrow"/>
      <family val="2"/>
      <charset val="1"/>
    </font>
    <font>
      <sz val="10"/>
      <color theme="0" tint="-0.34998626667073579"/>
      <name val="Aptos Narrow"/>
      <family val="2"/>
      <charset val="1"/>
    </font>
    <font>
      <b/>
      <sz val="10"/>
      <color theme="0" tint="-0.249977111117893"/>
      <name val="Aptos Narrow"/>
      <family val="2"/>
      <charset val="1"/>
    </font>
    <font>
      <b/>
      <sz val="9.5"/>
      <color theme="0" tint="-0.249977111117893"/>
      <name val="Aptos Narrow"/>
      <family val="2"/>
      <charset val="1"/>
    </font>
    <font>
      <sz val="9.5"/>
      <color theme="1"/>
      <name val="Aptos Narrow"/>
      <family val="2"/>
      <charset val="1"/>
    </font>
    <font>
      <b/>
      <sz val="9"/>
      <color theme="3" tint="0.49949644459364606"/>
      <name val="Aptos Narrow"/>
      <family val="2"/>
      <charset val="1"/>
    </font>
    <font>
      <b/>
      <sz val="10"/>
      <color theme="7" tint="0.39939573351237523"/>
      <name val="Aptos Narrow"/>
      <family val="2"/>
      <charset val="1"/>
    </font>
    <font>
      <b/>
      <sz val="10"/>
      <color theme="3" tint="0.49949644459364606"/>
      <name val="Aptos Narrow"/>
      <family val="2"/>
      <charset val="1"/>
    </font>
    <font>
      <b/>
      <sz val="10.5"/>
      <color theme="3" tint="0.49949644459364606"/>
      <name val="Aptos Narrow"/>
      <family val="2"/>
      <charset val="1"/>
    </font>
    <font>
      <b/>
      <sz val="10.5"/>
      <color theme="0" tint="-0.34998626667073579"/>
      <name val="Aptos Narrow"/>
      <family val="2"/>
      <charset val="1"/>
    </font>
    <font>
      <sz val="8"/>
      <color theme="0" tint="-0.34998626667073579"/>
      <name val="Aptos Narrow"/>
      <family val="2"/>
      <charset val="1"/>
    </font>
    <font>
      <b/>
      <sz val="11.5"/>
      <color theme="0" tint="-0.34998626667073579"/>
      <name val="Aptos Narrow"/>
      <family val="2"/>
      <charset val="1"/>
    </font>
    <font>
      <b/>
      <sz val="9.5"/>
      <color theme="7" tint="0.39939573351237523"/>
      <name val="Aptos Narrow"/>
      <family val="2"/>
      <charset val="1"/>
    </font>
    <font>
      <b/>
      <sz val="9.5"/>
      <color theme="3" tint="0.49949644459364606"/>
      <name val="Aptos Narrow"/>
      <family val="2"/>
      <charset val="1"/>
    </font>
    <font>
      <b/>
      <sz val="10"/>
      <color rgb="FF00A933"/>
      <name val="Aptos Narrow"/>
      <family val="2"/>
      <charset val="1"/>
    </font>
    <font>
      <sz val="10"/>
      <color rgb="FF999999"/>
      <name val="Aptos Narrow"/>
      <family val="2"/>
      <charset val="1"/>
    </font>
    <font>
      <b/>
      <sz val="10"/>
      <name val="Aptos Narrow"/>
      <family val="2"/>
      <charset val="1"/>
    </font>
    <font>
      <sz val="10"/>
      <color rgb="FFFF0000"/>
      <name val="Aptos Narrow"/>
      <family val="2"/>
      <charset val="1"/>
    </font>
    <font>
      <sz val="10"/>
      <color rgb="FFB2B2B2"/>
      <name val="Aptos Narrow"/>
      <family val="2"/>
      <charset val="1"/>
    </font>
    <font>
      <sz val="10"/>
      <color rgb="FF00A933"/>
      <name val="Aptos Narrow"/>
      <family val="2"/>
      <charset val="1"/>
    </font>
    <font>
      <b/>
      <sz val="10"/>
      <color theme="0" tint="-0.34998626667073579"/>
      <name val="Aptos Narrow"/>
      <family val="2"/>
      <charset val="1"/>
    </font>
    <font>
      <sz val="10"/>
      <color rgb="FFCCCCCC"/>
      <name val="Aptos Narrow"/>
      <family val="2"/>
      <charset val="1"/>
    </font>
    <font>
      <sz val="9.5"/>
      <color theme="0" tint="-0.34998626667073579"/>
      <name val="Aptos Narrow"/>
      <family val="2"/>
      <charset val="1"/>
    </font>
    <font>
      <sz val="9.5"/>
      <color theme="0" tint="-0.249977111117893"/>
      <name val="Aptos Narrow"/>
      <family val="2"/>
      <charset val="1"/>
    </font>
    <font>
      <b/>
      <sz val="10"/>
      <color theme="9" tint="0.39939573351237523"/>
      <name val="Aptos Narrow"/>
      <family val="2"/>
      <charset val="1"/>
    </font>
    <font>
      <sz val="10.5"/>
      <color theme="9"/>
      <name val="Aptos Narrow"/>
      <family val="2"/>
      <charset val="1"/>
    </font>
    <font>
      <b/>
      <sz val="10"/>
      <color theme="9"/>
      <name val="Aptos Narrow"/>
      <family val="2"/>
      <charset val="1"/>
    </font>
    <font>
      <b/>
      <sz val="10.5"/>
      <color theme="9"/>
      <name val="Aptos Narrow"/>
      <family val="2"/>
      <charset val="1"/>
    </font>
    <font>
      <b/>
      <sz val="9.5"/>
      <color theme="9" tint="0.39939573351237523"/>
      <name val="Aptos Narrow"/>
      <family val="2"/>
      <charset val="1"/>
    </font>
    <font>
      <sz val="9.5"/>
      <color theme="9"/>
      <name val="Aptos Narrow"/>
      <family val="2"/>
      <charset val="1"/>
    </font>
    <font>
      <b/>
      <sz val="9.5"/>
      <color theme="9"/>
      <name val="Aptos Narrow"/>
      <family val="2"/>
      <charset val="1"/>
    </font>
    <font>
      <sz val="9"/>
      <color theme="0" tint="-0.34998626667073579"/>
      <name val="Aptos Narrow"/>
      <family val="2"/>
      <charset val="1"/>
    </font>
    <font>
      <sz val="10.5"/>
      <color rgb="FFDDDDDD"/>
      <name val="Aptos Narrow"/>
      <family val="2"/>
      <charset val="1"/>
    </font>
    <font>
      <b/>
      <sz val="10"/>
      <color rgb="FF999999"/>
      <name val="Aptos Narrow"/>
      <family val="2"/>
      <charset val="1"/>
    </font>
    <font>
      <sz val="7"/>
      <color theme="1"/>
      <name val="Aptos Narrow"/>
      <family val="2"/>
      <charset val="1"/>
    </font>
    <font>
      <sz val="9.5"/>
      <color rgb="FF999999"/>
      <name val="Aptos Narrow"/>
      <family val="2"/>
      <charset val="1"/>
    </font>
    <font>
      <b/>
      <sz val="9.5"/>
      <color rgb="FF999999"/>
      <name val="Aptos Narrow"/>
      <family val="2"/>
      <charset val="1"/>
    </font>
    <font>
      <sz val="9"/>
      <color rgb="FF808080"/>
      <name val="Aptos Narrow"/>
      <family val="2"/>
      <charset val="1"/>
    </font>
    <font>
      <b/>
      <sz val="7"/>
      <color theme="1"/>
      <name val="Aptos Narrow"/>
      <family val="2"/>
      <charset val="1"/>
    </font>
    <font>
      <sz val="5"/>
      <color theme="1"/>
      <name val="Aptos Narrow"/>
      <family val="2"/>
      <charset val="1"/>
    </font>
    <font>
      <sz val="11"/>
      <color rgb="FF00B050"/>
      <name val="Aptos Narrow"/>
      <family val="2"/>
      <charset val="1"/>
    </font>
    <font>
      <b/>
      <sz val="11.5"/>
      <color theme="1"/>
      <name val="Aptos Narrow"/>
      <family val="2"/>
      <charset val="1"/>
    </font>
    <font>
      <sz val="10"/>
      <color theme="7" tint="0.39939573351237523"/>
      <name val="Aptos Narrow"/>
      <family val="2"/>
      <charset val="1"/>
    </font>
    <font>
      <sz val="9.5"/>
      <color theme="7" tint="0.39939573351237523"/>
      <name val="Aptos Narrow"/>
      <family val="2"/>
      <charset val="1"/>
    </font>
    <font>
      <b/>
      <sz val="8.5"/>
      <color theme="8" tint="0.59959715567491678"/>
      <name val="Aptos Narrow"/>
      <family val="2"/>
      <charset val="1"/>
    </font>
    <font>
      <sz val="10"/>
      <color theme="9" tint="0.39939573351237523"/>
      <name val="Aptos Narrow"/>
      <family val="2"/>
      <charset val="1"/>
    </font>
    <font>
      <sz val="9.5"/>
      <color theme="9" tint="0.39939573351237523"/>
      <name val="Aptos Narrow"/>
      <family val="2"/>
      <charset val="1"/>
    </font>
    <font>
      <sz val="9"/>
      <color rgb="FFFF0000"/>
      <name val="Aptos Narrow"/>
      <family val="2"/>
      <charset val="1"/>
    </font>
    <font>
      <sz val="10"/>
      <color theme="8" tint="0.59959715567491678"/>
      <name val="Aptos Narrow"/>
      <family val="2"/>
      <charset val="1"/>
    </font>
    <font>
      <b/>
      <sz val="10"/>
      <color theme="8" tint="0.39939573351237523"/>
      <name val="Aptos Narrow"/>
      <family val="2"/>
      <charset val="1"/>
    </font>
    <font>
      <b/>
      <sz val="9"/>
      <color theme="5" tint="0.39939573351237523"/>
      <name val="Aptos Narrow"/>
      <family val="2"/>
      <charset val="1"/>
    </font>
    <font>
      <sz val="9"/>
      <color theme="2" tint="-0.249977111117893"/>
      <name val="Aptos Narrow"/>
      <family val="2"/>
      <charset val="1"/>
    </font>
    <font>
      <b/>
      <sz val="9"/>
      <color theme="9"/>
      <name val="Aptos Narrow"/>
      <family val="2"/>
      <charset val="1"/>
    </font>
    <font>
      <b/>
      <sz val="9.5"/>
      <color theme="5" tint="0.39939573351237523"/>
      <name val="Aptos Narrow"/>
      <family val="2"/>
      <charset val="1"/>
    </font>
    <font>
      <b/>
      <sz val="8"/>
      <color theme="3" tint="0.49949644459364606"/>
      <name val="Aptos Narrow"/>
      <family val="2"/>
      <charset val="1"/>
    </font>
    <font>
      <sz val="11"/>
      <name val="Aptos Narrow"/>
      <family val="2"/>
      <charset val="1"/>
    </font>
    <font>
      <sz val="11"/>
      <color rgb="FF0070C0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0.5"/>
      <color theme="0" tint="-0.14999847407452621"/>
      <name val="Aptos Narrow"/>
      <family val="2"/>
      <charset val="1"/>
    </font>
    <font>
      <sz val="11"/>
      <color rgb="FFCCCCCC"/>
      <name val="Aptos Narrow"/>
      <family val="2"/>
      <charset val="1"/>
    </font>
    <font>
      <b/>
      <sz val="10.5"/>
      <color rgb="FFFF0000"/>
      <name val="Aptos Narrow"/>
      <family val="2"/>
      <charset val="1"/>
    </font>
    <font>
      <sz val="10.5"/>
      <name val="Aptos Narrow"/>
      <family val="2"/>
      <charset val="1"/>
    </font>
    <font>
      <b/>
      <sz val="9"/>
      <name val="Aptos Narrow"/>
      <family val="2"/>
      <charset val="1"/>
    </font>
    <font>
      <b/>
      <sz val="9.5"/>
      <name val="Aptos Narrow"/>
      <family val="2"/>
      <charset val="1"/>
    </font>
    <font>
      <sz val="9"/>
      <color theme="0" tint="-0.249977111117893"/>
      <name val="Aptos Narrow"/>
      <family val="2"/>
      <charset val="1"/>
    </font>
    <font>
      <sz val="10.5"/>
      <color theme="8" tint="0.59959715567491678"/>
      <name val="Aptos Narrow"/>
      <family val="2"/>
      <charset val="1"/>
    </font>
    <font>
      <sz val="10.5"/>
      <color theme="2" tint="-0.249977111117893"/>
      <name val="Aptos Narrow"/>
      <family val="2"/>
      <charset val="1"/>
    </font>
    <font>
      <b/>
      <sz val="10.5"/>
      <color theme="8" tint="0.39939573351237523"/>
      <name val="Aptos Narrow"/>
      <family val="2"/>
      <charset val="1"/>
    </font>
    <font>
      <sz val="10.5"/>
      <color theme="8" tint="0.79979857783745845"/>
      <name val="Aptos Narrow"/>
      <family val="2"/>
      <charset val="1"/>
    </font>
    <font>
      <b/>
      <sz val="10.5"/>
      <color theme="8" tint="0.79979857783745845"/>
      <name val="Aptos Narrow"/>
      <family val="2"/>
      <charset val="1"/>
    </font>
    <font>
      <sz val="10.5"/>
      <color theme="8" tint="0.39939573351237523"/>
      <name val="Aptos Narrow"/>
      <family val="2"/>
      <charset val="1"/>
    </font>
    <font>
      <sz val="10.5"/>
      <color theme="7" tint="0.39939573351237523"/>
      <name val="Aptos Narrow"/>
      <family val="2"/>
      <charset val="1"/>
    </font>
    <font>
      <sz val="10.5"/>
      <color theme="1" tint="0.49949644459364606"/>
      <name val="Aptos Narrow"/>
      <family val="2"/>
      <charset val="1"/>
    </font>
    <font>
      <b/>
      <sz val="10.5"/>
      <color theme="1" tint="0.49949644459364606"/>
      <name val="Aptos Narrow"/>
      <family val="2"/>
      <charset val="1"/>
    </font>
    <font>
      <sz val="9"/>
      <color theme="1" tint="0.49949644459364606"/>
      <name val="Aptos Narrow"/>
      <family val="2"/>
      <charset val="1"/>
    </font>
    <font>
      <b/>
      <sz val="10.5"/>
      <color theme="7"/>
      <name val="Aptos Narrow"/>
      <family val="2"/>
      <charset val="1"/>
    </font>
    <font>
      <sz val="10.5"/>
      <color theme="4" tint="0.59959715567491678"/>
      <name val="Aptos Narrow"/>
      <family val="2"/>
      <charset val="1"/>
    </font>
    <font>
      <sz val="10.5"/>
      <color theme="7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EE7E5"/>
        <bgColor rgb="FFE1E7F3"/>
      </patternFill>
    </fill>
    <fill>
      <patternFill patternType="solid">
        <fgColor rgb="FFFFEFFF"/>
        <bgColor rgb="FFEAEAEA"/>
      </patternFill>
    </fill>
    <fill>
      <patternFill patternType="solid">
        <fgColor rgb="FFFFFFCC"/>
        <bgColor rgb="FFFFFFD7"/>
      </patternFill>
    </fill>
    <fill>
      <patternFill patternType="solid">
        <fgColor rgb="FFFFFFD7"/>
        <bgColor rgb="FFFFFFCC"/>
      </patternFill>
    </fill>
    <fill>
      <patternFill patternType="solid">
        <fgColor rgb="FFCCFFFF"/>
        <bgColor rgb="FFD9F2D0"/>
      </patternFill>
    </fill>
    <fill>
      <patternFill patternType="solid">
        <fgColor theme="9" tint="0.79979857783745845"/>
        <bgColor rgb="FFDEE7E5"/>
      </patternFill>
    </fill>
    <fill>
      <patternFill patternType="solid">
        <fgColor rgb="FFE1E7F3"/>
        <bgColor rgb="FFDEE7E5"/>
      </patternFill>
    </fill>
    <fill>
      <patternFill patternType="solid">
        <fgColor rgb="FFEAEAEA"/>
        <bgColor rgb="FFE1E7F3"/>
      </patternFill>
    </fill>
  </fills>
  <borders count="2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/>
      <bottom style="dotted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/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tted">
        <color auto="1"/>
      </bottom>
      <diagonal/>
    </border>
    <border>
      <left style="hair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/>
      <right style="slantDashDot">
        <color auto="1"/>
      </right>
      <top style="medium">
        <color auto="1"/>
      </top>
      <bottom style="dotted">
        <color auto="1"/>
      </bottom>
      <diagonal/>
    </border>
    <border>
      <left/>
      <right style="slantDashDot">
        <color auto="1"/>
      </right>
      <top style="dotted">
        <color auto="1"/>
      </top>
      <bottom style="dotted">
        <color auto="1"/>
      </bottom>
      <diagonal/>
    </border>
    <border>
      <left/>
      <right style="slantDashDot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35">
    <xf numFmtId="0" fontId="0" fillId="0" borderId="0" xfId="0"/>
    <xf numFmtId="0" fontId="2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right" vertical="center"/>
    </xf>
    <xf numFmtId="2" fontId="12" fillId="0" borderId="19" xfId="0" applyNumberFormat="1" applyFont="1" applyBorder="1" applyAlignment="1">
      <alignment horizontal="right" vertical="center"/>
    </xf>
    <xf numFmtId="2" fontId="12" fillId="0" borderId="20" xfId="0" applyNumberFormat="1" applyFont="1" applyBorder="1" applyAlignment="1">
      <alignment horizontal="right" vertical="center"/>
    </xf>
    <xf numFmtId="2" fontId="12" fillId="0" borderId="21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2" fontId="14" fillId="3" borderId="22" xfId="0" applyNumberFormat="1" applyFont="1" applyFill="1" applyBorder="1" applyAlignment="1">
      <alignment horizontal="center" vertical="center"/>
    </xf>
    <xf numFmtId="2" fontId="14" fillId="3" borderId="23" xfId="0" applyNumberFormat="1" applyFont="1" applyFill="1" applyBorder="1" applyAlignment="1">
      <alignment horizontal="center" vertical="center"/>
    </xf>
    <xf numFmtId="2" fontId="15" fillId="3" borderId="24" xfId="0" applyNumberFormat="1" applyFont="1" applyFill="1" applyBorder="1" applyAlignment="1">
      <alignment horizontal="center" vertical="center"/>
    </xf>
    <xf numFmtId="2" fontId="15" fillId="3" borderId="25" xfId="0" applyNumberFormat="1" applyFont="1" applyFill="1" applyBorder="1" applyAlignment="1">
      <alignment horizontal="center" vertical="center"/>
    </xf>
    <xf numFmtId="2" fontId="15" fillId="3" borderId="26" xfId="0" applyNumberFormat="1" applyFont="1" applyFill="1" applyBorder="1" applyAlignment="1">
      <alignment horizontal="center" vertical="center"/>
    </xf>
    <xf numFmtId="2" fontId="14" fillId="3" borderId="27" xfId="0" applyNumberFormat="1" applyFont="1" applyFill="1" applyBorder="1" applyAlignment="1">
      <alignment horizontal="center" vertical="center"/>
    </xf>
    <xf numFmtId="2" fontId="14" fillId="3" borderId="28" xfId="0" applyNumberFormat="1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2" fontId="2" fillId="0" borderId="30" xfId="0" applyNumberFormat="1" applyFont="1" applyBorder="1" applyAlignment="1">
      <alignment horizontal="center" vertical="center"/>
    </xf>
    <xf numFmtId="2" fontId="9" fillId="0" borderId="3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16" fillId="0" borderId="32" xfId="0" applyFont="1" applyBorder="1" applyAlignment="1">
      <alignment horizontal="center" vertical="center"/>
    </xf>
    <xf numFmtId="2" fontId="17" fillId="2" borderId="33" xfId="0" applyNumberFormat="1" applyFont="1" applyFill="1" applyBorder="1" applyAlignment="1">
      <alignment horizontal="center" vertical="center"/>
    </xf>
    <xf numFmtId="2" fontId="18" fillId="0" borderId="21" xfId="0" applyNumberFormat="1" applyFont="1" applyBorder="1" applyAlignment="1">
      <alignment horizontal="center" vertical="center"/>
    </xf>
    <xf numFmtId="2" fontId="19" fillId="2" borderId="33" xfId="0" applyNumberFormat="1" applyFont="1" applyFill="1" applyBorder="1" applyAlignment="1">
      <alignment horizontal="right" vertical="center"/>
    </xf>
    <xf numFmtId="2" fontId="20" fillId="0" borderId="34" xfId="0" applyNumberFormat="1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1" fontId="12" fillId="0" borderId="36" xfId="0" applyNumberFormat="1" applyFont="1" applyBorder="1" applyAlignment="1">
      <alignment horizontal="right" vertical="center"/>
    </xf>
    <xf numFmtId="1" fontId="12" fillId="0" borderId="37" xfId="0" applyNumberFormat="1" applyFont="1" applyBorder="1" applyAlignment="1">
      <alignment horizontal="right" vertical="center"/>
    </xf>
    <xf numFmtId="1" fontId="12" fillId="0" borderId="38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2" fontId="14" fillId="3" borderId="39" xfId="0" applyNumberFormat="1" applyFont="1" applyFill="1" applyBorder="1" applyAlignment="1">
      <alignment horizontal="center" vertical="center"/>
    </xf>
    <xf numFmtId="2" fontId="14" fillId="3" borderId="40" xfId="0" applyNumberFormat="1" applyFont="1" applyFill="1" applyBorder="1" applyAlignment="1">
      <alignment horizontal="center" vertical="center"/>
    </xf>
    <xf numFmtId="2" fontId="15" fillId="3" borderId="41" xfId="0" applyNumberFormat="1" applyFont="1" applyFill="1" applyBorder="1" applyAlignment="1">
      <alignment horizontal="center" vertical="center"/>
    </xf>
    <xf numFmtId="2" fontId="15" fillId="3" borderId="42" xfId="0" applyNumberFormat="1" applyFont="1" applyFill="1" applyBorder="1" applyAlignment="1">
      <alignment horizontal="center" vertical="center"/>
    </xf>
    <xf numFmtId="2" fontId="15" fillId="3" borderId="43" xfId="0" applyNumberFormat="1" applyFont="1" applyFill="1" applyBorder="1" applyAlignment="1">
      <alignment horizontal="center" vertical="center"/>
    </xf>
    <xf numFmtId="2" fontId="14" fillId="3" borderId="44" xfId="0" applyNumberFormat="1" applyFont="1" applyFill="1" applyBorder="1" applyAlignment="1">
      <alignment horizontal="center" vertical="center"/>
    </xf>
    <xf numFmtId="2" fontId="14" fillId="3" borderId="45" xfId="0" applyNumberFormat="1" applyFont="1" applyFill="1" applyBorder="1" applyAlignment="1">
      <alignment horizontal="center" vertical="center"/>
    </xf>
    <xf numFmtId="2" fontId="2" fillId="0" borderId="46" xfId="0" applyNumberFormat="1" applyFont="1" applyBorder="1" applyAlignment="1">
      <alignment horizontal="center" vertical="center"/>
    </xf>
    <xf numFmtId="2" fontId="9" fillId="0" borderId="47" xfId="0" applyNumberFormat="1" applyFont="1" applyBorder="1" applyAlignment="1">
      <alignment horizontal="center" vertical="center"/>
    </xf>
    <xf numFmtId="1" fontId="17" fillId="2" borderId="48" xfId="0" applyNumberFormat="1" applyFont="1" applyFill="1" applyBorder="1" applyAlignment="1">
      <alignment horizontal="center" vertical="center"/>
    </xf>
    <xf numFmtId="2" fontId="24" fillId="0" borderId="38" xfId="0" applyNumberFormat="1" applyFont="1" applyBorder="1" applyAlignment="1">
      <alignment horizontal="center" vertical="center"/>
    </xf>
    <xf numFmtId="1" fontId="19" fillId="2" borderId="48" xfId="0" applyNumberFormat="1" applyFont="1" applyFill="1" applyBorder="1" applyAlignment="1">
      <alignment horizontal="right" vertical="center"/>
    </xf>
    <xf numFmtId="2" fontId="20" fillId="0" borderId="49" xfId="0" applyNumberFormat="1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164" fontId="26" fillId="0" borderId="16" xfId="0" applyNumberFormat="1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1" fontId="12" fillId="0" borderId="51" xfId="0" applyNumberFormat="1" applyFont="1" applyBorder="1" applyAlignment="1">
      <alignment horizontal="right" vertical="center"/>
    </xf>
    <xf numFmtId="1" fontId="12" fillId="0" borderId="52" xfId="0" applyNumberFormat="1" applyFont="1" applyBorder="1" applyAlignment="1">
      <alignment horizontal="right" vertical="center"/>
    </xf>
    <xf numFmtId="1" fontId="12" fillId="0" borderId="53" xfId="0" applyNumberFormat="1" applyFont="1" applyBorder="1" applyAlignment="1">
      <alignment horizontal="center" vertical="center"/>
    </xf>
    <xf numFmtId="1" fontId="17" fillId="2" borderId="46" xfId="0" applyNumberFormat="1" applyFont="1" applyFill="1" applyBorder="1" applyAlignment="1">
      <alignment horizontal="center" vertical="center"/>
    </xf>
    <xf numFmtId="2" fontId="24" fillId="0" borderId="53" xfId="0" applyNumberFormat="1" applyFont="1" applyBorder="1" applyAlignment="1">
      <alignment horizontal="center" vertical="center"/>
    </xf>
    <xf numFmtId="1" fontId="19" fillId="2" borderId="46" xfId="0" applyNumberFormat="1" applyFont="1" applyFill="1" applyBorder="1" applyAlignment="1">
      <alignment horizontal="right" vertical="center"/>
    </xf>
    <xf numFmtId="2" fontId="20" fillId="0" borderId="47" xfId="0" applyNumberFormat="1" applyFont="1" applyBorder="1" applyAlignment="1">
      <alignment horizontal="center" vertical="center"/>
    </xf>
    <xf numFmtId="1" fontId="27" fillId="0" borderId="16" xfId="0" applyNumberFormat="1" applyFont="1" applyBorder="1" applyAlignment="1">
      <alignment horizontal="center" vertical="center"/>
    </xf>
    <xf numFmtId="165" fontId="28" fillId="0" borderId="16" xfId="0" applyNumberFormat="1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2" fontId="12" fillId="0" borderId="51" xfId="0" applyNumberFormat="1" applyFont="1" applyBorder="1" applyAlignment="1">
      <alignment horizontal="right" vertical="center"/>
    </xf>
    <xf numFmtId="2" fontId="12" fillId="0" borderId="52" xfId="0" applyNumberFormat="1" applyFont="1" applyBorder="1" applyAlignment="1">
      <alignment horizontal="right" vertical="center"/>
    </xf>
    <xf numFmtId="0" fontId="12" fillId="0" borderId="52" xfId="0" applyFont="1" applyBorder="1" applyAlignment="1">
      <alignment horizontal="right" vertical="center"/>
    </xf>
    <xf numFmtId="0" fontId="12" fillId="0" borderId="53" xfId="0" applyFont="1" applyBorder="1" applyAlignment="1">
      <alignment horizontal="center" vertical="center"/>
    </xf>
    <xf numFmtId="2" fontId="17" fillId="2" borderId="46" xfId="0" applyNumberFormat="1" applyFont="1" applyFill="1" applyBorder="1" applyAlignment="1">
      <alignment horizontal="center" vertical="center"/>
    </xf>
    <xf numFmtId="2" fontId="19" fillId="2" borderId="46" xfId="0" applyNumberFormat="1" applyFont="1" applyFill="1" applyBorder="1" applyAlignment="1">
      <alignment horizontal="right" vertical="center"/>
    </xf>
    <xf numFmtId="0" fontId="7" fillId="0" borderId="54" xfId="0" applyFont="1" applyBorder="1" applyAlignment="1">
      <alignment horizontal="center" vertical="center"/>
    </xf>
    <xf numFmtId="2" fontId="12" fillId="0" borderId="55" xfId="0" applyNumberFormat="1" applyFont="1" applyBorder="1" applyAlignment="1">
      <alignment horizontal="right" vertical="center"/>
    </xf>
    <xf numFmtId="2" fontId="12" fillId="0" borderId="56" xfId="0" applyNumberFormat="1" applyFont="1" applyBorder="1" applyAlignment="1">
      <alignment horizontal="right" vertical="center"/>
    </xf>
    <xf numFmtId="0" fontId="12" fillId="0" borderId="56" xfId="0" applyFont="1" applyBorder="1" applyAlignment="1">
      <alignment horizontal="right" vertical="center"/>
    </xf>
    <xf numFmtId="0" fontId="12" fillId="0" borderId="57" xfId="0" applyFont="1" applyBorder="1" applyAlignment="1">
      <alignment horizontal="center" vertical="center"/>
    </xf>
    <xf numFmtId="165" fontId="17" fillId="2" borderId="58" xfId="0" applyNumberFormat="1" applyFont="1" applyFill="1" applyBorder="1" applyAlignment="1">
      <alignment horizontal="center" vertical="center"/>
    </xf>
    <xf numFmtId="2" fontId="24" fillId="0" borderId="57" xfId="0" applyNumberFormat="1" applyFont="1" applyBorder="1" applyAlignment="1">
      <alignment horizontal="center" vertical="center"/>
    </xf>
    <xf numFmtId="165" fontId="19" fillId="2" borderId="58" xfId="0" applyNumberFormat="1" applyFont="1" applyFill="1" applyBorder="1" applyAlignment="1">
      <alignment horizontal="right" vertical="center"/>
    </xf>
    <xf numFmtId="2" fontId="20" fillId="0" borderId="59" xfId="0" applyNumberFormat="1" applyFont="1" applyBorder="1" applyAlignment="1">
      <alignment horizontal="center" vertical="center"/>
    </xf>
    <xf numFmtId="2" fontId="27" fillId="0" borderId="16" xfId="0" applyNumberFormat="1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2" fontId="12" fillId="0" borderId="61" xfId="0" applyNumberFormat="1" applyFont="1" applyBorder="1" applyAlignment="1">
      <alignment horizontal="right" vertical="center"/>
    </xf>
    <xf numFmtId="2" fontId="12" fillId="0" borderId="62" xfId="0" applyNumberFormat="1" applyFont="1" applyBorder="1" applyAlignment="1">
      <alignment horizontal="right" vertical="center"/>
    </xf>
    <xf numFmtId="0" fontId="12" fillId="0" borderId="62" xfId="0" applyFont="1" applyBorder="1" applyAlignment="1">
      <alignment horizontal="right" vertical="center"/>
    </xf>
    <xf numFmtId="0" fontId="12" fillId="0" borderId="63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165" fontId="17" fillId="2" borderId="64" xfId="0" applyNumberFormat="1" applyFont="1" applyFill="1" applyBorder="1" applyAlignment="1">
      <alignment horizontal="center" vertical="center"/>
    </xf>
    <xf numFmtId="2" fontId="18" fillId="0" borderId="63" xfId="0" applyNumberFormat="1" applyFont="1" applyBorder="1" applyAlignment="1">
      <alignment horizontal="center" vertical="center"/>
    </xf>
    <xf numFmtId="165" fontId="19" fillId="2" borderId="64" xfId="0" applyNumberFormat="1" applyFont="1" applyFill="1" applyBorder="1" applyAlignment="1">
      <alignment horizontal="right" vertical="center"/>
    </xf>
    <xf numFmtId="2" fontId="20" fillId="0" borderId="65" xfId="0" applyNumberFormat="1" applyFont="1" applyBorder="1" applyAlignment="1">
      <alignment horizontal="center" vertical="center"/>
    </xf>
    <xf numFmtId="165" fontId="27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2" fontId="26" fillId="0" borderId="16" xfId="0" applyNumberFormat="1" applyFont="1" applyBorder="1" applyAlignment="1">
      <alignment horizontal="center" vertical="center"/>
    </xf>
    <xf numFmtId="2" fontId="30" fillId="3" borderId="42" xfId="0" applyNumberFormat="1" applyFont="1" applyFill="1" applyBorder="1" applyAlignment="1">
      <alignment horizontal="center" vertical="center"/>
    </xf>
    <xf numFmtId="0" fontId="1" fillId="0" borderId="66" xfId="0" applyFont="1" applyBorder="1" applyAlignment="1">
      <alignment vertical="center"/>
    </xf>
    <xf numFmtId="2" fontId="10" fillId="0" borderId="68" xfId="0" applyNumberFormat="1" applyFont="1" applyBorder="1" applyAlignment="1">
      <alignment horizontal="center" vertical="center"/>
    </xf>
    <xf numFmtId="2" fontId="31" fillId="0" borderId="68" xfId="0" applyNumberFormat="1" applyFont="1" applyBorder="1" applyAlignment="1">
      <alignment horizontal="center" vertical="center"/>
    </xf>
    <xf numFmtId="0" fontId="2" fillId="0" borderId="69" xfId="0" applyFont="1" applyBorder="1" applyAlignment="1">
      <alignment horizontal="left" vertical="center"/>
    </xf>
    <xf numFmtId="0" fontId="7" fillId="4" borderId="14" xfId="0" applyFont="1" applyFill="1" applyBorder="1" applyAlignment="1">
      <alignment horizontal="right" vertical="center"/>
    </xf>
    <xf numFmtId="0" fontId="7" fillId="4" borderId="70" xfId="0" applyFont="1" applyFill="1" applyBorder="1" applyAlignment="1">
      <alignment horizontal="right" vertical="center"/>
    </xf>
    <xf numFmtId="49" fontId="31" fillId="2" borderId="15" xfId="0" applyNumberFormat="1" applyFont="1" applyFill="1" applyBorder="1" applyAlignment="1">
      <alignment horizontal="center" vertical="center"/>
    </xf>
    <xf numFmtId="0" fontId="13" fillId="0" borderId="71" xfId="0" applyFont="1" applyBorder="1" applyAlignment="1">
      <alignment horizontal="center" vertical="center"/>
    </xf>
    <xf numFmtId="2" fontId="14" fillId="3" borderId="71" xfId="0" applyNumberFormat="1" applyFont="1" applyFill="1" applyBorder="1" applyAlignment="1">
      <alignment horizontal="center" vertical="center"/>
    </xf>
    <xf numFmtId="2" fontId="14" fillId="3" borderId="72" xfId="0" applyNumberFormat="1" applyFont="1" applyFill="1" applyBorder="1" applyAlignment="1">
      <alignment horizontal="center" vertical="center"/>
    </xf>
    <xf numFmtId="2" fontId="15" fillId="3" borderId="73" xfId="0" applyNumberFormat="1" applyFont="1" applyFill="1" applyBorder="1" applyAlignment="1">
      <alignment horizontal="center" vertical="center"/>
    </xf>
    <xf numFmtId="2" fontId="15" fillId="3" borderId="74" xfId="0" applyNumberFormat="1" applyFont="1" applyFill="1" applyBorder="1" applyAlignment="1">
      <alignment horizontal="center" vertical="center"/>
    </xf>
    <xf numFmtId="2" fontId="15" fillId="3" borderId="75" xfId="0" applyNumberFormat="1" applyFont="1" applyFill="1" applyBorder="1" applyAlignment="1">
      <alignment horizontal="center" vertical="center"/>
    </xf>
    <xf numFmtId="2" fontId="14" fillId="3" borderId="76" xfId="0" applyNumberFormat="1" applyFont="1" applyFill="1" applyBorder="1" applyAlignment="1">
      <alignment horizontal="center" vertical="center"/>
    </xf>
    <xf numFmtId="2" fontId="14" fillId="3" borderId="77" xfId="0" applyNumberFormat="1" applyFont="1" applyFill="1" applyBorder="1" applyAlignment="1">
      <alignment horizontal="center" vertical="center"/>
    </xf>
    <xf numFmtId="2" fontId="2" fillId="0" borderId="78" xfId="0" applyNumberFormat="1" applyFont="1" applyBorder="1" applyAlignment="1">
      <alignment horizontal="center" vertical="center"/>
    </xf>
    <xf numFmtId="2" fontId="9" fillId="0" borderId="79" xfId="0" applyNumberFormat="1" applyFont="1" applyBorder="1" applyAlignment="1">
      <alignment horizontal="center" vertical="center"/>
    </xf>
    <xf numFmtId="2" fontId="33" fillId="0" borderId="81" xfId="0" applyNumberFormat="1" applyFont="1" applyBorder="1" applyAlignment="1">
      <alignment horizontal="center" vertical="center"/>
    </xf>
    <xf numFmtId="2" fontId="35" fillId="0" borderId="81" xfId="0" applyNumberFormat="1" applyFont="1" applyBorder="1" applyAlignment="1">
      <alignment horizontal="center" vertical="center"/>
    </xf>
    <xf numFmtId="0" fontId="2" fillId="0" borderId="82" xfId="0" applyFont="1" applyBorder="1" applyAlignment="1">
      <alignment horizontal="left" vertical="center"/>
    </xf>
    <xf numFmtId="0" fontId="12" fillId="2" borderId="32" xfId="0" applyFont="1" applyFill="1" applyBorder="1" applyAlignment="1">
      <alignment horizontal="right" vertical="center"/>
    </xf>
    <xf numFmtId="2" fontId="12" fillId="0" borderId="83" xfId="0" applyNumberFormat="1" applyFont="1" applyBorder="1" applyAlignment="1">
      <alignment horizontal="right" vertical="center"/>
    </xf>
    <xf numFmtId="2" fontId="31" fillId="0" borderId="4" xfId="0" applyNumberFormat="1" applyFont="1" applyBorder="1" applyAlignment="1">
      <alignment horizontal="right" vertical="center"/>
    </xf>
    <xf numFmtId="164" fontId="36" fillId="4" borderId="33" xfId="0" applyNumberFormat="1" applyFont="1" applyFill="1" applyBorder="1" applyAlignment="1">
      <alignment horizontal="right" vertical="center"/>
    </xf>
    <xf numFmtId="164" fontId="12" fillId="4" borderId="84" xfId="0" applyNumberFormat="1" applyFont="1" applyFill="1" applyBorder="1" applyAlignment="1">
      <alignment horizontal="right" vertical="center"/>
    </xf>
    <xf numFmtId="164" fontId="12" fillId="2" borderId="68" xfId="0" applyNumberFormat="1" applyFont="1" applyFill="1" applyBorder="1" applyAlignment="1">
      <alignment horizontal="right" vertical="center"/>
    </xf>
    <xf numFmtId="0" fontId="37" fillId="0" borderId="0" xfId="0" applyFont="1" applyAlignment="1">
      <alignment vertical="center"/>
    </xf>
    <xf numFmtId="2" fontId="12" fillId="2" borderId="35" xfId="0" applyNumberFormat="1" applyFont="1" applyFill="1" applyBorder="1" applyAlignment="1">
      <alignment horizontal="right" vertical="center"/>
    </xf>
    <xf numFmtId="1" fontId="31" fillId="0" borderId="38" xfId="0" applyNumberFormat="1" applyFont="1" applyBorder="1" applyAlignment="1">
      <alignment horizontal="right" vertical="center"/>
    </xf>
    <xf numFmtId="1" fontId="36" fillId="4" borderId="85" xfId="0" applyNumberFormat="1" applyFont="1" applyFill="1" applyBorder="1" applyAlignment="1">
      <alignment horizontal="right" vertical="center"/>
    </xf>
    <xf numFmtId="1" fontId="12" fillId="4" borderId="86" xfId="0" applyNumberFormat="1" applyFont="1" applyFill="1" applyBorder="1" applyAlignment="1">
      <alignment horizontal="right" vertical="center"/>
    </xf>
    <xf numFmtId="2" fontId="12" fillId="2" borderId="87" xfId="0" applyNumberFormat="1" applyFont="1" applyFill="1" applyBorder="1" applyAlignment="1">
      <alignment horizontal="right" vertical="center"/>
    </xf>
    <xf numFmtId="0" fontId="38" fillId="0" borderId="5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10" fontId="42" fillId="0" borderId="22" xfId="0" applyNumberFormat="1" applyFont="1" applyBorder="1" applyAlignment="1">
      <alignment vertical="center"/>
    </xf>
    <xf numFmtId="2" fontId="43" fillId="0" borderId="88" xfId="0" applyNumberFormat="1" applyFont="1" applyBorder="1" applyAlignment="1">
      <alignment horizontal="center" vertical="center"/>
    </xf>
    <xf numFmtId="10" fontId="42" fillId="0" borderId="27" xfId="0" applyNumberFormat="1" applyFont="1" applyBorder="1" applyAlignment="1">
      <alignment vertical="center"/>
    </xf>
    <xf numFmtId="2" fontId="43" fillId="0" borderId="27" xfId="0" applyNumberFormat="1" applyFont="1" applyBorder="1" applyAlignment="1">
      <alignment horizontal="center" vertical="center"/>
    </xf>
    <xf numFmtId="2" fontId="12" fillId="2" borderId="50" xfId="0" applyNumberFormat="1" applyFont="1" applyFill="1" applyBorder="1" applyAlignment="1">
      <alignment horizontal="right" vertical="center"/>
    </xf>
    <xf numFmtId="1" fontId="31" fillId="0" borderId="53" xfId="0" applyNumberFormat="1" applyFont="1" applyBorder="1" applyAlignment="1">
      <alignment horizontal="right" vertical="center"/>
    </xf>
    <xf numFmtId="1" fontId="36" fillId="4" borderId="89" xfId="0" applyNumberFormat="1" applyFont="1" applyFill="1" applyBorder="1" applyAlignment="1">
      <alignment horizontal="right" vertical="center"/>
    </xf>
    <xf numFmtId="1" fontId="12" fillId="4" borderId="90" xfId="0" applyNumberFormat="1" applyFont="1" applyFill="1" applyBorder="1" applyAlignment="1">
      <alignment horizontal="right" vertical="center"/>
    </xf>
    <xf numFmtId="2" fontId="12" fillId="2" borderId="47" xfId="0" applyNumberFormat="1" applyFont="1" applyFill="1" applyBorder="1" applyAlignment="1">
      <alignment horizontal="right" vertical="center"/>
    </xf>
    <xf numFmtId="0" fontId="20" fillId="0" borderId="22" xfId="0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0" borderId="27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44" fillId="0" borderId="9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2" fontId="33" fillId="0" borderId="30" xfId="0" applyNumberFormat="1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0" fontId="42" fillId="0" borderId="39" xfId="0" applyNumberFormat="1" applyFont="1" applyBorder="1" applyAlignment="1">
      <alignment vertical="center"/>
    </xf>
    <xf numFmtId="2" fontId="43" fillId="0" borderId="92" xfId="0" applyNumberFormat="1" applyFont="1" applyBorder="1" applyAlignment="1">
      <alignment horizontal="center" vertical="center"/>
    </xf>
    <xf numFmtId="10" fontId="42" fillId="0" borderId="44" xfId="0" applyNumberFormat="1" applyFont="1" applyBorder="1" applyAlignment="1">
      <alignment vertical="center"/>
    </xf>
    <xf numFmtId="2" fontId="43" fillId="0" borderId="44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/>
    </xf>
    <xf numFmtId="1" fontId="49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6" fillId="0" borderId="0" xfId="0" applyFont="1" applyAlignment="1">
      <alignment horizontal="left" vertical="center"/>
    </xf>
    <xf numFmtId="2" fontId="36" fillId="4" borderId="89" xfId="0" applyNumberFormat="1" applyFont="1" applyFill="1" applyBorder="1" applyAlignment="1">
      <alignment horizontal="right" vertical="center"/>
    </xf>
    <xf numFmtId="2" fontId="12" fillId="4" borderId="90" xfId="0" applyNumberFormat="1" applyFont="1" applyFill="1" applyBorder="1" applyAlignment="1">
      <alignment horizontal="right" vertical="center"/>
    </xf>
    <xf numFmtId="0" fontId="20" fillId="0" borderId="39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0" fontId="45" fillId="0" borderId="44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44" fillId="0" borderId="93" xfId="0" applyFont="1" applyBorder="1" applyAlignment="1">
      <alignment horizontal="center" vertical="center"/>
    </xf>
    <xf numFmtId="2" fontId="33" fillId="0" borderId="46" xfId="0" applyNumberFormat="1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166" fontId="46" fillId="0" borderId="0" xfId="0" applyNumberFormat="1" applyFont="1" applyAlignment="1">
      <alignment horizontal="left" vertical="center"/>
    </xf>
    <xf numFmtId="2" fontId="12" fillId="2" borderId="54" xfId="0" applyNumberFormat="1" applyFont="1" applyFill="1" applyBorder="1" applyAlignment="1">
      <alignment horizontal="right" vertical="center"/>
    </xf>
    <xf numFmtId="2" fontId="31" fillId="0" borderId="57" xfId="0" applyNumberFormat="1" applyFont="1" applyBorder="1" applyAlignment="1">
      <alignment horizontal="right" vertical="center"/>
    </xf>
    <xf numFmtId="165" fontId="36" fillId="4" borderId="94" xfId="0" applyNumberFormat="1" applyFont="1" applyFill="1" applyBorder="1" applyAlignment="1">
      <alignment horizontal="right" vertical="center"/>
    </xf>
    <xf numFmtId="165" fontId="12" fillId="4" borderId="95" xfId="0" applyNumberFormat="1" applyFont="1" applyFill="1" applyBorder="1" applyAlignment="1">
      <alignment horizontal="right" vertical="center"/>
    </xf>
    <xf numFmtId="2" fontId="12" fillId="2" borderId="96" xfId="0" applyNumberFormat="1" applyFont="1" applyFill="1" applyBorder="1" applyAlignment="1">
      <alignment horizontal="right" vertical="center"/>
    </xf>
    <xf numFmtId="0" fontId="50" fillId="0" borderId="16" xfId="0" applyFont="1" applyBorder="1" applyAlignment="1">
      <alignment horizontal="center" vertical="center"/>
    </xf>
    <xf numFmtId="165" fontId="47" fillId="0" borderId="16" xfId="0" applyNumberFormat="1" applyFont="1" applyBorder="1" applyAlignment="1">
      <alignment horizontal="center" vertical="center"/>
    </xf>
    <xf numFmtId="0" fontId="5" fillId="0" borderId="0" xfId="0" applyFont="1"/>
    <xf numFmtId="2" fontId="12" fillId="2" borderId="60" xfId="0" applyNumberFormat="1" applyFont="1" applyFill="1" applyBorder="1" applyAlignment="1">
      <alignment horizontal="right" vertical="center"/>
    </xf>
    <xf numFmtId="2" fontId="12" fillId="0" borderId="97" xfId="0" applyNumberFormat="1" applyFont="1" applyBorder="1" applyAlignment="1">
      <alignment horizontal="right" vertical="center"/>
    </xf>
    <xf numFmtId="2" fontId="31" fillId="0" borderId="63" xfId="0" applyNumberFormat="1" applyFont="1" applyBorder="1" applyAlignment="1">
      <alignment horizontal="right" vertical="center"/>
    </xf>
    <xf numFmtId="165" fontId="36" fillId="4" borderId="64" xfId="0" applyNumberFormat="1" applyFont="1" applyFill="1" applyBorder="1" applyAlignment="1">
      <alignment horizontal="right" vertical="center"/>
    </xf>
    <xf numFmtId="165" fontId="12" fillId="4" borderId="98" xfId="0" applyNumberFormat="1" applyFont="1" applyFill="1" applyBorder="1" applyAlignment="1">
      <alignment horizontal="right" vertical="center"/>
    </xf>
    <xf numFmtId="2" fontId="12" fillId="2" borderId="81" xfId="0" applyNumberFormat="1" applyFont="1" applyFill="1" applyBorder="1" applyAlignment="1">
      <alignment horizontal="right" vertical="center"/>
    </xf>
    <xf numFmtId="0" fontId="51" fillId="0" borderId="0" xfId="0" applyFont="1" applyAlignment="1">
      <alignment horizontal="right" vertical="center"/>
    </xf>
    <xf numFmtId="0" fontId="51" fillId="0" borderId="0" xfId="0" applyFont="1" applyAlignment="1">
      <alignment horizontal="center" vertical="center"/>
    </xf>
    <xf numFmtId="10" fontId="42" fillId="0" borderId="99" xfId="0" applyNumberFormat="1" applyFont="1" applyBorder="1" applyAlignment="1">
      <alignment vertical="center"/>
    </xf>
    <xf numFmtId="2" fontId="43" fillId="0" borderId="100" xfId="0" applyNumberFormat="1" applyFont="1" applyBorder="1" applyAlignment="1">
      <alignment horizontal="center" vertical="center"/>
    </xf>
    <xf numFmtId="10" fontId="42" fillId="0" borderId="101" xfId="0" applyNumberFormat="1" applyFont="1" applyBorder="1" applyAlignment="1">
      <alignment vertical="center"/>
    </xf>
    <xf numFmtId="2" fontId="43" fillId="0" borderId="101" xfId="0" applyNumberFormat="1" applyFont="1" applyBorder="1" applyAlignment="1">
      <alignment horizontal="center" vertical="center"/>
    </xf>
    <xf numFmtId="165" fontId="49" fillId="0" borderId="0" xfId="0" applyNumberFormat="1" applyFont="1" applyAlignment="1">
      <alignment horizontal="center" vertical="center"/>
    </xf>
    <xf numFmtId="0" fontId="0" fillId="0" borderId="12" xfId="0" applyBorder="1"/>
    <xf numFmtId="0" fontId="53" fillId="0" borderId="0" xfId="0" applyFont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164" fontId="36" fillId="2" borderId="102" xfId="0" applyNumberFormat="1" applyFont="1" applyFill="1" applyBorder="1" applyAlignment="1">
      <alignment horizontal="right" vertical="center"/>
    </xf>
    <xf numFmtId="2" fontId="54" fillId="0" borderId="83" xfId="0" applyNumberFormat="1" applyFont="1" applyBorder="1" applyAlignment="1">
      <alignment horizontal="right" vertical="center"/>
    </xf>
    <xf numFmtId="2" fontId="55" fillId="2" borderId="103" xfId="0" applyNumberFormat="1" applyFont="1" applyFill="1" applyBorder="1" applyAlignment="1">
      <alignment horizontal="right" vertical="center"/>
    </xf>
    <xf numFmtId="0" fontId="31" fillId="0" borderId="104" xfId="0" applyFont="1" applyBorder="1" applyAlignment="1">
      <alignment horizontal="right" vertical="center"/>
    </xf>
    <xf numFmtId="0" fontId="1" fillId="0" borderId="66" xfId="0" applyFont="1" applyBorder="1" applyAlignment="1">
      <alignment horizontal="center" vertical="center"/>
    </xf>
    <xf numFmtId="2" fontId="36" fillId="2" borderId="105" xfId="0" applyNumberFormat="1" applyFont="1" applyFill="1" applyBorder="1" applyAlignment="1">
      <alignment horizontal="right" vertical="center"/>
    </xf>
    <xf numFmtId="1" fontId="54" fillId="0" borderId="36" xfId="0" applyNumberFormat="1" applyFont="1" applyBorder="1" applyAlignment="1">
      <alignment horizontal="right" vertical="center"/>
    </xf>
    <xf numFmtId="2" fontId="55" fillId="2" borderId="106" xfId="0" applyNumberFormat="1" applyFont="1" applyFill="1" applyBorder="1" applyAlignment="1">
      <alignment horizontal="right" vertical="center"/>
    </xf>
    <xf numFmtId="0" fontId="31" fillId="0" borderId="107" xfId="0" applyFont="1" applyBorder="1" applyAlignment="1">
      <alignment horizontal="right" vertical="center"/>
    </xf>
    <xf numFmtId="0" fontId="20" fillId="0" borderId="71" xfId="0" applyFont="1" applyBorder="1" applyAlignment="1">
      <alignment horizontal="center" vertical="center"/>
    </xf>
    <xf numFmtId="0" fontId="44" fillId="0" borderId="71" xfId="0" applyFont="1" applyBorder="1" applyAlignment="1">
      <alignment horizontal="center" vertical="center"/>
    </xf>
    <xf numFmtId="0" fontId="36" fillId="0" borderId="72" xfId="0" applyFont="1" applyBorder="1" applyAlignment="1">
      <alignment horizontal="center" vertical="center"/>
    </xf>
    <xf numFmtId="0" fontId="45" fillId="0" borderId="77" xfId="0" applyFont="1" applyBorder="1" applyAlignment="1">
      <alignment horizontal="center" vertical="center"/>
    </xf>
    <xf numFmtId="0" fontId="45" fillId="0" borderId="76" xfId="0" applyFont="1" applyBorder="1" applyAlignment="1">
      <alignment horizontal="center" vertical="center"/>
    </xf>
    <xf numFmtId="0" fontId="36" fillId="0" borderId="76" xfId="0" applyFont="1" applyBorder="1" applyAlignment="1">
      <alignment horizontal="center" vertical="center"/>
    </xf>
    <xf numFmtId="0" fontId="44" fillId="0" borderId="108" xfId="0" applyFont="1" applyBorder="1" applyAlignment="1">
      <alignment horizontal="center" vertical="center"/>
    </xf>
    <xf numFmtId="2" fontId="49" fillId="0" borderId="0" xfId="0" applyNumberFormat="1" applyFont="1" applyAlignment="1">
      <alignment horizontal="center" vertical="center"/>
    </xf>
    <xf numFmtId="2" fontId="36" fillId="2" borderId="109" xfId="0" applyNumberFormat="1" applyFont="1" applyFill="1" applyBorder="1" applyAlignment="1">
      <alignment horizontal="right" vertical="center"/>
    </xf>
    <xf numFmtId="1" fontId="54" fillId="0" borderId="51" xfId="0" applyNumberFormat="1" applyFont="1" applyBorder="1" applyAlignment="1">
      <alignment horizontal="right" vertical="center"/>
    </xf>
    <xf numFmtId="2" fontId="55" fillId="2" borderId="110" xfId="0" applyNumberFormat="1" applyFont="1" applyFill="1" applyBorder="1" applyAlignment="1">
      <alignment horizontal="right" vertical="center"/>
    </xf>
    <xf numFmtId="0" fontId="2" fillId="0" borderId="0" xfId="0" applyFont="1"/>
    <xf numFmtId="2" fontId="54" fillId="0" borderId="51" xfId="0" applyNumberFormat="1" applyFont="1" applyBorder="1" applyAlignment="1">
      <alignment horizontal="right" vertical="center"/>
    </xf>
    <xf numFmtId="0" fontId="56" fillId="0" borderId="5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2" fontId="36" fillId="2" borderId="111" xfId="0" applyNumberFormat="1" applyFont="1" applyFill="1" applyBorder="1" applyAlignment="1">
      <alignment horizontal="right" vertical="center"/>
    </xf>
    <xf numFmtId="2" fontId="54" fillId="0" borderId="55" xfId="0" applyNumberFormat="1" applyFont="1" applyBorder="1" applyAlignment="1">
      <alignment horizontal="right" vertical="center"/>
    </xf>
    <xf numFmtId="2" fontId="55" fillId="2" borderId="112" xfId="0" applyNumberFormat="1" applyFont="1" applyFill="1" applyBorder="1" applyAlignment="1">
      <alignment horizontal="right" vertical="center"/>
    </xf>
    <xf numFmtId="0" fontId="60" fillId="0" borderId="22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2" fillId="0" borderId="28" xfId="0" applyFont="1" applyBorder="1" applyAlignment="1">
      <alignment horizontal="center" vertical="center"/>
    </xf>
    <xf numFmtId="0" fontId="62" fillId="0" borderId="27" xfId="0" applyFont="1" applyBorder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0" fontId="60" fillId="0" borderId="91" xfId="0" applyFont="1" applyBorder="1" applyAlignment="1">
      <alignment horizontal="center" vertical="center"/>
    </xf>
    <xf numFmtId="10" fontId="42" fillId="0" borderId="71" xfId="0" applyNumberFormat="1" applyFont="1" applyBorder="1" applyAlignment="1">
      <alignment vertical="center"/>
    </xf>
    <xf numFmtId="2" fontId="43" fillId="0" borderId="113" xfId="0" applyNumberFormat="1" applyFont="1" applyBorder="1" applyAlignment="1">
      <alignment horizontal="center" vertical="center"/>
    </xf>
    <xf numFmtId="10" fontId="42" fillId="0" borderId="76" xfId="0" applyNumberFormat="1" applyFont="1" applyBorder="1" applyAlignment="1">
      <alignment vertical="center"/>
    </xf>
    <xf numFmtId="2" fontId="43" fillId="0" borderId="76" xfId="0" applyNumberFormat="1" applyFont="1" applyBorder="1" applyAlignment="1">
      <alignment horizontal="center" vertical="center"/>
    </xf>
    <xf numFmtId="2" fontId="36" fillId="2" borderId="114" xfId="0" applyNumberFormat="1" applyFont="1" applyFill="1" applyBorder="1" applyAlignment="1">
      <alignment horizontal="right" vertical="center"/>
    </xf>
    <xf numFmtId="2" fontId="54" fillId="0" borderId="97" xfId="0" applyNumberFormat="1" applyFont="1" applyBorder="1" applyAlignment="1">
      <alignment horizontal="right" vertical="center"/>
    </xf>
    <xf numFmtId="2" fontId="55" fillId="2" borderId="115" xfId="0" applyNumberFormat="1" applyFont="1" applyFill="1" applyBorder="1" applyAlignment="1">
      <alignment horizontal="right" vertical="center"/>
    </xf>
    <xf numFmtId="0" fontId="31" fillId="0" borderId="116" xfId="0" applyFont="1" applyBorder="1" applyAlignment="1">
      <alignment horizontal="right" vertical="center"/>
    </xf>
    <xf numFmtId="0" fontId="60" fillId="0" borderId="39" xfId="0" applyFont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5" xfId="0" applyFont="1" applyBorder="1" applyAlignment="1">
      <alignment horizontal="center" vertical="center"/>
    </xf>
    <xf numFmtId="0" fontId="62" fillId="0" borderId="44" xfId="0" applyFont="1" applyBorder="1" applyAlignment="1">
      <alignment horizontal="center" vertical="center"/>
    </xf>
    <xf numFmtId="0" fontId="61" fillId="0" borderId="44" xfId="0" applyFont="1" applyBorder="1" applyAlignment="1">
      <alignment horizontal="center" vertical="center"/>
    </xf>
    <xf numFmtId="0" fontId="60" fillId="0" borderId="9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0" fontId="23" fillId="5" borderId="14" xfId="0" applyFont="1" applyFill="1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2" fontId="63" fillId="0" borderId="33" xfId="0" applyNumberFormat="1" applyFont="1" applyBorder="1" applyAlignment="1">
      <alignment horizontal="center" vertical="center"/>
    </xf>
    <xf numFmtId="2" fontId="63" fillId="0" borderId="84" xfId="0" applyNumberFormat="1" applyFont="1" applyBorder="1" applyAlignment="1">
      <alignment horizontal="center" vertical="center"/>
    </xf>
    <xf numFmtId="2" fontId="63" fillId="5" borderId="33" xfId="0" applyNumberFormat="1" applyFont="1" applyFill="1" applyBorder="1" applyAlignment="1">
      <alignment horizontal="center" vertical="center"/>
    </xf>
    <xf numFmtId="2" fontId="63" fillId="5" borderId="34" xfId="0" applyNumberFormat="1" applyFont="1" applyFill="1" applyBorder="1" applyAlignment="1">
      <alignment horizontal="center" vertical="center"/>
    </xf>
    <xf numFmtId="2" fontId="22" fillId="0" borderId="48" xfId="0" applyNumberFormat="1" applyFont="1" applyBorder="1" applyAlignment="1">
      <alignment horizontal="center" vertical="center"/>
    </xf>
    <xf numFmtId="2" fontId="22" fillId="0" borderId="117" xfId="0" applyNumberFormat="1" applyFont="1" applyBorder="1" applyAlignment="1">
      <alignment horizontal="center" vertical="center"/>
    </xf>
    <xf numFmtId="2" fontId="22" fillId="5" borderId="48" xfId="0" applyNumberFormat="1" applyFont="1" applyFill="1" applyBorder="1" applyAlignment="1">
      <alignment horizontal="center" vertical="center"/>
    </xf>
    <xf numFmtId="2" fontId="22" fillId="5" borderId="49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left"/>
    </xf>
    <xf numFmtId="0" fontId="51" fillId="0" borderId="0" xfId="0" applyFont="1"/>
    <xf numFmtId="0" fontId="51" fillId="0" borderId="0" xfId="0" applyFont="1" applyAlignment="1">
      <alignment horizontal="center"/>
    </xf>
    <xf numFmtId="164" fontId="12" fillId="2" borderId="102" xfId="0" applyNumberFormat="1" applyFont="1" applyFill="1" applyBorder="1" applyAlignment="1">
      <alignment horizontal="right" vertical="center"/>
    </xf>
    <xf numFmtId="2" fontId="33" fillId="0" borderId="78" xfId="0" applyNumberFormat="1" applyFont="1" applyBorder="1" applyAlignment="1">
      <alignment horizontal="center" vertical="center"/>
    </xf>
    <xf numFmtId="0" fontId="33" fillId="0" borderId="79" xfId="0" applyFont="1" applyBorder="1" applyAlignment="1">
      <alignment horizontal="center" vertical="center"/>
    </xf>
    <xf numFmtId="2" fontId="22" fillId="0" borderId="46" xfId="0" applyNumberFormat="1" applyFont="1" applyBorder="1" applyAlignment="1">
      <alignment horizontal="center" vertical="center"/>
    </xf>
    <xf numFmtId="2" fontId="22" fillId="0" borderId="118" xfId="0" applyNumberFormat="1" applyFont="1" applyBorder="1" applyAlignment="1">
      <alignment horizontal="center" vertical="center"/>
    </xf>
    <xf numFmtId="2" fontId="22" fillId="5" borderId="46" xfId="0" applyNumberFormat="1" applyFont="1" applyFill="1" applyBorder="1" applyAlignment="1">
      <alignment horizontal="center" vertical="center"/>
    </xf>
    <xf numFmtId="2" fontId="22" fillId="5" borderId="47" xfId="0" applyNumberFormat="1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2" fontId="12" fillId="2" borderId="105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2" fontId="46" fillId="0" borderId="16" xfId="0" applyNumberFormat="1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2" fontId="12" fillId="2" borderId="109" xfId="0" applyNumberFormat="1" applyFont="1" applyFill="1" applyBorder="1" applyAlignment="1">
      <alignment horizontal="right" vertical="center"/>
    </xf>
    <xf numFmtId="0" fontId="64" fillId="0" borderId="0" xfId="0" applyFont="1" applyAlignment="1">
      <alignment vertical="center"/>
    </xf>
    <xf numFmtId="2" fontId="22" fillId="0" borderId="58" xfId="0" applyNumberFormat="1" applyFont="1" applyBorder="1" applyAlignment="1">
      <alignment horizontal="center" vertical="center"/>
    </xf>
    <xf numFmtId="2" fontId="22" fillId="0" borderId="119" xfId="0" applyNumberFormat="1" applyFont="1" applyBorder="1" applyAlignment="1">
      <alignment horizontal="center" vertical="center"/>
    </xf>
    <xf numFmtId="2" fontId="22" fillId="5" borderId="58" xfId="0" applyNumberFormat="1" applyFont="1" applyFill="1" applyBorder="1" applyAlignment="1">
      <alignment horizontal="center" vertical="center"/>
    </xf>
    <xf numFmtId="2" fontId="22" fillId="5" borderId="59" xfId="0" applyNumberFormat="1" applyFont="1" applyFill="1" applyBorder="1" applyAlignment="1">
      <alignment horizontal="center" vertical="center"/>
    </xf>
    <xf numFmtId="0" fontId="65" fillId="0" borderId="16" xfId="0" applyFont="1" applyBorder="1" applyAlignment="1">
      <alignment horizontal="center" vertical="center"/>
    </xf>
    <xf numFmtId="0" fontId="60" fillId="0" borderId="71" xfId="0" applyFont="1" applyBorder="1" applyAlignment="1">
      <alignment horizontal="center" vertical="center"/>
    </xf>
    <xf numFmtId="0" fontId="61" fillId="0" borderId="72" xfId="0" applyFont="1" applyBorder="1" applyAlignment="1">
      <alignment horizontal="center" vertical="center"/>
    </xf>
    <xf numFmtId="0" fontId="62" fillId="0" borderId="77" xfId="0" applyFont="1" applyBorder="1" applyAlignment="1">
      <alignment horizontal="center" vertical="center"/>
    </xf>
    <xf numFmtId="0" fontId="62" fillId="0" borderId="76" xfId="0" applyFont="1" applyBorder="1" applyAlignment="1">
      <alignment horizontal="center" vertical="center"/>
    </xf>
    <xf numFmtId="0" fontId="61" fillId="0" borderId="76" xfId="0" applyFont="1" applyBorder="1" applyAlignment="1">
      <alignment horizontal="center" vertical="center"/>
    </xf>
    <xf numFmtId="0" fontId="60" fillId="0" borderId="108" xfId="0" applyFont="1" applyBorder="1" applyAlignment="1">
      <alignment horizontal="center" vertical="center"/>
    </xf>
    <xf numFmtId="2" fontId="63" fillId="0" borderId="64" xfId="0" applyNumberFormat="1" applyFont="1" applyBorder="1" applyAlignment="1">
      <alignment horizontal="center" vertical="center"/>
    </xf>
    <xf numFmtId="2" fontId="63" fillId="0" borderId="98" xfId="0" applyNumberFormat="1" applyFont="1" applyBorder="1" applyAlignment="1">
      <alignment horizontal="center" vertical="center"/>
    </xf>
    <xf numFmtId="2" fontId="63" fillId="5" borderId="64" xfId="0" applyNumberFormat="1" applyFont="1" applyFill="1" applyBorder="1" applyAlignment="1">
      <alignment horizontal="center" vertical="center"/>
    </xf>
    <xf numFmtId="2" fontId="63" fillId="5" borderId="65" xfId="0" applyNumberFormat="1" applyFont="1" applyFill="1" applyBorder="1" applyAlignment="1">
      <alignment horizontal="center" vertical="center"/>
    </xf>
    <xf numFmtId="2" fontId="12" fillId="2" borderId="111" xfId="0" applyNumberFormat="1" applyFont="1" applyFill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2" fontId="12" fillId="2" borderId="114" xfId="0" applyNumberFormat="1" applyFont="1" applyFill="1" applyBorder="1" applyAlignment="1">
      <alignment horizontal="right" vertical="center"/>
    </xf>
    <xf numFmtId="1" fontId="7" fillId="0" borderId="120" xfId="0" applyNumberFormat="1" applyFont="1" applyBorder="1" applyAlignment="1">
      <alignment horizontal="center" vertical="center"/>
    </xf>
    <xf numFmtId="2" fontId="23" fillId="0" borderId="121" xfId="0" applyNumberFormat="1" applyFont="1" applyBorder="1" applyAlignment="1">
      <alignment horizontal="center" vertical="center"/>
    </xf>
    <xf numFmtId="2" fontId="23" fillId="0" borderId="122" xfId="0" applyNumberFormat="1" applyFont="1" applyBorder="1" applyAlignment="1">
      <alignment horizontal="center" vertical="center"/>
    </xf>
    <xf numFmtId="2" fontId="23" fillId="5" borderId="67" xfId="0" applyNumberFormat="1" applyFont="1" applyFill="1" applyBorder="1" applyAlignment="1">
      <alignment horizontal="center" vertical="center"/>
    </xf>
    <xf numFmtId="2" fontId="23" fillId="5" borderId="68" xfId="0" applyNumberFormat="1" applyFont="1" applyFill="1" applyBorder="1" applyAlignment="1">
      <alignment horizontal="center" vertical="center"/>
    </xf>
    <xf numFmtId="1" fontId="7" fillId="0" borderId="123" xfId="0" applyNumberFormat="1" applyFont="1" applyBorder="1" applyAlignment="1">
      <alignment horizontal="center" vertical="center"/>
    </xf>
    <xf numFmtId="2" fontId="63" fillId="0" borderId="124" xfId="0" applyNumberFormat="1" applyFont="1" applyBorder="1" applyAlignment="1">
      <alignment horizontal="center" vertical="center"/>
    </xf>
    <xf numFmtId="2" fontId="63" fillId="0" borderId="125" xfId="0" applyNumberFormat="1" applyFont="1" applyBorder="1" applyAlignment="1">
      <alignment horizontal="center" vertical="center"/>
    </xf>
    <xf numFmtId="2" fontId="63" fillId="5" borderId="80" xfId="0" applyNumberFormat="1" applyFont="1" applyFill="1" applyBorder="1" applyAlignment="1">
      <alignment horizontal="center" vertical="center"/>
    </xf>
    <xf numFmtId="2" fontId="63" fillId="5" borderId="81" xfId="0" applyNumberFormat="1" applyFont="1" applyFill="1" applyBorder="1" applyAlignment="1">
      <alignment horizontal="center" vertical="center"/>
    </xf>
    <xf numFmtId="0" fontId="7" fillId="0" borderId="120" xfId="0" applyFont="1" applyBorder="1" applyAlignment="1">
      <alignment horizontal="right" vertical="center"/>
    </xf>
    <xf numFmtId="2" fontId="17" fillId="2" borderId="33" xfId="0" applyNumberFormat="1" applyFont="1" applyFill="1" applyBorder="1" applyAlignment="1">
      <alignment horizontal="right" vertical="center"/>
    </xf>
    <xf numFmtId="0" fontId="7" fillId="0" borderId="35" xfId="0" applyFont="1" applyBorder="1" applyAlignment="1">
      <alignment horizontal="right" vertical="center"/>
    </xf>
    <xf numFmtId="1" fontId="17" fillId="2" borderId="48" xfId="0" applyNumberFormat="1" applyFont="1" applyFill="1" applyBorder="1" applyAlignment="1">
      <alignment horizontal="right" vertical="center"/>
    </xf>
    <xf numFmtId="0" fontId="7" fillId="0" borderId="50" xfId="0" applyFont="1" applyBorder="1" applyAlignment="1">
      <alignment horizontal="right" vertical="center"/>
    </xf>
    <xf numFmtId="1" fontId="17" fillId="2" borderId="46" xfId="0" applyNumberFormat="1" applyFont="1" applyFill="1" applyBorder="1" applyAlignment="1">
      <alignment horizontal="right" vertical="center"/>
    </xf>
    <xf numFmtId="2" fontId="17" fillId="2" borderId="46" xfId="0" applyNumberFormat="1" applyFont="1" applyFill="1" applyBorder="1" applyAlignment="1">
      <alignment horizontal="right" vertical="center"/>
    </xf>
    <xf numFmtId="0" fontId="7" fillId="0" borderId="54" xfId="0" applyFont="1" applyBorder="1" applyAlignment="1">
      <alignment horizontal="right" vertical="center"/>
    </xf>
    <xf numFmtId="165" fontId="17" fillId="2" borderId="58" xfId="0" applyNumberFormat="1" applyFont="1" applyFill="1" applyBorder="1" applyAlignment="1">
      <alignment horizontal="right" vertical="center"/>
    </xf>
    <xf numFmtId="0" fontId="7" fillId="0" borderId="123" xfId="0" applyFont="1" applyBorder="1" applyAlignment="1">
      <alignment horizontal="right" vertical="center"/>
    </xf>
    <xf numFmtId="165" fontId="17" fillId="2" borderId="64" xfId="0" applyNumberFormat="1" applyFont="1" applyFill="1" applyBorder="1" applyAlignment="1">
      <alignment horizontal="right" vertical="center"/>
    </xf>
    <xf numFmtId="49" fontId="0" fillId="0" borderId="0" xfId="0" applyNumberForma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0" fillId="6" borderId="52" xfId="0" applyFill="1" applyBorder="1" applyAlignment="1">
      <alignment horizontal="center"/>
    </xf>
    <xf numFmtId="0" fontId="66" fillId="6" borderId="52" xfId="0" applyFont="1" applyFill="1" applyBorder="1" applyAlignment="1">
      <alignment horizontal="center"/>
    </xf>
    <xf numFmtId="0" fontId="0" fillId="7" borderId="52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4" fillId="7" borderId="52" xfId="0" applyFont="1" applyFill="1" applyBorder="1" applyAlignment="1">
      <alignment horizontal="center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/>
    </xf>
    <xf numFmtId="0" fontId="4" fillId="6" borderId="52" xfId="0" applyFont="1" applyFill="1" applyBorder="1" applyAlignment="1">
      <alignment horizontal="center"/>
    </xf>
    <xf numFmtId="0" fontId="70" fillId="6" borderId="52" xfId="0" applyFont="1" applyFill="1" applyBorder="1" applyAlignment="1">
      <alignment horizontal="center"/>
    </xf>
    <xf numFmtId="0" fontId="4" fillId="0" borderId="0" xfId="0" applyFont="1"/>
    <xf numFmtId="0" fontId="70" fillId="0" borderId="0" xfId="0" applyFont="1" applyAlignment="1">
      <alignment horizontal="center"/>
    </xf>
    <xf numFmtId="0" fontId="8" fillId="0" borderId="126" xfId="0" applyFont="1" applyBorder="1" applyAlignment="1">
      <alignment horizontal="right" vertical="center"/>
    </xf>
    <xf numFmtId="2" fontId="12" fillId="0" borderId="21" xfId="0" applyNumberFormat="1" applyFont="1" applyBorder="1" applyAlignment="1">
      <alignment horizontal="right" vertical="center"/>
    </xf>
    <xf numFmtId="2" fontId="12" fillId="0" borderId="20" xfId="0" applyNumberFormat="1" applyFont="1" applyBorder="1" applyAlignment="1">
      <alignment horizontal="center" vertical="center"/>
    </xf>
    <xf numFmtId="0" fontId="13" fillId="0" borderId="127" xfId="0" applyFont="1" applyBorder="1" applyAlignment="1">
      <alignment horizontal="center" vertical="center"/>
    </xf>
    <xf numFmtId="2" fontId="14" fillId="3" borderId="127" xfId="0" applyNumberFormat="1" applyFont="1" applyFill="1" applyBorder="1" applyAlignment="1">
      <alignment horizontal="center" vertical="center"/>
    </xf>
    <xf numFmtId="2" fontId="14" fillId="3" borderId="128" xfId="0" applyNumberFormat="1" applyFont="1" applyFill="1" applyBorder="1" applyAlignment="1">
      <alignment horizontal="center" vertical="center"/>
    </xf>
    <xf numFmtId="2" fontId="15" fillId="3" borderId="129" xfId="0" applyNumberFormat="1" applyFont="1" applyFill="1" applyBorder="1" applyAlignment="1">
      <alignment horizontal="center" vertical="center"/>
    </xf>
    <xf numFmtId="2" fontId="15" fillId="3" borderId="130" xfId="0" applyNumberFormat="1" applyFont="1" applyFill="1" applyBorder="1" applyAlignment="1">
      <alignment horizontal="center" vertical="center"/>
    </xf>
    <xf numFmtId="2" fontId="15" fillId="3" borderId="131" xfId="0" applyNumberFormat="1" applyFont="1" applyFill="1" applyBorder="1" applyAlignment="1">
      <alignment horizontal="center" vertical="center"/>
    </xf>
    <xf numFmtId="2" fontId="14" fillId="3" borderId="132" xfId="0" applyNumberFormat="1" applyFont="1" applyFill="1" applyBorder="1" applyAlignment="1">
      <alignment horizontal="center" vertical="center"/>
    </xf>
    <xf numFmtId="2" fontId="14" fillId="3" borderId="133" xfId="0" applyNumberFormat="1" applyFont="1" applyFill="1" applyBorder="1" applyAlignment="1">
      <alignment horizontal="center" vertical="center"/>
    </xf>
    <xf numFmtId="1" fontId="12" fillId="0" borderId="38" xfId="0" applyNumberFormat="1" applyFont="1" applyBorder="1" applyAlignment="1">
      <alignment horizontal="right" vertical="center"/>
    </xf>
    <xf numFmtId="1" fontId="12" fillId="0" borderId="37" xfId="0" applyNumberFormat="1" applyFont="1" applyBorder="1" applyAlignment="1">
      <alignment horizontal="center" vertical="center"/>
    </xf>
    <xf numFmtId="0" fontId="13" fillId="0" borderId="109" xfId="0" applyFont="1" applyBorder="1" applyAlignment="1">
      <alignment horizontal="center" vertical="center"/>
    </xf>
    <xf numFmtId="2" fontId="14" fillId="3" borderId="109" xfId="0" applyNumberFormat="1" applyFont="1" applyFill="1" applyBorder="1" applyAlignment="1">
      <alignment horizontal="center" vertical="center"/>
    </xf>
    <xf numFmtId="2" fontId="14" fillId="3" borderId="134" xfId="0" applyNumberFormat="1" applyFont="1" applyFill="1" applyBorder="1" applyAlignment="1">
      <alignment horizontal="center" vertical="center"/>
    </xf>
    <xf numFmtId="2" fontId="15" fillId="3" borderId="135" xfId="0" applyNumberFormat="1" applyFont="1" applyFill="1" applyBorder="1" applyAlignment="1">
      <alignment horizontal="center" vertical="center"/>
    </xf>
    <xf numFmtId="2" fontId="15" fillId="3" borderId="136" xfId="0" applyNumberFormat="1" applyFont="1" applyFill="1" applyBorder="1" applyAlignment="1">
      <alignment horizontal="center" vertical="center"/>
    </xf>
    <xf numFmtId="2" fontId="15" fillId="3" borderId="137" xfId="0" applyNumberFormat="1" applyFont="1" applyFill="1" applyBorder="1" applyAlignment="1">
      <alignment horizontal="center" vertical="center"/>
    </xf>
    <xf numFmtId="2" fontId="14" fillId="3" borderId="138" xfId="0" applyNumberFormat="1" applyFont="1" applyFill="1" applyBorder="1" applyAlignment="1">
      <alignment horizontal="center" vertical="center"/>
    </xf>
    <xf numFmtId="2" fontId="14" fillId="3" borderId="139" xfId="0" applyNumberFormat="1" applyFont="1" applyFill="1" applyBorder="1" applyAlignment="1">
      <alignment horizontal="center" vertical="center"/>
    </xf>
    <xf numFmtId="1" fontId="12" fillId="0" borderId="53" xfId="0" applyNumberFormat="1" applyFont="1" applyBorder="1" applyAlignment="1">
      <alignment horizontal="right" vertical="center"/>
    </xf>
    <xf numFmtId="1" fontId="12" fillId="0" borderId="52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horizontal="right" vertical="center"/>
    </xf>
    <xf numFmtId="0" fontId="12" fillId="0" borderId="52" xfId="0" applyFont="1" applyBorder="1" applyAlignment="1">
      <alignment horizontal="center" vertical="center"/>
    </xf>
    <xf numFmtId="0" fontId="12" fillId="0" borderId="57" xfId="0" applyFont="1" applyBorder="1" applyAlignment="1">
      <alignment horizontal="right" vertical="center"/>
    </xf>
    <xf numFmtId="0" fontId="12" fillId="0" borderId="56" xfId="0" applyFont="1" applyBorder="1" applyAlignment="1">
      <alignment horizontal="center" vertical="center"/>
    </xf>
    <xf numFmtId="0" fontId="12" fillId="0" borderId="63" xfId="0" applyFont="1" applyBorder="1" applyAlignment="1">
      <alignment horizontal="right" vertical="center"/>
    </xf>
    <xf numFmtId="0" fontId="12" fillId="0" borderId="62" xfId="0" applyFont="1" applyBorder="1" applyAlignment="1">
      <alignment horizontal="center" vertical="center"/>
    </xf>
    <xf numFmtId="0" fontId="13" fillId="0" borderId="140" xfId="0" applyFont="1" applyBorder="1" applyAlignment="1">
      <alignment horizontal="center" vertical="center"/>
    </xf>
    <xf numFmtId="2" fontId="14" fillId="3" borderId="140" xfId="0" applyNumberFormat="1" applyFont="1" applyFill="1" applyBorder="1" applyAlignment="1">
      <alignment horizontal="center" vertical="center"/>
    </xf>
    <xf numFmtId="2" fontId="14" fillId="3" borderId="141" xfId="0" applyNumberFormat="1" applyFont="1" applyFill="1" applyBorder="1" applyAlignment="1">
      <alignment horizontal="center" vertical="center"/>
    </xf>
    <xf numFmtId="2" fontId="15" fillId="3" borderId="142" xfId="0" applyNumberFormat="1" applyFont="1" applyFill="1" applyBorder="1" applyAlignment="1">
      <alignment horizontal="center" vertical="center"/>
    </xf>
    <xf numFmtId="2" fontId="15" fillId="3" borderId="143" xfId="0" applyNumberFormat="1" applyFont="1" applyFill="1" applyBorder="1" applyAlignment="1">
      <alignment horizontal="center" vertical="center"/>
    </xf>
    <xf numFmtId="2" fontId="30" fillId="3" borderId="143" xfId="0" applyNumberFormat="1" applyFont="1" applyFill="1" applyBorder="1" applyAlignment="1">
      <alignment horizontal="center" vertical="center"/>
    </xf>
    <xf numFmtId="2" fontId="15" fillId="3" borderId="144" xfId="0" applyNumberFormat="1" applyFont="1" applyFill="1" applyBorder="1" applyAlignment="1">
      <alignment horizontal="center" vertical="center"/>
    </xf>
    <xf numFmtId="2" fontId="14" fillId="3" borderId="145" xfId="0" applyNumberFormat="1" applyFont="1" applyFill="1" applyBorder="1" applyAlignment="1">
      <alignment horizontal="center" vertical="center"/>
    </xf>
    <xf numFmtId="2" fontId="14" fillId="3" borderId="146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164" fontId="36" fillId="4" borderId="147" xfId="0" applyNumberFormat="1" applyFont="1" applyFill="1" applyBorder="1" applyAlignment="1">
      <alignment horizontal="right" vertical="center"/>
    </xf>
    <xf numFmtId="164" fontId="12" fillId="4" borderId="147" xfId="0" applyNumberFormat="1" applyFont="1" applyFill="1" applyBorder="1" applyAlignment="1">
      <alignment horizontal="right" vertical="center"/>
    </xf>
    <xf numFmtId="164" fontId="12" fillId="2" borderId="120" xfId="0" applyNumberFormat="1" applyFont="1" applyFill="1" applyBorder="1" applyAlignment="1">
      <alignment horizontal="right" vertical="center"/>
    </xf>
    <xf numFmtId="0" fontId="20" fillId="0" borderId="127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36" fillId="0" borderId="82" xfId="0" applyFont="1" applyBorder="1" applyAlignment="1">
      <alignment horizontal="center" vertical="center"/>
    </xf>
    <xf numFmtId="0" fontId="45" fillId="0" borderId="148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4" fillId="0" borderId="148" xfId="0" applyFont="1" applyBorder="1" applyAlignment="1">
      <alignment horizontal="center" vertical="center"/>
    </xf>
    <xf numFmtId="1" fontId="36" fillId="4" borderId="149" xfId="0" applyNumberFormat="1" applyFont="1" applyFill="1" applyBorder="1" applyAlignment="1">
      <alignment horizontal="right" vertical="center"/>
    </xf>
    <xf numFmtId="1" fontId="12" fillId="4" borderId="149" xfId="0" applyNumberFormat="1" applyFont="1" applyFill="1" applyBorder="1" applyAlignment="1">
      <alignment horizontal="right" vertical="center"/>
    </xf>
    <xf numFmtId="2" fontId="12" fillId="2" borderId="150" xfId="0" applyNumberFormat="1" applyFont="1" applyFill="1" applyBorder="1" applyAlignment="1">
      <alignment horizontal="right" vertical="center"/>
    </xf>
    <xf numFmtId="0" fontId="20" fillId="0" borderId="109" xfId="0" applyFont="1" applyBorder="1" applyAlignment="1">
      <alignment horizontal="center" vertical="center"/>
    </xf>
    <xf numFmtId="1" fontId="36" fillId="4" borderId="151" xfId="0" applyNumberFormat="1" applyFont="1" applyFill="1" applyBorder="1" applyAlignment="1">
      <alignment horizontal="right" vertical="center"/>
    </xf>
    <xf numFmtId="1" fontId="12" fillId="4" borderId="151" xfId="0" applyNumberFormat="1" applyFont="1" applyFill="1" applyBorder="1" applyAlignment="1">
      <alignment horizontal="right" vertical="center"/>
    </xf>
    <xf numFmtId="2" fontId="36" fillId="4" borderId="151" xfId="0" applyNumberFormat="1" applyFont="1" applyFill="1" applyBorder="1" applyAlignment="1">
      <alignment horizontal="right" vertical="center"/>
    </xf>
    <xf numFmtId="2" fontId="12" fillId="4" borderId="151" xfId="0" applyNumberFormat="1" applyFont="1" applyFill="1" applyBorder="1" applyAlignment="1">
      <alignment horizontal="right" vertical="center"/>
    </xf>
    <xf numFmtId="165" fontId="36" fillId="4" borderId="152" xfId="0" applyNumberFormat="1" applyFont="1" applyFill="1" applyBorder="1" applyAlignment="1">
      <alignment horizontal="right" vertical="center"/>
    </xf>
    <xf numFmtId="165" fontId="12" fillId="4" borderId="152" xfId="0" applyNumberFormat="1" applyFont="1" applyFill="1" applyBorder="1" applyAlignment="1">
      <alignment horizontal="right" vertical="center"/>
    </xf>
    <xf numFmtId="2" fontId="12" fillId="2" borderId="153" xfId="0" applyNumberFormat="1" applyFont="1" applyFill="1" applyBorder="1" applyAlignment="1">
      <alignment horizontal="right" vertical="center"/>
    </xf>
    <xf numFmtId="165" fontId="36" fillId="4" borderId="154" xfId="0" applyNumberFormat="1" applyFont="1" applyFill="1" applyBorder="1" applyAlignment="1">
      <alignment horizontal="right" vertical="center"/>
    </xf>
    <xf numFmtId="165" fontId="12" fillId="4" borderId="154" xfId="0" applyNumberFormat="1" applyFont="1" applyFill="1" applyBorder="1" applyAlignment="1">
      <alignment horizontal="right" vertical="center"/>
    </xf>
    <xf numFmtId="2" fontId="12" fillId="2" borderId="123" xfId="0" applyNumberFormat="1" applyFont="1" applyFill="1" applyBorder="1" applyAlignment="1">
      <alignment horizontal="right" vertical="center"/>
    </xf>
    <xf numFmtId="0" fontId="20" fillId="0" borderId="140" xfId="0" applyFont="1" applyBorder="1" applyAlignment="1">
      <alignment horizontal="center" vertical="center"/>
    </xf>
    <xf numFmtId="0" fontId="44" fillId="0" borderId="114" xfId="0" applyFont="1" applyBorder="1" applyAlignment="1">
      <alignment horizontal="center" vertical="center"/>
    </xf>
    <xf numFmtId="0" fontId="36" fillId="0" borderId="155" xfId="0" applyFont="1" applyBorder="1" applyAlignment="1">
      <alignment horizontal="center" vertical="center"/>
    </xf>
    <xf numFmtId="0" fontId="45" fillId="0" borderId="156" xfId="0" applyFont="1" applyBorder="1" applyAlignment="1">
      <alignment horizontal="center" vertical="center"/>
    </xf>
    <xf numFmtId="0" fontId="45" fillId="0" borderId="157" xfId="0" applyFont="1" applyBorder="1" applyAlignment="1">
      <alignment horizontal="center" vertical="center"/>
    </xf>
    <xf numFmtId="0" fontId="36" fillId="0" borderId="157" xfId="0" applyFont="1" applyBorder="1" applyAlignment="1">
      <alignment horizontal="center" vertical="center"/>
    </xf>
    <xf numFmtId="0" fontId="44" fillId="0" borderId="156" xfId="0" applyFont="1" applyBorder="1" applyAlignment="1">
      <alignment horizontal="center" vertical="center"/>
    </xf>
    <xf numFmtId="2" fontId="55" fillId="2" borderId="122" xfId="0" applyNumberFormat="1" applyFont="1" applyFill="1" applyBorder="1" applyAlignment="1">
      <alignment horizontal="right" vertical="center"/>
    </xf>
    <xf numFmtId="0" fontId="31" fillId="0" borderId="68" xfId="0" applyFont="1" applyBorder="1" applyAlignment="1">
      <alignment horizontal="right" vertical="center"/>
    </xf>
    <xf numFmtId="2" fontId="55" fillId="2" borderId="158" xfId="0" applyNumberFormat="1" applyFont="1" applyFill="1" applyBorder="1" applyAlignment="1">
      <alignment horizontal="right" vertical="center"/>
    </xf>
    <xf numFmtId="0" fontId="31" fillId="0" borderId="159" xfId="0" applyFont="1" applyBorder="1" applyAlignment="1">
      <alignment horizontal="right" vertical="center"/>
    </xf>
    <xf numFmtId="0" fontId="60" fillId="0" borderId="13" xfId="0" applyFont="1" applyBorder="1" applyAlignment="1">
      <alignment horizontal="center" vertical="center"/>
    </xf>
    <xf numFmtId="0" fontId="61" fillId="0" borderId="82" xfId="0" applyFont="1" applyBorder="1" applyAlignment="1">
      <alignment horizontal="center" vertical="center"/>
    </xf>
    <xf numFmtId="0" fontId="62" fillId="0" borderId="148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0" fillId="0" borderId="148" xfId="0" applyFont="1" applyBorder="1" applyAlignment="1">
      <alignment horizontal="center" vertical="center"/>
    </xf>
    <xf numFmtId="2" fontId="55" fillId="2" borderId="118" xfId="0" applyNumberFormat="1" applyFont="1" applyFill="1" applyBorder="1" applyAlignment="1">
      <alignment horizontal="right" vertical="center"/>
    </xf>
    <xf numFmtId="0" fontId="71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2" fontId="55" fillId="2" borderId="160" xfId="0" applyNumberFormat="1" applyFont="1" applyFill="1" applyBorder="1" applyAlignment="1">
      <alignment horizontal="right" vertical="center"/>
    </xf>
    <xf numFmtId="2" fontId="55" fillId="2" borderId="125" xfId="0" applyNumberFormat="1" applyFont="1" applyFill="1" applyBorder="1" applyAlignment="1">
      <alignment horizontal="right" vertical="center"/>
    </xf>
    <xf numFmtId="0" fontId="31" fillId="0" borderId="81" xfId="0" applyFont="1" applyBorder="1" applyAlignment="1">
      <alignment horizontal="right" vertical="center"/>
    </xf>
    <xf numFmtId="0" fontId="60" fillId="0" borderId="114" xfId="0" applyFont="1" applyBorder="1" applyAlignment="1">
      <alignment horizontal="center" vertical="center"/>
    </xf>
    <xf numFmtId="0" fontId="61" fillId="0" borderId="155" xfId="0" applyFont="1" applyBorder="1" applyAlignment="1">
      <alignment horizontal="center" vertical="center"/>
    </xf>
    <xf numFmtId="0" fontId="62" fillId="0" borderId="156" xfId="0" applyFont="1" applyBorder="1" applyAlignment="1">
      <alignment horizontal="center" vertical="center"/>
    </xf>
    <xf numFmtId="0" fontId="62" fillId="0" borderId="157" xfId="0" applyFont="1" applyBorder="1" applyAlignment="1">
      <alignment horizontal="center" vertical="center"/>
    </xf>
    <xf numFmtId="0" fontId="61" fillId="0" borderId="157" xfId="0" applyFont="1" applyBorder="1" applyAlignment="1">
      <alignment horizontal="center" vertical="center"/>
    </xf>
    <xf numFmtId="0" fontId="60" fillId="0" borderId="156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2" fontId="63" fillId="5" borderId="32" xfId="0" applyNumberFormat="1" applyFont="1" applyFill="1" applyBorder="1" applyAlignment="1">
      <alignment horizontal="center" vertical="center"/>
    </xf>
    <xf numFmtId="2" fontId="22" fillId="5" borderId="35" xfId="0" applyNumberFormat="1" applyFont="1" applyFill="1" applyBorder="1" applyAlignment="1">
      <alignment horizontal="center" vertical="center"/>
    </xf>
    <xf numFmtId="2" fontId="22" fillId="5" borderId="50" xfId="0" applyNumberFormat="1" applyFont="1" applyFill="1" applyBorder="1" applyAlignment="1">
      <alignment horizontal="center" vertical="center"/>
    </xf>
    <xf numFmtId="2" fontId="22" fillId="5" borderId="54" xfId="0" applyNumberFormat="1" applyFont="1" applyFill="1" applyBorder="1" applyAlignment="1">
      <alignment horizontal="center" vertical="center"/>
    </xf>
    <xf numFmtId="2" fontId="63" fillId="5" borderId="60" xfId="0" applyNumberFormat="1" applyFont="1" applyFill="1" applyBorder="1" applyAlignment="1">
      <alignment horizontal="center" vertical="center"/>
    </xf>
    <xf numFmtId="2" fontId="23" fillId="5" borderId="120" xfId="0" applyNumberFormat="1" applyFont="1" applyFill="1" applyBorder="1" applyAlignment="1">
      <alignment horizontal="center" vertical="center"/>
    </xf>
    <xf numFmtId="2" fontId="63" fillId="5" borderId="123" xfId="0" applyNumberFormat="1" applyFont="1" applyFill="1" applyBorder="1" applyAlignment="1">
      <alignment horizontal="center" vertical="center"/>
    </xf>
    <xf numFmtId="164" fontId="36" fillId="2" borderId="120" xfId="0" applyNumberFormat="1" applyFont="1" applyFill="1" applyBorder="1" applyAlignment="1">
      <alignment horizontal="right" vertical="center"/>
    </xf>
    <xf numFmtId="0" fontId="12" fillId="2" borderId="35" xfId="0" applyFont="1" applyFill="1" applyBorder="1" applyAlignment="1">
      <alignment horizontal="right" vertical="center"/>
    </xf>
    <xf numFmtId="2" fontId="36" fillId="2" borderId="150" xfId="0" applyNumberFormat="1" applyFont="1" applyFill="1" applyBorder="1" applyAlignment="1">
      <alignment horizontal="right" vertical="center"/>
    </xf>
    <xf numFmtId="0" fontId="12" fillId="2" borderId="50" xfId="0" applyFont="1" applyFill="1" applyBorder="1" applyAlignment="1">
      <alignment horizontal="right" vertical="center"/>
    </xf>
    <xf numFmtId="2" fontId="36" fillId="2" borderId="50" xfId="0" applyNumberFormat="1" applyFont="1" applyFill="1" applyBorder="1" applyAlignment="1">
      <alignment horizontal="right" vertical="center"/>
    </xf>
    <xf numFmtId="0" fontId="12" fillId="2" borderId="54" xfId="0" applyFont="1" applyFill="1" applyBorder="1" applyAlignment="1">
      <alignment horizontal="right" vertical="center"/>
    </xf>
    <xf numFmtId="2" fontId="36" fillId="2" borderId="153" xfId="0" applyNumberFormat="1" applyFont="1" applyFill="1" applyBorder="1" applyAlignment="1">
      <alignment horizontal="right" vertical="center"/>
    </xf>
    <xf numFmtId="0" fontId="12" fillId="2" borderId="60" xfId="0" applyFont="1" applyFill="1" applyBorder="1" applyAlignment="1">
      <alignment horizontal="right" vertical="center"/>
    </xf>
    <xf numFmtId="2" fontId="36" fillId="2" borderId="123" xfId="0" applyNumberFormat="1" applyFont="1" applyFill="1" applyBorder="1" applyAlignment="1">
      <alignment horizontal="right" vertical="center"/>
    </xf>
    <xf numFmtId="0" fontId="36" fillId="2" borderId="105" xfId="0" applyFont="1" applyFill="1" applyBorder="1" applyAlignment="1">
      <alignment horizontal="right" vertical="center"/>
    </xf>
    <xf numFmtId="0" fontId="36" fillId="2" borderId="109" xfId="0" applyFont="1" applyFill="1" applyBorder="1" applyAlignment="1">
      <alignment horizontal="right" vertical="center"/>
    </xf>
    <xf numFmtId="0" fontId="36" fillId="2" borderId="111" xfId="0" applyFont="1" applyFill="1" applyBorder="1" applyAlignment="1">
      <alignment horizontal="right" vertical="center"/>
    </xf>
    <xf numFmtId="0" fontId="36" fillId="2" borderId="114" xfId="0" applyFont="1" applyFill="1" applyBorder="1" applyAlignment="1">
      <alignment horizontal="right" vertical="center"/>
    </xf>
    <xf numFmtId="0" fontId="12" fillId="2" borderId="105" xfId="0" applyFont="1" applyFill="1" applyBorder="1" applyAlignment="1">
      <alignment horizontal="right" vertical="center"/>
    </xf>
    <xf numFmtId="0" fontId="12" fillId="2" borderId="109" xfId="0" applyFont="1" applyFill="1" applyBorder="1" applyAlignment="1">
      <alignment horizontal="right" vertical="center"/>
    </xf>
    <xf numFmtId="0" fontId="12" fillId="2" borderId="111" xfId="0" applyFont="1" applyFill="1" applyBorder="1" applyAlignment="1">
      <alignment horizontal="right" vertical="center"/>
    </xf>
    <xf numFmtId="0" fontId="12" fillId="2" borderId="114" xfId="0" applyFont="1" applyFill="1" applyBorder="1" applyAlignment="1">
      <alignment horizontal="right" vertical="center"/>
    </xf>
    <xf numFmtId="0" fontId="73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74" fillId="0" borderId="5" xfId="0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0" fontId="75" fillId="0" borderId="13" xfId="0" applyFont="1" applyBorder="1" applyAlignment="1">
      <alignment horizontal="center" vertical="center"/>
    </xf>
    <xf numFmtId="0" fontId="75" fillId="0" borderId="148" xfId="0" applyFont="1" applyBorder="1" applyAlignment="1">
      <alignment horizontal="center" vertical="center"/>
    </xf>
    <xf numFmtId="0" fontId="75" fillId="0" borderId="114" xfId="0" applyFont="1" applyBorder="1" applyAlignment="1">
      <alignment horizontal="center" vertical="center"/>
    </xf>
    <xf numFmtId="0" fontId="75" fillId="0" borderId="156" xfId="0" applyFont="1" applyBorder="1" applyAlignment="1">
      <alignment horizontal="center" vertical="center"/>
    </xf>
    <xf numFmtId="0" fontId="76" fillId="0" borderId="127" xfId="0" applyFont="1" applyBorder="1" applyAlignment="1">
      <alignment horizontal="center" vertical="center"/>
    </xf>
    <xf numFmtId="2" fontId="55" fillId="3" borderId="127" xfId="0" applyNumberFormat="1" applyFont="1" applyFill="1" applyBorder="1" applyAlignment="1">
      <alignment horizontal="center" vertical="center"/>
    </xf>
    <xf numFmtId="2" fontId="36" fillId="3" borderId="128" xfId="0" applyNumberFormat="1" applyFont="1" applyFill="1" applyBorder="1" applyAlignment="1">
      <alignment horizontal="center" vertical="center"/>
    </xf>
    <xf numFmtId="2" fontId="31" fillId="3" borderId="129" xfId="0" applyNumberFormat="1" applyFont="1" applyFill="1" applyBorder="1" applyAlignment="1">
      <alignment horizontal="center" vertical="center"/>
    </xf>
    <xf numFmtId="2" fontId="31" fillId="3" borderId="130" xfId="0" applyNumberFormat="1" applyFont="1" applyFill="1" applyBorder="1" applyAlignment="1">
      <alignment horizontal="center" vertical="center"/>
    </xf>
    <xf numFmtId="2" fontId="31" fillId="3" borderId="131" xfId="0" applyNumberFormat="1" applyFont="1" applyFill="1" applyBorder="1" applyAlignment="1">
      <alignment horizontal="center" vertical="center"/>
    </xf>
    <xf numFmtId="2" fontId="36" fillId="3" borderId="132" xfId="0" applyNumberFormat="1" applyFont="1" applyFill="1" applyBorder="1" applyAlignment="1">
      <alignment horizontal="center" vertical="center"/>
    </xf>
    <xf numFmtId="2" fontId="55" fillId="3" borderId="133" xfId="0" applyNumberFormat="1" applyFont="1" applyFill="1" applyBorder="1" applyAlignment="1">
      <alignment horizontal="center" vertical="center"/>
    </xf>
    <xf numFmtId="0" fontId="76" fillId="0" borderId="109" xfId="0" applyFont="1" applyBorder="1" applyAlignment="1">
      <alignment horizontal="center" vertical="center"/>
    </xf>
    <xf numFmtId="2" fontId="55" fillId="3" borderId="109" xfId="0" applyNumberFormat="1" applyFont="1" applyFill="1" applyBorder="1" applyAlignment="1">
      <alignment horizontal="center" vertical="center"/>
    </xf>
    <xf numFmtId="2" fontId="36" fillId="3" borderId="134" xfId="0" applyNumberFormat="1" applyFont="1" applyFill="1" applyBorder="1" applyAlignment="1">
      <alignment horizontal="center" vertical="center"/>
    </xf>
    <xf numFmtId="2" fontId="31" fillId="3" borderId="135" xfId="0" applyNumberFormat="1" applyFont="1" applyFill="1" applyBorder="1" applyAlignment="1">
      <alignment horizontal="center" vertical="center"/>
    </xf>
    <xf numFmtId="2" fontId="31" fillId="3" borderId="136" xfId="0" applyNumberFormat="1" applyFont="1" applyFill="1" applyBorder="1" applyAlignment="1">
      <alignment horizontal="center" vertical="center"/>
    </xf>
    <xf numFmtId="2" fontId="31" fillId="3" borderId="137" xfId="0" applyNumberFormat="1" applyFont="1" applyFill="1" applyBorder="1" applyAlignment="1">
      <alignment horizontal="center" vertical="center"/>
    </xf>
    <xf numFmtId="2" fontId="36" fillId="3" borderId="138" xfId="0" applyNumberFormat="1" applyFont="1" applyFill="1" applyBorder="1" applyAlignment="1">
      <alignment horizontal="center" vertical="center"/>
    </xf>
    <xf numFmtId="2" fontId="55" fillId="3" borderId="139" xfId="0" applyNumberFormat="1" applyFont="1" applyFill="1" applyBorder="1" applyAlignment="1">
      <alignment horizontal="center" vertical="center"/>
    </xf>
    <xf numFmtId="0" fontId="76" fillId="0" borderId="140" xfId="0" applyFont="1" applyBorder="1" applyAlignment="1">
      <alignment horizontal="center" vertical="center"/>
    </xf>
    <xf numFmtId="2" fontId="55" fillId="3" borderId="140" xfId="0" applyNumberFormat="1" applyFont="1" applyFill="1" applyBorder="1" applyAlignment="1">
      <alignment horizontal="center" vertical="center"/>
    </xf>
    <xf numFmtId="2" fontId="36" fillId="3" borderId="141" xfId="0" applyNumberFormat="1" applyFont="1" applyFill="1" applyBorder="1" applyAlignment="1">
      <alignment horizontal="center" vertical="center"/>
    </xf>
    <xf numFmtId="2" fontId="31" fillId="3" borderId="142" xfId="0" applyNumberFormat="1" applyFont="1" applyFill="1" applyBorder="1" applyAlignment="1">
      <alignment horizontal="center" vertical="center"/>
    </xf>
    <xf numFmtId="2" fontId="31" fillId="3" borderId="143" xfId="0" applyNumberFormat="1" applyFont="1" applyFill="1" applyBorder="1" applyAlignment="1">
      <alignment horizontal="center" vertical="center"/>
    </xf>
    <xf numFmtId="2" fontId="10" fillId="3" borderId="143" xfId="0" applyNumberFormat="1" applyFont="1" applyFill="1" applyBorder="1" applyAlignment="1">
      <alignment horizontal="center" vertical="center"/>
    </xf>
    <xf numFmtId="2" fontId="31" fillId="3" borderId="144" xfId="0" applyNumberFormat="1" applyFont="1" applyFill="1" applyBorder="1" applyAlignment="1">
      <alignment horizontal="center" vertical="center"/>
    </xf>
    <xf numFmtId="2" fontId="36" fillId="3" borderId="145" xfId="0" applyNumberFormat="1" applyFont="1" applyFill="1" applyBorder="1" applyAlignment="1">
      <alignment horizontal="center" vertical="center"/>
    </xf>
    <xf numFmtId="2" fontId="55" fillId="3" borderId="146" xfId="0" applyNumberFormat="1" applyFont="1" applyFill="1" applyBorder="1" applyAlignment="1">
      <alignment horizontal="center" vertical="center"/>
    </xf>
    <xf numFmtId="0" fontId="77" fillId="0" borderId="5" xfId="0" applyFont="1" applyBorder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0" fontId="78" fillId="0" borderId="13" xfId="0" applyFont="1" applyBorder="1" applyAlignment="1">
      <alignment horizontal="center" vertical="center"/>
    </xf>
    <xf numFmtId="0" fontId="78" fillId="0" borderId="148" xfId="0" applyFont="1" applyBorder="1" applyAlignment="1">
      <alignment horizontal="center" vertical="center"/>
    </xf>
    <xf numFmtId="0" fontId="78" fillId="0" borderId="114" xfId="0" applyFont="1" applyBorder="1" applyAlignment="1">
      <alignment horizontal="center" vertical="center"/>
    </xf>
    <xf numFmtId="0" fontId="78" fillId="0" borderId="15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2" fontId="79" fillId="0" borderId="18" xfId="0" applyNumberFormat="1" applyFont="1" applyBorder="1" applyAlignment="1">
      <alignment horizontal="right" vertical="center"/>
    </xf>
    <xf numFmtId="2" fontId="79" fillId="0" borderId="19" xfId="0" applyNumberFormat="1" applyFont="1" applyBorder="1" applyAlignment="1">
      <alignment horizontal="right" vertical="center"/>
    </xf>
    <xf numFmtId="2" fontId="79" fillId="0" borderId="20" xfId="0" applyNumberFormat="1" applyFont="1" applyBorder="1" applyAlignment="1">
      <alignment horizontal="right" vertical="center"/>
    </xf>
    <xf numFmtId="2" fontId="79" fillId="0" borderId="21" xfId="0" applyNumberFormat="1" applyFont="1" applyBorder="1" applyAlignment="1">
      <alignment horizontal="right" vertical="center"/>
    </xf>
    <xf numFmtId="1" fontId="79" fillId="0" borderId="36" xfId="0" applyNumberFormat="1" applyFont="1" applyBorder="1" applyAlignment="1">
      <alignment horizontal="right" vertical="center"/>
    </xf>
    <xf numFmtId="1" fontId="79" fillId="0" borderId="37" xfId="0" applyNumberFormat="1" applyFont="1" applyBorder="1" applyAlignment="1">
      <alignment horizontal="right" vertical="center"/>
    </xf>
    <xf numFmtId="1" fontId="79" fillId="0" borderId="38" xfId="0" applyNumberFormat="1" applyFont="1" applyBorder="1" applyAlignment="1">
      <alignment horizontal="right" vertical="center"/>
    </xf>
    <xf numFmtId="1" fontId="79" fillId="0" borderId="51" xfId="0" applyNumberFormat="1" applyFont="1" applyBorder="1" applyAlignment="1">
      <alignment horizontal="right" vertical="center"/>
    </xf>
    <xf numFmtId="1" fontId="79" fillId="0" borderId="52" xfId="0" applyNumberFormat="1" applyFont="1" applyBorder="1" applyAlignment="1">
      <alignment horizontal="right" vertical="center"/>
    </xf>
    <xf numFmtId="1" fontId="79" fillId="0" borderId="53" xfId="0" applyNumberFormat="1" applyFont="1" applyBorder="1" applyAlignment="1">
      <alignment horizontal="right" vertical="center"/>
    </xf>
    <xf numFmtId="2" fontId="79" fillId="0" borderId="51" xfId="0" applyNumberFormat="1" applyFont="1" applyBorder="1" applyAlignment="1">
      <alignment horizontal="right" vertical="center"/>
    </xf>
    <xf numFmtId="2" fontId="79" fillId="0" borderId="52" xfId="0" applyNumberFormat="1" applyFont="1" applyBorder="1" applyAlignment="1">
      <alignment horizontal="right" vertical="center"/>
    </xf>
    <xf numFmtId="0" fontId="79" fillId="0" borderId="52" xfId="0" applyFont="1" applyBorder="1" applyAlignment="1">
      <alignment horizontal="right" vertical="center"/>
    </xf>
    <xf numFmtId="0" fontId="79" fillId="0" borderId="53" xfId="0" applyFont="1" applyBorder="1" applyAlignment="1">
      <alignment horizontal="right" vertical="center"/>
    </xf>
    <xf numFmtId="2" fontId="79" fillId="0" borderId="55" xfId="0" applyNumberFormat="1" applyFont="1" applyBorder="1" applyAlignment="1">
      <alignment horizontal="right" vertical="center"/>
    </xf>
    <xf numFmtId="2" fontId="79" fillId="0" borderId="56" xfId="0" applyNumberFormat="1" applyFont="1" applyBorder="1" applyAlignment="1">
      <alignment horizontal="right" vertical="center"/>
    </xf>
    <xf numFmtId="0" fontId="79" fillId="0" borderId="56" xfId="0" applyFont="1" applyBorder="1" applyAlignment="1">
      <alignment horizontal="right" vertical="center"/>
    </xf>
    <xf numFmtId="0" fontId="79" fillId="0" borderId="57" xfId="0" applyFont="1" applyBorder="1" applyAlignment="1">
      <alignment horizontal="right" vertical="center"/>
    </xf>
    <xf numFmtId="2" fontId="79" fillId="0" borderId="61" xfId="0" applyNumberFormat="1" applyFont="1" applyBorder="1" applyAlignment="1">
      <alignment horizontal="right" vertical="center"/>
    </xf>
    <xf numFmtId="2" fontId="79" fillId="0" borderId="62" xfId="0" applyNumberFormat="1" applyFont="1" applyBorder="1" applyAlignment="1">
      <alignment horizontal="right" vertical="center"/>
    </xf>
    <xf numFmtId="0" fontId="79" fillId="0" borderId="62" xfId="0" applyFont="1" applyBorder="1" applyAlignment="1">
      <alignment horizontal="right" vertical="center"/>
    </xf>
    <xf numFmtId="0" fontId="79" fillId="0" borderId="63" xfId="0" applyFont="1" applyBorder="1" applyAlignment="1">
      <alignment horizontal="right" vertical="center"/>
    </xf>
    <xf numFmtId="0" fontId="79" fillId="2" borderId="32" xfId="0" applyFont="1" applyFill="1" applyBorder="1" applyAlignment="1">
      <alignment horizontal="right" vertical="center"/>
    </xf>
    <xf numFmtId="2" fontId="79" fillId="0" borderId="83" xfId="0" applyNumberFormat="1" applyFont="1" applyBorder="1" applyAlignment="1">
      <alignment horizontal="right" vertical="center"/>
    </xf>
    <xf numFmtId="2" fontId="23" fillId="0" borderId="4" xfId="0" applyNumberFormat="1" applyFont="1" applyBorder="1" applyAlignment="1">
      <alignment horizontal="right" vertical="center"/>
    </xf>
    <xf numFmtId="164" fontId="22" fillId="4" borderId="147" xfId="0" applyNumberFormat="1" applyFont="1" applyFill="1" applyBorder="1" applyAlignment="1">
      <alignment horizontal="right" vertical="center"/>
    </xf>
    <xf numFmtId="164" fontId="79" fillId="4" borderId="147" xfId="0" applyNumberFormat="1" applyFont="1" applyFill="1" applyBorder="1" applyAlignment="1">
      <alignment horizontal="right" vertical="center"/>
    </xf>
    <xf numFmtId="164" fontId="22" fillId="2" borderId="120" xfId="0" applyNumberFormat="1" applyFont="1" applyFill="1" applyBorder="1" applyAlignment="1">
      <alignment horizontal="right" vertical="center"/>
    </xf>
    <xf numFmtId="0" fontId="79" fillId="2" borderId="35" xfId="0" applyFont="1" applyFill="1" applyBorder="1" applyAlignment="1">
      <alignment horizontal="right" vertical="center"/>
    </xf>
    <xf numFmtId="1" fontId="23" fillId="0" borderId="38" xfId="0" applyNumberFormat="1" applyFont="1" applyBorder="1" applyAlignment="1">
      <alignment horizontal="right" vertical="center"/>
    </xf>
    <xf numFmtId="1" fontId="22" fillId="4" borderId="149" xfId="0" applyNumberFormat="1" applyFont="1" applyFill="1" applyBorder="1" applyAlignment="1">
      <alignment horizontal="right" vertical="center"/>
    </xf>
    <xf numFmtId="1" fontId="79" fillId="4" borderId="149" xfId="0" applyNumberFormat="1" applyFont="1" applyFill="1" applyBorder="1" applyAlignment="1">
      <alignment horizontal="right" vertical="center"/>
    </xf>
    <xf numFmtId="2" fontId="22" fillId="2" borderId="150" xfId="0" applyNumberFormat="1" applyFont="1" applyFill="1" applyBorder="1" applyAlignment="1">
      <alignment horizontal="right" vertical="center"/>
    </xf>
    <xf numFmtId="0" fontId="79" fillId="2" borderId="50" xfId="0" applyFont="1" applyFill="1" applyBorder="1" applyAlignment="1">
      <alignment horizontal="right" vertical="center"/>
    </xf>
    <xf numFmtId="1" fontId="23" fillId="0" borderId="53" xfId="0" applyNumberFormat="1" applyFont="1" applyBorder="1" applyAlignment="1">
      <alignment horizontal="right" vertical="center"/>
    </xf>
    <xf numFmtId="1" fontId="22" fillId="4" borderId="151" xfId="0" applyNumberFormat="1" applyFont="1" applyFill="1" applyBorder="1" applyAlignment="1">
      <alignment horizontal="right" vertical="center"/>
    </xf>
    <xf numFmtId="1" fontId="79" fillId="4" borderId="151" xfId="0" applyNumberFormat="1" applyFont="1" applyFill="1" applyBorder="1" applyAlignment="1">
      <alignment horizontal="right" vertical="center"/>
    </xf>
    <xf numFmtId="2" fontId="22" fillId="2" borderId="50" xfId="0" applyNumberFormat="1" applyFont="1" applyFill="1" applyBorder="1" applyAlignment="1">
      <alignment horizontal="right" vertical="center"/>
    </xf>
    <xf numFmtId="2" fontId="22" fillId="4" borderId="151" xfId="0" applyNumberFormat="1" applyFont="1" applyFill="1" applyBorder="1" applyAlignment="1">
      <alignment horizontal="right" vertical="center"/>
    </xf>
    <xf numFmtId="2" fontId="79" fillId="4" borderId="151" xfId="0" applyNumberFormat="1" applyFont="1" applyFill="1" applyBorder="1" applyAlignment="1">
      <alignment horizontal="right" vertical="center"/>
    </xf>
    <xf numFmtId="0" fontId="79" fillId="2" borderId="54" xfId="0" applyFont="1" applyFill="1" applyBorder="1" applyAlignment="1">
      <alignment horizontal="right" vertical="center"/>
    </xf>
    <xf numFmtId="2" fontId="23" fillId="0" borderId="57" xfId="0" applyNumberFormat="1" applyFont="1" applyBorder="1" applyAlignment="1">
      <alignment horizontal="right" vertical="center"/>
    </xf>
    <xf numFmtId="165" fontId="22" fillId="4" borderId="152" xfId="0" applyNumberFormat="1" applyFont="1" applyFill="1" applyBorder="1" applyAlignment="1">
      <alignment horizontal="right" vertical="center"/>
    </xf>
    <xf numFmtId="165" fontId="79" fillId="4" borderId="152" xfId="0" applyNumberFormat="1" applyFont="1" applyFill="1" applyBorder="1" applyAlignment="1">
      <alignment horizontal="right" vertical="center"/>
    </xf>
    <xf numFmtId="2" fontId="22" fillId="2" borderId="153" xfId="0" applyNumberFormat="1" applyFont="1" applyFill="1" applyBorder="1" applyAlignment="1">
      <alignment horizontal="right" vertical="center"/>
    </xf>
    <xf numFmtId="0" fontId="79" fillId="2" borderId="60" xfId="0" applyFont="1" applyFill="1" applyBorder="1" applyAlignment="1">
      <alignment horizontal="right" vertical="center"/>
    </xf>
    <xf numFmtId="2" fontId="79" fillId="0" borderId="97" xfId="0" applyNumberFormat="1" applyFont="1" applyBorder="1" applyAlignment="1">
      <alignment horizontal="right" vertical="center"/>
    </xf>
    <xf numFmtId="2" fontId="23" fillId="0" borderId="63" xfId="0" applyNumberFormat="1" applyFont="1" applyBorder="1" applyAlignment="1">
      <alignment horizontal="right" vertical="center"/>
    </xf>
    <xf numFmtId="165" fontId="22" fillId="4" borderId="154" xfId="0" applyNumberFormat="1" applyFont="1" applyFill="1" applyBorder="1" applyAlignment="1">
      <alignment horizontal="right" vertical="center"/>
    </xf>
    <xf numFmtId="165" fontId="79" fillId="4" borderId="154" xfId="0" applyNumberFormat="1" applyFont="1" applyFill="1" applyBorder="1" applyAlignment="1">
      <alignment horizontal="right" vertical="center"/>
    </xf>
    <xf numFmtId="2" fontId="22" fillId="2" borderId="123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2" fillId="0" borderId="161" xfId="0" applyFont="1" applyBorder="1" applyAlignment="1">
      <alignment horizontal="center" vertical="center"/>
    </xf>
    <xf numFmtId="2" fontId="80" fillId="0" borderId="21" xfId="0" applyNumberFormat="1" applyFont="1" applyBorder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/>
    </xf>
    <xf numFmtId="0" fontId="23" fillId="0" borderId="162" xfId="0" applyFont="1" applyBorder="1" applyAlignment="1">
      <alignment horizontal="center" vertical="center"/>
    </xf>
    <xf numFmtId="2" fontId="81" fillId="0" borderId="38" xfId="0" applyNumberFormat="1" applyFont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2" fontId="81" fillId="0" borderId="53" xfId="0" applyNumberFormat="1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2" fontId="81" fillId="0" borderId="57" xfId="0" applyNumberFormat="1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2" fontId="80" fillId="0" borderId="63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" fontId="23" fillId="0" borderId="4" xfId="0" applyNumberFormat="1" applyFont="1" applyBorder="1" applyAlignment="1">
      <alignment horizontal="right" vertical="center"/>
    </xf>
    <xf numFmtId="0" fontId="82" fillId="0" borderId="165" xfId="0" applyFont="1" applyBorder="1" applyAlignment="1">
      <alignment horizontal="right" vertical="center"/>
    </xf>
    <xf numFmtId="0" fontId="83" fillId="0" borderId="147" xfId="0" applyFont="1" applyBorder="1" applyAlignment="1">
      <alignment horizontal="center" vertical="center"/>
    </xf>
    <xf numFmtId="164" fontId="79" fillId="2" borderId="120" xfId="0" applyNumberFormat="1" applyFont="1" applyFill="1" applyBorder="1" applyAlignment="1">
      <alignment horizontal="right" vertical="center"/>
    </xf>
    <xf numFmtId="0" fontId="36" fillId="0" borderId="148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" fontId="22" fillId="0" borderId="38" xfId="0" applyNumberFormat="1" applyFont="1" applyBorder="1" applyAlignment="1">
      <alignment horizontal="right" vertical="center"/>
    </xf>
    <xf numFmtId="0" fontId="79" fillId="0" borderId="166" xfId="0" applyFont="1" applyBorder="1" applyAlignment="1">
      <alignment horizontal="right" vertical="center"/>
    </xf>
    <xf numFmtId="0" fontId="22" fillId="0" borderId="167" xfId="0" applyFont="1" applyBorder="1" applyAlignment="1">
      <alignment horizontal="center" vertical="center"/>
    </xf>
    <xf numFmtId="2" fontId="79" fillId="2" borderId="150" xfId="0" applyNumberFormat="1" applyFont="1" applyFill="1" applyBorder="1" applyAlignment="1">
      <alignment horizontal="right" vertical="center"/>
    </xf>
    <xf numFmtId="1" fontId="22" fillId="0" borderId="53" xfId="0" applyNumberFormat="1" applyFont="1" applyBorder="1" applyAlignment="1">
      <alignment horizontal="right" vertical="center"/>
    </xf>
    <xf numFmtId="0" fontId="79" fillId="0" borderId="110" xfId="0" applyFont="1" applyBorder="1" applyAlignment="1">
      <alignment horizontal="right" vertical="center"/>
    </xf>
    <xf numFmtId="0" fontId="22" fillId="0" borderId="168" xfId="0" applyFont="1" applyBorder="1" applyAlignment="1">
      <alignment horizontal="center" vertical="center"/>
    </xf>
    <xf numFmtId="2" fontId="79" fillId="2" borderId="50" xfId="0" applyNumberFormat="1" applyFont="1" applyFill="1" applyBorder="1" applyAlignment="1">
      <alignment horizontal="right" vertical="center"/>
    </xf>
    <xf numFmtId="2" fontId="22" fillId="0" borderId="57" xfId="0" applyNumberFormat="1" applyFont="1" applyBorder="1" applyAlignment="1">
      <alignment horizontal="right" vertical="center"/>
    </xf>
    <xf numFmtId="1" fontId="22" fillId="0" borderId="57" xfId="0" applyNumberFormat="1" applyFont="1" applyBorder="1" applyAlignment="1">
      <alignment horizontal="right" vertical="center"/>
    </xf>
    <xf numFmtId="0" fontId="79" fillId="0" borderId="169" xfId="0" applyFont="1" applyBorder="1" applyAlignment="1">
      <alignment horizontal="right" vertical="center"/>
    </xf>
    <xf numFmtId="0" fontId="22" fillId="0" borderId="170" xfId="0" applyFont="1" applyBorder="1" applyAlignment="1">
      <alignment horizontal="center" vertical="center"/>
    </xf>
    <xf numFmtId="2" fontId="79" fillId="2" borderId="153" xfId="0" applyNumberFormat="1" applyFont="1" applyFill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1" fontId="23" fillId="0" borderId="63" xfId="0" applyNumberFormat="1" applyFont="1" applyBorder="1" applyAlignment="1">
      <alignment horizontal="right" vertical="center"/>
    </xf>
    <xf numFmtId="0" fontId="82" fillId="0" borderId="171" xfId="0" applyFont="1" applyBorder="1" applyAlignment="1">
      <alignment horizontal="right" vertical="center"/>
    </xf>
    <xf numFmtId="0" fontId="83" fillId="0" borderId="154" xfId="0" applyFont="1" applyBorder="1" applyAlignment="1">
      <alignment horizontal="center" vertical="center"/>
    </xf>
    <xf numFmtId="2" fontId="79" fillId="2" borderId="123" xfId="0" applyNumberFormat="1" applyFont="1" applyFill="1" applyBorder="1" applyAlignment="1">
      <alignment horizontal="right" vertical="center"/>
    </xf>
    <xf numFmtId="164" fontId="32" fillId="0" borderId="172" xfId="0" applyNumberFormat="1" applyFont="1" applyBorder="1" applyAlignment="1">
      <alignment horizontal="center" vertical="center"/>
    </xf>
    <xf numFmtId="1" fontId="32" fillId="0" borderId="173" xfId="0" applyNumberFormat="1" applyFont="1" applyBorder="1" applyAlignment="1">
      <alignment horizontal="center" vertical="center"/>
    </xf>
    <xf numFmtId="2" fontId="32" fillId="0" borderId="173" xfId="0" applyNumberFormat="1" applyFont="1" applyBorder="1" applyAlignment="1">
      <alignment horizontal="center" vertical="center"/>
    </xf>
    <xf numFmtId="165" fontId="32" fillId="0" borderId="173" xfId="0" applyNumberFormat="1" applyFont="1" applyBorder="1" applyAlignment="1">
      <alignment horizontal="center" vertical="center"/>
    </xf>
    <xf numFmtId="2" fontId="84" fillId="0" borderId="91" xfId="0" applyNumberFormat="1" applyFont="1" applyBorder="1" applyAlignment="1">
      <alignment horizontal="center" vertical="center"/>
    </xf>
    <xf numFmtId="164" fontId="62" fillId="0" borderId="89" xfId="0" applyNumberFormat="1" applyFont="1" applyBorder="1" applyAlignment="1">
      <alignment horizontal="center" vertical="center"/>
    </xf>
    <xf numFmtId="165" fontId="62" fillId="0" borderId="90" xfId="0" applyNumberFormat="1" applyFont="1" applyBorder="1" applyAlignment="1">
      <alignment horizontal="center" vertical="center"/>
    </xf>
    <xf numFmtId="2" fontId="62" fillId="0" borderId="90" xfId="0" applyNumberFormat="1" applyFont="1" applyBorder="1" applyAlignment="1">
      <alignment horizontal="center" vertical="center"/>
    </xf>
    <xf numFmtId="0" fontId="84" fillId="0" borderId="93" xfId="0" applyFont="1" applyBorder="1" applyAlignment="1">
      <alignment horizontal="center" vertical="center"/>
    </xf>
    <xf numFmtId="0" fontId="36" fillId="0" borderId="156" xfId="0" applyFont="1" applyBorder="1" applyAlignment="1">
      <alignment horizontal="center" vertical="center"/>
    </xf>
    <xf numFmtId="0" fontId="31" fillId="0" borderId="157" xfId="0" applyFont="1" applyBorder="1" applyAlignment="1">
      <alignment horizontal="center" vertical="center"/>
    </xf>
    <xf numFmtId="0" fontId="62" fillId="0" borderId="93" xfId="0" applyFont="1" applyBorder="1" applyAlignment="1">
      <alignment horizontal="center" vertical="center"/>
    </xf>
    <xf numFmtId="166" fontId="32" fillId="0" borderId="174" xfId="0" applyNumberFormat="1" applyFont="1" applyBorder="1" applyAlignment="1">
      <alignment horizontal="center" vertical="center"/>
    </xf>
    <xf numFmtId="166" fontId="32" fillId="0" borderId="175" xfId="0" applyNumberFormat="1" applyFont="1" applyBorder="1" applyAlignment="1">
      <alignment horizontal="center" vertical="center"/>
    </xf>
    <xf numFmtId="0" fontId="62" fillId="0" borderId="176" xfId="0" applyFont="1" applyBorder="1" applyAlignment="1">
      <alignment horizontal="center" vertical="center"/>
    </xf>
    <xf numFmtId="164" fontId="22" fillId="2" borderId="102" xfId="0" applyNumberFormat="1" applyFont="1" applyFill="1" applyBorder="1" applyAlignment="1">
      <alignment horizontal="right" vertical="center"/>
    </xf>
    <xf numFmtId="2" fontId="63" fillId="0" borderId="83" xfId="0" applyNumberFormat="1" applyFont="1" applyBorder="1" applyAlignment="1">
      <alignment horizontal="right" vertical="center"/>
    </xf>
    <xf numFmtId="2" fontId="63" fillId="0" borderId="18" xfId="0" applyNumberFormat="1" applyFont="1" applyBorder="1" applyAlignment="1">
      <alignment horizontal="right" vertical="center"/>
    </xf>
    <xf numFmtId="2" fontId="22" fillId="2" borderId="122" xfId="0" applyNumberFormat="1" applyFont="1" applyFill="1" applyBorder="1" applyAlignment="1">
      <alignment horizontal="right" vertical="center"/>
    </xf>
    <xf numFmtId="0" fontId="23" fillId="0" borderId="68" xfId="0" applyFont="1" applyBorder="1" applyAlignment="1">
      <alignment horizontal="right" vertical="center"/>
    </xf>
    <xf numFmtId="49" fontId="85" fillId="0" borderId="91" xfId="0" applyNumberFormat="1" applyFont="1" applyBorder="1" applyAlignment="1">
      <alignment horizontal="center" vertical="center"/>
    </xf>
    <xf numFmtId="0" fontId="22" fillId="2" borderId="105" xfId="0" applyFont="1" applyFill="1" applyBorder="1" applyAlignment="1">
      <alignment horizontal="right" vertical="center"/>
    </xf>
    <xf numFmtId="1" fontId="63" fillId="0" borderId="36" xfId="0" applyNumberFormat="1" applyFont="1" applyBorder="1" applyAlignment="1">
      <alignment horizontal="right" vertical="center"/>
    </xf>
    <xf numFmtId="1" fontId="63" fillId="0" borderId="162" xfId="0" applyNumberFormat="1" applyFont="1" applyBorder="1" applyAlignment="1">
      <alignment horizontal="right" vertical="center"/>
    </xf>
    <xf numFmtId="2" fontId="22" fillId="2" borderId="158" xfId="0" applyNumberFormat="1" applyFont="1" applyFill="1" applyBorder="1" applyAlignment="1">
      <alignment horizontal="right" vertical="center"/>
    </xf>
    <xf numFmtId="0" fontId="23" fillId="0" borderId="159" xfId="0" applyFont="1" applyBorder="1" applyAlignment="1">
      <alignment horizontal="right" vertical="center"/>
    </xf>
    <xf numFmtId="167" fontId="37" fillId="2" borderId="64" xfId="0" applyNumberFormat="1" applyFont="1" applyFill="1" applyBorder="1" applyAlignment="1">
      <alignment horizontal="center" vertical="center"/>
    </xf>
    <xf numFmtId="167" fontId="37" fillId="8" borderId="98" xfId="0" applyNumberFormat="1" applyFont="1" applyFill="1" applyBorder="1" applyAlignment="1">
      <alignment horizontal="center" vertical="center"/>
    </xf>
    <xf numFmtId="0" fontId="86" fillId="8" borderId="65" xfId="0" applyFont="1" applyFill="1" applyBorder="1" applyAlignment="1">
      <alignment horizontal="center" vertical="center"/>
    </xf>
    <xf numFmtId="0" fontId="22" fillId="2" borderId="109" xfId="0" applyFont="1" applyFill="1" applyBorder="1" applyAlignment="1">
      <alignment horizontal="right" vertical="center"/>
    </xf>
    <xf numFmtId="1" fontId="63" fillId="0" borderId="51" xfId="0" applyNumberFormat="1" applyFont="1" applyBorder="1" applyAlignment="1">
      <alignment horizontal="right" vertical="center"/>
    </xf>
    <xf numFmtId="1" fontId="63" fillId="0" borderId="163" xfId="0" applyNumberFormat="1" applyFont="1" applyBorder="1" applyAlignment="1">
      <alignment horizontal="right" vertical="center"/>
    </xf>
    <xf numFmtId="2" fontId="22" fillId="2" borderId="118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horizontal="left" vertical="center"/>
    </xf>
    <xf numFmtId="2" fontId="63" fillId="0" borderId="51" xfId="0" applyNumberFormat="1" applyFont="1" applyBorder="1" applyAlignment="1">
      <alignment horizontal="right" vertical="center"/>
    </xf>
    <xf numFmtId="2" fontId="63" fillId="0" borderId="163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2" fillId="2" borderId="111" xfId="0" applyFont="1" applyFill="1" applyBorder="1" applyAlignment="1">
      <alignment horizontal="right" vertical="center"/>
    </xf>
    <xf numFmtId="2" fontId="63" fillId="0" borderId="55" xfId="0" applyNumberFormat="1" applyFont="1" applyBorder="1" applyAlignment="1">
      <alignment horizontal="right" vertical="center"/>
    </xf>
    <xf numFmtId="2" fontId="63" fillId="0" borderId="164" xfId="0" applyNumberFormat="1" applyFont="1" applyBorder="1" applyAlignment="1">
      <alignment horizontal="right" vertical="center"/>
    </xf>
    <xf numFmtId="2" fontId="22" fillId="2" borderId="160" xfId="0" applyNumberFormat="1" applyFont="1" applyFill="1" applyBorder="1" applyAlignment="1">
      <alignment horizontal="right" vertical="center"/>
    </xf>
    <xf numFmtId="0" fontId="1" fillId="0" borderId="0" xfId="0" applyFont="1"/>
    <xf numFmtId="0" fontId="87" fillId="0" borderId="0" xfId="0" applyFont="1"/>
    <xf numFmtId="0" fontId="88" fillId="0" borderId="0" xfId="0" applyFont="1" applyAlignment="1">
      <alignment vertical="center"/>
    </xf>
    <xf numFmtId="0" fontId="22" fillId="2" borderId="114" xfId="0" applyFont="1" applyFill="1" applyBorder="1" applyAlignment="1">
      <alignment horizontal="right" vertical="center"/>
    </xf>
    <xf numFmtId="2" fontId="63" fillId="0" borderId="97" xfId="0" applyNumberFormat="1" applyFont="1" applyBorder="1" applyAlignment="1">
      <alignment horizontal="right" vertical="center"/>
    </xf>
    <xf numFmtId="2" fontId="63" fillId="0" borderId="61" xfId="0" applyNumberFormat="1" applyFont="1" applyBorder="1" applyAlignment="1">
      <alignment horizontal="right" vertical="center"/>
    </xf>
    <xf numFmtId="2" fontId="22" fillId="2" borderId="125" xfId="0" applyNumberFormat="1" applyFont="1" applyFill="1" applyBorder="1" applyAlignment="1">
      <alignment horizontal="right" vertical="center"/>
    </xf>
    <xf numFmtId="0" fontId="23" fillId="0" borderId="81" xfId="0" applyFont="1" applyBorder="1" applyAlignment="1">
      <alignment horizontal="right" vertical="center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89" fillId="0" borderId="0" xfId="0" applyFont="1"/>
    <xf numFmtId="0" fontId="7" fillId="0" borderId="177" xfId="0" applyFont="1" applyBorder="1" applyAlignment="1">
      <alignment horizontal="right" vertical="center"/>
    </xf>
    <xf numFmtId="2" fontId="27" fillId="0" borderId="67" xfId="0" applyNumberFormat="1" applyFont="1" applyBorder="1" applyAlignment="1">
      <alignment horizontal="center" vertical="center"/>
    </xf>
    <xf numFmtId="2" fontId="27" fillId="0" borderId="68" xfId="0" applyNumberFormat="1" applyFont="1" applyBorder="1" applyAlignment="1">
      <alignment horizontal="center" vertical="center"/>
    </xf>
    <xf numFmtId="0" fontId="87" fillId="0" borderId="67" xfId="0" applyFont="1" applyBorder="1"/>
    <xf numFmtId="0" fontId="87" fillId="0" borderId="68" xfId="0" applyFont="1" applyBorder="1"/>
    <xf numFmtId="0" fontId="90" fillId="0" borderId="120" xfId="0" applyFont="1" applyBorder="1" applyAlignment="1">
      <alignment horizontal="right" vertical="center"/>
    </xf>
    <xf numFmtId="2" fontId="23" fillId="0" borderId="120" xfId="0" applyNumberFormat="1" applyFont="1" applyBorder="1" applyAlignment="1">
      <alignment horizontal="right" vertical="center"/>
    </xf>
    <xf numFmtId="0" fontId="91" fillId="0" borderId="0" xfId="0" applyFont="1"/>
    <xf numFmtId="2" fontId="7" fillId="0" borderId="120" xfId="0" applyNumberFormat="1" applyFont="1" applyBorder="1" applyAlignment="1">
      <alignment horizontal="right" vertical="center"/>
    </xf>
    <xf numFmtId="0" fontId="7" fillId="0" borderId="105" xfId="0" applyFont="1" applyBorder="1" applyAlignment="1">
      <alignment horizontal="right" vertical="center"/>
    </xf>
    <xf numFmtId="1" fontId="27" fillId="0" borderId="48" xfId="0" applyNumberFormat="1" applyFont="1" applyBorder="1" applyAlignment="1">
      <alignment horizontal="center" vertical="center"/>
    </xf>
    <xf numFmtId="1" fontId="27" fillId="0" borderId="49" xfId="0" applyNumberFormat="1" applyFont="1" applyBorder="1" applyAlignment="1">
      <alignment horizontal="center" vertical="center"/>
    </xf>
    <xf numFmtId="0" fontId="87" fillId="0" borderId="178" xfId="0" applyFont="1" applyBorder="1"/>
    <xf numFmtId="0" fontId="87" fillId="0" borderId="179" xfId="0" applyFont="1" applyBorder="1"/>
    <xf numFmtId="0" fontId="90" fillId="0" borderId="35" xfId="0" applyFont="1" applyBorder="1" applyAlignment="1">
      <alignment horizontal="right" vertical="center"/>
    </xf>
    <xf numFmtId="1" fontId="23" fillId="0" borderId="35" xfId="0" applyNumberFormat="1" applyFont="1" applyBorder="1" applyAlignment="1">
      <alignment horizontal="right" vertical="center"/>
    </xf>
    <xf numFmtId="1" fontId="7" fillId="0" borderId="35" xfId="0" applyNumberFormat="1" applyFont="1" applyBorder="1" applyAlignment="1">
      <alignment horizontal="right" vertical="center"/>
    </xf>
    <xf numFmtId="0" fontId="7" fillId="0" borderId="109" xfId="0" applyFont="1" applyBorder="1" applyAlignment="1">
      <alignment horizontal="right" vertical="center"/>
    </xf>
    <xf numFmtId="1" fontId="27" fillId="0" borderId="46" xfId="0" applyNumberFormat="1" applyFont="1" applyBorder="1" applyAlignment="1">
      <alignment horizontal="center" vertical="center"/>
    </xf>
    <xf numFmtId="1" fontId="27" fillId="0" borderId="47" xfId="0" applyNumberFormat="1" applyFont="1" applyBorder="1" applyAlignment="1">
      <alignment horizontal="center" vertical="center"/>
    </xf>
    <xf numFmtId="0" fontId="90" fillId="0" borderId="50" xfId="0" applyFont="1" applyBorder="1" applyAlignment="1">
      <alignment horizontal="right" vertical="center"/>
    </xf>
    <xf numFmtId="1" fontId="23" fillId="0" borderId="50" xfId="0" applyNumberFormat="1" applyFont="1" applyBorder="1" applyAlignment="1">
      <alignment horizontal="right" vertical="center"/>
    </xf>
    <xf numFmtId="1" fontId="7" fillId="0" borderId="50" xfId="0" applyNumberFormat="1" applyFont="1" applyBorder="1" applyAlignment="1">
      <alignment horizontal="right" vertical="center"/>
    </xf>
    <xf numFmtId="164" fontId="79" fillId="2" borderId="102" xfId="0" applyNumberFormat="1" applyFont="1" applyFill="1" applyBorder="1" applyAlignment="1">
      <alignment horizontal="right" vertical="center"/>
    </xf>
    <xf numFmtId="2" fontId="27" fillId="0" borderId="46" xfId="0" applyNumberFormat="1" applyFont="1" applyBorder="1" applyAlignment="1">
      <alignment horizontal="center" vertical="center"/>
    </xf>
    <xf numFmtId="2" fontId="27" fillId="0" borderId="47" xfId="0" applyNumberFormat="1" applyFont="1" applyBorder="1" applyAlignment="1">
      <alignment horizontal="center" vertical="center"/>
    </xf>
    <xf numFmtId="0" fontId="92" fillId="0" borderId="50" xfId="0" applyFont="1" applyBorder="1" applyAlignment="1">
      <alignment horizontal="right" vertical="center"/>
    </xf>
    <xf numFmtId="2" fontId="23" fillId="0" borderId="50" xfId="0" applyNumberFormat="1" applyFont="1" applyBorder="1" applyAlignment="1">
      <alignment horizontal="right" vertical="center"/>
    </xf>
    <xf numFmtId="2" fontId="7" fillId="0" borderId="50" xfId="0" applyNumberFormat="1" applyFont="1" applyBorder="1" applyAlignment="1">
      <alignment horizontal="right" vertical="center"/>
    </xf>
    <xf numFmtId="0" fontId="79" fillId="2" borderId="105" xfId="0" applyFont="1" applyFill="1" applyBorder="1" applyAlignment="1">
      <alignment horizontal="right" vertical="center"/>
    </xf>
    <xf numFmtId="0" fontId="7" fillId="0" borderId="111" xfId="0" applyFont="1" applyBorder="1" applyAlignment="1">
      <alignment horizontal="right" vertical="center"/>
    </xf>
    <xf numFmtId="165" fontId="27" fillId="0" borderId="58" xfId="0" applyNumberFormat="1" applyFont="1" applyBorder="1" applyAlignment="1">
      <alignment horizontal="center" vertical="center"/>
    </xf>
    <xf numFmtId="165" fontId="27" fillId="0" borderId="59" xfId="0" applyNumberFormat="1" applyFont="1" applyBorder="1" applyAlignment="1">
      <alignment horizontal="center" vertical="center"/>
    </xf>
    <xf numFmtId="0" fontId="92" fillId="0" borderId="54" xfId="0" applyFont="1" applyBorder="1" applyAlignment="1">
      <alignment horizontal="right" vertical="center"/>
    </xf>
    <xf numFmtId="165" fontId="23" fillId="0" borderId="54" xfId="0" applyNumberFormat="1" applyFont="1" applyBorder="1" applyAlignment="1">
      <alignment horizontal="right" vertical="center"/>
    </xf>
    <xf numFmtId="165" fontId="7" fillId="0" borderId="54" xfId="0" applyNumberFormat="1" applyFont="1" applyBorder="1" applyAlignment="1">
      <alignment horizontal="right" vertical="center"/>
    </xf>
    <xf numFmtId="0" fontId="79" fillId="2" borderId="109" xfId="0" applyFont="1" applyFill="1" applyBorder="1" applyAlignment="1">
      <alignment horizontal="right" vertical="center"/>
    </xf>
    <xf numFmtId="0" fontId="7" fillId="0" borderId="180" xfId="0" applyFont="1" applyBorder="1" applyAlignment="1">
      <alignment horizontal="right" vertical="center"/>
    </xf>
    <xf numFmtId="165" fontId="27" fillId="0" borderId="80" xfId="0" applyNumberFormat="1" applyFont="1" applyBorder="1" applyAlignment="1">
      <alignment horizontal="center" vertical="center"/>
    </xf>
    <xf numFmtId="165" fontId="27" fillId="0" borderId="81" xfId="0" applyNumberFormat="1" applyFont="1" applyBorder="1" applyAlignment="1">
      <alignment horizontal="center" vertical="center"/>
    </xf>
    <xf numFmtId="0" fontId="87" fillId="0" borderId="80" xfId="0" applyFont="1" applyBorder="1"/>
    <xf numFmtId="0" fontId="87" fillId="0" borderId="81" xfId="0" applyFont="1" applyBorder="1"/>
    <xf numFmtId="0" fontId="90" fillId="0" borderId="123" xfId="0" applyFont="1" applyBorder="1" applyAlignment="1">
      <alignment horizontal="right" vertical="center"/>
    </xf>
    <xf numFmtId="165" fontId="23" fillId="0" borderId="123" xfId="0" applyNumberFormat="1" applyFont="1" applyBorder="1" applyAlignment="1">
      <alignment horizontal="right" vertical="center"/>
    </xf>
    <xf numFmtId="165" fontId="7" fillId="0" borderId="123" xfId="0" applyNumberFormat="1" applyFont="1" applyBorder="1" applyAlignment="1">
      <alignment horizontal="right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79" fillId="2" borderId="111" xfId="0" applyFont="1" applyFill="1" applyBorder="1" applyAlignment="1">
      <alignment horizontal="right" vertical="center"/>
    </xf>
    <xf numFmtId="0" fontId="93" fillId="0" borderId="0" xfId="0" applyFont="1"/>
    <xf numFmtId="0" fontId="79" fillId="2" borderId="114" xfId="0" applyFont="1" applyFill="1" applyBorder="1" applyAlignment="1">
      <alignment horizontal="right" vertical="center"/>
    </xf>
    <xf numFmtId="0" fontId="95" fillId="0" borderId="14" xfId="0" applyFont="1" applyBorder="1" applyAlignment="1">
      <alignment horizontal="center" vertical="center"/>
    </xf>
    <xf numFmtId="0" fontId="95" fillId="0" borderId="15" xfId="0" applyFont="1" applyBorder="1" applyAlignment="1">
      <alignment horizontal="center" vertical="center"/>
    </xf>
    <xf numFmtId="2" fontId="79" fillId="0" borderId="58" xfId="0" applyNumberFormat="1" applyFont="1" applyBorder="1" applyAlignment="1">
      <alignment horizontal="center" vertical="center"/>
    </xf>
    <xf numFmtId="2" fontId="79" fillId="0" borderId="59" xfId="0" applyNumberFormat="1" applyFont="1" applyBorder="1" applyAlignment="1">
      <alignment horizontal="center" vertical="center"/>
    </xf>
    <xf numFmtId="1" fontId="23" fillId="0" borderId="57" xfId="0" applyNumberFormat="1" applyFont="1" applyBorder="1" applyAlignment="1">
      <alignment horizontal="right" vertical="center"/>
    </xf>
    <xf numFmtId="2" fontId="96" fillId="2" borderId="122" xfId="0" applyNumberFormat="1" applyFont="1" applyFill="1" applyBorder="1" applyAlignment="1">
      <alignment horizontal="right" vertical="center"/>
    </xf>
    <xf numFmtId="2" fontId="96" fillId="2" borderId="158" xfId="0" applyNumberFormat="1" applyFont="1" applyFill="1" applyBorder="1" applyAlignment="1">
      <alignment horizontal="right" vertical="center"/>
    </xf>
    <xf numFmtId="2" fontId="96" fillId="2" borderId="118" xfId="0" applyNumberFormat="1" applyFont="1" applyFill="1" applyBorder="1" applyAlignment="1">
      <alignment horizontal="right" vertical="center"/>
    </xf>
    <xf numFmtId="2" fontId="96" fillId="2" borderId="160" xfId="0" applyNumberFormat="1" applyFont="1" applyFill="1" applyBorder="1" applyAlignment="1">
      <alignment horizontal="right" vertical="center"/>
    </xf>
    <xf numFmtId="2" fontId="96" fillId="2" borderId="125" xfId="0" applyNumberFormat="1" applyFont="1" applyFill="1" applyBorder="1" applyAlignment="1">
      <alignment horizontal="right" vertical="center"/>
    </xf>
    <xf numFmtId="49" fontId="17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181" xfId="0" applyFont="1" applyBorder="1" applyAlignment="1">
      <alignment vertical="center"/>
    </xf>
    <xf numFmtId="0" fontId="36" fillId="0" borderId="182" xfId="0" applyFont="1" applyBorder="1" applyAlignment="1">
      <alignment vertical="center"/>
    </xf>
    <xf numFmtId="2" fontId="23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126" xfId="0" applyFont="1" applyBorder="1" applyAlignment="1">
      <alignment horizontal="right" vertical="center"/>
    </xf>
    <xf numFmtId="49" fontId="10" fillId="0" borderId="1" xfId="0" applyNumberFormat="1" applyFont="1" applyBorder="1" applyAlignment="1">
      <alignment horizontal="center" vertical="center"/>
    </xf>
    <xf numFmtId="0" fontId="7" fillId="0" borderId="15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8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49" fontId="10" fillId="2" borderId="1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79" fillId="0" borderId="20" xfId="0" applyFont="1" applyBorder="1" applyAlignment="1">
      <alignment horizontal="right" vertical="center"/>
    </xf>
    <xf numFmtId="2" fontId="1" fillId="0" borderId="30" xfId="0" applyNumberFormat="1" applyFont="1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2" fontId="23" fillId="2" borderId="33" xfId="0" applyNumberFormat="1" applyFont="1" applyFill="1" applyBorder="1" applyAlignment="1">
      <alignment horizontal="right" vertical="center"/>
    </xf>
    <xf numFmtId="2" fontId="22" fillId="0" borderId="34" xfId="0" applyNumberFormat="1" applyFont="1" applyBorder="1" applyAlignment="1">
      <alignment horizontal="center" vertical="center"/>
    </xf>
    <xf numFmtId="168" fontId="17" fillId="0" borderId="1" xfId="0" applyNumberFormat="1" applyFont="1" applyBorder="1" applyAlignment="1">
      <alignment horizontal="center" vertical="center"/>
    </xf>
    <xf numFmtId="2" fontId="1" fillId="0" borderId="46" xfId="0" applyNumberFormat="1" applyFont="1" applyBorder="1" applyAlignment="1">
      <alignment horizontal="center" vertical="center"/>
    </xf>
    <xf numFmtId="2" fontId="3" fillId="0" borderId="47" xfId="0" applyNumberFormat="1" applyFont="1" applyBorder="1" applyAlignment="1">
      <alignment horizontal="center" vertical="center"/>
    </xf>
    <xf numFmtId="1" fontId="23" fillId="2" borderId="48" xfId="0" applyNumberFormat="1" applyFont="1" applyFill="1" applyBorder="1" applyAlignment="1">
      <alignment horizontal="right" vertical="center"/>
    </xf>
    <xf numFmtId="2" fontId="22" fillId="0" borderId="49" xfId="0" applyNumberFormat="1" applyFont="1" applyBorder="1" applyAlignment="1">
      <alignment horizontal="center" vertical="center"/>
    </xf>
    <xf numFmtId="1" fontId="23" fillId="2" borderId="46" xfId="0" applyNumberFormat="1" applyFont="1" applyFill="1" applyBorder="1" applyAlignment="1">
      <alignment horizontal="right" vertical="center"/>
    </xf>
    <xf numFmtId="2" fontId="22" fillId="0" borderId="47" xfId="0" applyNumberFormat="1" applyFont="1" applyBorder="1" applyAlignment="1">
      <alignment horizontal="center" vertical="center"/>
    </xf>
    <xf numFmtId="2" fontId="23" fillId="2" borderId="46" xfId="0" applyNumberFormat="1" applyFont="1" applyFill="1" applyBorder="1" applyAlignment="1">
      <alignment horizontal="right" vertical="center"/>
    </xf>
    <xf numFmtId="165" fontId="23" fillId="2" borderId="58" xfId="0" applyNumberFormat="1" applyFont="1" applyFill="1" applyBorder="1" applyAlignment="1">
      <alignment horizontal="right" vertical="center"/>
    </xf>
    <xf numFmtId="2" fontId="22" fillId="0" borderId="59" xfId="0" applyNumberFormat="1" applyFont="1" applyBorder="1" applyAlignment="1">
      <alignment horizontal="center" vertical="center"/>
    </xf>
    <xf numFmtId="165" fontId="23" fillId="2" borderId="64" xfId="0" applyNumberFormat="1" applyFont="1" applyFill="1" applyBorder="1" applyAlignment="1">
      <alignment horizontal="right" vertical="center"/>
    </xf>
    <xf numFmtId="2" fontId="22" fillId="0" borderId="65" xfId="0" applyNumberFormat="1" applyFont="1" applyBorder="1" applyAlignment="1">
      <alignment horizontal="center" vertical="center"/>
    </xf>
    <xf numFmtId="2" fontId="1" fillId="0" borderId="78" xfId="0" applyNumberFormat="1" applyFont="1" applyBorder="1" applyAlignment="1">
      <alignment horizontal="center" vertical="center"/>
    </xf>
    <xf numFmtId="2" fontId="3" fillId="0" borderId="79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4" fillId="0" borderId="13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0" borderId="148" xfId="0" applyFont="1" applyBorder="1" applyAlignment="1">
      <alignment horizontal="center" vertical="center"/>
    </xf>
    <xf numFmtId="0" fontId="74" fillId="0" borderId="14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74" fillId="0" borderId="114" xfId="0" applyFont="1" applyBorder="1" applyAlignment="1">
      <alignment horizontal="center" vertical="center"/>
    </xf>
    <xf numFmtId="0" fontId="1" fillId="0" borderId="155" xfId="0" applyFont="1" applyBorder="1" applyAlignment="1">
      <alignment horizontal="center" vertical="center"/>
    </xf>
    <xf numFmtId="0" fontId="2" fillId="0" borderId="156" xfId="0" applyFont="1" applyBorder="1" applyAlignment="1">
      <alignment horizontal="center" vertical="center"/>
    </xf>
    <xf numFmtId="0" fontId="7" fillId="0" borderId="157" xfId="0" applyFont="1" applyBorder="1" applyAlignment="1">
      <alignment horizontal="center" vertical="center"/>
    </xf>
    <xf numFmtId="0" fontId="2" fillId="0" borderId="157" xfId="0" applyFont="1" applyBorder="1" applyAlignment="1">
      <alignment horizontal="center" vertical="center"/>
    </xf>
    <xf numFmtId="0" fontId="1" fillId="0" borderId="157" xfId="0" applyFont="1" applyBorder="1" applyAlignment="1">
      <alignment horizontal="center" vertical="center"/>
    </xf>
    <xf numFmtId="0" fontId="74" fillId="0" borderId="156" xfId="0" applyFont="1" applyBorder="1" applyAlignment="1">
      <alignment horizontal="center" vertical="center"/>
    </xf>
    <xf numFmtId="0" fontId="77" fillId="0" borderId="13" xfId="0" applyFont="1" applyBorder="1" applyAlignment="1">
      <alignment horizontal="center" vertical="center"/>
    </xf>
    <xf numFmtId="0" fontId="57" fillId="0" borderId="82" xfId="0" applyFont="1" applyBorder="1" applyAlignment="1">
      <alignment horizontal="center" vertical="center"/>
    </xf>
    <xf numFmtId="0" fontId="58" fillId="0" borderId="148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77" fillId="0" borderId="14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77" fillId="0" borderId="114" xfId="0" applyFont="1" applyBorder="1" applyAlignment="1">
      <alignment horizontal="center" vertical="center"/>
    </xf>
    <xf numFmtId="0" fontId="57" fillId="0" borderId="155" xfId="0" applyFont="1" applyBorder="1" applyAlignment="1">
      <alignment horizontal="center" vertical="center"/>
    </xf>
    <xf numFmtId="0" fontId="58" fillId="0" borderId="156" xfId="0" applyFont="1" applyBorder="1" applyAlignment="1">
      <alignment horizontal="center" vertical="center"/>
    </xf>
    <xf numFmtId="0" fontId="59" fillId="0" borderId="157" xfId="0" applyFont="1" applyBorder="1" applyAlignment="1">
      <alignment horizontal="center" vertical="center"/>
    </xf>
    <xf numFmtId="0" fontId="58" fillId="0" borderId="157" xfId="0" applyFont="1" applyBorder="1" applyAlignment="1">
      <alignment horizontal="center" vertical="center"/>
    </xf>
    <xf numFmtId="0" fontId="57" fillId="0" borderId="157" xfId="0" applyFont="1" applyBorder="1" applyAlignment="1">
      <alignment horizontal="center" vertical="center"/>
    </xf>
    <xf numFmtId="0" fontId="77" fillId="0" borderId="15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7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97" fillId="0" borderId="127" xfId="0" applyFont="1" applyBorder="1" applyAlignment="1">
      <alignment horizontal="center" vertical="center"/>
    </xf>
    <xf numFmtId="2" fontId="36" fillId="3" borderId="128" xfId="0" applyNumberFormat="1" applyFont="1" applyFill="1" applyBorder="1" applyAlignment="1">
      <alignment horizontal="center"/>
    </xf>
    <xf numFmtId="2" fontId="31" fillId="3" borderId="130" xfId="0" applyNumberFormat="1" applyFont="1" applyFill="1" applyBorder="1" applyAlignment="1">
      <alignment horizontal="center"/>
    </xf>
    <xf numFmtId="2" fontId="36" fillId="3" borderId="132" xfId="0" applyNumberFormat="1" applyFont="1" applyFill="1" applyBorder="1" applyAlignment="1">
      <alignment horizontal="center"/>
    </xf>
    <xf numFmtId="0" fontId="1" fillId="0" borderId="29" xfId="0" applyFont="1" applyBorder="1"/>
    <xf numFmtId="2" fontId="1" fillId="0" borderId="30" xfId="0" applyNumberFormat="1" applyFont="1" applyBorder="1" applyAlignment="1">
      <alignment horizontal="center"/>
    </xf>
    <xf numFmtId="2" fontId="3" fillId="0" borderId="3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2" fontId="1" fillId="0" borderId="0" xfId="0" applyNumberFormat="1" applyFont="1"/>
    <xf numFmtId="168" fontId="94" fillId="0" borderId="1" xfId="0" applyNumberFormat="1" applyFont="1" applyBorder="1" applyAlignment="1">
      <alignment horizontal="center"/>
    </xf>
    <xf numFmtId="0" fontId="97" fillId="0" borderId="109" xfId="0" applyFont="1" applyBorder="1" applyAlignment="1">
      <alignment horizontal="center"/>
    </xf>
    <xf numFmtId="2" fontId="55" fillId="3" borderId="109" xfId="0" applyNumberFormat="1" applyFont="1" applyFill="1" applyBorder="1" applyAlignment="1">
      <alignment horizontal="center"/>
    </xf>
    <xf numFmtId="2" fontId="36" fillId="3" borderId="134" xfId="0" applyNumberFormat="1" applyFont="1" applyFill="1" applyBorder="1" applyAlignment="1">
      <alignment horizontal="center"/>
    </xf>
    <xf numFmtId="2" fontId="31" fillId="3" borderId="135" xfId="0" applyNumberFormat="1" applyFont="1" applyFill="1" applyBorder="1" applyAlignment="1">
      <alignment horizontal="center"/>
    </xf>
    <xf numFmtId="2" fontId="31" fillId="3" borderId="136" xfId="0" applyNumberFormat="1" applyFont="1" applyFill="1" applyBorder="1" applyAlignment="1">
      <alignment horizontal="center"/>
    </xf>
    <xf numFmtId="2" fontId="31" fillId="3" borderId="137" xfId="0" applyNumberFormat="1" applyFont="1" applyFill="1" applyBorder="1" applyAlignment="1">
      <alignment horizontal="center"/>
    </xf>
    <xf numFmtId="2" fontId="36" fillId="3" borderId="138" xfId="0" applyNumberFormat="1" applyFont="1" applyFill="1" applyBorder="1" applyAlignment="1">
      <alignment horizontal="center"/>
    </xf>
    <xf numFmtId="2" fontId="55" fillId="3" borderId="139" xfId="0" applyNumberFormat="1" applyFont="1" applyFill="1" applyBorder="1" applyAlignment="1">
      <alignment horizontal="center"/>
    </xf>
    <xf numFmtId="2" fontId="1" fillId="0" borderId="46" xfId="0" applyNumberFormat="1" applyFont="1" applyBorder="1" applyAlignment="1">
      <alignment horizontal="center"/>
    </xf>
    <xf numFmtId="2" fontId="3" fillId="0" borderId="47" xfId="0" applyNumberFormat="1" applyFont="1" applyBorder="1" applyAlignment="1">
      <alignment horizontal="center"/>
    </xf>
    <xf numFmtId="0" fontId="97" fillId="0" borderId="140" xfId="0" applyFont="1" applyBorder="1" applyAlignment="1">
      <alignment horizontal="center"/>
    </xf>
    <xf numFmtId="2" fontId="55" fillId="3" borderId="140" xfId="0" applyNumberFormat="1" applyFont="1" applyFill="1" applyBorder="1" applyAlignment="1">
      <alignment horizontal="center"/>
    </xf>
    <xf numFmtId="2" fontId="36" fillId="3" borderId="141" xfId="0" applyNumberFormat="1" applyFont="1" applyFill="1" applyBorder="1" applyAlignment="1">
      <alignment horizontal="center"/>
    </xf>
    <xf numFmtId="2" fontId="31" fillId="3" borderId="142" xfId="0" applyNumberFormat="1" applyFont="1" applyFill="1" applyBorder="1" applyAlignment="1">
      <alignment horizontal="center"/>
    </xf>
    <xf numFmtId="2" fontId="31" fillId="3" borderId="143" xfId="0" applyNumberFormat="1" applyFont="1" applyFill="1" applyBorder="1" applyAlignment="1">
      <alignment horizontal="center"/>
    </xf>
    <xf numFmtId="2" fontId="10" fillId="3" borderId="143" xfId="0" applyNumberFormat="1" applyFont="1" applyFill="1" applyBorder="1" applyAlignment="1">
      <alignment horizontal="center"/>
    </xf>
    <xf numFmtId="2" fontId="31" fillId="3" borderId="144" xfId="0" applyNumberFormat="1" applyFont="1" applyFill="1" applyBorder="1" applyAlignment="1">
      <alignment horizontal="center"/>
    </xf>
    <xf numFmtId="2" fontId="36" fillId="3" borderId="145" xfId="0" applyNumberFormat="1" applyFont="1" applyFill="1" applyBorder="1" applyAlignment="1">
      <alignment horizontal="center"/>
    </xf>
    <xf numFmtId="2" fontId="55" fillId="3" borderId="146" xfId="0" applyNumberFormat="1" applyFont="1" applyFill="1" applyBorder="1" applyAlignment="1">
      <alignment horizontal="center"/>
    </xf>
    <xf numFmtId="0" fontId="1" fillId="0" borderId="66" xfId="0" applyFont="1" applyBorder="1"/>
    <xf numFmtId="2" fontId="1" fillId="0" borderId="78" xfId="0" applyNumberFormat="1" applyFont="1" applyBorder="1" applyAlignment="1">
      <alignment horizontal="center"/>
    </xf>
    <xf numFmtId="2" fontId="3" fillId="0" borderId="79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4" fillId="0" borderId="5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4" fillId="0" borderId="11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" fillId="0" borderId="127" xfId="0" applyFont="1" applyBorder="1" applyAlignment="1">
      <alignment horizontal="center" vertical="center"/>
    </xf>
    <xf numFmtId="0" fontId="74" fillId="0" borderId="13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2" fillId="0" borderId="148" xfId="0" applyFont="1" applyBorder="1" applyAlignment="1">
      <alignment horizontal="center"/>
    </xf>
    <xf numFmtId="0" fontId="74" fillId="0" borderId="14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09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0" borderId="140" xfId="0" applyFont="1" applyBorder="1" applyAlignment="1">
      <alignment horizontal="center" vertical="center"/>
    </xf>
    <xf numFmtId="0" fontId="74" fillId="0" borderId="114" xfId="0" applyFont="1" applyBorder="1" applyAlignment="1">
      <alignment horizontal="center"/>
    </xf>
    <xf numFmtId="0" fontId="1" fillId="0" borderId="155" xfId="0" applyFont="1" applyBorder="1" applyAlignment="1">
      <alignment horizontal="center"/>
    </xf>
    <xf numFmtId="0" fontId="2" fillId="0" borderId="156" xfId="0" applyFont="1" applyBorder="1" applyAlignment="1">
      <alignment horizontal="center"/>
    </xf>
    <xf numFmtId="0" fontId="7" fillId="0" borderId="157" xfId="0" applyFont="1" applyBorder="1" applyAlignment="1">
      <alignment horizontal="center"/>
    </xf>
    <xf numFmtId="0" fontId="2" fillId="0" borderId="157" xfId="0" applyFont="1" applyBorder="1" applyAlignment="1">
      <alignment horizontal="center"/>
    </xf>
    <xf numFmtId="0" fontId="1" fillId="0" borderId="157" xfId="0" applyFont="1" applyBorder="1" applyAlignment="1">
      <alignment horizontal="center"/>
    </xf>
    <xf numFmtId="0" fontId="74" fillId="0" borderId="156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77" fillId="0" borderId="5" xfId="0" applyFont="1" applyBorder="1" applyAlignment="1">
      <alignment horizontal="center"/>
    </xf>
    <xf numFmtId="0" fontId="57" fillId="0" borderId="6" xfId="0" applyFont="1" applyBorder="1" applyAlignment="1">
      <alignment horizontal="center"/>
    </xf>
    <xf numFmtId="0" fontId="58" fillId="0" borderId="11" xfId="0" applyFont="1" applyBorder="1" applyAlignment="1">
      <alignment horizontal="center"/>
    </xf>
    <xf numFmtId="0" fontId="59" fillId="0" borderId="10" xfId="0" applyFont="1" applyBorder="1" applyAlignment="1">
      <alignment horizontal="center"/>
    </xf>
    <xf numFmtId="0" fontId="58" fillId="0" borderId="10" xfId="0" applyFont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77" fillId="0" borderId="11" xfId="0" applyFont="1" applyBorder="1" applyAlignment="1">
      <alignment horizontal="center"/>
    </xf>
    <xf numFmtId="0" fontId="57" fillId="0" borderId="82" xfId="0" applyFont="1" applyBorder="1" applyAlignment="1">
      <alignment horizontal="center"/>
    </xf>
    <xf numFmtId="0" fontId="58" fillId="0" borderId="148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1" fillId="0" borderId="79" xfId="0" applyFont="1" applyBorder="1" applyAlignment="1">
      <alignment horizontal="center"/>
    </xf>
    <xf numFmtId="0" fontId="57" fillId="0" borderId="155" xfId="0" applyFont="1" applyBorder="1" applyAlignment="1">
      <alignment horizontal="center"/>
    </xf>
    <xf numFmtId="0" fontId="58" fillId="0" borderId="156" xfId="0" applyFont="1" applyBorder="1" applyAlignment="1">
      <alignment horizontal="center"/>
    </xf>
    <xf numFmtId="0" fontId="59" fillId="0" borderId="157" xfId="0" applyFont="1" applyBorder="1" applyAlignment="1">
      <alignment horizontal="center"/>
    </xf>
    <xf numFmtId="0" fontId="58" fillId="0" borderId="157" xfId="0" applyFont="1" applyBorder="1" applyAlignment="1">
      <alignment horizontal="center"/>
    </xf>
    <xf numFmtId="0" fontId="57" fillId="0" borderId="157" xfId="0" applyFont="1" applyBorder="1" applyAlignment="1">
      <alignment horizont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126" xfId="0" applyFont="1" applyBorder="1" applyAlignment="1">
      <alignment horizontal="right" vertical="center"/>
    </xf>
    <xf numFmtId="0" fontId="7" fillId="4" borderId="184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10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2" fontId="1" fillId="0" borderId="185" xfId="0" applyNumberFormat="1" applyFont="1" applyBorder="1" applyAlignment="1">
      <alignment horizontal="right" vertical="center"/>
    </xf>
    <xf numFmtId="2" fontId="1" fillId="0" borderId="186" xfId="0" applyNumberFormat="1" applyFont="1" applyBorder="1" applyAlignment="1">
      <alignment horizontal="right" vertical="center"/>
    </xf>
    <xf numFmtId="0" fontId="1" fillId="0" borderId="187" xfId="0" applyFont="1" applyBorder="1" applyAlignment="1">
      <alignment horizontal="right" vertical="center"/>
    </xf>
    <xf numFmtId="2" fontId="1" fillId="0" borderId="188" xfId="0" applyNumberFormat="1" applyFont="1" applyBorder="1" applyAlignment="1">
      <alignment horizontal="right" vertical="center"/>
    </xf>
    <xf numFmtId="164" fontId="1" fillId="0" borderId="189" xfId="0" applyNumberFormat="1" applyFont="1" applyBorder="1" applyAlignment="1">
      <alignment horizontal="right" vertical="center"/>
    </xf>
    <xf numFmtId="0" fontId="1" fillId="0" borderId="165" xfId="0" applyFont="1" applyBorder="1" applyAlignment="1">
      <alignment horizontal="right" vertical="center"/>
    </xf>
    <xf numFmtId="0" fontId="16" fillId="0" borderId="190" xfId="0" applyFont="1" applyBorder="1" applyAlignment="1">
      <alignment horizontal="center"/>
    </xf>
    <xf numFmtId="0" fontId="16" fillId="0" borderId="147" xfId="0" applyFont="1" applyBorder="1" applyAlignment="1">
      <alignment horizontal="center"/>
    </xf>
    <xf numFmtId="1" fontId="1" fillId="0" borderId="163" xfId="0" applyNumberFormat="1" applyFont="1" applyBorder="1" applyAlignment="1">
      <alignment horizontal="right" vertical="center"/>
    </xf>
    <xf numFmtId="1" fontId="1" fillId="0" borderId="52" xfId="0" applyNumberFormat="1" applyFont="1" applyBorder="1" applyAlignment="1">
      <alignment horizontal="right" vertical="center"/>
    </xf>
    <xf numFmtId="1" fontId="1" fillId="0" borderId="53" xfId="0" applyNumberFormat="1" applyFont="1" applyBorder="1" applyAlignment="1">
      <alignment horizontal="right" vertical="center"/>
    </xf>
    <xf numFmtId="2" fontId="1" fillId="0" borderId="191" xfId="0" applyNumberFormat="1" applyFont="1" applyBorder="1" applyAlignment="1">
      <alignment horizontal="right" vertical="center"/>
    </xf>
    <xf numFmtId="0" fontId="1" fillId="0" borderId="166" xfId="0" applyFont="1" applyBorder="1" applyAlignment="1">
      <alignment horizontal="right" vertical="center"/>
    </xf>
    <xf numFmtId="0" fontId="7" fillId="0" borderId="192" xfId="0" applyFont="1" applyBorder="1" applyAlignment="1">
      <alignment horizontal="center"/>
    </xf>
    <xf numFmtId="0" fontId="7" fillId="0" borderId="167" xfId="0" applyFont="1" applyBorder="1" applyAlignment="1">
      <alignment horizontal="center"/>
    </xf>
    <xf numFmtId="0" fontId="1" fillId="0" borderId="110" xfId="0" applyFont="1" applyBorder="1" applyAlignment="1">
      <alignment horizontal="right" vertical="center"/>
    </xf>
    <xf numFmtId="0" fontId="7" fillId="0" borderId="137" xfId="0" applyFont="1" applyBorder="1" applyAlignment="1">
      <alignment horizontal="center"/>
    </xf>
    <xf numFmtId="0" fontId="7" fillId="0" borderId="168" xfId="0" applyFont="1" applyBorder="1" applyAlignment="1">
      <alignment horizontal="center"/>
    </xf>
    <xf numFmtId="2" fontId="1" fillId="0" borderId="163" xfId="0" applyNumberFormat="1" applyFont="1" applyBorder="1" applyAlignment="1">
      <alignment horizontal="right" vertical="center"/>
    </xf>
    <xf numFmtId="2" fontId="1" fillId="0" borderId="52" xfId="0" applyNumberFormat="1" applyFont="1" applyBorder="1" applyAlignment="1">
      <alignment horizontal="right" vertical="center"/>
    </xf>
    <xf numFmtId="0" fontId="1" fillId="0" borderId="52" xfId="0" applyFont="1" applyBorder="1" applyAlignment="1">
      <alignment horizontal="right" vertical="center"/>
    </xf>
    <xf numFmtId="0" fontId="1" fillId="0" borderId="53" xfId="0" applyFont="1" applyBorder="1" applyAlignment="1">
      <alignment horizontal="right" vertical="center"/>
    </xf>
    <xf numFmtId="0" fontId="1" fillId="0" borderId="169" xfId="0" applyFont="1" applyBorder="1" applyAlignment="1">
      <alignment horizontal="right" vertical="center"/>
    </xf>
    <xf numFmtId="0" fontId="7" fillId="0" borderId="193" xfId="0" applyFont="1" applyBorder="1" applyAlignment="1">
      <alignment horizontal="center"/>
    </xf>
    <xf numFmtId="0" fontId="7" fillId="0" borderId="170" xfId="0" applyFont="1" applyBorder="1" applyAlignment="1">
      <alignment horizontal="center"/>
    </xf>
    <xf numFmtId="2" fontId="1" fillId="0" borderId="194" xfId="0" applyNumberFormat="1" applyFont="1" applyBorder="1" applyAlignment="1">
      <alignment horizontal="right" vertical="center"/>
    </xf>
    <xf numFmtId="2" fontId="1" fillId="0" borderId="195" xfId="0" applyNumberFormat="1" applyFont="1" applyBorder="1" applyAlignment="1">
      <alignment horizontal="right" vertical="center"/>
    </xf>
    <xf numFmtId="0" fontId="1" fillId="0" borderId="195" xfId="0" applyFont="1" applyBorder="1" applyAlignment="1">
      <alignment horizontal="right" vertical="center"/>
    </xf>
    <xf numFmtId="0" fontId="1" fillId="0" borderId="196" xfId="0" applyFont="1" applyBorder="1" applyAlignment="1">
      <alignment horizontal="right" vertical="center"/>
    </xf>
    <xf numFmtId="2" fontId="1" fillId="0" borderId="197" xfId="0" applyNumberFormat="1" applyFont="1" applyBorder="1" applyAlignment="1">
      <alignment horizontal="right" vertical="center"/>
    </xf>
    <xf numFmtId="0" fontId="1" fillId="0" borderId="171" xfId="0" applyFont="1" applyBorder="1" applyAlignment="1">
      <alignment horizontal="right" vertical="center"/>
    </xf>
    <xf numFmtId="0" fontId="16" fillId="0" borderId="198" xfId="0" applyFont="1" applyBorder="1" applyAlignment="1">
      <alignment horizontal="center"/>
    </xf>
    <xf numFmtId="0" fontId="16" fillId="0" borderId="154" xfId="0" applyFont="1" applyBorder="1" applyAlignment="1">
      <alignment horizontal="center"/>
    </xf>
    <xf numFmtId="0" fontId="1" fillId="0" borderId="0" xfId="0" applyFont="1" applyAlignment="1">
      <alignment horizontal="right"/>
    </xf>
    <xf numFmtId="49" fontId="7" fillId="0" borderId="1" xfId="0" applyNumberFormat="1" applyFont="1" applyBorder="1" applyAlignment="1">
      <alignment horizontal="right" vertical="center"/>
    </xf>
    <xf numFmtId="0" fontId="7" fillId="0" borderId="70" xfId="0" applyFont="1" applyBorder="1" applyAlignment="1">
      <alignment horizontal="center"/>
    </xf>
    <xf numFmtId="0" fontId="7" fillId="4" borderId="15" xfId="0" applyFont="1" applyFill="1" applyBorder="1" applyAlignment="1">
      <alignment horizontal="center" vertical="center"/>
    </xf>
    <xf numFmtId="0" fontId="7" fillId="0" borderId="1" xfId="0" applyFont="1" applyBorder="1"/>
    <xf numFmtId="0" fontId="2" fillId="0" borderId="165" xfId="0" applyFont="1" applyBorder="1" applyAlignment="1">
      <alignment horizontal="right" vertical="center"/>
    </xf>
    <xf numFmtId="164" fontId="7" fillId="4" borderId="199" xfId="0" applyNumberFormat="1" applyFont="1" applyFill="1" applyBorder="1" applyAlignment="1">
      <alignment horizontal="right" vertical="center"/>
    </xf>
    <xf numFmtId="164" fontId="10" fillId="4" borderId="147" xfId="0" applyNumberFormat="1" applyFont="1" applyFill="1" applyBorder="1" applyAlignment="1">
      <alignment horizontal="right" vertical="center"/>
    </xf>
    <xf numFmtId="164" fontId="2" fillId="0" borderId="32" xfId="0" applyNumberFormat="1" applyFont="1" applyBorder="1" applyAlignment="1">
      <alignment horizontal="right" vertical="center"/>
    </xf>
    <xf numFmtId="2" fontId="98" fillId="0" borderId="33" xfId="0" applyNumberFormat="1" applyFont="1" applyBorder="1" applyAlignment="1">
      <alignment horizontal="center" vertical="center"/>
    </xf>
    <xf numFmtId="2" fontId="98" fillId="0" borderId="84" xfId="0" applyNumberFormat="1" applyFont="1" applyBorder="1" applyAlignment="1">
      <alignment horizontal="center" vertical="center"/>
    </xf>
    <xf numFmtId="2" fontId="16" fillId="4" borderId="34" xfId="0" applyNumberFormat="1" applyFont="1" applyFill="1" applyBorder="1" applyAlignment="1">
      <alignment horizontal="center" vertical="center"/>
    </xf>
    <xf numFmtId="0" fontId="16" fillId="0" borderId="20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/>
    </xf>
    <xf numFmtId="2" fontId="97" fillId="0" borderId="21" xfId="0" applyNumberFormat="1" applyFont="1" applyBorder="1" applyAlignment="1">
      <alignment horizontal="center"/>
    </xf>
    <xf numFmtId="0" fontId="2" fillId="0" borderId="166" xfId="0" applyFont="1" applyBorder="1" applyAlignment="1">
      <alignment horizontal="right" vertical="center"/>
    </xf>
    <xf numFmtId="1" fontId="7" fillId="4" borderId="151" xfId="0" applyNumberFormat="1" applyFont="1" applyFill="1" applyBorder="1" applyAlignment="1">
      <alignment horizontal="right" vertical="center"/>
    </xf>
    <xf numFmtId="1" fontId="10" fillId="4" borderId="149" xfId="0" applyNumberFormat="1" applyFont="1" applyFill="1" applyBorder="1" applyAlignment="1">
      <alignment horizontal="right" vertical="center"/>
    </xf>
    <xf numFmtId="2" fontId="2" fillId="0" borderId="149" xfId="0" applyNumberFormat="1" applyFont="1" applyBorder="1" applyAlignment="1">
      <alignment horizontal="right" vertical="center"/>
    </xf>
    <xf numFmtId="2" fontId="1" fillId="0" borderId="48" xfId="0" applyNumberFormat="1" applyFont="1" applyBorder="1" applyAlignment="1">
      <alignment horizontal="center" vertical="center"/>
    </xf>
    <xf numFmtId="2" fontId="1" fillId="0" borderId="117" xfId="0" applyNumberFormat="1" applyFont="1" applyBorder="1" applyAlignment="1">
      <alignment horizontal="center" vertical="center"/>
    </xf>
    <xf numFmtId="2" fontId="1" fillId="4" borderId="49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/>
    </xf>
    <xf numFmtId="2" fontId="99" fillId="0" borderId="38" xfId="0" applyNumberFormat="1" applyFont="1" applyBorder="1" applyAlignment="1">
      <alignment horizontal="center"/>
    </xf>
    <xf numFmtId="0" fontId="2" fillId="0" borderId="110" xfId="0" applyFont="1" applyBorder="1" applyAlignment="1">
      <alignment horizontal="right" vertical="center"/>
    </xf>
    <xf numFmtId="1" fontId="10" fillId="4" borderId="151" xfId="0" applyNumberFormat="1" applyFont="1" applyFill="1" applyBorder="1" applyAlignment="1">
      <alignment horizontal="right" vertical="center"/>
    </xf>
    <xf numFmtId="2" fontId="2" fillId="0" borderId="191" xfId="0" applyNumberFormat="1" applyFont="1" applyBorder="1" applyAlignment="1">
      <alignment horizontal="right" vertical="center"/>
    </xf>
    <xf numFmtId="2" fontId="1" fillId="0" borderId="118" xfId="0" applyNumberFormat="1" applyFont="1" applyBorder="1" applyAlignment="1">
      <alignment horizontal="center" vertical="center"/>
    </xf>
    <xf numFmtId="2" fontId="1" fillId="4" borderId="47" xfId="0" applyNumberFormat="1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/>
    </xf>
    <xf numFmtId="2" fontId="99" fillId="0" borderId="53" xfId="0" applyNumberFormat="1" applyFont="1" applyBorder="1" applyAlignment="1">
      <alignment horizontal="center"/>
    </xf>
    <xf numFmtId="2" fontId="7" fillId="4" borderId="151" xfId="0" applyNumberFormat="1" applyFont="1" applyFill="1" applyBorder="1" applyAlignment="1">
      <alignment horizontal="right" vertical="center"/>
    </xf>
    <xf numFmtId="2" fontId="10" fillId="4" borderId="151" xfId="0" applyNumberFormat="1" applyFont="1" applyFill="1" applyBorder="1" applyAlignment="1">
      <alignment horizontal="right" vertical="center"/>
    </xf>
    <xf numFmtId="0" fontId="2" fillId="0" borderId="169" xfId="0" applyFont="1" applyBorder="1" applyAlignment="1">
      <alignment horizontal="right" vertical="center"/>
    </xf>
    <xf numFmtId="165" fontId="7" fillId="4" borderId="151" xfId="0" applyNumberFormat="1" applyFont="1" applyFill="1" applyBorder="1" applyAlignment="1">
      <alignment horizontal="right" vertical="center"/>
    </xf>
    <xf numFmtId="165" fontId="10" fillId="4" borderId="152" xfId="0" applyNumberFormat="1" applyFont="1" applyFill="1" applyBorder="1" applyAlignment="1">
      <alignment horizontal="right" vertical="center"/>
    </xf>
    <xf numFmtId="2" fontId="2" fillId="0" borderId="152" xfId="0" applyNumberFormat="1" applyFont="1" applyBorder="1" applyAlignment="1">
      <alignment horizontal="right" vertical="center"/>
    </xf>
    <xf numFmtId="2" fontId="1" fillId="0" borderId="58" xfId="0" applyNumberFormat="1" applyFont="1" applyBorder="1" applyAlignment="1">
      <alignment horizontal="center" vertical="center"/>
    </xf>
    <xf numFmtId="2" fontId="1" fillId="0" borderId="119" xfId="0" applyNumberFormat="1" applyFont="1" applyBorder="1" applyAlignment="1">
      <alignment horizontal="center" vertical="center"/>
    </xf>
    <xf numFmtId="2" fontId="1" fillId="4" borderId="59" xfId="0" applyNumberFormat="1" applyFont="1" applyFill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/>
    </xf>
    <xf numFmtId="2" fontId="99" fillId="0" borderId="57" xfId="0" applyNumberFormat="1" applyFont="1" applyBorder="1" applyAlignment="1">
      <alignment horizontal="center"/>
    </xf>
    <xf numFmtId="0" fontId="2" fillId="0" borderId="171" xfId="0" applyFont="1" applyBorder="1" applyAlignment="1">
      <alignment horizontal="right" vertical="center"/>
    </xf>
    <xf numFmtId="165" fontId="7" fillId="4" borderId="201" xfId="0" applyNumberFormat="1" applyFont="1" applyFill="1" applyBorder="1" applyAlignment="1">
      <alignment horizontal="right" vertical="center"/>
    </xf>
    <xf numFmtId="165" fontId="10" fillId="4" borderId="154" xfId="0" applyNumberFormat="1" applyFont="1" applyFill="1" applyBorder="1" applyAlignment="1">
      <alignment horizontal="right" vertical="center"/>
    </xf>
    <xf numFmtId="2" fontId="2" fillId="0" borderId="60" xfId="0" applyNumberFormat="1" applyFont="1" applyBorder="1" applyAlignment="1">
      <alignment horizontal="right" vertical="center"/>
    </xf>
    <xf numFmtId="2" fontId="98" fillId="0" borderId="64" xfId="0" applyNumberFormat="1" applyFont="1" applyBorder="1" applyAlignment="1">
      <alignment horizontal="center" vertical="center"/>
    </xf>
    <xf numFmtId="2" fontId="98" fillId="0" borderId="98" xfId="0" applyNumberFormat="1" applyFont="1" applyBorder="1" applyAlignment="1">
      <alignment horizontal="center" vertical="center"/>
    </xf>
    <xf numFmtId="2" fontId="16" fillId="4" borderId="65" xfId="0" applyNumberFormat="1" applyFont="1" applyFill="1" applyBorder="1" applyAlignment="1">
      <alignment horizontal="center" vertical="center"/>
    </xf>
    <xf numFmtId="0" fontId="16" fillId="0" borderId="9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/>
    </xf>
    <xf numFmtId="2" fontId="97" fillId="0" borderId="63" xfId="0" applyNumberFormat="1" applyFont="1" applyBorder="1" applyAlignment="1">
      <alignment horizontal="center"/>
    </xf>
    <xf numFmtId="1" fontId="7" fillId="0" borderId="120" xfId="0" applyNumberFormat="1" applyFont="1" applyBorder="1" applyAlignment="1">
      <alignment horizontal="center"/>
    </xf>
    <xf numFmtId="2" fontId="7" fillId="0" borderId="121" xfId="0" applyNumberFormat="1" applyFont="1" applyBorder="1" applyAlignment="1">
      <alignment horizontal="center"/>
    </xf>
    <xf numFmtId="2" fontId="7" fillId="0" borderId="122" xfId="0" applyNumberFormat="1" applyFont="1" applyBorder="1" applyAlignment="1">
      <alignment horizontal="center"/>
    </xf>
    <xf numFmtId="2" fontId="7" fillId="0" borderId="68" xfId="0" applyNumberFormat="1" applyFont="1" applyBorder="1" applyAlignment="1">
      <alignment horizontal="center"/>
    </xf>
    <xf numFmtId="164" fontId="36" fillId="2" borderId="165" xfId="0" applyNumberFormat="1" applyFont="1" applyFill="1" applyBorder="1" applyAlignment="1">
      <alignment horizontal="right" vertical="center"/>
    </xf>
    <xf numFmtId="2" fontId="54" fillId="0" borderId="18" xfId="0" applyNumberFormat="1" applyFont="1" applyBorder="1" applyAlignment="1">
      <alignment horizontal="right" vertical="center"/>
    </xf>
    <xf numFmtId="2" fontId="31" fillId="0" borderId="19" xfId="0" applyNumberFormat="1" applyFont="1" applyBorder="1" applyAlignment="1">
      <alignment horizontal="right" vertical="center"/>
    </xf>
    <xf numFmtId="2" fontId="54" fillId="0" borderId="19" xfId="0" applyNumberFormat="1" applyFont="1" applyBorder="1" applyAlignment="1">
      <alignment horizontal="right" vertical="center"/>
    </xf>
    <xf numFmtId="2" fontId="31" fillId="0" borderId="21" xfId="0" applyNumberFormat="1" applyFont="1" applyBorder="1" applyAlignment="1">
      <alignment horizontal="right" vertical="center"/>
    </xf>
    <xf numFmtId="2" fontId="36" fillId="2" borderId="122" xfId="0" applyNumberFormat="1" applyFont="1" applyFill="1" applyBorder="1" applyAlignment="1">
      <alignment horizontal="right" vertical="center"/>
    </xf>
    <xf numFmtId="1" fontId="7" fillId="0" borderId="123" xfId="0" applyNumberFormat="1" applyFont="1" applyBorder="1" applyAlignment="1">
      <alignment horizontal="center"/>
    </xf>
    <xf numFmtId="2" fontId="11" fillId="0" borderId="124" xfId="0" applyNumberFormat="1" applyFont="1" applyBorder="1" applyAlignment="1">
      <alignment horizontal="center"/>
    </xf>
    <xf numFmtId="2" fontId="11" fillId="0" borderId="125" xfId="0" applyNumberFormat="1" applyFont="1" applyBorder="1" applyAlignment="1">
      <alignment horizontal="center"/>
    </xf>
    <xf numFmtId="2" fontId="11" fillId="0" borderId="81" xfId="0" applyNumberFormat="1" applyFont="1" applyBorder="1" applyAlignment="1">
      <alignment horizontal="center"/>
    </xf>
    <xf numFmtId="0" fontId="36" fillId="2" borderId="166" xfId="0" applyFont="1" applyFill="1" applyBorder="1" applyAlignment="1">
      <alignment horizontal="right" vertical="center"/>
    </xf>
    <xf numFmtId="1" fontId="54" fillId="0" borderId="162" xfId="0" applyNumberFormat="1" applyFont="1" applyBorder="1" applyAlignment="1">
      <alignment horizontal="right" vertical="center"/>
    </xf>
    <xf numFmtId="1" fontId="31" fillId="0" borderId="37" xfId="0" applyNumberFormat="1" applyFont="1" applyBorder="1" applyAlignment="1">
      <alignment horizontal="right" vertical="center"/>
    </xf>
    <xf numFmtId="1" fontId="54" fillId="0" borderId="37" xfId="0" applyNumberFormat="1" applyFont="1" applyBorder="1" applyAlignment="1">
      <alignment horizontal="right" vertical="center"/>
    </xf>
    <xf numFmtId="2" fontId="36" fillId="2" borderId="158" xfId="0" applyNumberFormat="1" applyFont="1" applyFill="1" applyBorder="1" applyAlignment="1">
      <alignment horizontal="right" vertical="center"/>
    </xf>
    <xf numFmtId="0" fontId="36" fillId="2" borderId="110" xfId="0" applyFont="1" applyFill="1" applyBorder="1" applyAlignment="1">
      <alignment horizontal="right" vertical="center"/>
    </xf>
    <xf numFmtId="1" fontId="54" fillId="0" borderId="163" xfId="0" applyNumberFormat="1" applyFont="1" applyBorder="1" applyAlignment="1">
      <alignment horizontal="right" vertical="center"/>
    </xf>
    <xf numFmtId="1" fontId="31" fillId="0" borderId="52" xfId="0" applyNumberFormat="1" applyFont="1" applyBorder="1" applyAlignment="1">
      <alignment horizontal="right" vertical="center"/>
    </xf>
    <xf numFmtId="1" fontId="54" fillId="0" borderId="52" xfId="0" applyNumberFormat="1" applyFont="1" applyBorder="1" applyAlignment="1">
      <alignment horizontal="right" vertical="center"/>
    </xf>
    <xf numFmtId="2" fontId="36" fillId="2" borderId="118" xfId="0" applyNumberFormat="1" applyFont="1" applyFill="1" applyBorder="1" applyAlignment="1">
      <alignment horizontal="right" vertical="center"/>
    </xf>
    <xf numFmtId="2" fontId="54" fillId="0" borderId="163" xfId="0" applyNumberFormat="1" applyFont="1" applyBorder="1" applyAlignment="1">
      <alignment horizontal="right" vertical="center"/>
    </xf>
    <xf numFmtId="2" fontId="54" fillId="0" borderId="52" xfId="0" applyNumberFormat="1" applyFont="1" applyBorder="1" applyAlignment="1">
      <alignment horizontal="right" vertical="center"/>
    </xf>
    <xf numFmtId="0" fontId="31" fillId="0" borderId="53" xfId="0" applyFont="1" applyBorder="1" applyAlignment="1">
      <alignment horizontal="right" vertical="center"/>
    </xf>
    <xf numFmtId="0" fontId="36" fillId="2" borderId="169" xfId="0" applyFont="1" applyFill="1" applyBorder="1" applyAlignment="1">
      <alignment horizontal="right" vertical="center"/>
    </xf>
    <xf numFmtId="2" fontId="54" fillId="0" borderId="164" xfId="0" applyNumberFormat="1" applyFont="1" applyBorder="1" applyAlignment="1">
      <alignment horizontal="right" vertical="center"/>
    </xf>
    <xf numFmtId="2" fontId="31" fillId="0" borderId="56" xfId="0" applyNumberFormat="1" applyFont="1" applyBorder="1" applyAlignment="1">
      <alignment horizontal="right" vertical="center"/>
    </xf>
    <xf numFmtId="2" fontId="54" fillId="0" borderId="56" xfId="0" applyNumberFormat="1" applyFont="1" applyBorder="1" applyAlignment="1">
      <alignment horizontal="right" vertical="center"/>
    </xf>
    <xf numFmtId="0" fontId="31" fillId="0" borderId="57" xfId="0" applyFont="1" applyBorder="1" applyAlignment="1">
      <alignment horizontal="right" vertical="center"/>
    </xf>
    <xf numFmtId="2" fontId="36" fillId="2" borderId="160" xfId="0" applyNumberFormat="1" applyFont="1" applyFill="1" applyBorder="1" applyAlignment="1">
      <alignment horizontal="right" vertical="center"/>
    </xf>
    <xf numFmtId="0" fontId="36" fillId="2" borderId="171" xfId="0" applyFont="1" applyFill="1" applyBorder="1" applyAlignment="1">
      <alignment horizontal="right" vertical="center"/>
    </xf>
    <xf numFmtId="2" fontId="54" fillId="0" borderId="61" xfId="0" applyNumberFormat="1" applyFont="1" applyBorder="1" applyAlignment="1">
      <alignment horizontal="right" vertical="center"/>
    </xf>
    <xf numFmtId="2" fontId="31" fillId="0" borderId="62" xfId="0" applyNumberFormat="1" applyFont="1" applyBorder="1" applyAlignment="1">
      <alignment horizontal="right" vertical="center"/>
    </xf>
    <xf numFmtId="2" fontId="54" fillId="0" borderId="62" xfId="0" applyNumberFormat="1" applyFont="1" applyBorder="1" applyAlignment="1">
      <alignment horizontal="right" vertical="center"/>
    </xf>
    <xf numFmtId="0" fontId="31" fillId="0" borderId="63" xfId="0" applyFont="1" applyBorder="1" applyAlignment="1">
      <alignment horizontal="right" vertical="center"/>
    </xf>
    <xf numFmtId="2" fontId="36" fillId="2" borderId="125" xfId="0" applyNumberFormat="1" applyFont="1" applyFill="1" applyBorder="1" applyAlignment="1">
      <alignment horizontal="right" vertical="center"/>
    </xf>
    <xf numFmtId="2" fontId="97" fillId="0" borderId="0" xfId="0" applyNumberFormat="1" applyFont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2" fontId="99" fillId="0" borderId="0" xfId="0" applyNumberFormat="1" applyFont="1" applyAlignment="1">
      <alignment horizontal="center" vertical="center"/>
    </xf>
    <xf numFmtId="2" fontId="33" fillId="0" borderId="33" xfId="0" applyNumberFormat="1" applyFont="1" applyBorder="1" applyAlignment="1">
      <alignment horizontal="center" vertical="center"/>
    </xf>
    <xf numFmtId="2" fontId="33" fillId="0" borderId="84" xfId="0" applyNumberFormat="1" applyFont="1" applyBorder="1" applyAlignment="1">
      <alignment horizontal="center" vertical="center"/>
    </xf>
    <xf numFmtId="2" fontId="33" fillId="0" borderId="34" xfId="0" applyNumberFormat="1" applyFont="1" applyBorder="1" applyAlignment="1">
      <alignment horizontal="center" vertical="center"/>
    </xf>
    <xf numFmtId="2" fontId="2" fillId="0" borderId="48" xfId="0" applyNumberFormat="1" applyFont="1" applyBorder="1" applyAlignment="1">
      <alignment horizontal="center" vertical="center"/>
    </xf>
    <xf numFmtId="2" fontId="2" fillId="0" borderId="117" xfId="0" applyNumberFormat="1" applyFont="1" applyBorder="1" applyAlignment="1">
      <alignment horizontal="center" vertical="center"/>
    </xf>
    <xf numFmtId="2" fontId="2" fillId="0" borderId="49" xfId="0" applyNumberFormat="1" applyFont="1" applyBorder="1" applyAlignment="1">
      <alignment horizontal="center" vertical="center"/>
    </xf>
    <xf numFmtId="2" fontId="2" fillId="0" borderId="118" xfId="0" applyNumberFormat="1" applyFont="1" applyBorder="1" applyAlignment="1">
      <alignment horizontal="center" vertical="center"/>
    </xf>
    <xf numFmtId="2" fontId="2" fillId="0" borderId="47" xfId="0" applyNumberFormat="1" applyFont="1" applyBorder="1" applyAlignment="1">
      <alignment horizontal="center" vertical="center"/>
    </xf>
    <xf numFmtId="2" fontId="2" fillId="0" borderId="58" xfId="0" applyNumberFormat="1" applyFont="1" applyBorder="1" applyAlignment="1">
      <alignment horizontal="center" vertical="center"/>
    </xf>
    <xf numFmtId="2" fontId="2" fillId="0" borderId="119" xfId="0" applyNumberFormat="1" applyFont="1" applyBorder="1" applyAlignment="1">
      <alignment horizontal="center" vertical="center"/>
    </xf>
    <xf numFmtId="2" fontId="2" fillId="0" borderId="59" xfId="0" applyNumberFormat="1" applyFont="1" applyBorder="1" applyAlignment="1">
      <alignment horizontal="center" vertical="center"/>
    </xf>
    <xf numFmtId="2" fontId="33" fillId="0" borderId="64" xfId="0" applyNumberFormat="1" applyFont="1" applyBorder="1" applyAlignment="1">
      <alignment horizontal="center" vertical="center"/>
    </xf>
    <xf numFmtId="2" fontId="33" fillId="0" borderId="98" xfId="0" applyNumberFormat="1" applyFont="1" applyBorder="1" applyAlignment="1">
      <alignment horizontal="center" vertical="center"/>
    </xf>
    <xf numFmtId="2" fontId="33" fillId="0" borderId="65" xfId="0" applyNumberFormat="1" applyFont="1" applyBorder="1" applyAlignment="1">
      <alignment horizontal="center" vertical="center"/>
    </xf>
    <xf numFmtId="2" fontId="7" fillId="0" borderId="121" xfId="0" applyNumberFormat="1" applyFont="1" applyBorder="1" applyAlignment="1">
      <alignment horizontal="center" vertical="center"/>
    </xf>
    <xf numFmtId="2" fontId="7" fillId="0" borderId="122" xfId="0" applyNumberFormat="1" applyFont="1" applyBorder="1" applyAlignment="1">
      <alignment horizontal="center" vertical="center"/>
    </xf>
    <xf numFmtId="2" fontId="7" fillId="0" borderId="68" xfId="0" applyNumberFormat="1" applyFont="1" applyBorder="1" applyAlignment="1">
      <alignment horizontal="center" vertical="center"/>
    </xf>
    <xf numFmtId="2" fontId="32" fillId="0" borderId="124" xfId="0" applyNumberFormat="1" applyFont="1" applyBorder="1" applyAlignment="1">
      <alignment horizontal="center" vertical="center"/>
    </xf>
    <xf numFmtId="2" fontId="32" fillId="0" borderId="125" xfId="0" applyNumberFormat="1" applyFont="1" applyBorder="1" applyAlignment="1">
      <alignment horizontal="center" vertical="center"/>
    </xf>
    <xf numFmtId="2" fontId="32" fillId="0" borderId="81" xfId="0" applyNumberFormat="1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" fillId="0" borderId="20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7" fillId="0" borderId="20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20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205" xfId="0" applyFont="1" applyBorder="1" applyAlignment="1">
      <alignment horizontal="center" vertical="center"/>
    </xf>
    <xf numFmtId="0" fontId="1" fillId="0" borderId="189" xfId="0" applyFont="1" applyBorder="1" applyAlignment="1">
      <alignment horizontal="right" vertical="center"/>
    </xf>
    <xf numFmtId="0" fontId="1" fillId="0" borderId="206" xfId="0" applyFont="1" applyBorder="1" applyAlignment="1">
      <alignment horizontal="center" vertical="center"/>
    </xf>
    <xf numFmtId="2" fontId="3" fillId="0" borderId="30" xfId="0" applyNumberFormat="1" applyFont="1" applyBorder="1" applyAlignment="1">
      <alignment horizontal="center" vertical="center"/>
    </xf>
    <xf numFmtId="0" fontId="1" fillId="0" borderId="133" xfId="0" applyFont="1" applyBorder="1" applyAlignment="1">
      <alignment horizontal="center"/>
    </xf>
    <xf numFmtId="2" fontId="1" fillId="0" borderId="207" xfId="0" applyNumberFormat="1" applyFont="1" applyBorder="1" applyAlignment="1">
      <alignment horizontal="center" vertical="center"/>
    </xf>
    <xf numFmtId="0" fontId="1" fillId="0" borderId="187" xfId="0" applyFont="1" applyBorder="1" applyAlignment="1">
      <alignment horizontal="center"/>
    </xf>
    <xf numFmtId="2" fontId="1" fillId="0" borderId="187" xfId="0" applyNumberFormat="1" applyFont="1" applyBorder="1" applyAlignment="1">
      <alignment horizontal="center" vertical="center"/>
    </xf>
    <xf numFmtId="2" fontId="1" fillId="0" borderId="208" xfId="0" applyNumberFormat="1" applyFont="1" applyBorder="1" applyAlignment="1">
      <alignment horizontal="center" vertical="center"/>
    </xf>
    <xf numFmtId="0" fontId="1" fillId="0" borderId="132" xfId="0" applyFont="1" applyBorder="1" applyAlignment="1">
      <alignment horizontal="center"/>
    </xf>
    <xf numFmtId="2" fontId="100" fillId="0" borderId="31" xfId="0" applyNumberFormat="1" applyFont="1" applyBorder="1" applyAlignment="1">
      <alignment horizontal="center" vertical="center"/>
    </xf>
    <xf numFmtId="0" fontId="1" fillId="0" borderId="88" xfId="0" applyFont="1" applyBorder="1"/>
    <xf numFmtId="0" fontId="1" fillId="0" borderId="53" xfId="0" applyFont="1" applyBorder="1" applyAlignment="1">
      <alignment horizontal="center" vertical="center"/>
    </xf>
    <xf numFmtId="0" fontId="1" fillId="0" borderId="191" xfId="0" applyFont="1" applyBorder="1" applyAlignment="1">
      <alignment horizontal="right" vertical="center"/>
    </xf>
    <xf numFmtId="0" fontId="1" fillId="0" borderId="50" xfId="0" applyFont="1" applyBorder="1" applyAlignment="1">
      <alignment horizontal="center"/>
    </xf>
    <xf numFmtId="2" fontId="3" fillId="0" borderId="46" xfId="0" applyNumberFormat="1" applyFont="1" applyBorder="1" applyAlignment="1">
      <alignment horizontal="center"/>
    </xf>
    <xf numFmtId="0" fontId="1" fillId="0" borderId="139" xfId="0" applyFont="1" applyBorder="1" applyAlignment="1">
      <alignment horizontal="center"/>
    </xf>
    <xf numFmtId="2" fontId="1" fillId="0" borderId="209" xfId="0" applyNumberFormat="1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2" fontId="1" fillId="0" borderId="52" xfId="0" applyNumberFormat="1" applyFont="1" applyBorder="1" applyAlignment="1">
      <alignment horizontal="center"/>
    </xf>
    <xf numFmtId="2" fontId="1" fillId="0" borderId="210" xfId="0" applyNumberFormat="1" applyFont="1" applyBorder="1" applyAlignment="1">
      <alignment horizontal="center"/>
    </xf>
    <xf numFmtId="0" fontId="1" fillId="0" borderId="138" xfId="0" applyFont="1" applyBorder="1" applyAlignment="1">
      <alignment horizontal="center"/>
    </xf>
    <xf numFmtId="2" fontId="101" fillId="0" borderId="47" xfId="0" applyNumberFormat="1" applyFont="1" applyBorder="1" applyAlignment="1">
      <alignment horizontal="center"/>
    </xf>
    <xf numFmtId="0" fontId="1" fillId="0" borderId="92" xfId="0" applyFont="1" applyBorder="1"/>
    <xf numFmtId="2" fontId="100" fillId="0" borderId="46" xfId="0" applyNumberFormat="1" applyFont="1" applyBorder="1" applyAlignment="1">
      <alignment horizontal="center"/>
    </xf>
    <xf numFmtId="2" fontId="99" fillId="0" borderId="52" xfId="0" applyNumberFormat="1" applyFont="1" applyBorder="1" applyAlignment="1">
      <alignment horizontal="center"/>
    </xf>
    <xf numFmtId="2" fontId="100" fillId="0" borderId="47" xfId="0" applyNumberFormat="1" applyFont="1" applyBorder="1" applyAlignment="1">
      <alignment horizontal="center"/>
    </xf>
    <xf numFmtId="2" fontId="7" fillId="0" borderId="46" xfId="0" applyNumberFormat="1" applyFont="1" applyBorder="1" applyAlignment="1">
      <alignment horizontal="center"/>
    </xf>
    <xf numFmtId="2" fontId="11" fillId="0" borderId="47" xfId="0" applyNumberFormat="1" applyFont="1" applyBorder="1" applyAlignment="1">
      <alignment horizontal="center"/>
    </xf>
    <xf numFmtId="164" fontId="7" fillId="4" borderId="151" xfId="0" applyNumberFormat="1" applyFont="1" applyFill="1" applyBorder="1" applyAlignment="1">
      <alignment horizontal="right" vertical="center"/>
    </xf>
    <xf numFmtId="2" fontId="102" fillId="0" borderId="209" xfId="0" applyNumberFormat="1" applyFont="1" applyBorder="1" applyAlignment="1">
      <alignment horizontal="center"/>
    </xf>
    <xf numFmtId="0" fontId="1" fillId="0" borderId="196" xfId="0" applyFont="1" applyBorder="1" applyAlignment="1">
      <alignment horizontal="center" vertical="center"/>
    </xf>
    <xf numFmtId="2" fontId="7" fillId="4" borderId="201" xfId="0" applyNumberFormat="1" applyFont="1" applyFill="1" applyBorder="1" applyAlignment="1">
      <alignment horizontal="right" vertical="center"/>
    </xf>
    <xf numFmtId="0" fontId="1" fillId="0" borderId="197" xfId="0" applyFont="1" applyBorder="1" applyAlignment="1">
      <alignment horizontal="right" vertical="center"/>
    </xf>
    <xf numFmtId="2" fontId="99" fillId="0" borderId="209" xfId="0" applyNumberFormat="1" applyFont="1" applyBorder="1" applyAlignment="1">
      <alignment horizontal="center"/>
    </xf>
    <xf numFmtId="2" fontId="99" fillId="0" borderId="210" xfId="0" applyNumberFormat="1" applyFont="1" applyBorder="1" applyAlignment="1">
      <alignment horizontal="center"/>
    </xf>
    <xf numFmtId="0" fontId="1" fillId="0" borderId="183" xfId="0" applyFont="1" applyBorder="1" applyAlignment="1">
      <alignment horizontal="center"/>
    </xf>
    <xf numFmtId="2" fontId="3" fillId="0" borderId="78" xfId="0" applyNumberFormat="1" applyFont="1" applyBorder="1" applyAlignment="1">
      <alignment horizontal="center"/>
    </xf>
    <xf numFmtId="0" fontId="1" fillId="0" borderId="146" xfId="0" applyFont="1" applyBorder="1" applyAlignment="1">
      <alignment horizontal="center"/>
    </xf>
    <xf numFmtId="2" fontId="1" fillId="0" borderId="211" xfId="0" applyNumberFormat="1" applyFont="1" applyBorder="1" applyAlignment="1">
      <alignment horizontal="center"/>
    </xf>
    <xf numFmtId="0" fontId="1" fillId="0" borderId="195" xfId="0" applyFont="1" applyBorder="1" applyAlignment="1">
      <alignment horizontal="center"/>
    </xf>
    <xf numFmtId="2" fontId="1" fillId="0" borderId="195" xfId="0" applyNumberFormat="1" applyFont="1" applyBorder="1" applyAlignment="1">
      <alignment horizontal="center"/>
    </xf>
    <xf numFmtId="2" fontId="1" fillId="0" borderId="212" xfId="0" applyNumberFormat="1" applyFont="1" applyBorder="1" applyAlignment="1">
      <alignment horizontal="center"/>
    </xf>
    <xf numFmtId="0" fontId="1" fillId="0" borderId="145" xfId="0" applyFont="1" applyBorder="1" applyAlignment="1">
      <alignment horizontal="center"/>
    </xf>
    <xf numFmtId="0" fontId="1" fillId="0" borderId="113" xfId="0" applyFont="1" applyBorder="1"/>
    <xf numFmtId="0" fontId="7" fillId="0" borderId="1" xfId="0" applyFont="1" applyBorder="1" applyAlignment="1">
      <alignment horizontal="center"/>
    </xf>
    <xf numFmtId="0" fontId="103" fillId="0" borderId="5" xfId="0" applyFont="1" applyBorder="1" applyAlignment="1">
      <alignment horizontal="center"/>
    </xf>
    <xf numFmtId="0" fontId="7" fillId="0" borderId="203" xfId="0" applyFont="1" applyBorder="1" applyAlignment="1">
      <alignment horizontal="center"/>
    </xf>
    <xf numFmtId="0" fontId="103" fillId="0" borderId="12" xfId="0" applyFont="1" applyBorder="1" applyAlignment="1">
      <alignment horizontal="center"/>
    </xf>
    <xf numFmtId="0" fontId="103" fillId="0" borderId="127" xfId="0" applyFont="1" applyBorder="1" applyAlignment="1">
      <alignment horizontal="center"/>
    </xf>
    <xf numFmtId="0" fontId="1" fillId="0" borderId="207" xfId="0" applyFont="1" applyBorder="1" applyAlignment="1">
      <alignment horizontal="center"/>
    </xf>
    <xf numFmtId="0" fontId="7" fillId="0" borderId="187" xfId="0" applyFont="1" applyBorder="1" applyAlignment="1">
      <alignment horizontal="center"/>
    </xf>
    <xf numFmtId="0" fontId="1" fillId="0" borderId="208" xfId="0" applyFont="1" applyBorder="1" applyAlignment="1">
      <alignment horizontal="center"/>
    </xf>
    <xf numFmtId="0" fontId="103" fillId="0" borderId="213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03" fillId="0" borderId="109" xfId="0" applyFont="1" applyBorder="1" applyAlignment="1">
      <alignment horizontal="center"/>
    </xf>
    <xf numFmtId="0" fontId="1" fillId="0" borderId="209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1" fillId="0" borderId="210" xfId="0" applyFont="1" applyBorder="1" applyAlignment="1">
      <alignment horizontal="center"/>
    </xf>
    <xf numFmtId="0" fontId="103" fillId="0" borderId="214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1" fontId="1" fillId="0" borderId="46" xfId="0" applyNumberFormat="1" applyFont="1" applyBorder="1" applyAlignment="1">
      <alignment horizontal="center"/>
    </xf>
    <xf numFmtId="0" fontId="1" fillId="0" borderId="183" xfId="0" applyFont="1" applyBorder="1" applyAlignment="1">
      <alignment horizontal="center" vertical="center"/>
    </xf>
    <xf numFmtId="0" fontId="103" fillId="0" borderId="140" xfId="0" applyFont="1" applyBorder="1" applyAlignment="1">
      <alignment horizontal="center"/>
    </xf>
    <xf numFmtId="0" fontId="1" fillId="0" borderId="211" xfId="0" applyFont="1" applyBorder="1" applyAlignment="1">
      <alignment horizontal="center"/>
    </xf>
    <xf numFmtId="0" fontId="7" fillId="0" borderId="195" xfId="0" applyFont="1" applyBorder="1" applyAlignment="1">
      <alignment horizontal="center"/>
    </xf>
    <xf numFmtId="0" fontId="1" fillId="0" borderId="212" xfId="0" applyFont="1" applyBorder="1" applyAlignment="1">
      <alignment horizontal="center"/>
    </xf>
    <xf numFmtId="0" fontId="103" fillId="0" borderId="2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78" xfId="0" applyNumberFormat="1" applyFont="1" applyBorder="1" applyAlignment="1">
      <alignment horizontal="center"/>
    </xf>
    <xf numFmtId="0" fontId="83" fillId="0" borderId="20" xfId="0" applyFont="1" applyBorder="1" applyAlignment="1">
      <alignment horizontal="center"/>
    </xf>
    <xf numFmtId="0" fontId="1" fillId="0" borderId="216" xfId="0" applyFont="1" applyBorder="1" applyAlignment="1">
      <alignment horizontal="center" vertical="center"/>
    </xf>
    <xf numFmtId="0" fontId="1" fillId="0" borderId="217" xfId="0" applyFont="1" applyBorder="1" applyAlignment="1">
      <alignment horizontal="center"/>
    </xf>
    <xf numFmtId="0" fontId="7" fillId="0" borderId="207" xfId="0" applyFont="1" applyBorder="1" applyAlignment="1">
      <alignment horizontal="center"/>
    </xf>
    <xf numFmtId="0" fontId="7" fillId="0" borderId="208" xfId="0" applyFont="1" applyBorder="1" applyAlignment="1">
      <alignment horizontal="center"/>
    </xf>
    <xf numFmtId="0" fontId="1" fillId="0" borderId="110" xfId="0" applyFont="1" applyBorder="1" applyAlignment="1">
      <alignment horizontal="center" vertical="center"/>
    </xf>
    <xf numFmtId="0" fontId="1" fillId="0" borderId="218" xfId="0" applyFont="1" applyBorder="1" applyAlignment="1">
      <alignment horizontal="center"/>
    </xf>
    <xf numFmtId="0" fontId="7" fillId="0" borderId="209" xfId="0" applyFont="1" applyBorder="1" applyAlignment="1">
      <alignment horizontal="center"/>
    </xf>
    <xf numFmtId="0" fontId="7" fillId="0" borderId="210" xfId="0" applyFont="1" applyBorder="1" applyAlignment="1">
      <alignment horizontal="center"/>
    </xf>
    <xf numFmtId="0" fontId="83" fillId="0" borderId="62" xfId="0" applyFont="1" applyBorder="1" applyAlignment="1">
      <alignment horizontal="center"/>
    </xf>
    <xf numFmtId="0" fontId="1" fillId="0" borderId="219" xfId="0" applyFont="1" applyBorder="1" applyAlignment="1">
      <alignment horizontal="center" vertical="center"/>
    </xf>
    <xf numFmtId="0" fontId="1" fillId="0" borderId="220" xfId="0" applyFont="1" applyBorder="1" applyAlignment="1">
      <alignment horizontal="center"/>
    </xf>
    <xf numFmtId="0" fontId="7" fillId="0" borderId="211" xfId="0" applyFont="1" applyBorder="1" applyAlignment="1">
      <alignment horizontal="center"/>
    </xf>
    <xf numFmtId="0" fontId="7" fillId="0" borderId="212" xfId="0" applyFont="1" applyBorder="1" applyAlignment="1">
      <alignment horizontal="center"/>
    </xf>
    <xf numFmtId="0" fontId="7" fillId="9" borderId="184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04" fillId="0" borderId="2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4" fillId="0" borderId="126" xfId="0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7" fillId="9" borderId="199" xfId="0" applyNumberFormat="1" applyFont="1" applyFill="1" applyBorder="1" applyAlignment="1">
      <alignment horizontal="right" vertical="center"/>
    </xf>
    <xf numFmtId="2" fontId="101" fillId="0" borderId="222" xfId="0" applyNumberFormat="1" applyFont="1" applyBorder="1" applyAlignment="1">
      <alignment horizontal="center" vertical="center"/>
    </xf>
    <xf numFmtId="2" fontId="99" fillId="0" borderId="187" xfId="0" applyNumberFormat="1" applyFont="1" applyBorder="1" applyAlignment="1">
      <alignment horizontal="center" vertical="center"/>
    </xf>
    <xf numFmtId="0" fontId="1" fillId="0" borderId="223" xfId="0" applyFont="1" applyBorder="1" applyAlignment="1">
      <alignment horizontal="center"/>
    </xf>
    <xf numFmtId="2" fontId="104" fillId="0" borderId="188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7" fillId="9" borderId="151" xfId="0" applyNumberFormat="1" applyFont="1" applyFill="1" applyBorder="1" applyAlignment="1">
      <alignment horizontal="right" vertical="center"/>
    </xf>
    <xf numFmtId="2" fontId="104" fillId="0" borderId="51" xfId="0" applyNumberFormat="1" applyFont="1" applyBorder="1" applyAlignment="1">
      <alignment horizontal="center"/>
    </xf>
    <xf numFmtId="0" fontId="1" fillId="0" borderId="163" xfId="0" applyFont="1" applyBorder="1" applyAlignment="1">
      <alignment horizontal="center"/>
    </xf>
    <xf numFmtId="2" fontId="104" fillId="0" borderId="53" xfId="0" applyNumberFormat="1" applyFont="1" applyBorder="1" applyAlignment="1">
      <alignment horizontal="center"/>
    </xf>
    <xf numFmtId="164" fontId="7" fillId="9" borderId="151" xfId="0" applyNumberFormat="1" applyFont="1" applyFill="1" applyBorder="1" applyAlignment="1">
      <alignment horizontal="right" vertical="center"/>
    </xf>
    <xf numFmtId="2" fontId="100" fillId="0" borderId="51" xfId="0" applyNumberFormat="1" applyFont="1" applyBorder="1" applyAlignment="1">
      <alignment horizontal="center"/>
    </xf>
    <xf numFmtId="2" fontId="100" fillId="0" borderId="53" xfId="0" applyNumberFormat="1" applyFont="1" applyBorder="1" applyAlignment="1">
      <alignment horizontal="center"/>
    </xf>
    <xf numFmtId="2" fontId="102" fillId="0" borderId="52" xfId="0" applyNumberFormat="1" applyFont="1" applyBorder="1" applyAlignment="1">
      <alignment horizontal="center"/>
    </xf>
    <xf numFmtId="2" fontId="7" fillId="9" borderId="201" xfId="0" applyNumberFormat="1" applyFont="1" applyFill="1" applyBorder="1" applyAlignment="1">
      <alignment horizontal="right" vertical="center"/>
    </xf>
    <xf numFmtId="2" fontId="7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04" fillId="0" borderId="224" xfId="0" applyNumberFormat="1" applyFont="1" applyBorder="1" applyAlignment="1">
      <alignment horizontal="center"/>
    </xf>
    <xf numFmtId="0" fontId="1" fillId="0" borderId="194" xfId="0" applyFont="1" applyBorder="1" applyAlignment="1">
      <alignment horizontal="center"/>
    </xf>
    <xf numFmtId="2" fontId="104" fillId="0" borderId="196" xfId="0" applyNumberFormat="1" applyFont="1" applyBorder="1" applyAlignment="1">
      <alignment horizontal="center"/>
    </xf>
    <xf numFmtId="0" fontId="7" fillId="0" borderId="0" xfId="0" applyFont="1"/>
    <xf numFmtId="0" fontId="103" fillId="0" borderId="221" xfId="0" applyFont="1" applyBorder="1" applyAlignment="1">
      <alignment horizontal="center"/>
    </xf>
    <xf numFmtId="0" fontId="1" fillId="0" borderId="225" xfId="0" applyFont="1" applyBorder="1" applyAlignment="1">
      <alignment horizontal="center"/>
    </xf>
    <xf numFmtId="0" fontId="103" fillId="0" borderId="126" xfId="0" applyFont="1" applyBorder="1" applyAlignment="1">
      <alignment horizontal="center"/>
    </xf>
    <xf numFmtId="0" fontId="7" fillId="0" borderId="206" xfId="0" applyFont="1" applyBorder="1" applyAlignment="1">
      <alignment horizontal="center" vertical="center"/>
    </xf>
    <xf numFmtId="0" fontId="1" fillId="0" borderId="226" xfId="0" applyFont="1" applyBorder="1" applyAlignment="1">
      <alignment horizontal="right" vertical="center"/>
    </xf>
    <xf numFmtId="0" fontId="7" fillId="0" borderId="26" xfId="0" applyFont="1" applyBorder="1" applyAlignment="1">
      <alignment horizontal="center"/>
    </xf>
    <xf numFmtId="0" fontId="7" fillId="0" borderId="199" xfId="0" applyFont="1" applyBorder="1" applyAlignment="1">
      <alignment horizontal="center"/>
    </xf>
    <xf numFmtId="0" fontId="103" fillId="0" borderId="222" xfId="0" applyFont="1" applyBorder="1" applyAlignment="1">
      <alignment horizontal="center"/>
    </xf>
    <xf numFmtId="0" fontId="103" fillId="0" borderId="188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227" xfId="0" applyFont="1" applyBorder="1" applyAlignment="1">
      <alignment horizontal="right" vertical="center"/>
    </xf>
    <xf numFmtId="0" fontId="7" fillId="0" borderId="43" xfId="0" applyFont="1" applyBorder="1" applyAlignment="1">
      <alignment horizontal="center"/>
    </xf>
    <xf numFmtId="0" fontId="7" fillId="0" borderId="151" xfId="0" applyFont="1" applyBorder="1" applyAlignment="1">
      <alignment horizontal="center"/>
    </xf>
    <xf numFmtId="0" fontId="103" fillId="0" borderId="51" xfId="0" applyFont="1" applyBorder="1" applyAlignment="1">
      <alignment horizontal="center"/>
    </xf>
    <xf numFmtId="0" fontId="103" fillId="0" borderId="53" xfId="0" applyFont="1" applyBorder="1" applyAlignment="1">
      <alignment horizontal="center"/>
    </xf>
    <xf numFmtId="0" fontId="1" fillId="0" borderId="228" xfId="0" applyFont="1" applyBorder="1" applyAlignment="1">
      <alignment horizontal="right" vertical="center"/>
    </xf>
    <xf numFmtId="0" fontId="7" fillId="0" borderId="75" xfId="0" applyFont="1" applyBorder="1" applyAlignment="1">
      <alignment horizontal="center"/>
    </xf>
    <xf numFmtId="0" fontId="7" fillId="0" borderId="201" xfId="0" applyFont="1" applyBorder="1" applyAlignment="1">
      <alignment horizontal="center"/>
    </xf>
    <xf numFmtId="0" fontId="103" fillId="0" borderId="224" xfId="0" applyFont="1" applyBorder="1" applyAlignment="1">
      <alignment horizontal="center"/>
    </xf>
    <xf numFmtId="0" fontId="103" fillId="0" borderId="196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05" fillId="0" borderId="200" xfId="0" applyFont="1" applyBorder="1" applyAlignment="1">
      <alignment horizontal="center" vertical="center"/>
    </xf>
    <xf numFmtId="0" fontId="106" fillId="0" borderId="20" xfId="0" applyFont="1" applyBorder="1" applyAlignment="1">
      <alignment horizontal="center"/>
    </xf>
    <xf numFmtId="2" fontId="104" fillId="0" borderId="21" xfId="0" applyNumberFormat="1" applyFont="1" applyBorder="1" applyAlignment="1">
      <alignment horizontal="center"/>
    </xf>
    <xf numFmtId="0" fontId="11" fillId="0" borderId="221" xfId="0" applyFont="1" applyBorder="1" applyAlignment="1">
      <alignment horizontal="center"/>
    </xf>
    <xf numFmtId="0" fontId="11" fillId="0" borderId="126" xfId="0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2" fontId="7" fillId="0" borderId="38" xfId="0" applyNumberFormat="1" applyFont="1" applyBorder="1" applyAlignment="1">
      <alignment horizontal="center"/>
    </xf>
    <xf numFmtId="0" fontId="7" fillId="0" borderId="206" xfId="0" applyFont="1" applyBorder="1" applyAlignment="1">
      <alignment horizontal="center"/>
    </xf>
    <xf numFmtId="2" fontId="3" fillId="0" borderId="222" xfId="0" applyNumberFormat="1" applyFont="1" applyBorder="1" applyAlignment="1">
      <alignment horizontal="center"/>
    </xf>
    <xf numFmtId="2" fontId="1" fillId="0" borderId="187" xfId="0" applyNumberFormat="1" applyFont="1" applyBorder="1" applyAlignment="1">
      <alignment horizontal="center"/>
    </xf>
    <xf numFmtId="2" fontId="7" fillId="0" borderId="187" xfId="0" applyNumberFormat="1" applyFont="1" applyBorder="1" applyAlignment="1">
      <alignment horizontal="center"/>
    </xf>
    <xf numFmtId="2" fontId="7" fillId="0" borderId="208" xfId="0" applyNumberFormat="1" applyFont="1" applyBorder="1" applyAlignment="1">
      <alignment horizontal="center"/>
    </xf>
    <xf numFmtId="2" fontId="1" fillId="0" borderId="223" xfId="0" applyNumberFormat="1" applyFont="1" applyBorder="1" applyAlignment="1">
      <alignment horizontal="center"/>
    </xf>
    <xf numFmtId="2" fontId="3" fillId="0" borderId="188" xfId="0" applyNumberFormat="1" applyFont="1" applyBorder="1" applyAlignment="1">
      <alignment horizontal="center"/>
    </xf>
    <xf numFmtId="2" fontId="7" fillId="0" borderId="53" xfId="0" applyNumberFormat="1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2" fontId="3" fillId="0" borderId="51" xfId="0" applyNumberFormat="1" applyFont="1" applyBorder="1" applyAlignment="1">
      <alignment horizontal="center"/>
    </xf>
    <xf numFmtId="2" fontId="7" fillId="0" borderId="52" xfId="0" applyNumberFormat="1" applyFont="1" applyBorder="1" applyAlignment="1">
      <alignment horizontal="center"/>
    </xf>
    <xf numFmtId="2" fontId="7" fillId="0" borderId="210" xfId="0" applyNumberFormat="1" applyFont="1" applyBorder="1" applyAlignment="1">
      <alignment horizontal="center"/>
    </xf>
    <xf numFmtId="2" fontId="1" fillId="0" borderId="163" xfId="0" applyNumberFormat="1" applyFont="1" applyBorder="1" applyAlignment="1">
      <alignment horizontal="center"/>
    </xf>
    <xf numFmtId="2" fontId="3" fillId="0" borderId="53" xfId="0" applyNumberFormat="1" applyFont="1" applyBorder="1" applyAlignment="1">
      <alignment horizontal="center"/>
    </xf>
    <xf numFmtId="2" fontId="7" fillId="0" borderId="57" xfId="0" applyNumberFormat="1" applyFont="1" applyBorder="1" applyAlignment="1">
      <alignment horizontal="center"/>
    </xf>
    <xf numFmtId="0" fontId="7" fillId="0" borderId="183" xfId="0" applyFont="1" applyBorder="1" applyAlignment="1">
      <alignment horizontal="center"/>
    </xf>
    <xf numFmtId="2" fontId="3" fillId="0" borderId="224" xfId="0" applyNumberFormat="1" applyFont="1" applyBorder="1" applyAlignment="1">
      <alignment horizontal="center"/>
    </xf>
    <xf numFmtId="2" fontId="7" fillId="0" borderId="195" xfId="0" applyNumberFormat="1" applyFont="1" applyBorder="1" applyAlignment="1">
      <alignment horizontal="center"/>
    </xf>
    <xf numFmtId="2" fontId="7" fillId="0" borderId="212" xfId="0" applyNumberFormat="1" applyFont="1" applyBorder="1" applyAlignment="1">
      <alignment horizontal="center"/>
    </xf>
    <xf numFmtId="2" fontId="1" fillId="0" borderId="194" xfId="0" applyNumberFormat="1" applyFont="1" applyBorder="1" applyAlignment="1">
      <alignment horizontal="center"/>
    </xf>
    <xf numFmtId="2" fontId="3" fillId="0" borderId="196" xfId="0" applyNumberFormat="1" applyFont="1" applyBorder="1" applyAlignment="1">
      <alignment horizontal="center"/>
    </xf>
    <xf numFmtId="0" fontId="105" fillId="0" borderId="97" xfId="0" applyFont="1" applyBorder="1" applyAlignment="1">
      <alignment horizontal="center" vertical="center"/>
    </xf>
    <xf numFmtId="0" fontId="106" fillId="0" borderId="62" xfId="0" applyFont="1" applyBorder="1" applyAlignment="1">
      <alignment horizontal="center"/>
    </xf>
    <xf numFmtId="2" fontId="104" fillId="0" borderId="63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2" fontId="105" fillId="0" borderId="79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26" xfId="0" applyFont="1" applyBorder="1" applyAlignment="1">
      <alignment horizontal="center"/>
    </xf>
    <xf numFmtId="2" fontId="102" fillId="0" borderId="187" xfId="0" applyNumberFormat="1" applyFont="1" applyBorder="1" applyAlignment="1">
      <alignment horizontal="center" vertical="center"/>
    </xf>
    <xf numFmtId="2" fontId="99" fillId="0" borderId="208" xfId="0" applyNumberFormat="1" applyFont="1" applyBorder="1" applyAlignment="1">
      <alignment horizontal="center" vertical="center"/>
    </xf>
    <xf numFmtId="2" fontId="100" fillId="0" borderId="188" xfId="0" applyNumberFormat="1" applyFont="1" applyBorder="1" applyAlignment="1">
      <alignment horizontal="center" vertical="center"/>
    </xf>
    <xf numFmtId="2" fontId="101" fillId="0" borderId="46" xfId="0" applyNumberFormat="1" applyFont="1" applyBorder="1" applyAlignment="1">
      <alignment horizontal="center"/>
    </xf>
    <xf numFmtId="2" fontId="102" fillId="0" borderId="210" xfId="0" applyNumberFormat="1" applyFont="1" applyBorder="1" applyAlignment="1">
      <alignment horizontal="center"/>
    </xf>
    <xf numFmtId="0" fontId="3" fillId="0" borderId="0" xfId="0" applyFont="1"/>
    <xf numFmtId="0" fontId="103" fillId="0" borderId="14" xfId="0" applyFont="1" applyBorder="1" applyAlignment="1">
      <alignment horizontal="center"/>
    </xf>
    <xf numFmtId="0" fontId="107" fillId="0" borderId="3" xfId="0" applyFont="1" applyBorder="1" applyAlignment="1">
      <alignment horizontal="center"/>
    </xf>
    <xf numFmtId="0" fontId="107" fillId="0" borderId="204" xfId="0" applyFont="1" applyBorder="1" applyAlignment="1">
      <alignment horizontal="center"/>
    </xf>
    <xf numFmtId="0" fontId="103" fillId="0" borderId="30" xfId="0" applyFont="1" applyBorder="1" applyAlignment="1">
      <alignment horizontal="center"/>
    </xf>
    <xf numFmtId="0" fontId="107" fillId="0" borderId="187" xfId="0" applyFont="1" applyBorder="1" applyAlignment="1">
      <alignment horizontal="center"/>
    </xf>
    <xf numFmtId="0" fontId="107" fillId="0" borderId="208" xfId="0" applyFont="1" applyBorder="1" applyAlignment="1">
      <alignment horizontal="center"/>
    </xf>
    <xf numFmtId="0" fontId="103" fillId="0" borderId="46" xfId="0" applyFont="1" applyBorder="1" applyAlignment="1">
      <alignment horizontal="center"/>
    </xf>
    <xf numFmtId="0" fontId="107" fillId="0" borderId="52" xfId="0" applyFont="1" applyBorder="1" applyAlignment="1">
      <alignment horizontal="center"/>
    </xf>
    <xf numFmtId="0" fontId="107" fillId="0" borderId="210" xfId="0" applyFont="1" applyBorder="1" applyAlignment="1">
      <alignment horizontal="center"/>
    </xf>
    <xf numFmtId="0" fontId="103" fillId="0" borderId="78" xfId="0" applyFont="1" applyBorder="1" applyAlignment="1">
      <alignment horizontal="center"/>
    </xf>
    <xf numFmtId="0" fontId="107" fillId="0" borderId="195" xfId="0" applyFont="1" applyBorder="1" applyAlignment="1">
      <alignment horizontal="center"/>
    </xf>
    <xf numFmtId="0" fontId="107" fillId="0" borderId="212" xfId="0" applyFont="1" applyBorder="1" applyAlignment="1">
      <alignment horizontal="center"/>
    </xf>
    <xf numFmtId="0" fontId="11" fillId="0" borderId="200" xfId="0" applyFont="1" applyBorder="1" applyAlignment="1">
      <alignment horizontal="center" vertical="center"/>
    </xf>
    <xf numFmtId="0" fontId="96" fillId="0" borderId="20" xfId="0" applyFon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2" fontId="1" fillId="0" borderId="132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229" xfId="0" applyNumberFormat="1" applyFont="1" applyBorder="1" applyAlignment="1">
      <alignment horizontal="center"/>
    </xf>
    <xf numFmtId="2" fontId="7" fillId="0" borderId="133" xfId="0" applyNumberFormat="1" applyFont="1" applyBorder="1" applyAlignment="1">
      <alignment horizontal="center"/>
    </xf>
    <xf numFmtId="2" fontId="1" fillId="0" borderId="128" xfId="0" applyNumberFormat="1" applyFont="1" applyBorder="1" applyAlignment="1">
      <alignment horizontal="center"/>
    </xf>
    <xf numFmtId="2" fontId="1" fillId="0" borderId="138" xfId="0" applyNumberFormat="1" applyFont="1" applyBorder="1" applyAlignment="1">
      <alignment horizontal="center"/>
    </xf>
    <xf numFmtId="2" fontId="7" fillId="0" borderId="118" xfId="0" applyNumberFormat="1" applyFont="1" applyBorder="1" applyAlignment="1">
      <alignment horizontal="center"/>
    </xf>
    <xf numFmtId="2" fontId="7" fillId="0" borderId="139" xfId="0" applyNumberFormat="1" applyFont="1" applyBorder="1" applyAlignment="1">
      <alignment horizontal="center"/>
    </xf>
    <xf numFmtId="2" fontId="1" fillId="0" borderId="134" xfId="0" applyNumberFormat="1" applyFont="1" applyBorder="1" applyAlignment="1">
      <alignment horizontal="center"/>
    </xf>
    <xf numFmtId="2" fontId="1" fillId="0" borderId="145" xfId="0" applyNumberFormat="1" applyFont="1" applyBorder="1" applyAlignment="1">
      <alignment horizontal="center"/>
    </xf>
    <xf numFmtId="2" fontId="7" fillId="0" borderId="78" xfId="0" applyNumberFormat="1" applyFont="1" applyBorder="1" applyAlignment="1">
      <alignment horizontal="center"/>
    </xf>
    <xf numFmtId="2" fontId="7" fillId="0" borderId="230" xfId="0" applyNumberFormat="1" applyFont="1" applyBorder="1" applyAlignment="1">
      <alignment horizontal="center"/>
    </xf>
    <xf numFmtId="2" fontId="7" fillId="0" borderId="146" xfId="0" applyNumberFormat="1" applyFont="1" applyBorder="1" applyAlignment="1">
      <alignment horizontal="center"/>
    </xf>
    <xf numFmtId="2" fontId="1" fillId="0" borderId="141" xfId="0" applyNumberFormat="1" applyFont="1" applyBorder="1" applyAlignment="1">
      <alignment horizontal="center"/>
    </xf>
    <xf numFmtId="0" fontId="11" fillId="0" borderId="97" xfId="0" applyFont="1" applyBorder="1" applyAlignment="1">
      <alignment horizontal="center" vertical="center"/>
    </xf>
    <xf numFmtId="0" fontId="96" fillId="0" borderId="62" xfId="0" applyFont="1" applyBorder="1" applyAlignment="1">
      <alignment horizontal="center"/>
    </xf>
    <xf numFmtId="2" fontId="3" fillId="0" borderId="63" xfId="0" applyNumberFormat="1" applyFont="1" applyBorder="1" applyAlignment="1">
      <alignment horizontal="center"/>
    </xf>
    <xf numFmtId="2" fontId="11" fillId="0" borderId="79" xfId="0" applyNumberFormat="1" applyFont="1" applyBorder="1" applyAlignment="1">
      <alignment horizontal="center"/>
    </xf>
    <xf numFmtId="0" fontId="3" fillId="0" borderId="221" xfId="0" applyFont="1" applyBorder="1" applyAlignment="1">
      <alignment horizontal="center" vertical="center"/>
    </xf>
    <xf numFmtId="2" fontId="3" fillId="0" borderId="222" xfId="0" applyNumberFormat="1" applyFont="1" applyBorder="1" applyAlignment="1">
      <alignment horizontal="center" vertical="center"/>
    </xf>
    <xf numFmtId="0" fontId="108" fillId="0" borderId="14" xfId="0" applyFont="1" applyBorder="1" applyAlignment="1">
      <alignment horizontal="center"/>
    </xf>
    <xf numFmtId="0" fontId="107" fillId="0" borderId="203" xfId="0" applyFont="1" applyBorder="1" applyAlignment="1">
      <alignment horizontal="center"/>
    </xf>
    <xf numFmtId="0" fontId="108" fillId="0" borderId="15" xfId="0" applyFont="1" applyBorder="1" applyAlignment="1">
      <alignment horizontal="center"/>
    </xf>
    <xf numFmtId="0" fontId="108" fillId="0" borderId="30" xfId="0" applyFont="1" applyBorder="1" applyAlignment="1">
      <alignment horizontal="center"/>
    </xf>
    <xf numFmtId="0" fontId="109" fillId="0" borderId="207" xfId="0" applyFont="1" applyBorder="1" applyAlignment="1">
      <alignment horizontal="center"/>
    </xf>
    <xf numFmtId="0" fontId="109" fillId="0" borderId="187" xfId="0" applyFont="1" applyBorder="1" applyAlignment="1">
      <alignment horizontal="center"/>
    </xf>
    <xf numFmtId="0" fontId="109" fillId="0" borderId="208" xfId="0" applyFont="1" applyBorder="1" applyAlignment="1">
      <alignment horizontal="center"/>
    </xf>
    <xf numFmtId="0" fontId="108" fillId="0" borderId="31" xfId="0" applyFont="1" applyBorder="1" applyAlignment="1">
      <alignment horizontal="center"/>
    </xf>
    <xf numFmtId="0" fontId="108" fillId="0" borderId="46" xfId="0" applyFont="1" applyBorder="1" applyAlignment="1">
      <alignment horizontal="center"/>
    </xf>
    <xf numFmtId="0" fontId="109" fillId="0" borderId="209" xfId="0" applyFont="1" applyBorder="1" applyAlignment="1">
      <alignment horizontal="center"/>
    </xf>
    <xf numFmtId="0" fontId="109" fillId="0" borderId="52" xfId="0" applyFont="1" applyBorder="1" applyAlignment="1">
      <alignment horizontal="center"/>
    </xf>
    <xf numFmtId="0" fontId="109" fillId="0" borderId="210" xfId="0" applyFont="1" applyBorder="1" applyAlignment="1">
      <alignment horizontal="center"/>
    </xf>
    <xf numFmtId="0" fontId="108" fillId="0" borderId="47" xfId="0" applyFont="1" applyBorder="1" applyAlignment="1">
      <alignment horizontal="center"/>
    </xf>
    <xf numFmtId="0" fontId="108" fillId="0" borderId="78" xfId="0" applyFont="1" applyBorder="1" applyAlignment="1">
      <alignment horizontal="center"/>
    </xf>
    <xf numFmtId="0" fontId="109" fillId="0" borderId="211" xfId="0" applyFont="1" applyBorder="1" applyAlignment="1">
      <alignment horizontal="center"/>
    </xf>
    <xf numFmtId="0" fontId="109" fillId="0" borderId="195" xfId="0" applyFont="1" applyBorder="1" applyAlignment="1">
      <alignment horizontal="center"/>
    </xf>
    <xf numFmtId="0" fontId="109" fillId="0" borderId="212" xfId="0" applyFont="1" applyBorder="1" applyAlignment="1">
      <alignment horizontal="center"/>
    </xf>
    <xf numFmtId="0" fontId="108" fillId="0" borderId="79" xfId="0" applyFont="1" applyBorder="1" applyAlignment="1">
      <alignment horizontal="center"/>
    </xf>
    <xf numFmtId="2" fontId="7" fillId="0" borderId="207" xfId="0" applyNumberFormat="1" applyFont="1" applyBorder="1" applyAlignment="1">
      <alignment horizontal="center"/>
    </xf>
    <xf numFmtId="2" fontId="7" fillId="0" borderId="209" xfId="0" applyNumberFormat="1" applyFont="1" applyBorder="1" applyAlignment="1">
      <alignment horizontal="center"/>
    </xf>
    <xf numFmtId="2" fontId="7" fillId="0" borderId="211" xfId="0" applyNumberFormat="1" applyFont="1" applyBorder="1" applyAlignment="1">
      <alignment horizontal="center"/>
    </xf>
    <xf numFmtId="0" fontId="1" fillId="0" borderId="229" xfId="0" applyFont="1" applyBorder="1" applyAlignment="1">
      <alignment horizontal="center"/>
    </xf>
    <xf numFmtId="2" fontId="99" fillId="0" borderId="207" xfId="0" applyNumberFormat="1" applyFont="1" applyBorder="1" applyAlignment="1">
      <alignment horizontal="center" vertical="center"/>
    </xf>
    <xf numFmtId="2" fontId="102" fillId="0" borderId="208" xfId="0" applyNumberFormat="1" applyFont="1" applyBorder="1" applyAlignment="1">
      <alignment horizontal="center" vertical="center"/>
    </xf>
    <xf numFmtId="0" fontId="1" fillId="0" borderId="118" xfId="0" applyFont="1" applyBorder="1" applyAlignment="1">
      <alignment horizontal="center"/>
    </xf>
    <xf numFmtId="0" fontId="1" fillId="0" borderId="230" xfId="0" applyFont="1" applyBorder="1" applyAlignment="1">
      <alignment horizontal="center"/>
    </xf>
    <xf numFmtId="0" fontId="108" fillId="0" borderId="5" xfId="0" applyFont="1" applyBorder="1" applyAlignment="1">
      <alignment horizontal="center"/>
    </xf>
    <xf numFmtId="0" fontId="108" fillId="0" borderId="12" xfId="0" applyFont="1" applyBorder="1" applyAlignment="1">
      <alignment horizontal="center"/>
    </xf>
    <xf numFmtId="0" fontId="1" fillId="0" borderId="231" xfId="0" applyFont="1" applyBorder="1" applyAlignment="1">
      <alignment horizontal="center"/>
    </xf>
    <xf numFmtId="0" fontId="108" fillId="0" borderId="213" xfId="0" applyFont="1" applyBorder="1" applyAlignment="1">
      <alignment horizontal="center"/>
    </xf>
    <xf numFmtId="0" fontId="1" fillId="0" borderId="232" xfId="0" applyFont="1" applyBorder="1" applyAlignment="1">
      <alignment horizontal="center"/>
    </xf>
    <xf numFmtId="0" fontId="108" fillId="0" borderId="214" xfId="0" applyFont="1" applyBorder="1" applyAlignment="1">
      <alignment horizontal="center"/>
    </xf>
    <xf numFmtId="0" fontId="1" fillId="0" borderId="233" xfId="0" applyFont="1" applyBorder="1" applyAlignment="1">
      <alignment horizontal="center"/>
    </xf>
    <xf numFmtId="0" fontId="108" fillId="0" borderId="215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2" fontId="3" fillId="0" borderId="128" xfId="0" applyNumberFormat="1" applyFont="1" applyBorder="1" applyAlignment="1">
      <alignment horizontal="center"/>
    </xf>
    <xf numFmtId="0" fontId="22" fillId="0" borderId="52" xfId="0" applyFont="1" applyBorder="1" applyAlignment="1">
      <alignment horizontal="center"/>
    </xf>
    <xf numFmtId="2" fontId="3" fillId="0" borderId="134" xfId="0" applyNumberFormat="1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2" fontId="3" fillId="0" borderId="141" xfId="0" applyNumberFormat="1" applyFont="1" applyBorder="1" applyAlignment="1">
      <alignment horizontal="center"/>
    </xf>
    <xf numFmtId="0" fontId="10" fillId="0" borderId="67" xfId="0" applyFont="1" applyBorder="1" applyAlignment="1">
      <alignment horizontal="center" vertical="center"/>
    </xf>
    <xf numFmtId="0" fontId="34" fillId="0" borderId="80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49" fontId="52" fillId="0" borderId="1" xfId="0" applyNumberFormat="1" applyFont="1" applyBorder="1" applyAlignment="1">
      <alignment horizontal="center" vertical="center"/>
    </xf>
    <xf numFmtId="10" fontId="52" fillId="0" borderId="10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32" fillId="0" borderId="80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126" xfId="0" applyFont="1" applyBorder="1" applyAlignment="1">
      <alignment horizontal="center" vertical="center"/>
    </xf>
    <xf numFmtId="49" fontId="31" fillId="2" borderId="15" xfId="0" applyNumberFormat="1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/>
    </xf>
    <xf numFmtId="0" fontId="11" fillId="0" borderId="80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11" fillId="0" borderId="7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EFFF"/>
      <rgbColor rgb="FFFF0000"/>
      <rgbColor rgb="FF00FF00"/>
      <rgbColor rgb="FF0000FF"/>
      <rgbColor rgb="FFDDDDDD"/>
      <rgbColor rgb="FFFF00FF"/>
      <rgbColor rgb="FFDEE7E5"/>
      <rgbColor rgb="FF800000"/>
      <rgbColor rgb="FF00A933"/>
      <rgbColor rgb="FF000080"/>
      <rgbColor rgb="FF7F7F7F"/>
      <rgbColor rgb="FF800080"/>
      <rgbColor rgb="FF0F9ED5"/>
      <rgbColor rgb="FFBFBFBF"/>
      <rgbColor rgb="FF808080"/>
      <rgbColor rgb="FFA6A6A6"/>
      <rgbColor rgb="FF993366"/>
      <rgbColor rgb="FFFFFFCC"/>
      <rgbColor rgb="FFCCFFFF"/>
      <rgbColor rgb="FF660066"/>
      <rgbColor rgb="FFD86ECC"/>
      <rgbColor rgb="FF0070C0"/>
      <rgbColor rgb="FFCCCCCC"/>
      <rgbColor rgb="FF000080"/>
      <rgbColor rgb="FFFF00FF"/>
      <rgbColor rgb="FFEAEAEA"/>
      <rgbColor rgb="FF00FFFF"/>
      <rgbColor rgb="FF800080"/>
      <rgbColor rgb="FF800000"/>
      <rgbColor rgb="FF00B050"/>
      <rgbColor rgb="FF0000FF"/>
      <rgbColor rgb="FFF2CFEE"/>
      <rgbColor rgb="FFE1E7F3"/>
      <rgbColor rgb="FFD9F2D0"/>
      <rgbColor rgb="FFFFFFD7"/>
      <rgbColor rgb="FF83CBEB"/>
      <rgbColor rgb="FFE59EDD"/>
      <rgbColor rgb="FFB2B2B2"/>
      <rgbColor rgb="FFF2AA84"/>
      <rgbColor rgb="FF4E95D9"/>
      <rgbColor rgb="FF61CBF4"/>
      <rgbColor rgb="FF8ED873"/>
      <rgbColor rgb="FFD9D9D9"/>
      <rgbColor rgb="FFBF819E"/>
      <rgbColor rgb="FFAEAEAE"/>
      <rgbColor rgb="FF666666"/>
      <rgbColor rgb="FF999999"/>
      <rgbColor rgb="FF003366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B2D6-5C05-46EA-BE01-DD40AC12940A}">
  <dimension ref="A1:BO55"/>
  <sheetViews>
    <sheetView zoomScale="115" zoomScaleNormal="115" workbookViewId="0">
      <selection activeCell="L5" sqref="L5"/>
    </sheetView>
  </sheetViews>
  <sheetFormatPr defaultColWidth="8.77734375" defaultRowHeight="14.25" customHeight="1" x14ac:dyDescent="0.3"/>
  <cols>
    <col min="1" max="1" width="7.33203125" style="4" customWidth="1"/>
    <col min="2" max="9" width="8.44140625" style="4" customWidth="1"/>
    <col min="10" max="10" width="7.77734375" style="4" customWidth="1"/>
    <col min="11" max="11" width="8.21875" style="4" customWidth="1"/>
    <col min="12" max="12" width="9.33203125" style="4" customWidth="1"/>
    <col min="13" max="13" width="3.21875" style="4" customWidth="1"/>
    <col min="14" max="14" width="9" style="4" customWidth="1"/>
    <col min="15" max="15" width="5.88671875" style="5" customWidth="1"/>
    <col min="16" max="16" width="3.33203125" style="4" hidden="1" customWidth="1"/>
    <col min="17" max="17" width="5.88671875" style="5" customWidth="1"/>
    <col min="18" max="18" width="3.33203125" style="4" hidden="1" customWidth="1"/>
    <col min="19" max="19" width="5.88671875" style="5" customWidth="1"/>
    <col min="20" max="20" width="3.33203125" style="4" hidden="1" customWidth="1"/>
    <col min="21" max="21" width="5.88671875" style="5" customWidth="1"/>
    <col min="22" max="22" width="4.33203125" style="4" hidden="1" customWidth="1"/>
    <col min="23" max="23" width="5.88671875" style="5" customWidth="1"/>
    <col min="24" max="24" width="3.33203125" style="4" hidden="1" customWidth="1"/>
    <col min="25" max="25" width="6.77734375" style="5" customWidth="1"/>
    <col min="26" max="26" width="3.33203125" style="4" hidden="1" customWidth="1"/>
    <col min="27" max="27" width="3.21875" style="4" customWidth="1"/>
    <col min="28" max="28" width="7.109375" style="6" customWidth="1"/>
    <col min="29" max="29" width="7.109375" style="7" customWidth="1"/>
    <col min="30" max="31" width="3.5546875" style="6" customWidth="1"/>
    <col min="32" max="32" width="3.5546875" style="4" customWidth="1"/>
    <col min="33" max="33" width="6" style="8" customWidth="1"/>
    <col min="34" max="38" width="7.21875" style="8" customWidth="1"/>
    <col min="39" max="39" width="7.21875" style="9" customWidth="1"/>
    <col min="40" max="41" width="7.21875" style="8" customWidth="1"/>
    <col min="42" max="42" width="6.21875" style="8" customWidth="1"/>
    <col min="43" max="43" width="7.44140625" customWidth="1"/>
    <col min="44" max="47" width="7.44140625" style="10" customWidth="1"/>
    <col min="48" max="51" width="7.44140625" customWidth="1"/>
    <col min="52" max="52" width="7.6640625" customWidth="1"/>
    <col min="58" max="58" width="9.77734375" style="11" customWidth="1"/>
    <col min="59" max="62" width="9.77734375" style="9" customWidth="1"/>
    <col min="63" max="64" width="9.77734375" customWidth="1"/>
    <col min="65" max="65" width="9.77734375" style="12" customWidth="1"/>
    <col min="66" max="66" width="9.77734375" style="13" customWidth="1"/>
    <col min="67" max="67" width="8.77734375" style="14"/>
    <col min="16372" max="16384" width="13.44140625" customWidth="1"/>
  </cols>
  <sheetData>
    <row r="1" spans="1:57" ht="15" thickBot="1" x14ac:dyDescent="0.35">
      <c r="A1" s="2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7" t="s">
        <v>9</v>
      </c>
      <c r="L1" s="18" t="s">
        <v>157</v>
      </c>
      <c r="N1" s="19" t="s">
        <v>11</v>
      </c>
      <c r="O1" s="20" t="s">
        <v>12</v>
      </c>
      <c r="P1" s="21">
        <f>SUM(O2:O10)</f>
        <v>889.8653610771114</v>
      </c>
      <c r="Q1" s="22" t="s">
        <v>13</v>
      </c>
      <c r="R1" s="23">
        <f>SUM(Q2:Q10)</f>
        <v>893.18423398071604</v>
      </c>
      <c r="S1" s="24" t="s">
        <v>14</v>
      </c>
      <c r="T1" s="23">
        <f>SUM(S2:S10)</f>
        <v>897.60837221688337</v>
      </c>
      <c r="U1" s="24" t="s">
        <v>15</v>
      </c>
      <c r="V1" s="23">
        <f>SUM(U2:U10)</f>
        <v>882.50392875851219</v>
      </c>
      <c r="W1" s="25" t="s">
        <v>16</v>
      </c>
      <c r="X1" s="26">
        <f>SUM(W2:W10)</f>
        <v>897.5657430068494</v>
      </c>
      <c r="Y1" s="27" t="s">
        <v>17</v>
      </c>
      <c r="Z1" s="28">
        <f>SUM(Y2:Y9)</f>
        <v>770.67049663617809</v>
      </c>
      <c r="AA1" s="29"/>
      <c r="AB1" s="30" t="s">
        <v>18</v>
      </c>
      <c r="AC1" s="31" t="s">
        <v>19</v>
      </c>
      <c r="AH1" s="1314" t="s">
        <v>20</v>
      </c>
      <c r="AI1" s="1314"/>
      <c r="AK1" s="4"/>
      <c r="AL1" s="1314" t="s">
        <v>21</v>
      </c>
      <c r="AM1" s="1314"/>
      <c r="AO1" s="32" t="s">
        <v>22</v>
      </c>
      <c r="AP1" s="9">
        <v>2</v>
      </c>
      <c r="AQ1" s="33" t="str">
        <f>K10</f>
        <v xml:space="preserve">+3-day </v>
      </c>
      <c r="AR1" s="34" t="s">
        <v>23</v>
      </c>
      <c r="AS1" s="34" t="s">
        <v>24</v>
      </c>
      <c r="AT1" s="34" t="s">
        <v>25</v>
      </c>
      <c r="AU1" s="9"/>
      <c r="AV1" s="9"/>
      <c r="AW1" s="9"/>
      <c r="AX1" s="9"/>
      <c r="AY1" s="9"/>
      <c r="AZ1" s="9"/>
      <c r="BA1" s="9"/>
      <c r="BB1" s="9"/>
    </row>
    <row r="2" spans="1:57" ht="15" thickBot="1" x14ac:dyDescent="0.35">
      <c r="A2" s="35" t="s">
        <v>12</v>
      </c>
      <c r="B2" s="36">
        <v>4.03</v>
      </c>
      <c r="C2" s="37">
        <v>4.05</v>
      </c>
      <c r="D2" s="37">
        <v>4.05</v>
      </c>
      <c r="E2" s="37">
        <v>4.0549999999999997</v>
      </c>
      <c r="F2" s="37">
        <v>4.0330000000000004</v>
      </c>
      <c r="G2" s="37">
        <v>4.0430000000000001</v>
      </c>
      <c r="H2" s="38">
        <v>4.01</v>
      </c>
      <c r="I2" s="38">
        <v>4.05</v>
      </c>
      <c r="J2" s="39">
        <v>4.03</v>
      </c>
      <c r="N2" s="40" t="str">
        <f>B1</f>
        <v>O 5.2</v>
      </c>
      <c r="O2" s="41">
        <f>100-ABS((($K11-B2)/($K11)))*100</f>
        <v>98.653610771113833</v>
      </c>
      <c r="P2" s="42">
        <f t="shared" ref="P2:P10" si="0">O2/$P$1</f>
        <v>0.11086352507496355</v>
      </c>
      <c r="Q2" s="43">
        <f>100-ABS((($K12-B3)/($K12)))*100</f>
        <v>99.41971915108158</v>
      </c>
      <c r="R2" s="44">
        <f t="shared" ref="R2:R10" si="1">Q2/$R$1</f>
        <v>0.11130930816813775</v>
      </c>
      <c r="S2" s="44">
        <f>100-ABS((($K13-B4)/($K13)))*100</f>
        <v>99.775961282404566</v>
      </c>
      <c r="T2" s="44">
        <f t="shared" ref="T2:T10" si="2">S2/$T$1</f>
        <v>0.11115756533774436</v>
      </c>
      <c r="U2" s="44">
        <f>100-ABS((($K14-B5)/($K14)))*100</f>
        <v>97.537977998952343</v>
      </c>
      <c r="V2" s="44">
        <f t="shared" ref="V2:V10" si="3">U2/$V$1</f>
        <v>0.11052412892503119</v>
      </c>
      <c r="W2" s="45">
        <f>100-ABS((($K15-B6)/($K15)))*100</f>
        <v>99.86859611373005</v>
      </c>
      <c r="X2" s="46">
        <f t="shared" ref="X2:X10" si="4">W2/$X$1</f>
        <v>0.11126605141944232</v>
      </c>
      <c r="Y2" s="47">
        <f>100-ABS((($K16-B7)/($K16)))*100</f>
        <v>96.54168871418851</v>
      </c>
      <c r="Z2" s="48">
        <f t="shared" ref="Z2:Z10" si="5">Y2/$Z$1</f>
        <v>0.12526973477715</v>
      </c>
      <c r="AA2" s="29"/>
      <c r="AB2" s="49">
        <f t="shared" ref="AB2:AB8" si="6">(Q2+S2+U2+W2)/4</f>
        <v>99.150563636542131</v>
      </c>
      <c r="AC2" s="50">
        <f t="shared" ref="AC2:AC8" si="7">(O2+Q2+S2+U2+W2+Y2)/6</f>
        <v>98.632925671911821</v>
      </c>
      <c r="AD2" s="51" t="str">
        <f>IF($AB2=MAX(AB2:AB10),"TOP","")</f>
        <v/>
      </c>
      <c r="AE2" s="51" t="str">
        <f>IF($AC2=MAX(AC2:AC10),"TOP","")</f>
        <v/>
      </c>
      <c r="AF2" s="52"/>
      <c r="AG2" s="53" t="s">
        <v>12</v>
      </c>
      <c r="AH2" s="54" t="s">
        <v>26</v>
      </c>
      <c r="AI2" s="55">
        <f>MAX(O2:P10)</f>
        <v>99.265605875153</v>
      </c>
      <c r="AK2" s="53" t="str">
        <f t="shared" ref="AK2:AK7" si="8">AG2</f>
        <v>TNX</v>
      </c>
      <c r="AL2" s="56">
        <v>4.25</v>
      </c>
      <c r="AM2" s="57">
        <f t="shared" ref="AM2:AM7" si="9">100-ABS(($K11-AL2)/($K11))*100</f>
        <v>95.960832313341498</v>
      </c>
      <c r="AO2" s="9"/>
      <c r="AP2" s="33" t="s">
        <v>27</v>
      </c>
      <c r="AQ2" s="33" t="s">
        <v>28</v>
      </c>
      <c r="AR2" s="58" t="s">
        <v>29</v>
      </c>
      <c r="AS2" s="34" t="str">
        <f>AR2</f>
        <v>∆</v>
      </c>
      <c r="AT2" s="34" t="str">
        <f>AS2</f>
        <v>∆</v>
      </c>
      <c r="AU2" s="59" t="s">
        <v>30</v>
      </c>
      <c r="AV2" s="9"/>
      <c r="AW2" s="9"/>
      <c r="AX2" s="9"/>
      <c r="AY2" s="9"/>
      <c r="AZ2" s="9"/>
      <c r="BA2" s="9"/>
      <c r="BB2" s="9"/>
    </row>
    <row r="3" spans="1:57" ht="15" thickBot="1" x14ac:dyDescent="0.35">
      <c r="A3" s="60" t="s">
        <v>13</v>
      </c>
      <c r="B3" s="61">
        <v>49338</v>
      </c>
      <c r="C3" s="62">
        <v>49320</v>
      </c>
      <c r="D3" s="62">
        <v>49290</v>
      </c>
      <c r="E3" s="62">
        <v>49300</v>
      </c>
      <c r="F3" s="62">
        <v>48705.34</v>
      </c>
      <c r="G3" s="62">
        <v>49408</v>
      </c>
      <c r="H3" s="62">
        <v>49320</v>
      </c>
      <c r="I3" s="62">
        <v>49250</v>
      </c>
      <c r="J3" s="63">
        <v>49320</v>
      </c>
      <c r="L3" s="64" t="s">
        <v>158</v>
      </c>
      <c r="N3" s="65" t="str">
        <f>C1</f>
        <v>Grok 4.1</v>
      </c>
      <c r="O3" s="66">
        <f>100-ABS((($K11-C2)/($K11)))*100</f>
        <v>99.143206854345166</v>
      </c>
      <c r="P3" s="67">
        <f t="shared" si="0"/>
        <v>0.11141371626640258</v>
      </c>
      <c r="Q3" s="68">
        <f>100-ABS((($K12-C3)/($K12)))*100</f>
        <v>99.383447819760505</v>
      </c>
      <c r="R3" s="69">
        <f t="shared" si="1"/>
        <v>0.11126869915384803</v>
      </c>
      <c r="S3" s="69">
        <f>100-ABS((($K13-C4)/($K13)))*100</f>
        <v>99.877270780025242</v>
      </c>
      <c r="T3" s="69">
        <f t="shared" si="2"/>
        <v>0.11127043137237198</v>
      </c>
      <c r="U3" s="69">
        <f>100-ABS((($K14-C5)/($K14)))*100</f>
        <v>99.947616553169183</v>
      </c>
      <c r="V3" s="69">
        <f t="shared" si="3"/>
        <v>0.11325458538612215</v>
      </c>
      <c r="W3" s="70">
        <f>100-ABS((($K15-C6)/($K15)))*100</f>
        <v>99.804536719173456</v>
      </c>
      <c r="X3" s="71">
        <f t="shared" si="4"/>
        <v>0.11119468127741573</v>
      </c>
      <c r="Y3" s="72">
        <f>100-ABS((($K16-C7)/($K16)))*100</f>
        <v>96.25066142565575</v>
      </c>
      <c r="Z3" s="48">
        <f t="shared" si="5"/>
        <v>0.12489210608913998</v>
      </c>
      <c r="AA3" s="29"/>
      <c r="AB3" s="73">
        <f t="shared" si="6"/>
        <v>99.753217968032089</v>
      </c>
      <c r="AC3" s="74">
        <f t="shared" si="7"/>
        <v>99.067790025354881</v>
      </c>
      <c r="AD3" s="51" t="str">
        <f>IF($AB3=MAX(AB2:AB10),"TOP","")</f>
        <v>TOP</v>
      </c>
      <c r="AE3" s="51" t="str">
        <f>IF($AC3=MAX(AC2:AC10),"TOP","")</f>
        <v/>
      </c>
      <c r="AF3" s="52"/>
      <c r="AG3" s="60" t="s">
        <v>13</v>
      </c>
      <c r="AH3" s="75" t="s">
        <v>32</v>
      </c>
      <c r="AI3" s="76">
        <f>MAX(Q2:R10)</f>
        <v>99.56077432844134</v>
      </c>
      <c r="AK3" s="60" t="str">
        <f t="shared" si="8"/>
        <v>DJI</v>
      </c>
      <c r="AL3" s="77">
        <v>48833</v>
      </c>
      <c r="AM3" s="78">
        <f t="shared" si="9"/>
        <v>98.402106800129047</v>
      </c>
      <c r="AO3" s="9"/>
      <c r="AP3" s="79" t="str">
        <f t="shared" ref="AP3:AP8" si="10">AG2</f>
        <v>TNX</v>
      </c>
      <c r="AQ3" s="80">
        <f t="shared" ref="AQ3:AQ8" si="11">K11</f>
        <v>4.085</v>
      </c>
      <c r="AR3" s="80">
        <f>ABS(C29-AQ3)</f>
        <v>7.5000000000000178E-2</v>
      </c>
      <c r="AS3" s="80">
        <f>ABS(E29-K11)</f>
        <v>3.5000000000000142E-2</v>
      </c>
      <c r="AT3" s="80">
        <f>ABS(AQ3-G29)</f>
        <v>4.9999999999998934E-3</v>
      </c>
      <c r="AU3" s="81" t="s">
        <v>33</v>
      </c>
      <c r="AV3" s="9"/>
      <c r="AW3" s="9"/>
      <c r="AX3" s="9"/>
      <c r="AY3" s="9"/>
      <c r="AZ3" s="9"/>
      <c r="BA3" s="9"/>
      <c r="BB3" s="9"/>
    </row>
    <row r="4" spans="1:57" ht="15" thickBot="1" x14ac:dyDescent="0.35">
      <c r="A4" s="82" t="s">
        <v>14</v>
      </c>
      <c r="B4" s="83">
        <v>6925</v>
      </c>
      <c r="C4" s="84">
        <v>6918</v>
      </c>
      <c r="D4" s="84">
        <v>6915</v>
      </c>
      <c r="E4" s="84">
        <v>6920</v>
      </c>
      <c r="F4" s="84">
        <v>6891.15</v>
      </c>
      <c r="G4" s="84">
        <v>6925</v>
      </c>
      <c r="H4" s="84">
        <v>6922</v>
      </c>
      <c r="I4" s="84">
        <v>6835</v>
      </c>
      <c r="J4" s="85">
        <v>6914</v>
      </c>
      <c r="N4" s="65" t="str">
        <f>D1</f>
        <v>Gemini Pro 3</v>
      </c>
      <c r="O4" s="66">
        <f>100-ABS((($K11-D2)/($K11)))*100</f>
        <v>99.143206854345166</v>
      </c>
      <c r="P4" s="67">
        <f t="shared" si="0"/>
        <v>0.11141371626640258</v>
      </c>
      <c r="Q4" s="68">
        <f>100-ABS((($K12-D3)/($K12)))*100</f>
        <v>99.322995600892028</v>
      </c>
      <c r="R4" s="69">
        <f t="shared" si="1"/>
        <v>0.11120101746336515</v>
      </c>
      <c r="S4" s="69">
        <f>100-ABS((($K13-D4)/($K13)))*100</f>
        <v>99.920689136148397</v>
      </c>
      <c r="T4" s="69">
        <f t="shared" si="2"/>
        <v>0.11131880253006954</v>
      </c>
      <c r="U4" s="69">
        <f>100-ABS((($K14-D5)/($K14)))*100</f>
        <v>99.947616553169183</v>
      </c>
      <c r="V4" s="69">
        <f t="shared" si="3"/>
        <v>0.11325458538612215</v>
      </c>
      <c r="W4" s="70">
        <f>100-ABS((($K15-D6)/($K15)))*100</f>
        <v>99.763473004714101</v>
      </c>
      <c r="X4" s="71">
        <f t="shared" si="4"/>
        <v>0.11114893118637305</v>
      </c>
      <c r="Y4" s="72">
        <f>100-ABS((($K16-D7)/($K16)))*100</f>
        <v>96.401844432685749</v>
      </c>
      <c r="Z4" s="48">
        <f t="shared" si="5"/>
        <v>0.12508827683615817</v>
      </c>
      <c r="AA4" s="29"/>
      <c r="AB4" s="73">
        <f t="shared" si="6"/>
        <v>99.738693573730927</v>
      </c>
      <c r="AC4" s="74">
        <f t="shared" si="7"/>
        <v>99.083304263659102</v>
      </c>
      <c r="AD4" s="51" t="str">
        <f>IF($AB4=MAX(AB2:AB10),"TOP","")</f>
        <v/>
      </c>
      <c r="AE4" s="51" t="str">
        <f>IF($AC4=MAX(AC2:AC10),"TOP","")</f>
        <v>TOP</v>
      </c>
      <c r="AF4" s="52"/>
      <c r="AG4" s="82" t="s">
        <v>14</v>
      </c>
      <c r="AH4" s="86" t="s">
        <v>34</v>
      </c>
      <c r="AI4" s="87">
        <f>MAX(S2:T10)</f>
        <v>99.935161921522777</v>
      </c>
      <c r="AK4" s="82" t="str">
        <f t="shared" si="8"/>
        <v>SPX</v>
      </c>
      <c r="AL4" s="88">
        <v>6810</v>
      </c>
      <c r="AM4" s="89">
        <f t="shared" si="9"/>
        <v>98.559668399541493</v>
      </c>
      <c r="AO4" s="9"/>
      <c r="AP4" s="79" t="str">
        <f t="shared" si="10"/>
        <v>DJI</v>
      </c>
      <c r="AQ4" s="90">
        <f t="shared" si="11"/>
        <v>49625.97</v>
      </c>
      <c r="AR4" s="91">
        <f>ABS(C12-AQ4)</f>
        <v>10.970000000001164</v>
      </c>
      <c r="AS4" s="91">
        <f>ABS(E12-AQ4)</f>
        <v>42.970000000001164</v>
      </c>
      <c r="AT4" s="91">
        <f>ABS(AQ4-G12)</f>
        <v>3.9700000000011642</v>
      </c>
      <c r="AU4" s="92" t="s">
        <v>35</v>
      </c>
      <c r="AV4" s="9"/>
      <c r="AW4" s="9"/>
      <c r="BB4" s="9"/>
    </row>
    <row r="5" spans="1:57" ht="15" thickBot="1" x14ac:dyDescent="0.35">
      <c r="A5" s="82" t="s">
        <v>15</v>
      </c>
      <c r="B5" s="93">
        <v>19.559999999999999</v>
      </c>
      <c r="C5" s="94">
        <v>19.100000000000001</v>
      </c>
      <c r="D5" s="94">
        <v>19.100000000000001</v>
      </c>
      <c r="E5" s="94">
        <v>19.2</v>
      </c>
      <c r="F5" s="94">
        <v>20.25</v>
      </c>
      <c r="G5" s="94">
        <v>19.760000000000002</v>
      </c>
      <c r="H5" s="95">
        <v>19.2</v>
      </c>
      <c r="I5" s="95">
        <v>19</v>
      </c>
      <c r="J5" s="96">
        <v>18.38</v>
      </c>
      <c r="L5" s="2" t="s">
        <v>36</v>
      </c>
      <c r="N5" s="65" t="str">
        <f>E1</f>
        <v>Claude</v>
      </c>
      <c r="O5" s="66">
        <f>100-ABS((($K11-E2)/($K11)))*100</f>
        <v>99.265605875153</v>
      </c>
      <c r="P5" s="67">
        <f t="shared" si="0"/>
        <v>0.11155126406426233</v>
      </c>
      <c r="Q5" s="68">
        <f>100-ABS((($K12-E3)/($K12)))*100</f>
        <v>99.343146340514849</v>
      </c>
      <c r="R5" s="69">
        <f t="shared" si="1"/>
        <v>0.11122357802685943</v>
      </c>
      <c r="S5" s="69">
        <f>100-ABS((($K13-E4)/($K13)))*100</f>
        <v>99.848325209276481</v>
      </c>
      <c r="T5" s="69">
        <f t="shared" si="2"/>
        <v>0.11123818393390694</v>
      </c>
      <c r="U5" s="69">
        <f>100-ABS((($K14-E5)/($K14)))*100</f>
        <v>99.423782084861188</v>
      </c>
      <c r="V5" s="69">
        <f t="shared" si="3"/>
        <v>0.11266100789458065</v>
      </c>
      <c r="W5" s="70">
        <f>100-ABS((($K15-E6)/($K15)))*100</f>
        <v>99.640281861336035</v>
      </c>
      <c r="X5" s="71">
        <f t="shared" si="4"/>
        <v>0.11101168091324501</v>
      </c>
      <c r="Y5" s="72">
        <f>100-ABS((($K16-E7)/($K16)))*100</f>
        <v>96.061682666868236</v>
      </c>
      <c r="Z5" s="48">
        <f t="shared" si="5"/>
        <v>0.12464689265536723</v>
      </c>
      <c r="AA5" s="29"/>
      <c r="AB5" s="73">
        <f t="shared" si="6"/>
        <v>99.563883873997128</v>
      </c>
      <c r="AC5" s="74">
        <f t="shared" si="7"/>
        <v>98.930470673001636</v>
      </c>
      <c r="AD5" s="51" t="str">
        <f>IF($AB5=MAX(AB2:AB10),"TOP","")</f>
        <v/>
      </c>
      <c r="AE5" s="51" t="str">
        <f>IF($AC5=MAX(AC2:AC10),"TOP","")</f>
        <v/>
      </c>
      <c r="AF5" s="52"/>
      <c r="AG5" s="82" t="s">
        <v>15</v>
      </c>
      <c r="AH5" s="97" t="s">
        <v>37</v>
      </c>
      <c r="AI5" s="87">
        <f>MAX(U2:V10)</f>
        <v>99.947616553169183</v>
      </c>
      <c r="AK5" s="82" t="str">
        <f t="shared" si="8"/>
        <v>VIX</v>
      </c>
      <c r="AL5" s="98">
        <v>19.100000000000001</v>
      </c>
      <c r="AM5" s="89">
        <f t="shared" si="9"/>
        <v>99.947616553169183</v>
      </c>
      <c r="AO5" s="9"/>
      <c r="AP5" s="79" t="str">
        <f t="shared" si="10"/>
        <v>SPX</v>
      </c>
      <c r="AQ5" s="90">
        <f t="shared" si="11"/>
        <v>6909.52</v>
      </c>
      <c r="AR5" s="91">
        <f>ABS(C13-AQ5)</f>
        <v>2.5200000000004366</v>
      </c>
      <c r="AS5" s="91">
        <f>ABS(E13-AQ5)</f>
        <v>3.4799999999995634</v>
      </c>
      <c r="AT5" s="91">
        <f>ABS(AQ5-G13)</f>
        <v>59.520000000000437</v>
      </c>
      <c r="AU5" s="92" t="s">
        <v>38</v>
      </c>
      <c r="AV5" s="9"/>
      <c r="AW5" s="9"/>
      <c r="BB5" s="9"/>
    </row>
    <row r="6" spans="1:57" ht="15" thickBot="1" x14ac:dyDescent="0.35">
      <c r="A6" s="99" t="s">
        <v>16</v>
      </c>
      <c r="B6" s="100">
        <v>609.61</v>
      </c>
      <c r="C6" s="101">
        <v>610</v>
      </c>
      <c r="D6" s="101">
        <v>610.25</v>
      </c>
      <c r="E6" s="101">
        <v>611</v>
      </c>
      <c r="F6" s="101">
        <v>606.37</v>
      </c>
      <c r="G6" s="101">
        <v>611</v>
      </c>
      <c r="H6" s="102">
        <v>612</v>
      </c>
      <c r="I6" s="102">
        <v>610</v>
      </c>
      <c r="J6" s="103">
        <v>609</v>
      </c>
      <c r="N6" s="65" t="str">
        <f>F1</f>
        <v>GLM-4.7</v>
      </c>
      <c r="O6" s="66">
        <f>100-ABS((($K11-F2)/($K11)))*100</f>
        <v>98.727050183598536</v>
      </c>
      <c r="P6" s="67">
        <f t="shared" si="0"/>
        <v>0.1109460537536794</v>
      </c>
      <c r="Q6" s="68">
        <f>100-ABS((($K12-F3)/($K12)))*100</f>
        <v>98.144862458104086</v>
      </c>
      <c r="R6" s="69">
        <f t="shared" si="1"/>
        <v>0.10988199155810788</v>
      </c>
      <c r="S6" s="69">
        <f>100-ABS((($K13-F4)/($K13)))*100</f>
        <v>99.734134932672589</v>
      </c>
      <c r="T6" s="69">
        <f t="shared" si="2"/>
        <v>0.11111096778916237</v>
      </c>
      <c r="U6" s="69">
        <f>100-ABS((($K14-F5)/($K14)))*100</f>
        <v>93.923520167627032</v>
      </c>
      <c r="V6" s="69">
        <f t="shared" si="3"/>
        <v>0.10642844423339469</v>
      </c>
      <c r="W6" s="70">
        <f>100-ABS((($K15-F6)/($K15)))*100</f>
        <v>99.599218146876709</v>
      </c>
      <c r="X6" s="71">
        <f t="shared" si="4"/>
        <v>0.11096593082220235</v>
      </c>
      <c r="Y6" s="72">
        <f>100-ABS((($K16-F7)/($K16)))*100</f>
        <v>96.851613878600034</v>
      </c>
      <c r="Z6" s="48">
        <f t="shared" si="5"/>
        <v>0.12567188480853733</v>
      </c>
      <c r="AA6" s="29"/>
      <c r="AB6" s="73">
        <f t="shared" si="6"/>
        <v>97.850433926320093</v>
      </c>
      <c r="AC6" s="74">
        <f t="shared" si="7"/>
        <v>97.830066627913155</v>
      </c>
      <c r="AD6" s="11" t="str">
        <f>IF($AB6=MAX(AB2:AB10),"TOP","")</f>
        <v/>
      </c>
      <c r="AE6" s="51" t="str">
        <f>IF($AC6=MAX(AC2:AC10),"TOP","")</f>
        <v/>
      </c>
      <c r="AF6" s="52"/>
      <c r="AG6" s="99" t="s">
        <v>16</v>
      </c>
      <c r="AH6" s="104" t="s">
        <v>39</v>
      </c>
      <c r="AI6" s="105">
        <f>MAX(W2:X10)</f>
        <v>99.968791577010876</v>
      </c>
      <c r="AK6" s="99" t="str">
        <f t="shared" si="8"/>
        <v>QQQ</v>
      </c>
      <c r="AL6" s="106">
        <v>604.79999999999995</v>
      </c>
      <c r="AM6" s="107">
        <f t="shared" si="9"/>
        <v>99.341338020071944</v>
      </c>
      <c r="AO6" s="9"/>
      <c r="AP6" s="79" t="str">
        <f t="shared" si="10"/>
        <v>VIX</v>
      </c>
      <c r="AQ6" s="108">
        <f t="shared" si="11"/>
        <v>19.09</v>
      </c>
      <c r="AR6" s="91">
        <f>ABS(C14-AQ6)</f>
        <v>0.78999999999999915</v>
      </c>
      <c r="AS6" s="91">
        <f>ABS(E14-AQ6)</f>
        <v>0.44000000000000128</v>
      </c>
      <c r="AT6" s="91">
        <f>ABS(AQ6-G14)</f>
        <v>0.10000000000000142</v>
      </c>
      <c r="AU6" s="92" t="s">
        <v>40</v>
      </c>
      <c r="AV6" s="9"/>
      <c r="AW6" s="9"/>
      <c r="BB6" s="9"/>
    </row>
    <row r="7" spans="1:57" ht="15" thickBot="1" x14ac:dyDescent="0.35">
      <c r="A7" s="109" t="s">
        <v>17</v>
      </c>
      <c r="B7" s="110">
        <v>273.73</v>
      </c>
      <c r="C7" s="111">
        <v>274.5</v>
      </c>
      <c r="D7" s="111">
        <v>274.10000000000002</v>
      </c>
      <c r="E7" s="111">
        <v>275</v>
      </c>
      <c r="F7" s="111">
        <v>272.91000000000003</v>
      </c>
      <c r="G7" s="111">
        <v>275</v>
      </c>
      <c r="H7" s="112">
        <v>274</v>
      </c>
      <c r="I7" s="112">
        <v>275</v>
      </c>
      <c r="J7" s="113">
        <v>275</v>
      </c>
      <c r="L7" s="2" t="s">
        <v>41</v>
      </c>
      <c r="N7" s="65" t="str">
        <f>G1</f>
        <v>Kimi 2.5</v>
      </c>
      <c r="O7" s="66">
        <f>100-ABS((($K11-G2)/($K11)))*100</f>
        <v>98.971848225214202</v>
      </c>
      <c r="P7" s="67">
        <f t="shared" si="0"/>
        <v>0.11122114934939892</v>
      </c>
      <c r="Q7" s="68">
        <f>100-ABS((($K12-G3)/($K12)))*100</f>
        <v>99.56077432844134</v>
      </c>
      <c r="R7" s="69">
        <f t="shared" si="1"/>
        <v>0.11146723211259781</v>
      </c>
      <c r="S7" s="69">
        <f>100-ABS((($K13-G4)/($K13)))*100</f>
        <v>99.775961282404566</v>
      </c>
      <c r="T7" s="69">
        <f t="shared" si="2"/>
        <v>0.11115756533774436</v>
      </c>
      <c r="U7" s="69">
        <f>100-ABS((($K14-G5)/($K14)))*100</f>
        <v>96.490309062336294</v>
      </c>
      <c r="V7" s="69">
        <f t="shared" si="3"/>
        <v>0.10933697394194813</v>
      </c>
      <c r="W7" s="70">
        <f>100-ABS((($K15-G6)/($K15)))*100</f>
        <v>99.640281861336035</v>
      </c>
      <c r="X7" s="71">
        <f t="shared" si="4"/>
        <v>0.11101168091324501</v>
      </c>
      <c r="Y7" s="72">
        <f>100-ABS((($K16-G7)/($K16)))*100</f>
        <v>96.061682666868236</v>
      </c>
      <c r="Z7" s="48">
        <f t="shared" si="5"/>
        <v>0.12464689265536723</v>
      </c>
      <c r="AA7" s="29"/>
      <c r="AB7" s="73">
        <f t="shared" si="6"/>
        <v>98.866831633629545</v>
      </c>
      <c r="AC7" s="74">
        <f t="shared" si="7"/>
        <v>98.416809571100103</v>
      </c>
      <c r="AD7" s="51" t="str">
        <f>IF($AB7=MAX(AB2:AB10),"TOP","")</f>
        <v/>
      </c>
      <c r="AE7" s="51" t="str">
        <f>IF($AC7=MAX(AC2:AC10),"TOP","")</f>
        <v/>
      </c>
      <c r="AF7" s="52"/>
      <c r="AG7" s="114" t="s">
        <v>17</v>
      </c>
      <c r="AH7" s="115" t="s">
        <v>42</v>
      </c>
      <c r="AI7" s="116">
        <f>MAX(Y2:Z10)</f>
        <v>96.851613878600034</v>
      </c>
      <c r="AK7" s="114" t="str">
        <f t="shared" si="8"/>
        <v>AAPL</v>
      </c>
      <c r="AL7" s="117">
        <v>245.25</v>
      </c>
      <c r="AM7" s="118">
        <f t="shared" si="9"/>
        <v>92.694081185274783</v>
      </c>
      <c r="AO7" s="9"/>
      <c r="AP7" s="79" t="str">
        <f t="shared" si="10"/>
        <v>QQQ</v>
      </c>
      <c r="AQ7" s="119">
        <f t="shared" si="11"/>
        <v>608.80999999999995</v>
      </c>
      <c r="AR7" s="91">
        <f>ABS(C15-AQ7)</f>
        <v>4.4900000000000091</v>
      </c>
      <c r="AS7" s="91">
        <f>ABS(E15-AQ7)</f>
        <v>6.5900000000000318</v>
      </c>
      <c r="AT7" s="91">
        <f>ABS(AQ7-G15)</f>
        <v>5.3099999999999454</v>
      </c>
      <c r="AU7" s="92" t="s">
        <v>43</v>
      </c>
      <c r="AV7" s="9"/>
      <c r="AW7" s="9"/>
      <c r="AX7" s="9"/>
      <c r="AY7" s="120"/>
      <c r="AZ7" s="120"/>
      <c r="BA7" s="9"/>
      <c r="BB7" s="9"/>
    </row>
    <row r="8" spans="1:57" ht="14.25" customHeight="1" thickBot="1" x14ac:dyDescent="0.35">
      <c r="L8" s="121">
        <v>43</v>
      </c>
      <c r="N8" s="65" t="str">
        <f>H1</f>
        <v>Minimax 2.1</v>
      </c>
      <c r="O8" s="66">
        <f>100-ABS((($K11-H2)/($K11)))*100</f>
        <v>98.164014687882499</v>
      </c>
      <c r="P8" s="67">
        <f t="shared" si="0"/>
        <v>0.11031333388352453</v>
      </c>
      <c r="Q8" s="68">
        <f>100-ABS((($K12-H3)/($K12)))*100</f>
        <v>99.383447819760505</v>
      </c>
      <c r="R8" s="69">
        <f t="shared" si="1"/>
        <v>0.11126869915384803</v>
      </c>
      <c r="S8" s="69">
        <f>100-ABS((($K13-H4)/($K13)))*100</f>
        <v>99.819379638527721</v>
      </c>
      <c r="T8" s="69">
        <f t="shared" si="2"/>
        <v>0.11120593649544191</v>
      </c>
      <c r="U8" s="69">
        <f>100-ABS((($K14-H5)/($K14)))*100</f>
        <v>99.423782084861188</v>
      </c>
      <c r="V8" s="69">
        <f t="shared" si="3"/>
        <v>0.11266100789458065</v>
      </c>
      <c r="W8" s="70">
        <f>100-ABS((($K15-H6)/($K15)))*100</f>
        <v>99.476027003498615</v>
      </c>
      <c r="X8" s="71">
        <f t="shared" si="4"/>
        <v>0.11082868054907428</v>
      </c>
      <c r="Y8" s="72">
        <f>100-ABS((($K16-H7)/($K16)))*100</f>
        <v>96.439640184443263</v>
      </c>
      <c r="Z8" s="48">
        <f t="shared" si="5"/>
        <v>0.12513731952291274</v>
      </c>
      <c r="AA8" s="29"/>
      <c r="AB8" s="73">
        <f t="shared" si="6"/>
        <v>99.525659136662</v>
      </c>
      <c r="AC8" s="74">
        <f t="shared" si="7"/>
        <v>98.784381903162298</v>
      </c>
      <c r="AD8" s="51" t="str">
        <f>IF($AB8=MAX(AB2:AB10),"TOP","")</f>
        <v/>
      </c>
      <c r="AE8" s="51" t="str">
        <f>IF($AC8=MAX(AC2:AC10),"TOP","")</f>
        <v/>
      </c>
      <c r="AF8" s="52"/>
      <c r="AG8" s="4"/>
      <c r="AH8" s="4"/>
      <c r="AI8" s="5"/>
      <c r="AM8" s="8"/>
      <c r="AO8" s="9"/>
      <c r="AP8" s="79" t="str">
        <f t="shared" si="10"/>
        <v>AAPL</v>
      </c>
      <c r="AQ8" s="122">
        <f t="shared" si="11"/>
        <v>264.58</v>
      </c>
      <c r="AR8" s="122">
        <f>ABS(C34-AQ8)</f>
        <v>8.6200000000000045</v>
      </c>
      <c r="AS8" s="122">
        <f>ABS(E34-K16)</f>
        <v>9.7200000000000273</v>
      </c>
      <c r="AT8" s="122">
        <f>ABS(AQ8-G34)</f>
        <v>0.27999999999997272</v>
      </c>
      <c r="AU8" s="81" t="s">
        <v>33</v>
      </c>
      <c r="AV8" s="9"/>
      <c r="AW8" s="9"/>
      <c r="AX8" s="9"/>
      <c r="AY8" s="9"/>
      <c r="AZ8" s="9"/>
      <c r="BA8" s="9"/>
      <c r="BB8" s="9"/>
    </row>
    <row r="9" spans="1:57" ht="15" thickBot="1" x14ac:dyDescent="0.35">
      <c r="L9" s="6" t="str">
        <f>IF(L8&lt;25,AC31,IF(L8&lt;45,AC32,IF(L8&lt;55,AC33,IF(L8&lt;75,AC34,AC35))))</f>
        <v>Fear</v>
      </c>
      <c r="N9" s="65" t="str">
        <f>I1</f>
        <v>LeChat</v>
      </c>
      <c r="O9" s="66">
        <f>100-ABS((($K11-I2)/($K11)))*100</f>
        <v>99.143206854345166</v>
      </c>
      <c r="P9" s="67">
        <f t="shared" si="0"/>
        <v>0.11141371626640258</v>
      </c>
      <c r="Q9" s="68">
        <f>100-ABS((($K12-I3)/($K12)))*100</f>
        <v>99.242392642400745</v>
      </c>
      <c r="R9" s="69">
        <f t="shared" si="1"/>
        <v>0.11111077520938799</v>
      </c>
      <c r="S9" s="69">
        <f>100-ABS((($K13-I4)/($K13)))*100</f>
        <v>98.921488033901042</v>
      </c>
      <c r="T9" s="69">
        <f t="shared" si="2"/>
        <v>0.11020562095425651</v>
      </c>
      <c r="U9" s="123">
        <f>100-ABS((($K14-I5)/($K14)))*100</f>
        <v>99.528548978522792</v>
      </c>
      <c r="V9" s="69">
        <f t="shared" si="3"/>
        <v>0.11277972339288897</v>
      </c>
      <c r="W9" s="70">
        <f>100-ABS((($K15-I6)/($K15)))*100</f>
        <v>99.804536719173456</v>
      </c>
      <c r="X9" s="71">
        <f t="shared" si="4"/>
        <v>0.11119468127741573</v>
      </c>
      <c r="Y9" s="72">
        <f>100-ABS((($K16-I7)/($K16)))*100</f>
        <v>96.061682666868236</v>
      </c>
      <c r="Z9" s="124">
        <f t="shared" si="5"/>
        <v>0.12464689265536723</v>
      </c>
      <c r="AA9" s="29"/>
      <c r="AB9" s="73">
        <f>(Q10+S10+U10+W10)/4</f>
        <v>98.892044148326818</v>
      </c>
      <c r="AC9" s="74">
        <f>(O10+Q10+S10+U10+W10+Y10)/6</f>
        <v>98.380578338548219</v>
      </c>
      <c r="AD9" s="51" t="str">
        <f>IF($AB10=MAX(AB2:AB10),"TOP","")</f>
        <v/>
      </c>
      <c r="AE9" s="51" t="str">
        <f>IF($AC9=MAX(AC2:AC10),"TOP","")</f>
        <v/>
      </c>
      <c r="AF9" s="52"/>
      <c r="AG9" s="1319" t="s">
        <v>44</v>
      </c>
      <c r="AH9" s="1319"/>
      <c r="AI9" s="125">
        <f>AVERAGE(AI3:AI6)</f>
        <v>99.853086095036048</v>
      </c>
      <c r="AK9" s="1310" t="s">
        <v>44</v>
      </c>
      <c r="AL9" s="1310"/>
      <c r="AM9" s="126">
        <f>AVERAGE(AM3:AM6)</f>
        <v>99.062682443227914</v>
      </c>
      <c r="AO9" s="9"/>
      <c r="AQ9" s="79">
        <v>0</v>
      </c>
      <c r="AR9" s="33">
        <v>2.16</v>
      </c>
      <c r="AS9" s="33">
        <v>2.2400000000000002</v>
      </c>
      <c r="AT9" s="33">
        <v>1.79</v>
      </c>
      <c r="AU9" s="127" t="s">
        <v>45</v>
      </c>
      <c r="AV9" s="9"/>
      <c r="AW9" s="9"/>
      <c r="AX9" s="9"/>
      <c r="AY9" s="9"/>
      <c r="AZ9" s="9"/>
      <c r="BA9" s="9"/>
      <c r="BB9" s="9"/>
    </row>
    <row r="10" spans="1:57" ht="15" thickBot="1" x14ac:dyDescent="0.35">
      <c r="B10" s="3" t="s">
        <v>46</v>
      </c>
      <c r="C10" s="1312" t="s">
        <v>47</v>
      </c>
      <c r="D10" s="1312"/>
      <c r="E10" s="1312">
        <v>85520</v>
      </c>
      <c r="F10" s="1312"/>
      <c r="G10" s="1312" t="s">
        <v>48</v>
      </c>
      <c r="H10" s="1312"/>
      <c r="I10" s="128" t="s">
        <v>36</v>
      </c>
      <c r="J10" s="129" t="s">
        <v>49</v>
      </c>
      <c r="K10" s="130" t="s">
        <v>50</v>
      </c>
      <c r="N10" s="131" t="str">
        <f>J1</f>
        <v>Qwen</v>
      </c>
      <c r="O10" s="132">
        <f>100-ABS((($K11-J2)/($K11)))*100</f>
        <v>98.653610771113833</v>
      </c>
      <c r="P10" s="133">
        <f t="shared" si="0"/>
        <v>0.11086352507496355</v>
      </c>
      <c r="Q10" s="134">
        <f>100-ABS((($K12-J3)/($K12)))*100</f>
        <v>99.383447819760505</v>
      </c>
      <c r="R10" s="135">
        <f t="shared" si="1"/>
        <v>0.11126869915384803</v>
      </c>
      <c r="S10" s="135">
        <f>100-ABS((($K13-J4)/($K13)))*100</f>
        <v>99.935161921522777</v>
      </c>
      <c r="T10" s="135">
        <f t="shared" si="2"/>
        <v>0.11133492624930205</v>
      </c>
      <c r="U10" s="135">
        <f>100-ABS((($K14-J5)/($K14)))*100</f>
        <v>96.280775275013085</v>
      </c>
      <c r="V10" s="135">
        <f t="shared" si="3"/>
        <v>0.10909954294533152</v>
      </c>
      <c r="W10" s="136">
        <f>100-ABS((($K15-J6)/($K15)))*100</f>
        <v>99.968791577010876</v>
      </c>
      <c r="X10" s="137">
        <f t="shared" si="4"/>
        <v>0.11137768164158646</v>
      </c>
      <c r="Y10" s="138">
        <f>100-ABS((($K16-J7)/($K16)))*100</f>
        <v>96.061682666868236</v>
      </c>
      <c r="Z10" s="48">
        <f t="shared" si="5"/>
        <v>0.12464689265536723</v>
      </c>
      <c r="AA10" s="29"/>
      <c r="AB10" s="139">
        <f>(Q9+S9+U9+W9)/4</f>
        <v>99.374241593499505</v>
      </c>
      <c r="AC10" s="140">
        <f>(O9+Q9+S9+U9+W9+Y9)/6</f>
        <v>98.783642649201909</v>
      </c>
      <c r="AD10" s="51" t="str">
        <f>IF($AB11=MAX(AB2:AB10),"TOP","")</f>
        <v/>
      </c>
      <c r="AE10" s="51" t="str">
        <f>IF($AC10=MAX(AC2:AC10),"TOP","")</f>
        <v/>
      </c>
      <c r="AG10" s="1320" t="s">
        <v>51</v>
      </c>
      <c r="AH10" s="1320"/>
      <c r="AI10" s="141">
        <f>AVERAGE(AI2:AI7)</f>
        <v>99.254927355649514</v>
      </c>
      <c r="AK10" s="1311" t="s">
        <v>51</v>
      </c>
      <c r="AL10" s="1311"/>
      <c r="AM10" s="142">
        <f>AVERAGE(AM2:AM7)</f>
        <v>97.484273878587985</v>
      </c>
      <c r="AO10" s="9"/>
      <c r="AQ10" s="79">
        <v>0</v>
      </c>
      <c r="AR10" s="33">
        <v>5.28</v>
      </c>
      <c r="AS10" s="33">
        <v>5.33</v>
      </c>
      <c r="AT10" s="33">
        <v>5.0999999999999996</v>
      </c>
      <c r="AU10" s="143" t="s">
        <v>52</v>
      </c>
      <c r="AV10" s="9"/>
      <c r="AW10" s="9"/>
      <c r="AX10" s="9"/>
      <c r="AY10" s="9"/>
      <c r="AZ10" s="9"/>
      <c r="BA10" s="9"/>
      <c r="BB10" s="9"/>
    </row>
    <row r="11" spans="1:57" ht="15" thickBot="1" x14ac:dyDescent="0.35">
      <c r="A11" s="53" t="s">
        <v>12</v>
      </c>
      <c r="B11" s="144">
        <v>4.0330000000000004</v>
      </c>
      <c r="C11" s="145">
        <v>4.01</v>
      </c>
      <c r="D11" s="146" t="str">
        <f t="shared" ref="D11:D16" si="12">IF(ABS(K11-I11)&lt;ABS(C11-K11),$I$10,$C$10)</f>
        <v>LLM</v>
      </c>
      <c r="E11" s="145">
        <v>4.05</v>
      </c>
      <c r="F11" s="146">
        <f t="shared" ref="F11:F16" si="13">IF(ABS(K11-I11)&lt;ABS(K11-E11),$I$10,$E$10)</f>
        <v>85520</v>
      </c>
      <c r="G11" s="145">
        <v>4.08</v>
      </c>
      <c r="H11" s="146" t="str">
        <f t="shared" ref="H11:H16" si="14">IF(ABS(I11-K11)&lt;ABS(K11-G11),$I$10,$G$10)</f>
        <v>MICH</v>
      </c>
      <c r="I11" s="147">
        <f>(B2*P24)+(C2*P25)+(D2*P26)+(E2*P27)+(F2*P28)+(G2*P29)+(H2*P30)+(I2*P31)+(J2*P31)</f>
        <v>4.038897247706422</v>
      </c>
      <c r="J11" s="148">
        <v>4.0421696658097703</v>
      </c>
      <c r="K11" s="149">
        <v>4.085</v>
      </c>
      <c r="AG11" s="150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7" ht="15.6" thickBot="1" x14ac:dyDescent="0.35">
      <c r="A12" s="60" t="s">
        <v>13</v>
      </c>
      <c r="B12" s="151">
        <v>49174.5</v>
      </c>
      <c r="C12" s="61">
        <v>49615</v>
      </c>
      <c r="D12" s="152" t="str">
        <f t="shared" si="12"/>
        <v>RD</v>
      </c>
      <c r="E12" s="61">
        <v>49583</v>
      </c>
      <c r="F12" s="152">
        <f t="shared" si="13"/>
        <v>85520</v>
      </c>
      <c r="G12" s="61">
        <v>49622</v>
      </c>
      <c r="H12" s="152" t="str">
        <f t="shared" si="14"/>
        <v>MICH</v>
      </c>
      <c r="I12" s="153">
        <f>(B3*R24)+(C3*R25)+(D3*R26)+(E3*R27)+(F3*R28)+(G3*R29)+(H3*R30)+(I3*R31)+(J3*R31)</f>
        <v>49251.4836121673</v>
      </c>
      <c r="J12" s="154">
        <v>49221.088022616401</v>
      </c>
      <c r="K12" s="155">
        <v>49625.97</v>
      </c>
      <c r="N12" s="19" t="s">
        <v>53</v>
      </c>
      <c r="O12" s="156" t="s">
        <v>12</v>
      </c>
      <c r="P12" s="21">
        <f>SUM(O13:O21)</f>
        <v>650</v>
      </c>
      <c r="Q12" s="157" t="s">
        <v>13</v>
      </c>
      <c r="R12" s="158">
        <f>SUM(Q13:Q21)</f>
        <v>710</v>
      </c>
      <c r="S12" s="159" t="s">
        <v>14</v>
      </c>
      <c r="T12" s="158">
        <f>SUM(S13:S21)</f>
        <v>825</v>
      </c>
      <c r="U12" s="159" t="s">
        <v>15</v>
      </c>
      <c r="V12" s="158">
        <f>SUM(U13:U21)</f>
        <v>630</v>
      </c>
      <c r="W12" s="159" t="s">
        <v>16</v>
      </c>
      <c r="X12" s="26">
        <f>SUM(W13:W21)</f>
        <v>825</v>
      </c>
      <c r="Y12" s="160" t="s">
        <v>17</v>
      </c>
      <c r="Z12" s="28">
        <f>SUM(Y13:Y21)</f>
        <v>450</v>
      </c>
      <c r="AA12" s="29"/>
      <c r="AB12" s="161" t="s">
        <v>54</v>
      </c>
      <c r="AC12" s="162" t="s">
        <v>55</v>
      </c>
      <c r="AG12" s="1315" t="str">
        <f>B19</f>
        <v>Close YF</v>
      </c>
      <c r="AH12" s="163">
        <f t="shared" ref="AH12:AH17" si="15">(I20-B20)/B20</f>
        <v>1.2893627572526555E-2</v>
      </c>
      <c r="AI12" s="164" t="str">
        <f>IF(K11-B20&gt;0,"↑","↓")</f>
        <v>↑</v>
      </c>
      <c r="AJ12" s="165">
        <f t="shared" ref="AJ12:AJ17" si="16">(C20-B20)/B20</f>
        <v>-5.70295065707924E-3</v>
      </c>
      <c r="AK12" s="166" t="str">
        <f t="shared" ref="AK12:AK17" si="17">IF(C20-B20&gt;0,"↑","↓")</f>
        <v>↓</v>
      </c>
      <c r="AL12" s="163">
        <f t="shared" ref="AL12:AL17" si="18">(E20-B20)/B20</f>
        <v>4.215224398710503E-3</v>
      </c>
      <c r="AM12" s="164" t="str">
        <f t="shared" ref="AM12:AM17" si="19">IF(E20-B20&gt;0,"↑","↓")</f>
        <v>↑</v>
      </c>
      <c r="AN12" s="163">
        <f t="shared" ref="AN12:AN17" si="20">(G20-B20)/B20</f>
        <v>1.1653855690552864E-2</v>
      </c>
      <c r="AO12" s="164" t="str">
        <f t="shared" ref="AO12:AO17" si="21">IF(G20-B20&gt;0,"↑","↓")</f>
        <v>↑</v>
      </c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7" ht="15.6" thickBot="1" x14ac:dyDescent="0.35">
      <c r="A13" s="82" t="s">
        <v>14</v>
      </c>
      <c r="B13" s="167">
        <v>6890.07</v>
      </c>
      <c r="C13" s="83">
        <v>6907</v>
      </c>
      <c r="D13" s="168" t="str">
        <f t="shared" si="12"/>
        <v>LLM</v>
      </c>
      <c r="E13" s="83">
        <v>6913</v>
      </c>
      <c r="F13" s="168" t="str">
        <f t="shared" si="13"/>
        <v>LLM</v>
      </c>
      <c r="G13" s="83">
        <v>6850</v>
      </c>
      <c r="H13" s="168" t="str">
        <f t="shared" si="14"/>
        <v>LLM</v>
      </c>
      <c r="I13" s="169">
        <f>(B4*T24)+(C4*T25)+(D4*T26)+(E4*T27)+(F4*T28)+(G4*T29)+(H4*T30)+(I4*T31)+(J4*T31)</f>
        <v>6907.2032967032965</v>
      </c>
      <c r="J13" s="170">
        <v>6912.76571546185</v>
      </c>
      <c r="K13" s="171">
        <v>6909.52</v>
      </c>
      <c r="N13" s="172" t="str">
        <f t="shared" ref="N13:N21" si="22">N2</f>
        <v>O 5.2</v>
      </c>
      <c r="O13" s="173">
        <f t="shared" ref="O13:O21" si="23">IF(O2=0,0, LOOKUP(O2-0.000000000001,$AB$13:$AB$29,$AC$13:$AC$29))</f>
        <v>70</v>
      </c>
      <c r="P13" s="174">
        <f t="shared" ref="P13:P21" si="24">O13/$P$12</f>
        <v>0.1076923076923077</v>
      </c>
      <c r="Q13" s="175">
        <f t="shared" ref="Q13:Q21" si="25">IF(Q2=0,0, LOOKUP(Q2-0.000000000001,$AB$13:$AB$29,$AC$13:$AC$29))</f>
        <v>80</v>
      </c>
      <c r="R13" s="176">
        <f t="shared" ref="R13:R21" si="26">Q13/$R$12</f>
        <v>0.11267605633802817</v>
      </c>
      <c r="S13" s="176">
        <f t="shared" ref="S13:S21" si="27">IF(S2=0,0, LOOKUP(S2-0.000000000001,$AB$13:$AB$29,$AC$13:$AC$29))</f>
        <v>95</v>
      </c>
      <c r="T13" s="176">
        <f t="shared" ref="T13:T21" si="28">S13/$T$12</f>
        <v>0.11515151515151516</v>
      </c>
      <c r="U13" s="176">
        <f t="shared" ref="U13:U21" si="29">IF(U2=0,0, LOOKUP(U2-0.000000000001,$AB$13:$AB$29,$AC$13:$AC$29))</f>
        <v>60</v>
      </c>
      <c r="V13" s="176">
        <f t="shared" ref="V13:V21" si="30">U13/$V$12</f>
        <v>9.5238095238095233E-2</v>
      </c>
      <c r="W13" s="176">
        <f t="shared" ref="W13:W21" si="31">IF(W2=0,0, LOOKUP(W2-0.000000000001,$AB$13:$AB$29,$AC$13:$AC$29))</f>
        <v>95</v>
      </c>
      <c r="X13" s="177">
        <f t="shared" ref="X13:X21" si="32">W13/$X$12</f>
        <v>0.11515151515151516</v>
      </c>
      <c r="Y13" s="178">
        <f t="shared" ref="Y13:Y21" si="33">IF(Y2=0,0, LOOKUP(Y2-0.000000000001,$AB$13:$AB$29,$AC$13:$AC$29))</f>
        <v>50</v>
      </c>
      <c r="Z13" s="179">
        <f t="shared" ref="Z13:Z21" si="34">Y13/$Z$12</f>
        <v>0.1111111111111111</v>
      </c>
      <c r="AA13" s="29"/>
      <c r="AB13" s="180">
        <v>1</v>
      </c>
      <c r="AC13" s="181">
        <v>0.1</v>
      </c>
      <c r="AG13" s="1315"/>
      <c r="AH13" s="182">
        <f t="shared" si="15"/>
        <v>9.180977945886612E-3</v>
      </c>
      <c r="AI13" s="183" t="str">
        <f>IF(I21-B21&gt;0,"↑","↓")</f>
        <v>↑</v>
      </c>
      <c r="AJ13" s="184">
        <f t="shared" si="16"/>
        <v>8.9578948438723324E-3</v>
      </c>
      <c r="AK13" s="185" t="str">
        <f t="shared" si="17"/>
        <v>↑</v>
      </c>
      <c r="AL13" s="182">
        <f t="shared" si="18"/>
        <v>8.3071510640677585E-3</v>
      </c>
      <c r="AM13" s="183" t="str">
        <f t="shared" si="19"/>
        <v>↑</v>
      </c>
      <c r="AN13" s="182">
        <f t="shared" si="20"/>
        <v>9.1002450457045823E-3</v>
      </c>
      <c r="AO13" s="183" t="str">
        <f t="shared" si="21"/>
        <v>↑</v>
      </c>
      <c r="AP13" s="186" t="s">
        <v>13</v>
      </c>
      <c r="AQ13" s="187" t="str">
        <f>K10</f>
        <v xml:space="preserve">+3-day </v>
      </c>
      <c r="AR13" s="33" t="s">
        <v>23</v>
      </c>
      <c r="AS13" s="33" t="s">
        <v>24</v>
      </c>
      <c r="AT13" s="33" t="s">
        <v>25</v>
      </c>
      <c r="AU13" s="188" t="s">
        <v>35</v>
      </c>
      <c r="AV13" s="189">
        <v>893</v>
      </c>
      <c r="AW13" s="190" t="s">
        <v>56</v>
      </c>
      <c r="AX13" s="191" t="s">
        <v>57</v>
      </c>
      <c r="AY13" s="192">
        <v>893</v>
      </c>
      <c r="BB13" s="9"/>
    </row>
    <row r="14" spans="1:57" ht="15.6" thickBot="1" x14ac:dyDescent="0.35">
      <c r="A14" s="82" t="s">
        <v>15</v>
      </c>
      <c r="B14" s="167">
        <v>19.55</v>
      </c>
      <c r="C14" s="93">
        <v>18.3</v>
      </c>
      <c r="D14" s="168" t="str">
        <f t="shared" si="12"/>
        <v>LLM</v>
      </c>
      <c r="E14" s="93">
        <v>18.649999999999999</v>
      </c>
      <c r="F14" s="168" t="str">
        <f t="shared" si="13"/>
        <v>LLM</v>
      </c>
      <c r="G14" s="93">
        <v>19.190000000000001</v>
      </c>
      <c r="H14" s="168" t="str">
        <f t="shared" si="14"/>
        <v>MICH</v>
      </c>
      <c r="I14" s="193">
        <f>(B5*V24)+(C5*V25)+(D5*V26)+(E5*V27)+(F5*V28)+(G5*V29)+(H5*V30)+(I5*V31)+(J5*V31)</f>
        <v>19.318179061481313</v>
      </c>
      <c r="J14" s="194">
        <v>18.934458143767099</v>
      </c>
      <c r="K14" s="171">
        <v>19.09</v>
      </c>
      <c r="N14" s="195" t="str">
        <f t="shared" si="22"/>
        <v>Grok 4.1</v>
      </c>
      <c r="O14" s="196">
        <f t="shared" si="23"/>
        <v>75</v>
      </c>
      <c r="P14" s="197">
        <f t="shared" si="24"/>
        <v>0.11538461538461539</v>
      </c>
      <c r="Q14" s="198">
        <f t="shared" si="25"/>
        <v>80</v>
      </c>
      <c r="R14" s="199">
        <f t="shared" si="26"/>
        <v>0.11267605633802817</v>
      </c>
      <c r="S14" s="199">
        <f t="shared" si="27"/>
        <v>95</v>
      </c>
      <c r="T14" s="199">
        <f t="shared" si="28"/>
        <v>0.11515151515151516</v>
      </c>
      <c r="U14" s="199">
        <f t="shared" si="29"/>
        <v>95</v>
      </c>
      <c r="V14" s="199">
        <f t="shared" si="30"/>
        <v>0.15079365079365079</v>
      </c>
      <c r="W14" s="199">
        <f t="shared" si="31"/>
        <v>95</v>
      </c>
      <c r="X14" s="200">
        <f t="shared" si="32"/>
        <v>0.11515151515151516</v>
      </c>
      <c r="Y14" s="201">
        <f t="shared" si="33"/>
        <v>50</v>
      </c>
      <c r="Z14" s="179">
        <f t="shared" si="34"/>
        <v>0.1111111111111111</v>
      </c>
      <c r="AA14" s="29"/>
      <c r="AB14" s="202">
        <v>80</v>
      </c>
      <c r="AC14" s="203">
        <v>1</v>
      </c>
      <c r="AG14" s="1315"/>
      <c r="AH14" s="182">
        <f t="shared" si="15"/>
        <v>2.8229031054837947E-3</v>
      </c>
      <c r="AI14" s="183" t="str">
        <f>IF(I22-B22&gt;0,"↑","↓")</f>
        <v>↑</v>
      </c>
      <c r="AJ14" s="184">
        <f t="shared" si="16"/>
        <v>2.4571593612256904E-3</v>
      </c>
      <c r="AK14" s="185" t="str">
        <f t="shared" si="17"/>
        <v>↑</v>
      </c>
      <c r="AL14" s="182">
        <f t="shared" si="18"/>
        <v>3.3279777999353118E-3</v>
      </c>
      <c r="AM14" s="183" t="str">
        <f t="shared" si="19"/>
        <v>↑</v>
      </c>
      <c r="AN14" s="182">
        <f t="shared" si="20"/>
        <v>-5.8156158065157115E-3</v>
      </c>
      <c r="AO14" s="183" t="str">
        <f t="shared" si="21"/>
        <v>↓</v>
      </c>
      <c r="AP14" s="9"/>
      <c r="AQ14" s="187">
        <v>0</v>
      </c>
      <c r="AR14" s="204">
        <f>AR15/AU15</f>
        <v>1.2284434490482827E-2</v>
      </c>
      <c r="AS14" s="204">
        <f>AS15/AU15</f>
        <v>4.8118701007840048E-2</v>
      </c>
      <c r="AT14" s="204">
        <f>AT15/AU15</f>
        <v>4.4456886898109338E-3</v>
      </c>
      <c r="AU14" s="187">
        <v>5</v>
      </c>
      <c r="AV14" s="205">
        <v>1</v>
      </c>
      <c r="AW14" s="190" t="s">
        <v>58</v>
      </c>
      <c r="AX14" s="191" t="s">
        <v>59</v>
      </c>
      <c r="AY14" s="206">
        <f>AV13/AQ4</f>
        <v>1.7994610483180479E-2</v>
      </c>
      <c r="BB14" s="9"/>
    </row>
    <row r="15" spans="1:57" ht="15.6" thickBot="1" x14ac:dyDescent="0.35">
      <c r="A15" s="99" t="s">
        <v>16</v>
      </c>
      <c r="B15" s="207">
        <v>607.87</v>
      </c>
      <c r="C15" s="100">
        <v>613.29999999999995</v>
      </c>
      <c r="D15" s="208" t="str">
        <f t="shared" si="12"/>
        <v>LLM</v>
      </c>
      <c r="E15" s="100">
        <v>615.4</v>
      </c>
      <c r="F15" s="168" t="str">
        <f t="shared" si="13"/>
        <v>LLM</v>
      </c>
      <c r="G15" s="100">
        <v>603.5</v>
      </c>
      <c r="H15" s="208" t="str">
        <f t="shared" si="14"/>
        <v>LLM</v>
      </c>
      <c r="I15" s="209">
        <f>(B6*X24)+(C6*X25)+(D6*X26)+(E6*X27)+(F6*X28)+(G6*X29)+(H6*X30)+(I6*X31)+(J6*X31)</f>
        <v>609.91081932773113</v>
      </c>
      <c r="J15" s="210">
        <v>609.60971301369898</v>
      </c>
      <c r="K15" s="211">
        <v>608.80999999999995</v>
      </c>
      <c r="N15" s="195" t="str">
        <f t="shared" si="22"/>
        <v>Gemini Pro 3</v>
      </c>
      <c r="O15" s="196">
        <f t="shared" si="23"/>
        <v>75</v>
      </c>
      <c r="P15" s="197">
        <f t="shared" si="24"/>
        <v>0.11538461538461539</v>
      </c>
      <c r="Q15" s="198">
        <f t="shared" si="25"/>
        <v>80</v>
      </c>
      <c r="R15" s="199">
        <f t="shared" si="26"/>
        <v>0.11267605633802817</v>
      </c>
      <c r="S15" s="199">
        <f t="shared" si="27"/>
        <v>95</v>
      </c>
      <c r="T15" s="199">
        <f t="shared" si="28"/>
        <v>0.11515151515151516</v>
      </c>
      <c r="U15" s="199">
        <f t="shared" si="29"/>
        <v>95</v>
      </c>
      <c r="V15" s="199">
        <f t="shared" si="30"/>
        <v>0.15079365079365079</v>
      </c>
      <c r="W15" s="199">
        <f t="shared" si="31"/>
        <v>95</v>
      </c>
      <c r="X15" s="200">
        <f t="shared" si="32"/>
        <v>0.11515151515151516</v>
      </c>
      <c r="Y15" s="201">
        <f t="shared" si="33"/>
        <v>50</v>
      </c>
      <c r="Z15" s="179">
        <f t="shared" si="34"/>
        <v>0.1111111111111111</v>
      </c>
      <c r="AA15" s="29"/>
      <c r="AB15" s="202">
        <v>82.5</v>
      </c>
      <c r="AC15" s="203">
        <v>2</v>
      </c>
      <c r="AG15" s="1315"/>
      <c r="AH15" s="182">
        <f t="shared" si="15"/>
        <v>-2.3529411764705924E-2</v>
      </c>
      <c r="AI15" s="183" t="str">
        <f>IF(I23-B23&gt;0,"↑","↓")</f>
        <v>↓</v>
      </c>
      <c r="AJ15" s="184">
        <f t="shared" si="16"/>
        <v>-6.3938618925831206E-2</v>
      </c>
      <c r="AK15" s="185" t="str">
        <f t="shared" si="17"/>
        <v>↓</v>
      </c>
      <c r="AL15" s="182">
        <f t="shared" si="18"/>
        <v>-4.6035805626598571E-2</v>
      </c>
      <c r="AM15" s="183" t="str">
        <f t="shared" si="19"/>
        <v>↓</v>
      </c>
      <c r="AN15" s="182">
        <f t="shared" si="20"/>
        <v>-1.8414322250639357E-2</v>
      </c>
      <c r="AO15" s="183" t="str">
        <f t="shared" si="21"/>
        <v>↓</v>
      </c>
      <c r="AP15" s="9"/>
      <c r="AQ15" s="212">
        <v>0</v>
      </c>
      <c r="AR15" s="213">
        <f>AR4</f>
        <v>10.970000000001164</v>
      </c>
      <c r="AS15" s="213">
        <f>AS4</f>
        <v>42.970000000001164</v>
      </c>
      <c r="AT15" s="213">
        <f>AT4</f>
        <v>3.9700000000011642</v>
      </c>
      <c r="AU15" s="213">
        <f>AV14*AV13</f>
        <v>893</v>
      </c>
      <c r="AW15" s="214"/>
      <c r="AX15" s="13"/>
      <c r="AY15" s="13"/>
      <c r="BB15" s="9"/>
    </row>
    <row r="16" spans="1:57" ht="15.6" thickBot="1" x14ac:dyDescent="0.35">
      <c r="A16" s="114" t="s">
        <v>17</v>
      </c>
      <c r="B16" s="215">
        <v>272.14</v>
      </c>
      <c r="C16" s="216">
        <v>273.2</v>
      </c>
      <c r="D16" s="217" t="str">
        <f t="shared" si="12"/>
        <v>RD</v>
      </c>
      <c r="E16" s="216">
        <v>274.3</v>
      </c>
      <c r="F16" s="217">
        <f t="shared" si="13"/>
        <v>85520</v>
      </c>
      <c r="G16" s="216">
        <v>264.3</v>
      </c>
      <c r="H16" s="217" t="str">
        <f t="shared" si="14"/>
        <v>MICH</v>
      </c>
      <c r="I16" s="218">
        <f>(B7*Z24)+(C7*Z25)+(D7*Z26)+(E7*Z27)+(F7*Z28)+(G7*Z29)+(H7*Z30)+(I7*Z31)+(J7*Z31)</f>
        <v>274.37624113475175</v>
      </c>
      <c r="J16" s="219">
        <v>271.24407479224402</v>
      </c>
      <c r="K16" s="220">
        <v>264.58</v>
      </c>
      <c r="N16" s="195" t="str">
        <f t="shared" si="22"/>
        <v>Claude</v>
      </c>
      <c r="O16" s="196">
        <f t="shared" si="23"/>
        <v>80</v>
      </c>
      <c r="P16" s="197">
        <f t="shared" si="24"/>
        <v>0.12307692307692308</v>
      </c>
      <c r="Q16" s="198">
        <f t="shared" si="25"/>
        <v>80</v>
      </c>
      <c r="R16" s="199">
        <f t="shared" si="26"/>
        <v>0.11267605633802817</v>
      </c>
      <c r="S16" s="199">
        <f t="shared" si="27"/>
        <v>95</v>
      </c>
      <c r="T16" s="199">
        <f t="shared" si="28"/>
        <v>0.11515151515151516</v>
      </c>
      <c r="U16" s="199">
        <f t="shared" si="29"/>
        <v>80</v>
      </c>
      <c r="V16" s="199">
        <f t="shared" si="30"/>
        <v>0.12698412698412698</v>
      </c>
      <c r="W16" s="199">
        <f t="shared" si="31"/>
        <v>90</v>
      </c>
      <c r="X16" s="200">
        <f t="shared" si="32"/>
        <v>0.10909090909090909</v>
      </c>
      <c r="Y16" s="201">
        <f t="shared" si="33"/>
        <v>50</v>
      </c>
      <c r="Z16" s="179">
        <f t="shared" si="34"/>
        <v>0.1111111111111111</v>
      </c>
      <c r="AA16" s="29"/>
      <c r="AB16" s="202">
        <v>85</v>
      </c>
      <c r="AC16" s="203">
        <v>5</v>
      </c>
      <c r="AG16" s="1315"/>
      <c r="AH16" s="182">
        <f t="shared" si="15"/>
        <v>1.5463832727391398E-3</v>
      </c>
      <c r="AI16" s="183" t="str">
        <f>IF(I24-B24&gt;0,"↑","↓")</f>
        <v>↑</v>
      </c>
      <c r="AJ16" s="184">
        <f t="shared" si="16"/>
        <v>8.9328310329510417E-3</v>
      </c>
      <c r="AK16" s="185" t="str">
        <f t="shared" si="17"/>
        <v>↑</v>
      </c>
      <c r="AL16" s="182">
        <f t="shared" si="18"/>
        <v>1.2387517067794056E-2</v>
      </c>
      <c r="AM16" s="183" t="str">
        <f t="shared" si="19"/>
        <v>↑</v>
      </c>
      <c r="AN16" s="182">
        <f t="shared" si="20"/>
        <v>-7.1890371296494393E-3</v>
      </c>
      <c r="AO16" s="183" t="str">
        <f t="shared" si="21"/>
        <v>↓</v>
      </c>
      <c r="AP16" s="6"/>
      <c r="AQ16" s="120"/>
      <c r="AR16" s="120"/>
      <c r="AS16" s="120"/>
      <c r="AT16" s="120"/>
      <c r="AU16" s="120"/>
      <c r="AV16" s="120"/>
      <c r="AW16" s="190"/>
      <c r="AX16" s="221"/>
      <c r="AY16" s="222"/>
      <c r="BB16" s="9"/>
      <c r="BE16" s="8"/>
    </row>
    <row r="17" spans="1:56" ht="15.6" thickBot="1" x14ac:dyDescent="0.35">
      <c r="N17" s="195" t="str">
        <f t="shared" si="22"/>
        <v>GLM-4.7</v>
      </c>
      <c r="O17" s="196">
        <f t="shared" si="23"/>
        <v>70</v>
      </c>
      <c r="P17" s="197">
        <f t="shared" si="24"/>
        <v>0.1076923076923077</v>
      </c>
      <c r="Q17" s="198">
        <f t="shared" si="25"/>
        <v>65</v>
      </c>
      <c r="R17" s="199">
        <f t="shared" si="26"/>
        <v>9.154929577464789E-2</v>
      </c>
      <c r="S17" s="199">
        <f t="shared" si="27"/>
        <v>90</v>
      </c>
      <c r="T17" s="199">
        <f t="shared" si="28"/>
        <v>0.10909090909090909</v>
      </c>
      <c r="U17" s="199">
        <f t="shared" si="29"/>
        <v>30</v>
      </c>
      <c r="V17" s="199">
        <f t="shared" si="30"/>
        <v>4.7619047619047616E-2</v>
      </c>
      <c r="W17" s="199">
        <f t="shared" si="31"/>
        <v>90</v>
      </c>
      <c r="X17" s="200">
        <f t="shared" si="32"/>
        <v>0.10909090909090909</v>
      </c>
      <c r="Y17" s="201">
        <f t="shared" si="33"/>
        <v>50</v>
      </c>
      <c r="Z17" s="179">
        <f t="shared" si="34"/>
        <v>0.1111111111111111</v>
      </c>
      <c r="AA17" s="29"/>
      <c r="AB17" s="202">
        <v>87.5</v>
      </c>
      <c r="AC17" s="203">
        <v>10</v>
      </c>
      <c r="AG17" s="1315"/>
      <c r="AH17" s="223">
        <f t="shared" si="15"/>
        <v>-2.7779819210700385E-2</v>
      </c>
      <c r="AI17" s="224" t="str">
        <f>IF(I25-B25&gt;0,"↑","↓")</f>
        <v>↓</v>
      </c>
      <c r="AJ17" s="225">
        <f t="shared" si="16"/>
        <v>3.8950540163151404E-3</v>
      </c>
      <c r="AK17" s="226" t="str">
        <f t="shared" si="17"/>
        <v>↑</v>
      </c>
      <c r="AL17" s="223">
        <f t="shared" si="18"/>
        <v>7.9370912030573421E-3</v>
      </c>
      <c r="AM17" s="224" t="str">
        <f t="shared" si="19"/>
        <v>↑</v>
      </c>
      <c r="AN17" s="223">
        <f t="shared" si="20"/>
        <v>-2.8808701403689189E-2</v>
      </c>
      <c r="AO17" s="224" t="str">
        <f t="shared" si="21"/>
        <v>↓</v>
      </c>
      <c r="AP17" s="186" t="s">
        <v>14</v>
      </c>
      <c r="AQ17" s="187" t="str">
        <f>AQ13</f>
        <v xml:space="preserve">+3-day </v>
      </c>
      <c r="AR17" s="187" t="str">
        <f>AR13</f>
        <v>User1</v>
      </c>
      <c r="AS17" s="187" t="str">
        <f>AS13</f>
        <v>User2</v>
      </c>
      <c r="AT17" s="187" t="str">
        <f>AT13</f>
        <v>User3</v>
      </c>
      <c r="AU17" s="188" t="s">
        <v>38</v>
      </c>
      <c r="AV17" s="227">
        <v>225.6</v>
      </c>
      <c r="AW17" s="190" t="str">
        <f>AW13</f>
        <v>TEST</v>
      </c>
      <c r="AX17" s="191" t="str">
        <f>AX13</f>
        <v>BEST =</v>
      </c>
      <c r="AY17" s="192">
        <v>225.6</v>
      </c>
      <c r="BB17" s="9"/>
    </row>
    <row r="18" spans="1:56" ht="15" thickBot="1" x14ac:dyDescent="0.35">
      <c r="N18" s="195" t="str">
        <f t="shared" si="22"/>
        <v>Kimi 2.5</v>
      </c>
      <c r="O18" s="196">
        <f t="shared" si="23"/>
        <v>70</v>
      </c>
      <c r="P18" s="197">
        <f t="shared" si="24"/>
        <v>0.1076923076923077</v>
      </c>
      <c r="Q18" s="198">
        <f t="shared" si="25"/>
        <v>90</v>
      </c>
      <c r="R18" s="199">
        <f t="shared" si="26"/>
        <v>0.12676056338028169</v>
      </c>
      <c r="S18" s="199">
        <f t="shared" si="27"/>
        <v>95</v>
      </c>
      <c r="T18" s="199">
        <f t="shared" si="28"/>
        <v>0.11515151515151516</v>
      </c>
      <c r="U18" s="199">
        <f t="shared" si="29"/>
        <v>50</v>
      </c>
      <c r="V18" s="199">
        <f t="shared" si="30"/>
        <v>7.9365079365079361E-2</v>
      </c>
      <c r="W18" s="199">
        <f t="shared" si="31"/>
        <v>90</v>
      </c>
      <c r="X18" s="200">
        <f t="shared" si="32"/>
        <v>0.10909090909090909</v>
      </c>
      <c r="Y18" s="201">
        <f t="shared" si="33"/>
        <v>50</v>
      </c>
      <c r="Z18" s="179">
        <f t="shared" si="34"/>
        <v>0.1111111111111111</v>
      </c>
      <c r="AA18" s="29"/>
      <c r="AB18" s="202">
        <v>90</v>
      </c>
      <c r="AC18" s="203">
        <v>20</v>
      </c>
      <c r="AG18" s="228"/>
      <c r="AH18" s="1316" t="str">
        <f>K10</f>
        <v xml:space="preserve">+3-day </v>
      </c>
      <c r="AI18" s="1316"/>
      <c r="AJ18" s="1317" t="str">
        <f>C10</f>
        <v>RD</v>
      </c>
      <c r="AK18" s="1317"/>
      <c r="AL18" s="1318">
        <f>E10</f>
        <v>85520</v>
      </c>
      <c r="AM18" s="1318"/>
      <c r="AN18" s="1318" t="str">
        <f>G10</f>
        <v>MICH</v>
      </c>
      <c r="AO18" s="1318"/>
      <c r="AP18" s="9"/>
      <c r="AQ18" s="187">
        <v>0</v>
      </c>
      <c r="AR18" s="204">
        <f>AR19/AU19</f>
        <v>1.1170212765959382E-2</v>
      </c>
      <c r="AS18" s="204">
        <f>AS19/AU19</f>
        <v>1.5425531914891683E-2</v>
      </c>
      <c r="AT18" s="204">
        <f>AT19/AU19</f>
        <v>0.26382978723404449</v>
      </c>
      <c r="AU18" s="187">
        <v>5</v>
      </c>
      <c r="AV18" s="229">
        <f>AV14</f>
        <v>1</v>
      </c>
      <c r="AW18" s="190" t="str">
        <f>AW14</f>
        <v>Scale</v>
      </c>
      <c r="AX18" s="191" t="str">
        <f>AX14</f>
        <v>RANGE  =</v>
      </c>
      <c r="AY18" s="206">
        <f>AV17/AQ5</f>
        <v>3.265060380460582E-2</v>
      </c>
      <c r="BB18" s="9"/>
    </row>
    <row r="19" spans="1:56" ht="15.6" thickBot="1" x14ac:dyDescent="0.35">
      <c r="A19" s="2" t="s">
        <v>0</v>
      </c>
      <c r="B19" s="230" t="str">
        <f t="shared" ref="B19:C25" si="35">B10</f>
        <v>Close YF</v>
      </c>
      <c r="C19" s="1312" t="s">
        <v>47</v>
      </c>
      <c r="D19" s="1312"/>
      <c r="E19" s="1312">
        <v>85520</v>
      </c>
      <c r="F19" s="1312"/>
      <c r="G19" s="1312" t="str">
        <f t="shared" ref="G19:G25" si="36">G10</f>
        <v>MICH</v>
      </c>
      <c r="H19" s="1312"/>
      <c r="I19" s="1313" t="s">
        <v>50</v>
      </c>
      <c r="J19" s="1313"/>
      <c r="N19" s="195" t="str">
        <f t="shared" si="22"/>
        <v>Minimax 2.1</v>
      </c>
      <c r="O19" s="196">
        <f t="shared" si="23"/>
        <v>65</v>
      </c>
      <c r="P19" s="197">
        <f t="shared" si="24"/>
        <v>0.1</v>
      </c>
      <c r="Q19" s="198">
        <f t="shared" si="25"/>
        <v>80</v>
      </c>
      <c r="R19" s="199">
        <f t="shared" si="26"/>
        <v>0.11267605633802817</v>
      </c>
      <c r="S19" s="199">
        <f t="shared" si="27"/>
        <v>95</v>
      </c>
      <c r="T19" s="199">
        <f t="shared" si="28"/>
        <v>0.11515151515151516</v>
      </c>
      <c r="U19" s="199">
        <f t="shared" si="29"/>
        <v>80</v>
      </c>
      <c r="V19" s="199">
        <f t="shared" si="30"/>
        <v>0.12698412698412698</v>
      </c>
      <c r="W19" s="199">
        <f t="shared" si="31"/>
        <v>80</v>
      </c>
      <c r="X19" s="200">
        <f t="shared" si="32"/>
        <v>9.696969696969697E-2</v>
      </c>
      <c r="Y19" s="201">
        <f t="shared" si="33"/>
        <v>50</v>
      </c>
      <c r="Z19" s="179">
        <f t="shared" si="34"/>
        <v>0.1111111111111111</v>
      </c>
      <c r="AA19" s="29"/>
      <c r="AB19" s="202">
        <v>92.5</v>
      </c>
      <c r="AC19" s="203">
        <v>30</v>
      </c>
      <c r="AG19" s="1315" t="str">
        <f>B28</f>
        <v>Oraclum</v>
      </c>
      <c r="AH19" s="163">
        <f t="shared" ref="AH19:AH24" si="37">(I29-B29)/B29</f>
        <v>1.013847675568753E-2</v>
      </c>
      <c r="AI19" s="164" t="str">
        <f t="shared" ref="AI19:AI24" si="38">IF(I29-B29&gt;0,"↑","↓")</f>
        <v>↑</v>
      </c>
      <c r="AJ19" s="165">
        <f t="shared" ref="AJ19:AJ24" si="39">(C29-B29)/B29</f>
        <v>-8.4075173095944141E-3</v>
      </c>
      <c r="AK19" s="166" t="str">
        <f t="shared" ref="AK19:AK24" si="40">IF(C29-B29&gt;0,"↑","↓")</f>
        <v>↓</v>
      </c>
      <c r="AL19" s="163">
        <f t="shared" ref="AL19:AL24" si="41">(E29-B29)/B29</f>
        <v>1.4836795252226084E-3</v>
      </c>
      <c r="AM19" s="164" t="str">
        <f t="shared" ref="AM19:AM24" si="42">IF(E29-B29&gt;0,"↑","↓")</f>
        <v>↑</v>
      </c>
      <c r="AN19" s="163">
        <f t="shared" ref="AN19:AN24" si="43">(G29-B29)/B29</f>
        <v>8.9020771513354299E-3</v>
      </c>
      <c r="AO19" s="164" t="str">
        <f t="shared" ref="AO19:AO24" si="44">IF(G29-B29&gt;0,"↑","↓")</f>
        <v>↑</v>
      </c>
      <c r="AP19" s="9"/>
      <c r="AQ19" s="212">
        <v>0</v>
      </c>
      <c r="AR19" s="213">
        <f>AR5</f>
        <v>2.5200000000004366</v>
      </c>
      <c r="AS19" s="213">
        <f>AS5</f>
        <v>3.4799999999995634</v>
      </c>
      <c r="AT19" s="213">
        <f>AT5</f>
        <v>59.520000000000437</v>
      </c>
      <c r="AU19" s="213">
        <f>AV18*AV17</f>
        <v>225.6</v>
      </c>
      <c r="AW19" s="214"/>
      <c r="AX19" s="13"/>
      <c r="AY19" s="13"/>
      <c r="BB19" s="9"/>
    </row>
    <row r="20" spans="1:56" ht="15.6" thickBot="1" x14ac:dyDescent="0.35">
      <c r="A20" s="35" t="s">
        <v>12</v>
      </c>
      <c r="B20" s="231">
        <f t="shared" si="35"/>
        <v>4.0330000000000004</v>
      </c>
      <c r="C20" s="232">
        <f t="shared" si="35"/>
        <v>4.01</v>
      </c>
      <c r="D20" s="146" t="str">
        <f t="shared" ref="D20:D25" si="45">CONCATENATE(TEXT(AJ12,"0.00%"),"  ",AK12)</f>
        <v>-0.57%  ↓</v>
      </c>
      <c r="E20" s="232">
        <f t="shared" ref="E20:E25" si="46">E11</f>
        <v>4.05</v>
      </c>
      <c r="F20" s="146" t="str">
        <f t="shared" ref="F20:F25" si="47">CONCATENATE(TEXT(AL12,"0.00%"),"  ",AM12)</f>
        <v>0.42%  ↑</v>
      </c>
      <c r="G20" s="232">
        <f t="shared" si="36"/>
        <v>4.08</v>
      </c>
      <c r="H20" s="146" t="str">
        <f t="shared" ref="H20:H25" si="48">CONCATENATE(TEXT(AN12,"0.00%"),"  ",AO12)</f>
        <v>1.17%  ↑</v>
      </c>
      <c r="I20" s="233">
        <f t="shared" ref="I20:I25" si="49">K11</f>
        <v>4.085</v>
      </c>
      <c r="J20" s="234" t="str">
        <f t="shared" ref="J20:J25" si="50">CONCATENATE(TEXT(AH12,"0.00%"),"  ",AI12)</f>
        <v>1.29%  ↑</v>
      </c>
      <c r="N20" s="195" t="str">
        <f t="shared" si="22"/>
        <v>LeChat</v>
      </c>
      <c r="O20" s="196">
        <f t="shared" si="23"/>
        <v>75</v>
      </c>
      <c r="P20" s="197">
        <f t="shared" si="24"/>
        <v>0.11538461538461539</v>
      </c>
      <c r="Q20" s="198">
        <f t="shared" si="25"/>
        <v>75</v>
      </c>
      <c r="R20" s="199">
        <f t="shared" si="26"/>
        <v>0.10563380281690141</v>
      </c>
      <c r="S20" s="199">
        <f t="shared" si="27"/>
        <v>70</v>
      </c>
      <c r="T20" s="199">
        <f t="shared" si="28"/>
        <v>8.4848484848484854E-2</v>
      </c>
      <c r="U20" s="199">
        <f t="shared" si="29"/>
        <v>90</v>
      </c>
      <c r="V20" s="199">
        <f t="shared" si="30"/>
        <v>0.14285714285714285</v>
      </c>
      <c r="W20" s="199">
        <f t="shared" si="31"/>
        <v>95</v>
      </c>
      <c r="X20" s="200">
        <f t="shared" si="32"/>
        <v>0.11515151515151516</v>
      </c>
      <c r="Y20" s="201">
        <f t="shared" si="33"/>
        <v>50</v>
      </c>
      <c r="Z20" s="235">
        <f t="shared" si="34"/>
        <v>0.1111111111111111</v>
      </c>
      <c r="AA20" s="29"/>
      <c r="AB20" s="202">
        <v>95</v>
      </c>
      <c r="AC20" s="203">
        <v>40</v>
      </c>
      <c r="AG20" s="1315"/>
      <c r="AH20" s="182">
        <f t="shared" si="37"/>
        <v>1.6532958068451072E-2</v>
      </c>
      <c r="AI20" s="183" t="str">
        <f t="shared" si="38"/>
        <v>↑</v>
      </c>
      <c r="AJ20" s="184">
        <f t="shared" si="39"/>
        <v>1.6308249784663126E-2</v>
      </c>
      <c r="AK20" s="185" t="str">
        <f t="shared" si="40"/>
        <v>↑</v>
      </c>
      <c r="AL20" s="182">
        <f t="shared" si="41"/>
        <v>1.565276527406937E-2</v>
      </c>
      <c r="AM20" s="183" t="str">
        <f t="shared" si="42"/>
        <v>↑</v>
      </c>
      <c r="AN20" s="182">
        <f t="shared" si="43"/>
        <v>1.6451637021355509E-2</v>
      </c>
      <c r="AO20" s="183" t="str">
        <f t="shared" si="44"/>
        <v>↑</v>
      </c>
      <c r="AP20" s="9"/>
      <c r="AQ20" s="120"/>
      <c r="AR20" s="120"/>
      <c r="AS20" s="120"/>
      <c r="AT20" s="120"/>
      <c r="AU20" s="120"/>
      <c r="AV20" s="120"/>
      <c r="AW20" s="190"/>
      <c r="AX20" s="221"/>
      <c r="AY20" s="222"/>
      <c r="BB20" s="9"/>
    </row>
    <row r="21" spans="1:56" ht="15.6" thickBot="1" x14ac:dyDescent="0.35">
      <c r="A21" s="60" t="s">
        <v>13</v>
      </c>
      <c r="B21" s="236">
        <f t="shared" si="35"/>
        <v>49174.5</v>
      </c>
      <c r="C21" s="237">
        <f t="shared" si="35"/>
        <v>49615</v>
      </c>
      <c r="D21" s="152" t="str">
        <f t="shared" si="45"/>
        <v>0.90%  ↑</v>
      </c>
      <c r="E21" s="237">
        <f t="shared" si="46"/>
        <v>49583</v>
      </c>
      <c r="F21" s="152" t="str">
        <f t="shared" si="47"/>
        <v>0.83%  ↑</v>
      </c>
      <c r="G21" s="237">
        <f t="shared" si="36"/>
        <v>49622</v>
      </c>
      <c r="H21" s="152" t="str">
        <f t="shared" si="48"/>
        <v>0.91%  ↑</v>
      </c>
      <c r="I21" s="238">
        <f t="shared" si="49"/>
        <v>49625.97</v>
      </c>
      <c r="J21" s="239" t="str">
        <f t="shared" si="50"/>
        <v>0.92%  ↑</v>
      </c>
      <c r="N21" s="240" t="str">
        <f t="shared" si="22"/>
        <v>Qwen</v>
      </c>
      <c r="O21" s="241">
        <f t="shared" si="23"/>
        <v>70</v>
      </c>
      <c r="P21" s="242">
        <f t="shared" si="24"/>
        <v>0.1076923076923077</v>
      </c>
      <c r="Q21" s="243">
        <f t="shared" si="25"/>
        <v>80</v>
      </c>
      <c r="R21" s="244">
        <f t="shared" si="26"/>
        <v>0.11267605633802817</v>
      </c>
      <c r="S21" s="244">
        <f t="shared" si="27"/>
        <v>95</v>
      </c>
      <c r="T21" s="244">
        <f t="shared" si="28"/>
        <v>0.11515151515151516</v>
      </c>
      <c r="U21" s="244">
        <f t="shared" si="29"/>
        <v>50</v>
      </c>
      <c r="V21" s="244">
        <f t="shared" si="30"/>
        <v>7.9365079365079361E-2</v>
      </c>
      <c r="W21" s="244">
        <f t="shared" si="31"/>
        <v>95</v>
      </c>
      <c r="X21" s="245">
        <f t="shared" si="32"/>
        <v>0.11515151515151516</v>
      </c>
      <c r="Y21" s="246">
        <f t="shared" si="33"/>
        <v>50</v>
      </c>
      <c r="Z21" s="235">
        <f t="shared" si="34"/>
        <v>0.1111111111111111</v>
      </c>
      <c r="AB21" s="202">
        <v>96</v>
      </c>
      <c r="AC21" s="203">
        <v>50</v>
      </c>
      <c r="AG21" s="1315"/>
      <c r="AH21" s="182">
        <f t="shared" si="37"/>
        <v>1.0497620558839713E-2</v>
      </c>
      <c r="AI21" s="183" t="str">
        <f t="shared" si="38"/>
        <v>↑</v>
      </c>
      <c r="AJ21" s="184">
        <f t="shared" si="39"/>
        <v>1.012907773621112E-2</v>
      </c>
      <c r="AK21" s="185" t="str">
        <f t="shared" si="40"/>
        <v>↑</v>
      </c>
      <c r="AL21" s="182">
        <f t="shared" si="41"/>
        <v>1.1006560647231427E-2</v>
      </c>
      <c r="AM21" s="183" t="str">
        <f t="shared" si="42"/>
        <v>↑</v>
      </c>
      <c r="AN21" s="182">
        <f t="shared" si="43"/>
        <v>1.7929900815181945E-3</v>
      </c>
      <c r="AO21" s="183" t="str">
        <f t="shared" si="44"/>
        <v>↑</v>
      </c>
      <c r="AP21" s="186" t="s">
        <v>15</v>
      </c>
      <c r="AQ21" s="187" t="str">
        <f>AQ17</f>
        <v xml:space="preserve">+3-day </v>
      </c>
      <c r="AR21" s="187" t="str">
        <f>AR17</f>
        <v>User1</v>
      </c>
      <c r="AS21" s="187" t="str">
        <f>AS17</f>
        <v>User2</v>
      </c>
      <c r="AT21" s="187" t="str">
        <f>AT17</f>
        <v>User3</v>
      </c>
      <c r="AU21" s="188" t="s">
        <v>40</v>
      </c>
      <c r="AV21" s="247">
        <v>3.3</v>
      </c>
      <c r="AW21" s="190" t="str">
        <f>AW17</f>
        <v>TEST</v>
      </c>
      <c r="AX21" s="191" t="str">
        <f>AX17</f>
        <v>BEST =</v>
      </c>
      <c r="AY21" s="192">
        <v>3.3</v>
      </c>
      <c r="BB21" s="9"/>
    </row>
    <row r="22" spans="1:56" ht="15.6" thickBot="1" x14ac:dyDescent="0.35">
      <c r="A22" s="82" t="s">
        <v>14</v>
      </c>
      <c r="B22" s="248">
        <f t="shared" si="35"/>
        <v>6890.07</v>
      </c>
      <c r="C22" s="249">
        <f t="shared" si="35"/>
        <v>6907</v>
      </c>
      <c r="D22" s="168" t="str">
        <f t="shared" si="45"/>
        <v>0.25%  ↑</v>
      </c>
      <c r="E22" s="249">
        <f t="shared" si="46"/>
        <v>6913</v>
      </c>
      <c r="F22" s="168" t="str">
        <f t="shared" si="47"/>
        <v>0.33%  ↑</v>
      </c>
      <c r="G22" s="249">
        <f t="shared" si="36"/>
        <v>6850</v>
      </c>
      <c r="H22" s="168" t="str">
        <f t="shared" si="48"/>
        <v>-0.58%  ↓</v>
      </c>
      <c r="I22" s="250">
        <f t="shared" si="49"/>
        <v>6909.52</v>
      </c>
      <c r="J22" s="239" t="str">
        <f t="shared" si="50"/>
        <v>0.28%  ↑</v>
      </c>
      <c r="AB22" s="202">
        <v>97</v>
      </c>
      <c r="AC22" s="203">
        <v>60</v>
      </c>
      <c r="AG22" s="1315"/>
      <c r="AH22" s="182">
        <f t="shared" si="37"/>
        <v>-2.3529411764705924E-2</v>
      </c>
      <c r="AI22" s="183" t="str">
        <f t="shared" si="38"/>
        <v>↓</v>
      </c>
      <c r="AJ22" s="184">
        <f t="shared" si="39"/>
        <v>-6.3938618925831206E-2</v>
      </c>
      <c r="AK22" s="185" t="str">
        <f t="shared" si="40"/>
        <v>↓</v>
      </c>
      <c r="AL22" s="182">
        <f t="shared" si="41"/>
        <v>-4.6035805626598571E-2</v>
      </c>
      <c r="AM22" s="183" t="str">
        <f t="shared" si="42"/>
        <v>↓</v>
      </c>
      <c r="AN22" s="182">
        <f t="shared" si="43"/>
        <v>-1.8414322250639357E-2</v>
      </c>
      <c r="AO22" s="183" t="str">
        <f t="shared" si="44"/>
        <v>↓</v>
      </c>
      <c r="AP22" s="9"/>
      <c r="AQ22" s="187">
        <v>0</v>
      </c>
      <c r="AR22" s="204">
        <f>AR23/AU23</f>
        <v>0.23939393939393916</v>
      </c>
      <c r="AS22" s="204">
        <f>AS23/AU23</f>
        <v>0.13333333333333372</v>
      </c>
      <c r="AT22" s="204">
        <f>AT23/AU23</f>
        <v>3.0303030303030734E-2</v>
      </c>
      <c r="AU22" s="187">
        <v>5</v>
      </c>
      <c r="AV22" s="229">
        <f>AV18</f>
        <v>1</v>
      </c>
      <c r="AW22" s="190" t="str">
        <f>AW18</f>
        <v>Scale</v>
      </c>
      <c r="AX22" s="191" t="str">
        <f>AX18</f>
        <v>RANGE  =</v>
      </c>
      <c r="AY22" s="206">
        <f>AV21/AQ6</f>
        <v>0.17286537454164483</v>
      </c>
      <c r="BB22" s="120"/>
      <c r="BC22" s="251"/>
      <c r="BD22" s="251"/>
    </row>
    <row r="23" spans="1:56" ht="15.6" thickBot="1" x14ac:dyDescent="0.35">
      <c r="A23" s="82" t="s">
        <v>15</v>
      </c>
      <c r="B23" s="248">
        <f t="shared" si="35"/>
        <v>19.55</v>
      </c>
      <c r="C23" s="252">
        <f t="shared" si="35"/>
        <v>18.3</v>
      </c>
      <c r="D23" s="168" t="str">
        <f t="shared" si="45"/>
        <v>-6.39%  ↓</v>
      </c>
      <c r="E23" s="252">
        <f t="shared" si="46"/>
        <v>18.649999999999999</v>
      </c>
      <c r="F23" s="168" t="str">
        <f t="shared" si="47"/>
        <v>-4.60%  ↓</v>
      </c>
      <c r="G23" s="252">
        <f t="shared" si="36"/>
        <v>19.190000000000001</v>
      </c>
      <c r="H23" s="168" t="str">
        <f t="shared" si="48"/>
        <v>-1.84%  ↓</v>
      </c>
      <c r="I23" s="250">
        <f t="shared" si="49"/>
        <v>19.09</v>
      </c>
      <c r="J23" s="239" t="str">
        <f t="shared" si="50"/>
        <v>-2.35%  ↓</v>
      </c>
      <c r="N23" s="19" t="s">
        <v>60</v>
      </c>
      <c r="O23" s="253" t="s">
        <v>12</v>
      </c>
      <c r="P23" s="254">
        <f>SUM(O24:O32)</f>
        <v>681.25</v>
      </c>
      <c r="Q23" s="255" t="s">
        <v>13</v>
      </c>
      <c r="R23" s="256">
        <f>SUM(Q24:Q32)</f>
        <v>657.5</v>
      </c>
      <c r="S23" s="257" t="s">
        <v>14</v>
      </c>
      <c r="T23" s="256">
        <f>SUM(S24:S32)</f>
        <v>682.5</v>
      </c>
      <c r="U23" s="257" t="s">
        <v>15</v>
      </c>
      <c r="V23" s="256">
        <f>SUM(U24:U32)</f>
        <v>329.77499999999998</v>
      </c>
      <c r="W23" s="257" t="s">
        <v>16</v>
      </c>
      <c r="X23" s="258">
        <f>SUM(W24:W32)</f>
        <v>595</v>
      </c>
      <c r="Y23" s="259" t="s">
        <v>17</v>
      </c>
      <c r="Z23" s="28">
        <f>SUM(Y24:Y32)</f>
        <v>528.75</v>
      </c>
      <c r="AA23" s="29"/>
      <c r="AB23" s="202">
        <v>98</v>
      </c>
      <c r="AC23" s="203">
        <v>65</v>
      </c>
      <c r="AG23" s="1315"/>
      <c r="AH23" s="182">
        <f t="shared" si="37"/>
        <v>1.5463832727391398E-3</v>
      </c>
      <c r="AI23" s="183" t="str">
        <f t="shared" si="38"/>
        <v>↑</v>
      </c>
      <c r="AJ23" s="184">
        <f t="shared" si="39"/>
        <v>8.9328310329510417E-3</v>
      </c>
      <c r="AK23" s="185" t="str">
        <f t="shared" si="40"/>
        <v>↑</v>
      </c>
      <c r="AL23" s="182">
        <f t="shared" si="41"/>
        <v>1.2387517067794056E-2</v>
      </c>
      <c r="AM23" s="183" t="str">
        <f t="shared" si="42"/>
        <v>↑</v>
      </c>
      <c r="AN23" s="182">
        <f t="shared" si="43"/>
        <v>-7.1890371296494393E-3</v>
      </c>
      <c r="AO23" s="183" t="str">
        <f t="shared" si="44"/>
        <v>↓</v>
      </c>
      <c r="AP23" s="6"/>
      <c r="AQ23" s="212">
        <v>0</v>
      </c>
      <c r="AR23" s="213">
        <f>AR6</f>
        <v>0.78999999999999915</v>
      </c>
      <c r="AS23" s="213">
        <f>AS6</f>
        <v>0.44000000000000128</v>
      </c>
      <c r="AT23" s="213">
        <f>AT6</f>
        <v>0.10000000000000142</v>
      </c>
      <c r="AU23" s="213">
        <f>AV22*AV21</f>
        <v>3.3</v>
      </c>
      <c r="AW23" s="214"/>
      <c r="AX23" s="13"/>
      <c r="AY23" s="13"/>
      <c r="BB23" s="9"/>
    </row>
    <row r="24" spans="1:56" ht="15.6" thickBot="1" x14ac:dyDescent="0.35">
      <c r="A24" s="99" t="s">
        <v>16</v>
      </c>
      <c r="B24" s="260">
        <f t="shared" si="35"/>
        <v>607.87</v>
      </c>
      <c r="C24" s="261">
        <f t="shared" si="35"/>
        <v>613.29999999999995</v>
      </c>
      <c r="D24" s="208" t="str">
        <f t="shared" si="45"/>
        <v>0.89%  ↑</v>
      </c>
      <c r="E24" s="261">
        <f t="shared" si="46"/>
        <v>615.4</v>
      </c>
      <c r="F24" s="208" t="str">
        <f t="shared" si="47"/>
        <v>1.24%  ↑</v>
      </c>
      <c r="G24" s="261">
        <f t="shared" si="36"/>
        <v>603.5</v>
      </c>
      <c r="H24" s="208" t="str">
        <f t="shared" si="48"/>
        <v>-0.72%  ↓</v>
      </c>
      <c r="I24" s="262">
        <f t="shared" si="49"/>
        <v>608.80999999999995</v>
      </c>
      <c r="J24" s="239" t="str">
        <f t="shared" si="50"/>
        <v>0.15%  ↑</v>
      </c>
      <c r="N24" s="172" t="str">
        <f t="shared" ref="N24:N32" si="51">N13</f>
        <v>O 5.2</v>
      </c>
      <c r="O24" s="263">
        <v>78.75</v>
      </c>
      <c r="P24" s="264">
        <f t="shared" ref="P24:P32" si="52">O24/$P$23</f>
        <v>0.11559633027522936</v>
      </c>
      <c r="Q24" s="265">
        <v>76.25</v>
      </c>
      <c r="R24" s="266">
        <f t="shared" ref="R24:R32" si="53">Q24/$R$23</f>
        <v>0.11596958174904944</v>
      </c>
      <c r="S24" s="266">
        <v>77.5</v>
      </c>
      <c r="T24" s="266">
        <f t="shared" ref="T24:T32" si="54">S24/$T$23</f>
        <v>0.11355311355311355</v>
      </c>
      <c r="U24" s="266">
        <v>41.25</v>
      </c>
      <c r="V24" s="266">
        <f t="shared" ref="V24:V32" si="55">U24/$V$23</f>
        <v>0.12508528542187855</v>
      </c>
      <c r="W24" s="266">
        <v>67.5</v>
      </c>
      <c r="X24" s="267">
        <f t="shared" ref="X24:X32" si="56">W24/$X$23</f>
        <v>0.1134453781512605</v>
      </c>
      <c r="Y24" s="268">
        <v>53.75</v>
      </c>
      <c r="Z24" s="48">
        <f t="shared" ref="Z24:Z32" si="57">Y24/$Z$23</f>
        <v>0.10165484633569739</v>
      </c>
      <c r="AA24" s="29"/>
      <c r="AB24" s="202">
        <v>98.5</v>
      </c>
      <c r="AC24" s="203">
        <v>70</v>
      </c>
      <c r="AG24" s="1315"/>
      <c r="AH24" s="269">
        <f t="shared" si="37"/>
        <v>-2.7958411403798868E-2</v>
      </c>
      <c r="AI24" s="270" t="str">
        <f t="shared" si="38"/>
        <v>↓</v>
      </c>
      <c r="AJ24" s="271">
        <f t="shared" si="39"/>
        <v>3.7106433006355521E-3</v>
      </c>
      <c r="AK24" s="272" t="str">
        <f t="shared" si="40"/>
        <v>↑</v>
      </c>
      <c r="AL24" s="269">
        <f t="shared" si="41"/>
        <v>7.7519379844961742E-3</v>
      </c>
      <c r="AM24" s="270" t="str">
        <f t="shared" si="42"/>
        <v>↑</v>
      </c>
      <c r="AN24" s="269">
        <f t="shared" si="43"/>
        <v>-2.8987104596054178E-2</v>
      </c>
      <c r="AO24" s="270" t="str">
        <f t="shared" si="44"/>
        <v>↓</v>
      </c>
      <c r="AP24" s="9"/>
      <c r="AQ24" s="120"/>
      <c r="AR24" s="120"/>
      <c r="AS24" s="120"/>
      <c r="AT24" s="120"/>
      <c r="AU24" s="120"/>
      <c r="AV24" s="120"/>
      <c r="AW24" s="190"/>
      <c r="AX24" s="221"/>
      <c r="AY24" s="222"/>
      <c r="BB24" s="9"/>
    </row>
    <row r="25" spans="1:56" ht="15" thickBot="1" x14ac:dyDescent="0.35">
      <c r="A25" s="109" t="s">
        <v>17</v>
      </c>
      <c r="B25" s="273">
        <f t="shared" si="35"/>
        <v>272.14</v>
      </c>
      <c r="C25" s="274">
        <f t="shared" si="35"/>
        <v>273.2</v>
      </c>
      <c r="D25" s="217" t="str">
        <f t="shared" si="45"/>
        <v>0.39%  ↑</v>
      </c>
      <c r="E25" s="274">
        <f t="shared" si="46"/>
        <v>274.3</v>
      </c>
      <c r="F25" s="217" t="str">
        <f t="shared" si="47"/>
        <v>0.79%  ↑</v>
      </c>
      <c r="G25" s="274">
        <f t="shared" si="36"/>
        <v>264.3</v>
      </c>
      <c r="H25" s="217" t="str">
        <f t="shared" si="48"/>
        <v>-2.88%  ↓</v>
      </c>
      <c r="I25" s="275">
        <f t="shared" si="49"/>
        <v>264.58</v>
      </c>
      <c r="J25" s="276" t="str">
        <f t="shared" si="50"/>
        <v>-2.78%  ↓</v>
      </c>
      <c r="N25" s="195" t="str">
        <f t="shared" si="51"/>
        <v>Grok 4.1</v>
      </c>
      <c r="O25" s="277">
        <v>72.5</v>
      </c>
      <c r="P25" s="278">
        <f t="shared" si="52"/>
        <v>0.10642201834862386</v>
      </c>
      <c r="Q25" s="279">
        <v>72.5</v>
      </c>
      <c r="R25" s="280">
        <f t="shared" si="53"/>
        <v>0.11026615969581749</v>
      </c>
      <c r="S25" s="280">
        <v>77.5</v>
      </c>
      <c r="T25" s="280">
        <f t="shared" si="54"/>
        <v>0.11355311355311355</v>
      </c>
      <c r="U25" s="280">
        <v>35.5</v>
      </c>
      <c r="V25" s="280">
        <f t="shared" si="55"/>
        <v>0.10764915472670761</v>
      </c>
      <c r="W25" s="280">
        <v>65</v>
      </c>
      <c r="X25" s="281">
        <f t="shared" si="56"/>
        <v>0.1092436974789916</v>
      </c>
      <c r="Y25" s="282">
        <v>55</v>
      </c>
      <c r="Z25" s="48">
        <f t="shared" si="57"/>
        <v>0.10401891252955082</v>
      </c>
      <c r="AA25" s="29"/>
      <c r="AB25" s="202">
        <v>99</v>
      </c>
      <c r="AC25" s="203">
        <v>75</v>
      </c>
      <c r="AP25" s="186" t="s">
        <v>16</v>
      </c>
      <c r="AQ25" s="187" t="str">
        <f>AQ21</f>
        <v xml:space="preserve">+3-day </v>
      </c>
      <c r="AR25" s="187" t="str">
        <f>AR21</f>
        <v>User1</v>
      </c>
      <c r="AS25" s="187" t="str">
        <f>AS21</f>
        <v>User2</v>
      </c>
      <c r="AT25" s="187" t="str">
        <f>AT21</f>
        <v>User3</v>
      </c>
      <c r="AU25" s="188" t="s">
        <v>43</v>
      </c>
      <c r="AV25" s="247">
        <v>16</v>
      </c>
      <c r="AW25" s="190" t="str">
        <f>AW21</f>
        <v>TEST</v>
      </c>
      <c r="AX25" s="191" t="str">
        <f>AX21</f>
        <v>BEST =</v>
      </c>
      <c r="AY25" s="192">
        <v>16</v>
      </c>
      <c r="BB25" s="9"/>
    </row>
    <row r="26" spans="1:56" ht="15" thickBot="1" x14ac:dyDescent="0.35">
      <c r="N26" s="195" t="str">
        <f t="shared" si="51"/>
        <v>Gemini Pro 3</v>
      </c>
      <c r="O26" s="277">
        <v>75</v>
      </c>
      <c r="P26" s="278">
        <f t="shared" si="52"/>
        <v>0.11009174311926606</v>
      </c>
      <c r="Q26" s="279">
        <v>72.5</v>
      </c>
      <c r="R26" s="280">
        <f t="shared" si="53"/>
        <v>0.11026615969581749</v>
      </c>
      <c r="S26" s="280">
        <v>77.5</v>
      </c>
      <c r="T26" s="280">
        <f t="shared" si="54"/>
        <v>0.11355311355311355</v>
      </c>
      <c r="U26" s="280">
        <v>32.524999999999999</v>
      </c>
      <c r="V26" s="280">
        <f t="shared" si="55"/>
        <v>9.8627852323553936E-2</v>
      </c>
      <c r="W26" s="280">
        <v>65</v>
      </c>
      <c r="X26" s="281">
        <f t="shared" si="56"/>
        <v>0.1092436974789916</v>
      </c>
      <c r="Y26" s="282">
        <v>61.25</v>
      </c>
      <c r="Z26" s="48">
        <f t="shared" si="57"/>
        <v>0.11583924349881797</v>
      </c>
      <c r="AA26" s="29"/>
      <c r="AB26" s="202">
        <v>99.25</v>
      </c>
      <c r="AC26" s="203">
        <v>80</v>
      </c>
      <c r="AG26" s="5"/>
      <c r="AH26" s="283" t="s">
        <v>47</v>
      </c>
      <c r="AI26" s="284">
        <v>85220</v>
      </c>
      <c r="AJ26" s="284" t="s">
        <v>48</v>
      </c>
      <c r="AK26" s="285" t="str">
        <f>J10</f>
        <v>ML</v>
      </c>
      <c r="AL26" s="286" t="str">
        <f>I10</f>
        <v>LLM</v>
      </c>
      <c r="AP26" s="9"/>
      <c r="AQ26" s="187">
        <v>0</v>
      </c>
      <c r="AR26" s="204">
        <f>AR27/AU27</f>
        <v>0.28062500000000057</v>
      </c>
      <c r="AS26" s="204">
        <f>AS27/AU27</f>
        <v>0.41187500000000199</v>
      </c>
      <c r="AT26" s="204">
        <f>AT27/AU27</f>
        <v>0.33187499999999659</v>
      </c>
      <c r="AU26" s="187">
        <v>5</v>
      </c>
      <c r="AV26" s="229">
        <f>AV22</f>
        <v>1</v>
      </c>
      <c r="AW26" s="190" t="str">
        <f>AW22</f>
        <v>Scale</v>
      </c>
      <c r="AX26" s="191" t="str">
        <f>AX22</f>
        <v>RANGE  =</v>
      </c>
      <c r="AY26" s="206">
        <f>AV25/AQ7</f>
        <v>2.6280777253987288E-2</v>
      </c>
      <c r="BB26" s="9"/>
    </row>
    <row r="27" spans="1:56" ht="15" thickBot="1" x14ac:dyDescent="0.35">
      <c r="N27" s="195" t="str">
        <f t="shared" si="51"/>
        <v>Claude</v>
      </c>
      <c r="O27" s="277">
        <v>72.5</v>
      </c>
      <c r="P27" s="278">
        <f t="shared" si="52"/>
        <v>0.10642201834862386</v>
      </c>
      <c r="Q27" s="279">
        <v>72.5</v>
      </c>
      <c r="R27" s="280">
        <f t="shared" si="53"/>
        <v>0.11026615969581749</v>
      </c>
      <c r="S27" s="280">
        <v>75</v>
      </c>
      <c r="T27" s="280">
        <f t="shared" si="54"/>
        <v>0.10989010989010989</v>
      </c>
      <c r="U27" s="280">
        <v>48.75</v>
      </c>
      <c r="V27" s="280">
        <f t="shared" si="55"/>
        <v>0.14782806458949285</v>
      </c>
      <c r="W27" s="280">
        <v>67.5</v>
      </c>
      <c r="X27" s="281">
        <f t="shared" si="56"/>
        <v>0.1134453781512605</v>
      </c>
      <c r="Y27" s="282">
        <v>55</v>
      </c>
      <c r="Z27" s="48">
        <f t="shared" si="57"/>
        <v>0.10401891252955082</v>
      </c>
      <c r="AA27" s="29"/>
      <c r="AB27" s="202">
        <v>99.5</v>
      </c>
      <c r="AC27" s="203">
        <v>90</v>
      </c>
      <c r="AG27" s="53" t="s">
        <v>12</v>
      </c>
      <c r="AH27" s="287">
        <f t="shared" ref="AH27:AH32" si="58">100-ABS(($K11-C11)/($K11))*100</f>
        <v>98.164014687882499</v>
      </c>
      <c r="AI27" s="288">
        <f t="shared" ref="AI27:AI32" si="59">100-ABS(($K11-E11)/($K11))*100</f>
        <v>99.143206854345166</v>
      </c>
      <c r="AJ27" s="288">
        <f t="shared" ref="AJ27:AJ32" si="60">100-ABS(($K11-G11)/($K11))*100</f>
        <v>99.877600979192167</v>
      </c>
      <c r="AK27" s="289">
        <f t="shared" ref="AK27:AK32" si="61">100-ABS((($K11-J11)/($K11)))*100</f>
        <v>98.951521806848717</v>
      </c>
      <c r="AL27" s="290">
        <f t="shared" ref="AL27:AL32" si="62">100-ABS((($K11-I11)/($K11)))*100</f>
        <v>98.871413652543993</v>
      </c>
      <c r="AP27" s="9"/>
      <c r="AQ27" s="212">
        <v>0</v>
      </c>
      <c r="AR27" s="213">
        <f>AR7</f>
        <v>4.4900000000000091</v>
      </c>
      <c r="AS27" s="213">
        <f>AS7</f>
        <v>6.5900000000000318</v>
      </c>
      <c r="AT27" s="213">
        <f>AT7</f>
        <v>5.3099999999999454</v>
      </c>
      <c r="AU27" s="213">
        <f>AV26*AV25</f>
        <v>16</v>
      </c>
      <c r="BB27" s="9"/>
    </row>
    <row r="28" spans="1:56" ht="14.25" customHeight="1" thickBot="1" x14ac:dyDescent="0.35">
      <c r="A28" s="2" t="s">
        <v>0</v>
      </c>
      <c r="B28" s="230" t="s">
        <v>61</v>
      </c>
      <c r="C28" s="1312" t="s">
        <v>47</v>
      </c>
      <c r="D28" s="1312"/>
      <c r="E28" s="1312">
        <v>85520</v>
      </c>
      <c r="F28" s="1312"/>
      <c r="G28" s="1312" t="str">
        <f t="shared" ref="G28:G34" si="63">G19</f>
        <v>MICH</v>
      </c>
      <c r="H28" s="1312"/>
      <c r="I28" s="1313" t="s">
        <v>50</v>
      </c>
      <c r="J28" s="1313"/>
      <c r="N28" s="195" t="str">
        <f t="shared" si="51"/>
        <v>GLM-4.7</v>
      </c>
      <c r="O28" s="277">
        <v>77.5</v>
      </c>
      <c r="P28" s="278">
        <f t="shared" si="52"/>
        <v>0.11376146788990826</v>
      </c>
      <c r="Q28" s="279">
        <v>71.25</v>
      </c>
      <c r="R28" s="280">
        <f t="shared" si="53"/>
        <v>0.10836501901140684</v>
      </c>
      <c r="S28" s="280">
        <v>75</v>
      </c>
      <c r="T28" s="280">
        <f t="shared" si="54"/>
        <v>0.10989010989010989</v>
      </c>
      <c r="U28" s="280">
        <v>35.5</v>
      </c>
      <c r="V28" s="280">
        <f t="shared" si="55"/>
        <v>0.10764915472670761</v>
      </c>
      <c r="W28" s="280">
        <v>66.25</v>
      </c>
      <c r="X28" s="281">
        <f t="shared" si="56"/>
        <v>0.11134453781512606</v>
      </c>
      <c r="Y28" s="282">
        <v>57.5</v>
      </c>
      <c r="Z28" s="48">
        <f t="shared" si="57"/>
        <v>0.10874704491725769</v>
      </c>
      <c r="AA28" s="29"/>
      <c r="AB28" s="202">
        <v>99.75</v>
      </c>
      <c r="AC28" s="203">
        <v>95</v>
      </c>
      <c r="AG28" s="60" t="s">
        <v>13</v>
      </c>
      <c r="AH28" s="291">
        <f t="shared" si="58"/>
        <v>99.977894638633757</v>
      </c>
      <c r="AI28" s="292">
        <f t="shared" si="59"/>
        <v>99.913412271840727</v>
      </c>
      <c r="AJ28" s="292">
        <f t="shared" si="60"/>
        <v>99.992000156369741</v>
      </c>
      <c r="AK28" s="293">
        <f t="shared" si="61"/>
        <v>99.184132869576956</v>
      </c>
      <c r="AL28" s="294">
        <f t="shared" si="62"/>
        <v>99.245382230649199</v>
      </c>
      <c r="AQ28" s="120"/>
      <c r="AR28" s="120"/>
      <c r="AS28" s="120"/>
      <c r="AT28" s="120"/>
      <c r="AU28" s="120"/>
      <c r="AV28" s="251"/>
      <c r="AW28" s="251"/>
      <c r="AX28" s="295"/>
      <c r="AY28" s="296"/>
      <c r="AZ28" s="297"/>
    </row>
    <row r="29" spans="1:56" ht="14.25" customHeight="1" thickBot="1" x14ac:dyDescent="0.35">
      <c r="A29" s="35" t="s">
        <v>12</v>
      </c>
      <c r="B29" s="298">
        <v>4.0439999999999996</v>
      </c>
      <c r="C29" s="232">
        <f t="shared" ref="C29:C34" si="64">C20</f>
        <v>4.01</v>
      </c>
      <c r="D29" s="146" t="str">
        <f t="shared" ref="D29:D34" si="65">CONCATENATE(TEXT(AJ19,"0.00%"),"  ",AK19)</f>
        <v>-0.84%  ↓</v>
      </c>
      <c r="E29" s="232">
        <f t="shared" ref="E29:E34" si="66">E20</f>
        <v>4.05</v>
      </c>
      <c r="F29" s="146" t="str">
        <f t="shared" ref="F29:F34" si="67">CONCATENATE(TEXT(AL19,"0.00%"),"  ",AM19)</f>
        <v>0.15%  ↑</v>
      </c>
      <c r="G29" s="232">
        <f t="shared" si="63"/>
        <v>4.08</v>
      </c>
      <c r="H29" s="146" t="str">
        <f t="shared" ref="H29:H34" si="68">CONCATENATE(TEXT(AN19,"0.00%"),"  ",AO19)</f>
        <v>0.89%  ↑</v>
      </c>
      <c r="I29" s="233">
        <f t="shared" ref="I29:I34" si="69">I20</f>
        <v>4.085</v>
      </c>
      <c r="J29" s="234" t="str">
        <f t="shared" ref="J29:J34" si="70">CONCATENATE(TEXT(AH19,"0.00%"),"  ",AI19)</f>
        <v>1.01%  ↑</v>
      </c>
      <c r="N29" s="195" t="str">
        <f t="shared" si="51"/>
        <v>Kimi 2.5</v>
      </c>
      <c r="O29" s="277">
        <v>76.25</v>
      </c>
      <c r="P29" s="278">
        <f t="shared" si="52"/>
        <v>0.11192660550458716</v>
      </c>
      <c r="Q29" s="279">
        <v>70</v>
      </c>
      <c r="R29" s="280">
        <f t="shared" si="53"/>
        <v>0.10646387832699619</v>
      </c>
      <c r="S29" s="280">
        <v>76.25</v>
      </c>
      <c r="T29" s="280">
        <f t="shared" si="54"/>
        <v>0.11172161172161173</v>
      </c>
      <c r="U29" s="280">
        <v>38.75</v>
      </c>
      <c r="V29" s="280">
        <f t="shared" si="55"/>
        <v>0.1175043590326738</v>
      </c>
      <c r="W29" s="280">
        <v>66.25</v>
      </c>
      <c r="X29" s="281">
        <f t="shared" si="56"/>
        <v>0.11134453781512606</v>
      </c>
      <c r="Y29" s="282">
        <v>60</v>
      </c>
      <c r="Z29" s="48">
        <f t="shared" si="57"/>
        <v>0.11347517730496454</v>
      </c>
      <c r="AA29" s="29"/>
      <c r="AB29" s="299">
        <v>99.99</v>
      </c>
      <c r="AC29" s="300">
        <v>100</v>
      </c>
      <c r="AG29" s="82" t="s">
        <v>14</v>
      </c>
      <c r="AH29" s="301">
        <f t="shared" si="58"/>
        <v>99.963528580856547</v>
      </c>
      <c r="AI29" s="302">
        <f t="shared" si="59"/>
        <v>99.949634706897157</v>
      </c>
      <c r="AJ29" s="302">
        <f t="shared" si="60"/>
        <v>99.138579814516774</v>
      </c>
      <c r="AK29" s="303">
        <f t="shared" si="61"/>
        <v>99.953025456734338</v>
      </c>
      <c r="AL29" s="304">
        <f t="shared" si="62"/>
        <v>99.966470850410687</v>
      </c>
      <c r="AQ29" s="120"/>
      <c r="AR29" s="305" t="s">
        <v>23</v>
      </c>
      <c r="AS29" s="305" t="s">
        <v>24</v>
      </c>
      <c r="AT29" s="305" t="s">
        <v>25</v>
      </c>
      <c r="AU29" s="120"/>
      <c r="AV29" s="251"/>
      <c r="AW29" s="251"/>
      <c r="AX29" s="295"/>
      <c r="AY29" s="296"/>
      <c r="AZ29" s="297"/>
    </row>
    <row r="30" spans="1:56" ht="14.25" customHeight="1" x14ac:dyDescent="0.3">
      <c r="A30" s="60" t="s">
        <v>13</v>
      </c>
      <c r="B30" s="306">
        <v>48818.85</v>
      </c>
      <c r="C30" s="237">
        <f t="shared" si="64"/>
        <v>49615</v>
      </c>
      <c r="D30" s="152" t="str">
        <f t="shared" si="65"/>
        <v>1.63%  ↑</v>
      </c>
      <c r="E30" s="237">
        <f t="shared" si="66"/>
        <v>49583</v>
      </c>
      <c r="F30" s="152" t="str">
        <f t="shared" si="67"/>
        <v>1.57%  ↑</v>
      </c>
      <c r="G30" s="237">
        <f t="shared" si="63"/>
        <v>49622</v>
      </c>
      <c r="H30" s="152" t="str">
        <f t="shared" si="68"/>
        <v>1.65%  ↑</v>
      </c>
      <c r="I30" s="238">
        <f t="shared" si="69"/>
        <v>49625.97</v>
      </c>
      <c r="J30" s="239" t="str">
        <f t="shared" si="70"/>
        <v>1.65%  ↑</v>
      </c>
      <c r="N30" s="195" t="str">
        <f t="shared" si="51"/>
        <v>Minimax 2.1</v>
      </c>
      <c r="O30" s="277">
        <v>73.75</v>
      </c>
      <c r="P30" s="278">
        <f t="shared" si="52"/>
        <v>0.10825688073394496</v>
      </c>
      <c r="Q30" s="279">
        <v>75</v>
      </c>
      <c r="R30" s="280">
        <f t="shared" si="53"/>
        <v>0.11406844106463879</v>
      </c>
      <c r="S30" s="280">
        <v>71.25</v>
      </c>
      <c r="T30" s="280">
        <f t="shared" si="54"/>
        <v>0.1043956043956044</v>
      </c>
      <c r="U30" s="280">
        <v>42.5</v>
      </c>
      <c r="V30" s="280">
        <f t="shared" si="55"/>
        <v>0.12887574861648093</v>
      </c>
      <c r="W30" s="280">
        <v>65</v>
      </c>
      <c r="X30" s="281">
        <f t="shared" si="56"/>
        <v>0.1092436974789916</v>
      </c>
      <c r="Y30" s="282">
        <v>58.75</v>
      </c>
      <c r="Z30" s="48">
        <f t="shared" si="57"/>
        <v>0.1111111111111111</v>
      </c>
      <c r="AA30" s="29"/>
      <c r="AG30" s="82" t="s">
        <v>15</v>
      </c>
      <c r="AH30" s="301">
        <f t="shared" si="58"/>
        <v>95.861707700366694</v>
      </c>
      <c r="AI30" s="302">
        <f t="shared" si="59"/>
        <v>97.695128339444722</v>
      </c>
      <c r="AJ30" s="302">
        <f t="shared" si="60"/>
        <v>99.476165531691976</v>
      </c>
      <c r="AK30" s="303">
        <f t="shared" si="61"/>
        <v>99.185218144405965</v>
      </c>
      <c r="AL30" s="304">
        <f t="shared" si="62"/>
        <v>98.804719426499148</v>
      </c>
      <c r="AN30" s="4"/>
      <c r="AQ30" s="307"/>
      <c r="AR30" s="308">
        <f>SUM(AR14,AR18,AR22,AR26)</f>
        <v>0.54347358665038192</v>
      </c>
      <c r="AS30" s="308">
        <f>SUM(AS14,AS18,AS22,AS26)</f>
        <v>0.60875256625606744</v>
      </c>
      <c r="AT30" s="308">
        <f>SUM(AT14,AT18,AT22,AT26)</f>
        <v>0.63045350622688279</v>
      </c>
      <c r="AU30" s="309" t="s">
        <v>62</v>
      </c>
      <c r="AV30" s="251"/>
      <c r="AW30" s="251"/>
      <c r="AX30" s="295"/>
      <c r="AY30" s="296"/>
      <c r="AZ30" s="297"/>
    </row>
    <row r="31" spans="1:56" ht="14.25" customHeight="1" thickBot="1" x14ac:dyDescent="0.35">
      <c r="A31" s="82" t="s">
        <v>14</v>
      </c>
      <c r="B31" s="310">
        <v>6837.74</v>
      </c>
      <c r="C31" s="249">
        <f t="shared" si="64"/>
        <v>6907</v>
      </c>
      <c r="D31" s="168" t="str">
        <f t="shared" si="65"/>
        <v>1.01%  ↑</v>
      </c>
      <c r="E31" s="249">
        <f t="shared" si="66"/>
        <v>6913</v>
      </c>
      <c r="F31" s="168" t="str">
        <f t="shared" si="67"/>
        <v>1.10%  ↑</v>
      </c>
      <c r="G31" s="249">
        <f t="shared" si="63"/>
        <v>6850</v>
      </c>
      <c r="H31" s="168" t="str">
        <f t="shared" si="68"/>
        <v>0.18%  ↑</v>
      </c>
      <c r="I31" s="250">
        <f t="shared" si="69"/>
        <v>6909.52</v>
      </c>
      <c r="J31" s="239" t="str">
        <f t="shared" si="70"/>
        <v>1.05%  ↑</v>
      </c>
      <c r="N31" s="195" t="str">
        <f t="shared" si="51"/>
        <v>LeChat</v>
      </c>
      <c r="O31" s="277">
        <v>77.5</v>
      </c>
      <c r="P31" s="278">
        <f t="shared" si="52"/>
        <v>0.11376146788990826</v>
      </c>
      <c r="Q31" s="279">
        <v>73.75</v>
      </c>
      <c r="R31" s="280">
        <f t="shared" si="53"/>
        <v>0.11216730038022814</v>
      </c>
      <c r="S31" s="280">
        <v>76.25</v>
      </c>
      <c r="T31" s="280">
        <f t="shared" si="54"/>
        <v>0.11172161172161173</v>
      </c>
      <c r="U31" s="280">
        <v>27.5</v>
      </c>
      <c r="V31" s="280">
        <f t="shared" si="55"/>
        <v>8.3390190281252372E-2</v>
      </c>
      <c r="W31" s="280">
        <v>66.25</v>
      </c>
      <c r="X31" s="281">
        <f t="shared" si="56"/>
        <v>0.11134453781512606</v>
      </c>
      <c r="Y31" s="282">
        <v>63.75</v>
      </c>
      <c r="Z31" s="124">
        <f t="shared" si="57"/>
        <v>0.12056737588652482</v>
      </c>
      <c r="AC31" s="311" t="s">
        <v>63</v>
      </c>
      <c r="AG31" s="99" t="s">
        <v>16</v>
      </c>
      <c r="AH31" s="312">
        <f t="shared" si="58"/>
        <v>99.262495688309983</v>
      </c>
      <c r="AI31" s="313">
        <f t="shared" si="59"/>
        <v>98.9175604868514</v>
      </c>
      <c r="AJ31" s="313">
        <f t="shared" si="60"/>
        <v>99.127806704883312</v>
      </c>
      <c r="AK31" s="314">
        <f t="shared" si="61"/>
        <v>99.868643252624125</v>
      </c>
      <c r="AL31" s="315">
        <f t="shared" si="62"/>
        <v>99.81918507781883</v>
      </c>
      <c r="AN31" s="4"/>
      <c r="AR31" s="187">
        <f>AR9</f>
        <v>2.16</v>
      </c>
      <c r="AS31" s="187">
        <f>AS9</f>
        <v>2.2400000000000002</v>
      </c>
      <c r="AT31" s="187">
        <f>AT9</f>
        <v>1.79</v>
      </c>
      <c r="AU31" s="316" t="s">
        <v>61</v>
      </c>
      <c r="AV31" s="251"/>
      <c r="AW31" s="251"/>
      <c r="AX31" s="295"/>
      <c r="AY31" s="296"/>
      <c r="AZ31" s="297"/>
    </row>
    <row r="32" spans="1:56" ht="14.25" customHeight="1" thickBot="1" x14ac:dyDescent="0.35">
      <c r="A32" s="82" t="s">
        <v>15</v>
      </c>
      <c r="B32" s="310">
        <v>19.55</v>
      </c>
      <c r="C32" s="252">
        <f t="shared" si="64"/>
        <v>18.3</v>
      </c>
      <c r="D32" s="168" t="str">
        <f t="shared" si="65"/>
        <v>-6.39%  ↓</v>
      </c>
      <c r="E32" s="252">
        <f t="shared" si="66"/>
        <v>18.649999999999999</v>
      </c>
      <c r="F32" s="168" t="str">
        <f t="shared" si="67"/>
        <v>-4.60%  ↓</v>
      </c>
      <c r="G32" s="252">
        <f t="shared" si="63"/>
        <v>19.190000000000001</v>
      </c>
      <c r="H32" s="168" t="str">
        <f t="shared" si="68"/>
        <v>-1.84%  ↓</v>
      </c>
      <c r="I32" s="250">
        <f t="shared" si="69"/>
        <v>19.09</v>
      </c>
      <c r="J32" s="239" t="str">
        <f t="shared" si="70"/>
        <v>-2.35%  ↓</v>
      </c>
      <c r="N32" s="240" t="str">
        <f t="shared" si="51"/>
        <v>Qwen</v>
      </c>
      <c r="O32" s="317">
        <v>77.5</v>
      </c>
      <c r="P32" s="318">
        <f t="shared" si="52"/>
        <v>0.11376146788990826</v>
      </c>
      <c r="Q32" s="319">
        <v>73.75</v>
      </c>
      <c r="R32" s="320">
        <f t="shared" si="53"/>
        <v>0.11216730038022814</v>
      </c>
      <c r="S32" s="320">
        <v>76.25</v>
      </c>
      <c r="T32" s="320">
        <f t="shared" si="54"/>
        <v>0.11172161172161173</v>
      </c>
      <c r="U32" s="320">
        <v>27.5</v>
      </c>
      <c r="V32" s="320">
        <f t="shared" si="55"/>
        <v>8.3390190281252372E-2</v>
      </c>
      <c r="W32" s="320">
        <v>66.25</v>
      </c>
      <c r="X32" s="321">
        <f t="shared" si="56"/>
        <v>0.11134453781512606</v>
      </c>
      <c r="Y32" s="322">
        <v>63.75</v>
      </c>
      <c r="Z32" s="124">
        <f t="shared" si="57"/>
        <v>0.12056737588652482</v>
      </c>
      <c r="AC32" s="311" t="s">
        <v>64</v>
      </c>
      <c r="AG32" s="114" t="s">
        <v>17</v>
      </c>
      <c r="AH32" s="323">
        <f t="shared" si="58"/>
        <v>96.74200619850329</v>
      </c>
      <c r="AI32" s="324">
        <f t="shared" si="59"/>
        <v>96.326252929170749</v>
      </c>
      <c r="AJ32" s="324">
        <f t="shared" si="60"/>
        <v>99.894171895078998</v>
      </c>
      <c r="AK32" s="325">
        <f t="shared" si="61"/>
        <v>97.481262834589145</v>
      </c>
      <c r="AL32" s="326">
        <f t="shared" si="62"/>
        <v>96.297437019142876</v>
      </c>
      <c r="AN32" s="4"/>
      <c r="AP32" s="4"/>
      <c r="AV32" s="251"/>
      <c r="AW32" s="251"/>
      <c r="AX32" s="295"/>
      <c r="AY32" s="296"/>
      <c r="AZ32" s="297"/>
    </row>
    <row r="33" spans="1:41" ht="14.25" customHeight="1" thickBot="1" x14ac:dyDescent="0.35">
      <c r="A33" s="99" t="s">
        <v>16</v>
      </c>
      <c r="B33" s="327">
        <v>607.87</v>
      </c>
      <c r="C33" s="261">
        <f t="shared" si="64"/>
        <v>613.29999999999995</v>
      </c>
      <c r="D33" s="208" t="str">
        <f t="shared" si="65"/>
        <v>0.89%  ↑</v>
      </c>
      <c r="E33" s="261">
        <f t="shared" si="66"/>
        <v>615.4</v>
      </c>
      <c r="F33" s="208" t="str">
        <f t="shared" si="67"/>
        <v>1.24%  ↑</v>
      </c>
      <c r="G33" s="261">
        <f t="shared" si="63"/>
        <v>603.5</v>
      </c>
      <c r="H33" s="208" t="str">
        <f t="shared" si="68"/>
        <v>-0.72%  ↓</v>
      </c>
      <c r="I33" s="262">
        <f t="shared" si="69"/>
        <v>608.80999999999995</v>
      </c>
      <c r="J33" s="239" t="str">
        <f t="shared" si="70"/>
        <v>0.15%  ↑</v>
      </c>
      <c r="AC33" s="311" t="s">
        <v>65</v>
      </c>
      <c r="AG33" s="4"/>
      <c r="AH33" s="328"/>
      <c r="AI33" s="329"/>
      <c r="AJ33" s="329"/>
      <c r="AK33" s="329"/>
      <c r="AL33" s="329"/>
    </row>
    <row r="34" spans="1:41" ht="14.25" customHeight="1" thickBot="1" x14ac:dyDescent="0.35">
      <c r="A34" s="109" t="s">
        <v>17</v>
      </c>
      <c r="B34" s="330">
        <v>272.19</v>
      </c>
      <c r="C34" s="274">
        <f t="shared" si="64"/>
        <v>273.2</v>
      </c>
      <c r="D34" s="217" t="str">
        <f t="shared" si="65"/>
        <v>0.37%  ↑</v>
      </c>
      <c r="E34" s="274">
        <f t="shared" si="66"/>
        <v>274.3</v>
      </c>
      <c r="F34" s="217" t="str">
        <f t="shared" si="67"/>
        <v>0.78%  ↑</v>
      </c>
      <c r="G34" s="274">
        <f t="shared" si="63"/>
        <v>264.3</v>
      </c>
      <c r="H34" s="217" t="str">
        <f t="shared" si="68"/>
        <v>-2.90%  ↓</v>
      </c>
      <c r="I34" s="275">
        <f t="shared" si="69"/>
        <v>264.58</v>
      </c>
      <c r="J34" s="276" t="str">
        <f t="shared" si="70"/>
        <v>-2.80%  ↓</v>
      </c>
      <c r="AC34" s="311" t="s">
        <v>66</v>
      </c>
      <c r="AG34" s="331" t="str">
        <f>AB1</f>
        <v>AVR-4</v>
      </c>
      <c r="AH34" s="332">
        <f t="array" ref="AH34">SUM(AH28:AH31/4)</f>
        <v>98.766406652041738</v>
      </c>
      <c r="AI34" s="333">
        <f t="array" ref="AI34">SUM(AI28:AI31/4)</f>
        <v>99.118933951258512</v>
      </c>
      <c r="AJ34" s="333">
        <f t="array" ref="AJ34">SUM(AJ28:AJ31/4)</f>
        <v>99.433638051865458</v>
      </c>
      <c r="AK34" s="334">
        <f t="array" ref="AK34">SUM(AK28:AK31/4)</f>
        <v>99.547754930835339</v>
      </c>
      <c r="AL34" s="335">
        <f t="array" ref="AL34">SUM(AL28:AL31/4)</f>
        <v>99.458939396344462</v>
      </c>
      <c r="AM34" s="328"/>
      <c r="AO34" s="4"/>
    </row>
    <row r="35" spans="1:41" ht="14.25" customHeight="1" thickBot="1" x14ac:dyDescent="0.35">
      <c r="AC35" s="311" t="s">
        <v>67</v>
      </c>
      <c r="AG35" s="336" t="str">
        <f>AC1</f>
        <v>AVR-6</v>
      </c>
      <c r="AH35" s="337">
        <f t="array" ref="AH35">SUM(AH27:AH32/6)</f>
        <v>98.328607915758795</v>
      </c>
      <c r="AI35" s="338">
        <f t="array" ref="AI35">SUM(AI27:AI32/6)</f>
        <v>98.657532598091649</v>
      </c>
      <c r="AJ35" s="338">
        <f t="array" ref="AJ35">SUM(AJ27:AJ32/6)</f>
        <v>99.584387513622147</v>
      </c>
      <c r="AK35" s="339">
        <f t="array" ref="AK35">SUM(AK27:AK32/6)</f>
        <v>99.103967394129882</v>
      </c>
      <c r="AL35" s="340">
        <f t="array" ref="AL35">SUM(AL27:AL32/6)</f>
        <v>98.834101376177458</v>
      </c>
      <c r="AM35" s="328"/>
      <c r="AO35" s="4"/>
    </row>
    <row r="36" spans="1:41" ht="14.25" customHeight="1" x14ac:dyDescent="0.3">
      <c r="AM36" s="328"/>
      <c r="AO36" s="4"/>
    </row>
    <row r="37" spans="1:41" ht="14.25" customHeight="1" thickBot="1" x14ac:dyDescent="0.35">
      <c r="AM37" s="328"/>
      <c r="AO37" s="4"/>
    </row>
    <row r="38" spans="1:41" ht="14.25" customHeight="1" thickBot="1" x14ac:dyDescent="0.35">
      <c r="AH38" s="1314" t="s">
        <v>68</v>
      </c>
      <c r="AI38" s="1314"/>
      <c r="AK38" s="4"/>
      <c r="AL38" s="1314" t="s">
        <v>69</v>
      </c>
      <c r="AM38" s="1314"/>
      <c r="AO38" s="4"/>
    </row>
    <row r="39" spans="1:41" ht="14.25" customHeight="1" x14ac:dyDescent="0.3">
      <c r="AG39" s="341" t="str">
        <f t="shared" ref="AG39:AG44" si="71">A2</f>
        <v>TNX</v>
      </c>
      <c r="AH39" s="342">
        <f t="shared" ref="AH39:AH44" si="72">C11</f>
        <v>4.01</v>
      </c>
      <c r="AI39" s="57">
        <f t="shared" ref="AI39:AI44" si="73">100-ABS(($K11-AH39)/($K11))*100</f>
        <v>98.164014687882499</v>
      </c>
      <c r="AK39" s="53" t="str">
        <f t="shared" ref="AK39:AK44" si="74">AG39</f>
        <v>TNX</v>
      </c>
      <c r="AL39" s="342">
        <f t="shared" ref="AL39:AL44" si="75">E11</f>
        <v>4.05</v>
      </c>
      <c r="AM39" s="57">
        <f t="shared" ref="AM39:AM44" si="76">100-ABS(($K11-AL39)/($K11))*100</f>
        <v>99.143206854345166</v>
      </c>
      <c r="AO39" s="4"/>
    </row>
    <row r="40" spans="1:41" ht="14.25" customHeight="1" x14ac:dyDescent="0.3">
      <c r="AG40" s="343" t="str">
        <f t="shared" si="71"/>
        <v>DJI</v>
      </c>
      <c r="AH40" s="344">
        <f t="shared" si="72"/>
        <v>49615</v>
      </c>
      <c r="AI40" s="78">
        <f t="shared" si="73"/>
        <v>99.977894638633757</v>
      </c>
      <c r="AK40" s="60" t="str">
        <f t="shared" si="74"/>
        <v>DJI</v>
      </c>
      <c r="AL40" s="344">
        <f t="shared" si="75"/>
        <v>49583</v>
      </c>
      <c r="AM40" s="78">
        <f t="shared" si="76"/>
        <v>99.913412271840727</v>
      </c>
      <c r="AO40" s="4"/>
    </row>
    <row r="41" spans="1:41" ht="14.25" customHeight="1" x14ac:dyDescent="0.3">
      <c r="AG41" s="345" t="str">
        <f t="shared" si="71"/>
        <v>SPX</v>
      </c>
      <c r="AH41" s="346">
        <f t="shared" si="72"/>
        <v>6907</v>
      </c>
      <c r="AI41" s="89">
        <f t="shared" si="73"/>
        <v>99.963528580856547</v>
      </c>
      <c r="AK41" s="82" t="str">
        <f t="shared" si="74"/>
        <v>SPX</v>
      </c>
      <c r="AL41" s="346">
        <f t="shared" si="75"/>
        <v>6913</v>
      </c>
      <c r="AM41" s="89">
        <f t="shared" si="76"/>
        <v>99.949634706897157</v>
      </c>
      <c r="AO41" s="4"/>
    </row>
    <row r="42" spans="1:41" ht="14.25" customHeight="1" x14ac:dyDescent="0.3">
      <c r="AG42" s="345" t="str">
        <f t="shared" si="71"/>
        <v>VIX</v>
      </c>
      <c r="AH42" s="347">
        <f t="shared" si="72"/>
        <v>18.3</v>
      </c>
      <c r="AI42" s="89">
        <f t="shared" si="73"/>
        <v>95.861707700366694</v>
      </c>
      <c r="AK42" s="82" t="str">
        <f t="shared" si="74"/>
        <v>VIX</v>
      </c>
      <c r="AL42" s="347">
        <f t="shared" si="75"/>
        <v>18.649999999999999</v>
      </c>
      <c r="AM42" s="89">
        <f t="shared" si="76"/>
        <v>97.695128339444722</v>
      </c>
      <c r="AO42" s="4"/>
    </row>
    <row r="43" spans="1:41" ht="14.25" customHeight="1" x14ac:dyDescent="0.3">
      <c r="AG43" s="348" t="str">
        <f t="shared" si="71"/>
        <v>QQQ</v>
      </c>
      <c r="AH43" s="349">
        <f t="shared" si="72"/>
        <v>613.29999999999995</v>
      </c>
      <c r="AI43" s="107">
        <f t="shared" si="73"/>
        <v>99.262495688309983</v>
      </c>
      <c r="AK43" s="99" t="str">
        <f t="shared" si="74"/>
        <v>QQQ</v>
      </c>
      <c r="AL43" s="349">
        <f t="shared" si="75"/>
        <v>615.4</v>
      </c>
      <c r="AM43" s="107">
        <f t="shared" si="76"/>
        <v>98.9175604868514</v>
      </c>
      <c r="AO43" s="4"/>
    </row>
    <row r="44" spans="1:41" ht="14.25" customHeight="1" thickBot="1" x14ac:dyDescent="0.35">
      <c r="AG44" s="350" t="str">
        <f t="shared" si="71"/>
        <v>AAPL</v>
      </c>
      <c r="AH44" s="351">
        <f t="shared" si="72"/>
        <v>273.2</v>
      </c>
      <c r="AI44" s="118">
        <f t="shared" si="73"/>
        <v>96.74200619850329</v>
      </c>
      <c r="AK44" s="114" t="str">
        <f t="shared" si="74"/>
        <v>AAPL</v>
      </c>
      <c r="AL44" s="351">
        <f t="shared" si="75"/>
        <v>274.3</v>
      </c>
      <c r="AM44" s="118">
        <f t="shared" si="76"/>
        <v>96.326252929170749</v>
      </c>
    </row>
    <row r="48" spans="1:41" ht="14.25" customHeight="1" x14ac:dyDescent="0.3">
      <c r="F48" s="6"/>
    </row>
    <row r="53" spans="33:39" ht="14.25" customHeight="1" thickBot="1" x14ac:dyDescent="0.35">
      <c r="AI53" s="9"/>
    </row>
    <row r="54" spans="33:39" ht="14.25" customHeight="1" x14ac:dyDescent="0.3">
      <c r="AG54" s="1310" t="s">
        <v>44</v>
      </c>
      <c r="AH54" s="1310"/>
      <c r="AI54" s="126">
        <f>AVERAGE(AI40:AI43)</f>
        <v>98.766406652041738</v>
      </c>
      <c r="AK54" s="1310" t="s">
        <v>44</v>
      </c>
      <c r="AL54" s="1310"/>
      <c r="AM54" s="126">
        <f>AVERAGE(AM40:AM43)</f>
        <v>99.118933951258512</v>
      </c>
    </row>
    <row r="55" spans="33:39" ht="14.25" customHeight="1" thickBot="1" x14ac:dyDescent="0.35">
      <c r="AG55" s="1311" t="s">
        <v>51</v>
      </c>
      <c r="AH55" s="1311"/>
      <c r="AI55" s="142">
        <f>AVERAGE(AI39:AI44)</f>
        <v>98.328607915758781</v>
      </c>
      <c r="AK55" s="1311" t="s">
        <v>51</v>
      </c>
      <c r="AL55" s="1311"/>
      <c r="AM55" s="142">
        <f>AVERAGE(AM39:AM44)</f>
        <v>98.657532598091663</v>
      </c>
    </row>
  </sheetData>
  <mergeCells count="29">
    <mergeCell ref="AH1:AI1"/>
    <mergeCell ref="AL1:AM1"/>
    <mergeCell ref="AG9:AH9"/>
    <mergeCell ref="AK9:AL9"/>
    <mergeCell ref="C10:D10"/>
    <mergeCell ref="E10:F10"/>
    <mergeCell ref="G10:H10"/>
    <mergeCell ref="AG10:AH10"/>
    <mergeCell ref="AK10:AL10"/>
    <mergeCell ref="C19:D19"/>
    <mergeCell ref="E19:F19"/>
    <mergeCell ref="G19:H19"/>
    <mergeCell ref="I19:J19"/>
    <mergeCell ref="AG19:AG24"/>
    <mergeCell ref="AG12:AG17"/>
    <mergeCell ref="AH18:AI18"/>
    <mergeCell ref="AJ18:AK18"/>
    <mergeCell ref="AL18:AM18"/>
    <mergeCell ref="AN18:AO18"/>
    <mergeCell ref="AG54:AH54"/>
    <mergeCell ref="AK54:AL54"/>
    <mergeCell ref="AG55:AH55"/>
    <mergeCell ref="AK55:AL55"/>
    <mergeCell ref="C28:D28"/>
    <mergeCell ref="E28:F28"/>
    <mergeCell ref="G28:H28"/>
    <mergeCell ref="I28:J28"/>
    <mergeCell ref="AH38:AI38"/>
    <mergeCell ref="AL38:AM38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5"/>
  <sheetViews>
    <sheetView tabSelected="1" zoomScale="110" zoomScaleNormal="110" workbookViewId="0"/>
  </sheetViews>
  <sheetFormatPr defaultColWidth="8.77734375" defaultRowHeight="14.25" customHeight="1" x14ac:dyDescent="0.3"/>
  <cols>
    <col min="1" max="1" width="7.33203125" style="4" customWidth="1"/>
    <col min="2" max="9" width="8.44140625" style="4" customWidth="1"/>
    <col min="10" max="10" width="7.77734375" style="4" customWidth="1"/>
    <col min="11" max="11" width="8.21875" style="4" customWidth="1"/>
    <col min="12" max="12" width="9.33203125" style="4" customWidth="1"/>
    <col min="13" max="13" width="3.21875" style="4" customWidth="1"/>
    <col min="14" max="14" width="9" style="4" customWidth="1"/>
    <col min="15" max="15" width="5.88671875" style="5" customWidth="1"/>
    <col min="16" max="16" width="3.33203125" style="4" hidden="1" customWidth="1"/>
    <col min="17" max="17" width="5.88671875" style="5" customWidth="1"/>
    <col min="18" max="18" width="3.33203125" style="4" hidden="1" customWidth="1"/>
    <col min="19" max="19" width="5.88671875" style="5" customWidth="1"/>
    <col min="20" max="20" width="3.33203125" style="4" hidden="1" customWidth="1"/>
    <col min="21" max="21" width="5.88671875" style="5" customWidth="1"/>
    <col min="22" max="22" width="4.33203125" style="4" hidden="1" customWidth="1"/>
    <col min="23" max="23" width="5.88671875" style="5" customWidth="1"/>
    <col min="24" max="24" width="3.33203125" style="4" hidden="1" customWidth="1"/>
    <col min="25" max="25" width="6.77734375" style="5" customWidth="1"/>
    <col min="26" max="26" width="3.33203125" style="4" hidden="1" customWidth="1"/>
    <col min="27" max="27" width="3.21875" style="4" customWidth="1"/>
    <col min="28" max="28" width="7.109375" style="6" customWidth="1"/>
    <col min="29" max="29" width="7.109375" style="7" customWidth="1"/>
    <col min="30" max="31" width="3.5546875" style="6" customWidth="1"/>
    <col min="32" max="32" width="3.5546875" style="4" customWidth="1"/>
    <col min="33" max="33" width="6" style="8" customWidth="1"/>
    <col min="34" max="38" width="7.21875" style="8" customWidth="1"/>
    <col min="39" max="39" width="7.21875" style="9" customWidth="1"/>
    <col min="40" max="41" width="7.21875" style="8" customWidth="1"/>
    <col min="42" max="42" width="6.21875" style="8" customWidth="1"/>
    <col min="43" max="43" width="7.44140625" customWidth="1"/>
    <col min="44" max="47" width="7.44140625" style="10" customWidth="1"/>
    <col min="48" max="51" width="7.44140625" customWidth="1"/>
    <col min="52" max="52" width="7.6640625" customWidth="1"/>
    <col min="58" max="58" width="9.77734375" style="11" customWidth="1"/>
    <col min="59" max="62" width="9.77734375" style="9" customWidth="1"/>
    <col min="63" max="64" width="9.77734375" customWidth="1"/>
    <col min="65" max="65" width="9.77734375" style="12" customWidth="1"/>
    <col min="66" max="66" width="9.77734375" style="13" customWidth="1"/>
    <col min="67" max="67" width="8.77734375" style="14"/>
    <col min="16372" max="16384" width="13.44140625" customWidth="1"/>
  </cols>
  <sheetData>
    <row r="1" spans="1:57" ht="14.4" x14ac:dyDescent="0.3">
      <c r="A1" s="2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7" t="s">
        <v>9</v>
      </c>
      <c r="L1" s="18" t="s">
        <v>10</v>
      </c>
      <c r="N1" s="19" t="s">
        <v>11</v>
      </c>
      <c r="O1" s="20" t="s">
        <v>12</v>
      </c>
      <c r="P1" s="21">
        <f>SUM(O2:O10)</f>
        <v>895.34482758620709</v>
      </c>
      <c r="Q1" s="22" t="s">
        <v>13</v>
      </c>
      <c r="R1" s="23">
        <f>SUM(Q2:Q10)</f>
        <v>895.00522968197879</v>
      </c>
      <c r="S1" s="24" t="s">
        <v>14</v>
      </c>
      <c r="T1" s="23">
        <f>SUM(S2:S10)</f>
        <v>897.60837221688337</v>
      </c>
      <c r="U1" s="24" t="s">
        <v>15</v>
      </c>
      <c r="V1" s="23">
        <f>SUM(U2:U10)</f>
        <v>882.50392875851219</v>
      </c>
      <c r="W1" s="25" t="s">
        <v>16</v>
      </c>
      <c r="X1" s="26">
        <f>SUM(W2:W10)</f>
        <v>898.48032786885244</v>
      </c>
      <c r="Y1" s="27" t="s">
        <v>17</v>
      </c>
      <c r="Z1" s="28">
        <f>SUM(Y2:Y9)</f>
        <v>326.52380952380952</v>
      </c>
      <c r="AA1" s="29"/>
      <c r="AB1" s="30" t="s">
        <v>18</v>
      </c>
      <c r="AC1" s="31" t="s">
        <v>19</v>
      </c>
      <c r="AH1" s="1314" t="s">
        <v>20</v>
      </c>
      <c r="AI1" s="1314"/>
      <c r="AK1" s="4"/>
      <c r="AL1" s="1314" t="s">
        <v>21</v>
      </c>
      <c r="AM1" s="1314"/>
      <c r="AO1" s="32" t="s">
        <v>22</v>
      </c>
      <c r="AP1" s="9">
        <v>2</v>
      </c>
      <c r="AQ1" s="33" t="str">
        <f>K10</f>
        <v xml:space="preserve">+3-day </v>
      </c>
      <c r="AR1" s="34" t="s">
        <v>23</v>
      </c>
      <c r="AS1" s="34" t="s">
        <v>24</v>
      </c>
      <c r="AT1" s="34" t="s">
        <v>25</v>
      </c>
      <c r="AU1" s="9"/>
      <c r="AV1" s="9"/>
      <c r="AW1" s="9"/>
      <c r="AX1" s="9"/>
      <c r="AY1" s="9"/>
      <c r="AZ1" s="9"/>
      <c r="BA1" s="9"/>
      <c r="BB1" s="9"/>
    </row>
    <row r="2" spans="1:57" ht="14.4" x14ac:dyDescent="0.3">
      <c r="A2" s="35" t="s">
        <v>12</v>
      </c>
      <c r="B2" s="36">
        <v>4.03</v>
      </c>
      <c r="C2" s="37">
        <v>4.05</v>
      </c>
      <c r="D2" s="37">
        <v>4.05</v>
      </c>
      <c r="E2" s="37">
        <v>4.0549999999999997</v>
      </c>
      <c r="F2" s="37">
        <v>4.0330000000000004</v>
      </c>
      <c r="G2" s="37">
        <v>4.0430000000000001</v>
      </c>
      <c r="H2" s="38">
        <v>4.01</v>
      </c>
      <c r="I2" s="38">
        <v>4.05</v>
      </c>
      <c r="J2" s="39">
        <v>4.03</v>
      </c>
      <c r="N2" s="40" t="str">
        <f>B1</f>
        <v>O 5.2</v>
      </c>
      <c r="O2" s="41">
        <f>100-ABS((($K11-B2)/($K11)))*100</f>
        <v>99.261083743842377</v>
      </c>
      <c r="P2" s="42">
        <f t="shared" ref="P2:P10" si="0">O2/$P$1</f>
        <v>0.11086352507496354</v>
      </c>
      <c r="Q2" s="43">
        <f>100-ABS((($K12-B3)/($K12)))*100</f>
        <v>99.622412922766273</v>
      </c>
      <c r="R2" s="44">
        <f t="shared" ref="R2:R10" si="1">Q2/$R$1</f>
        <v>0.11130930816813774</v>
      </c>
      <c r="S2" s="44">
        <f>100-ABS((($K13-B4)/($K13)))*100</f>
        <v>99.775961282404566</v>
      </c>
      <c r="T2" s="44">
        <f t="shared" ref="T2:T10" si="2">S2/$T$1</f>
        <v>0.11115756533774436</v>
      </c>
      <c r="U2" s="44">
        <f>100-ABS((($K14-B5)/($K14)))*100</f>
        <v>97.537977998952343</v>
      </c>
      <c r="V2" s="44">
        <f t="shared" ref="V2:V10" si="3">U2/$V$1</f>
        <v>0.11052412892503119</v>
      </c>
      <c r="W2" s="45">
        <f>100-ABS((($K15-B6)/($K15)))*100</f>
        <v>99.936065573770492</v>
      </c>
      <c r="X2" s="46">
        <f t="shared" ref="X2:X10" si="4">W2/$X$1</f>
        <v>0.11122788387678284</v>
      </c>
      <c r="Y2" s="47">
        <f>100-ABS((($K16-B7)/($K16)))*100</f>
        <v>40.733630952380949</v>
      </c>
      <c r="Z2" s="48">
        <f t="shared" ref="Z2:Z10" si="5">Y2/$Z$1</f>
        <v>0.12474934373632783</v>
      </c>
      <c r="AA2" s="29"/>
      <c r="AB2" s="49">
        <f t="shared" ref="AB2:AB8" si="6">(Q2+S2+U2+W2)/4</f>
        <v>99.218104444473425</v>
      </c>
      <c r="AC2" s="50">
        <f t="shared" ref="AC2:AC8" si="7">(O2+Q2+S2+U2+W2+Y2)/6</f>
        <v>89.477855412352838</v>
      </c>
      <c r="AD2" s="51" t="str">
        <f>IF($AB2=MAX(AB2:AB10),"TOP","")</f>
        <v/>
      </c>
      <c r="AE2" s="51" t="str">
        <f>IF($AC2=MAX(AC2:AC10),"TOP","")</f>
        <v/>
      </c>
      <c r="AF2" s="52"/>
      <c r="AG2" s="53" t="s">
        <v>12</v>
      </c>
      <c r="AH2" s="54" t="s">
        <v>26</v>
      </c>
      <c r="AI2" s="55">
        <f>MAX(O2:P10)</f>
        <v>99.876847290640399</v>
      </c>
      <c r="AK2" s="53" t="str">
        <f t="shared" ref="AK2:AK7" si="8">AG2</f>
        <v>TNX</v>
      </c>
      <c r="AL2" s="56">
        <v>4.25</v>
      </c>
      <c r="AM2" s="57">
        <f t="shared" ref="AM2:AM7" si="9">100-ABS(($K11-AL2)/($K11))*100</f>
        <v>95.320197044334961</v>
      </c>
      <c r="AO2" s="9"/>
      <c r="AP2" s="33" t="s">
        <v>27</v>
      </c>
      <c r="AQ2" s="33" t="s">
        <v>28</v>
      </c>
      <c r="AR2" s="58" t="s">
        <v>29</v>
      </c>
      <c r="AS2" s="34" t="str">
        <f>AR2</f>
        <v>∆</v>
      </c>
      <c r="AT2" s="34" t="str">
        <f>AS2</f>
        <v>∆</v>
      </c>
      <c r="AU2" s="59" t="s">
        <v>30</v>
      </c>
      <c r="AV2" s="9"/>
      <c r="AW2" s="9"/>
      <c r="AX2" s="9"/>
      <c r="AY2" s="9"/>
      <c r="AZ2" s="9"/>
      <c r="BA2" s="9"/>
      <c r="BB2" s="9"/>
    </row>
    <row r="3" spans="1:57" ht="14.4" x14ac:dyDescent="0.3">
      <c r="A3" s="60" t="s">
        <v>13</v>
      </c>
      <c r="B3" s="61">
        <v>49338</v>
      </c>
      <c r="C3" s="62">
        <v>49320</v>
      </c>
      <c r="D3" s="62">
        <v>49290</v>
      </c>
      <c r="E3" s="62">
        <v>49300</v>
      </c>
      <c r="F3" s="62">
        <v>48705.34</v>
      </c>
      <c r="G3" s="62">
        <v>49408</v>
      </c>
      <c r="H3" s="62">
        <v>49320</v>
      </c>
      <c r="I3" s="62">
        <v>49250</v>
      </c>
      <c r="J3" s="63">
        <v>49320</v>
      </c>
      <c r="L3" s="64" t="s">
        <v>31</v>
      </c>
      <c r="N3" s="65" t="str">
        <f>C1</f>
        <v>Grok 4.1</v>
      </c>
      <c r="O3" s="66">
        <f>100-ABS((($K11-C2)/($K11)))*100</f>
        <v>99.753694581280797</v>
      </c>
      <c r="P3" s="67">
        <f t="shared" si="0"/>
        <v>0.11141371626640256</v>
      </c>
      <c r="Q3" s="68">
        <f>100-ABS((($K12-C3)/($K12)))*100</f>
        <v>99.586067642604746</v>
      </c>
      <c r="R3" s="69">
        <f t="shared" si="1"/>
        <v>0.11126869915384802</v>
      </c>
      <c r="S3" s="69">
        <f>100-ABS((($K13-C4)/($K13)))*100</f>
        <v>99.877270780025242</v>
      </c>
      <c r="T3" s="69">
        <f t="shared" si="2"/>
        <v>0.11127043137237198</v>
      </c>
      <c r="U3" s="69">
        <f>100-ABS((($K14-C5)/($K14)))*100</f>
        <v>99.947616553169183</v>
      </c>
      <c r="V3" s="69">
        <f t="shared" si="3"/>
        <v>0.11325458538612215</v>
      </c>
      <c r="W3" s="70">
        <f>100-ABS((($K15-C6)/($K15)))*100</f>
        <v>100</v>
      </c>
      <c r="X3" s="71">
        <f t="shared" si="4"/>
        <v>0.11129904228086404</v>
      </c>
      <c r="Y3" s="72">
        <f>100-ABS((($K16-C7)/($K16)))*100</f>
        <v>40.848214285714292</v>
      </c>
      <c r="Z3" s="48">
        <f t="shared" si="5"/>
        <v>0.12510026250546888</v>
      </c>
      <c r="AA3" s="29"/>
      <c r="AB3" s="73">
        <f t="shared" si="6"/>
        <v>99.8527387439498</v>
      </c>
      <c r="AC3" s="74">
        <f t="shared" si="7"/>
        <v>90.002143973799051</v>
      </c>
      <c r="AD3" s="51" t="str">
        <f>IF($AB3=MAX(AB2:AB10),"TOP","")</f>
        <v>TOP</v>
      </c>
      <c r="AE3" s="51" t="str">
        <f>IF($AC3=MAX(AC2:AC10),"TOP","")</f>
        <v>TOP</v>
      </c>
      <c r="AF3" s="52"/>
      <c r="AG3" s="60" t="s">
        <v>13</v>
      </c>
      <c r="AH3" s="75" t="s">
        <v>32</v>
      </c>
      <c r="AI3" s="76">
        <f>MAX(Q2:R10)</f>
        <v>99.76375567895002</v>
      </c>
      <c r="AK3" s="60" t="str">
        <f t="shared" si="8"/>
        <v>DJI</v>
      </c>
      <c r="AL3" s="77">
        <v>48833</v>
      </c>
      <c r="AM3" s="78">
        <f t="shared" si="9"/>
        <v>98.602725896012117</v>
      </c>
      <c r="AO3" s="9"/>
      <c r="AP3" s="79" t="str">
        <f t="shared" ref="AP3:AP8" si="10">AG2</f>
        <v>TNX</v>
      </c>
      <c r="AQ3" s="80">
        <f t="shared" ref="AQ3:AQ8" si="11">K11</f>
        <v>4.0599999999999996</v>
      </c>
      <c r="AR3" s="80">
        <f>ABS(C29-AQ3)</f>
        <v>4.0000000000000036E-2</v>
      </c>
      <c r="AS3" s="80">
        <f>ABS(E29-K11)</f>
        <v>9.9999999999997868E-3</v>
      </c>
      <c r="AT3" s="80">
        <f>ABS(AQ3-G29)</f>
        <v>0</v>
      </c>
      <c r="AU3" s="81" t="s">
        <v>33</v>
      </c>
      <c r="AV3" s="9"/>
      <c r="AW3" s="9"/>
      <c r="AX3" s="9"/>
      <c r="AY3" s="9"/>
      <c r="AZ3" s="9"/>
      <c r="BA3" s="9"/>
      <c r="BB3" s="9"/>
    </row>
    <row r="4" spans="1:57" ht="14.4" x14ac:dyDescent="0.3">
      <c r="A4" s="82" t="s">
        <v>14</v>
      </c>
      <c r="B4" s="83">
        <v>6925</v>
      </c>
      <c r="C4" s="84">
        <v>6918</v>
      </c>
      <c r="D4" s="84">
        <v>6915</v>
      </c>
      <c r="E4" s="84">
        <v>6920</v>
      </c>
      <c r="F4" s="84">
        <v>6891.15</v>
      </c>
      <c r="G4" s="84">
        <v>6925</v>
      </c>
      <c r="H4" s="84">
        <v>6922</v>
      </c>
      <c r="I4" s="84">
        <v>6835</v>
      </c>
      <c r="J4" s="85">
        <v>6914</v>
      </c>
      <c r="N4" s="65" t="str">
        <f>D1</f>
        <v>Gemini Pro 3</v>
      </c>
      <c r="O4" s="66">
        <f>100-ABS((($K11-D2)/($K11)))*100</f>
        <v>99.753694581280797</v>
      </c>
      <c r="P4" s="67">
        <f t="shared" si="0"/>
        <v>0.11141371626640256</v>
      </c>
      <c r="Q4" s="68">
        <f>100-ABS((($K12-D3)/($K12)))*100</f>
        <v>99.525492175668859</v>
      </c>
      <c r="R4" s="69">
        <f t="shared" si="1"/>
        <v>0.11120101746336515</v>
      </c>
      <c r="S4" s="69">
        <f>100-ABS((($K13-D4)/($K13)))*100</f>
        <v>99.920689136148397</v>
      </c>
      <c r="T4" s="69">
        <f t="shared" si="2"/>
        <v>0.11131880253006954</v>
      </c>
      <c r="U4" s="69">
        <f>100-ABS((($K14-D5)/($K14)))*100</f>
        <v>99.947616553169183</v>
      </c>
      <c r="V4" s="69">
        <f t="shared" si="3"/>
        <v>0.11325458538612215</v>
      </c>
      <c r="W4" s="70">
        <f>100-ABS((($K15-D6)/($K15)))*100</f>
        <v>99.959016393442624</v>
      </c>
      <c r="X4" s="71">
        <f t="shared" si="4"/>
        <v>0.11125342791927353</v>
      </c>
      <c r="Y4" s="72">
        <f>100-ABS((($K16-D7)/($K16)))*100</f>
        <v>40.788690476190482</v>
      </c>
      <c r="Z4" s="48">
        <f t="shared" si="5"/>
        <v>0.12491796704098004</v>
      </c>
      <c r="AA4" s="29"/>
      <c r="AB4" s="73">
        <f t="shared" si="6"/>
        <v>99.838203564607284</v>
      </c>
      <c r="AC4" s="74">
        <f t="shared" si="7"/>
        <v>89.982533219316736</v>
      </c>
      <c r="AD4" s="51" t="str">
        <f>IF($AB4=MAX(AB2:AB10),"TOP","")</f>
        <v/>
      </c>
      <c r="AE4" s="51" t="str">
        <f>IF($AC4=MAX(AC2:AC10),"TOP","")</f>
        <v/>
      </c>
      <c r="AF4" s="52"/>
      <c r="AG4" s="82" t="s">
        <v>14</v>
      </c>
      <c r="AH4" s="86" t="s">
        <v>34</v>
      </c>
      <c r="AI4" s="87">
        <f>MAX(S2:T10)</f>
        <v>99.935161921522777</v>
      </c>
      <c r="AK4" s="82" t="str">
        <f t="shared" si="8"/>
        <v>SPX</v>
      </c>
      <c r="AL4" s="88">
        <v>6810</v>
      </c>
      <c r="AM4" s="89">
        <f t="shared" si="9"/>
        <v>98.559668399541493</v>
      </c>
      <c r="AO4" s="9"/>
      <c r="AP4" s="79" t="str">
        <f t="shared" si="10"/>
        <v>DJI</v>
      </c>
      <c r="AQ4" s="90">
        <f t="shared" si="11"/>
        <v>49525</v>
      </c>
      <c r="AR4" s="91">
        <f>ABS(C12-AQ4)</f>
        <v>10</v>
      </c>
      <c r="AS4" s="91">
        <f>ABS(E12-AQ4)</f>
        <v>42</v>
      </c>
      <c r="AT4" s="91">
        <f>ABS(AQ4-G12)</f>
        <v>215</v>
      </c>
      <c r="AU4" s="92" t="s">
        <v>35</v>
      </c>
      <c r="AV4" s="9"/>
      <c r="AW4" s="9"/>
      <c r="BB4" s="9"/>
    </row>
    <row r="5" spans="1:57" ht="14.4" x14ac:dyDescent="0.3">
      <c r="A5" s="82" t="s">
        <v>15</v>
      </c>
      <c r="B5" s="93">
        <v>19.559999999999999</v>
      </c>
      <c r="C5" s="94">
        <v>19.100000000000001</v>
      </c>
      <c r="D5" s="94">
        <v>19.100000000000001</v>
      </c>
      <c r="E5" s="94">
        <v>19.2</v>
      </c>
      <c r="F5" s="94">
        <v>20.25</v>
      </c>
      <c r="G5" s="94">
        <v>19.760000000000002</v>
      </c>
      <c r="H5" s="95">
        <v>19.2</v>
      </c>
      <c r="I5" s="95">
        <v>19</v>
      </c>
      <c r="J5" s="96">
        <v>18.38</v>
      </c>
      <c r="L5" s="2" t="s">
        <v>36</v>
      </c>
      <c r="N5" s="65" t="str">
        <f>E1</f>
        <v>Claude</v>
      </c>
      <c r="O5" s="66">
        <f>100-ABS((($K11-E2)/($K11)))*100</f>
        <v>99.876847290640399</v>
      </c>
      <c r="P5" s="67">
        <f t="shared" si="0"/>
        <v>0.11155126406426231</v>
      </c>
      <c r="Q5" s="68">
        <f>100-ABS((($K12-E3)/($K12)))*100</f>
        <v>99.545683997980817</v>
      </c>
      <c r="R5" s="69">
        <f t="shared" si="1"/>
        <v>0.11122357802685943</v>
      </c>
      <c r="S5" s="69">
        <f>100-ABS((($K13-E4)/($K13)))*100</f>
        <v>99.848325209276481</v>
      </c>
      <c r="T5" s="69">
        <f t="shared" si="2"/>
        <v>0.11123818393390694</v>
      </c>
      <c r="U5" s="69">
        <f>100-ABS((($K14-E5)/($K14)))*100</f>
        <v>99.423782084861188</v>
      </c>
      <c r="V5" s="69">
        <f t="shared" si="3"/>
        <v>0.11266100789458065</v>
      </c>
      <c r="W5" s="70">
        <f>100-ABS((($K15-E6)/($K15)))*100</f>
        <v>99.836065573770497</v>
      </c>
      <c r="X5" s="71">
        <f t="shared" si="4"/>
        <v>0.11111658483450199</v>
      </c>
      <c r="Y5" s="72">
        <f>100-ABS((($K16-E7)/($K16)))*100</f>
        <v>40.922619047619044</v>
      </c>
      <c r="Z5" s="48">
        <f t="shared" si="5"/>
        <v>0.12532813183607991</v>
      </c>
      <c r="AA5" s="29"/>
      <c r="AB5" s="73">
        <f t="shared" si="6"/>
        <v>99.663464216472249</v>
      </c>
      <c r="AC5" s="74">
        <f t="shared" si="7"/>
        <v>89.90888720069141</v>
      </c>
      <c r="AD5" s="51" t="str">
        <f>IF($AB5=MAX(AB2:AB10),"TOP","")</f>
        <v/>
      </c>
      <c r="AE5" s="51" t="str">
        <f>IF($AC5=MAX(AC2:AC10),"TOP","")</f>
        <v/>
      </c>
      <c r="AF5" s="52"/>
      <c r="AG5" s="82" t="s">
        <v>15</v>
      </c>
      <c r="AH5" s="97" t="s">
        <v>37</v>
      </c>
      <c r="AI5" s="87">
        <f>MAX(U2:V10)</f>
        <v>99.947616553169183</v>
      </c>
      <c r="AK5" s="82" t="str">
        <f t="shared" si="8"/>
        <v>VIX</v>
      </c>
      <c r="AL5" s="98">
        <v>19.100000000000001</v>
      </c>
      <c r="AM5" s="89">
        <f t="shared" si="9"/>
        <v>99.947616553169183</v>
      </c>
      <c r="AO5" s="9"/>
      <c r="AP5" s="79" t="str">
        <f t="shared" si="10"/>
        <v>SPX</v>
      </c>
      <c r="AQ5" s="90">
        <f t="shared" si="11"/>
        <v>6909.52</v>
      </c>
      <c r="AR5" s="91">
        <f>ABS(C13-AQ5)</f>
        <v>2.5200000000004366</v>
      </c>
      <c r="AS5" s="91">
        <f>ABS(E13-AQ5)</f>
        <v>3.4799999999995634</v>
      </c>
      <c r="AT5" s="91">
        <f>ABS(AQ5-G13)</f>
        <v>9.4799999999995634</v>
      </c>
      <c r="AU5" s="92" t="s">
        <v>38</v>
      </c>
      <c r="AV5" s="9"/>
      <c r="AW5" s="9"/>
      <c r="BB5" s="9"/>
    </row>
    <row r="6" spans="1:57" ht="14.4" x14ac:dyDescent="0.3">
      <c r="A6" s="99" t="s">
        <v>16</v>
      </c>
      <c r="B6" s="100">
        <v>609.61</v>
      </c>
      <c r="C6" s="101">
        <v>610</v>
      </c>
      <c r="D6" s="101">
        <v>610.25</v>
      </c>
      <c r="E6" s="101">
        <v>611</v>
      </c>
      <c r="F6" s="101">
        <v>606.37</v>
      </c>
      <c r="G6" s="101">
        <v>611</v>
      </c>
      <c r="H6" s="102">
        <v>612</v>
      </c>
      <c r="I6" s="102">
        <v>610</v>
      </c>
      <c r="J6" s="103">
        <v>609</v>
      </c>
      <c r="N6" s="65" t="str">
        <f>F1</f>
        <v>GLM-4.7</v>
      </c>
      <c r="O6" s="66">
        <f>100-ABS((($K11-F2)/($K11)))*100</f>
        <v>99.334975369458149</v>
      </c>
      <c r="P6" s="67">
        <f t="shared" si="0"/>
        <v>0.1109460537536794</v>
      </c>
      <c r="Q6" s="68">
        <f>100-ABS((($K12-F3)/($K12)))*100</f>
        <v>98.344957092377584</v>
      </c>
      <c r="R6" s="69">
        <f t="shared" si="1"/>
        <v>0.10988199155810786</v>
      </c>
      <c r="S6" s="69">
        <f>100-ABS((($K13-F4)/($K13)))*100</f>
        <v>99.734134932672589</v>
      </c>
      <c r="T6" s="69">
        <f t="shared" si="2"/>
        <v>0.11111096778916237</v>
      </c>
      <c r="U6" s="69">
        <f>100-ABS((($K14-F5)/($K14)))*100</f>
        <v>93.923520167627032</v>
      </c>
      <c r="V6" s="69">
        <f t="shared" si="3"/>
        <v>0.10642844423339469</v>
      </c>
      <c r="W6" s="70">
        <f>100-ABS((($K15-F6)/($K15)))*100</f>
        <v>99.404918032786881</v>
      </c>
      <c r="X6" s="71">
        <f t="shared" si="4"/>
        <v>0.11063672175056972</v>
      </c>
      <c r="Y6" s="72">
        <f>100-ABS((($K16-F7)/($K16)))*100</f>
        <v>40.611607142857139</v>
      </c>
      <c r="Z6" s="48">
        <f t="shared" si="5"/>
        <v>0.1243756380341257</v>
      </c>
      <c r="AA6" s="29"/>
      <c r="AB6" s="73">
        <f t="shared" si="6"/>
        <v>97.851882556366022</v>
      </c>
      <c r="AC6" s="74">
        <f t="shared" si="7"/>
        <v>88.559018789629889</v>
      </c>
      <c r="AD6" s="11" t="str">
        <f>IF($AB6=MAX(AB2:AB10),"TOP","")</f>
        <v/>
      </c>
      <c r="AE6" s="51" t="str">
        <f>IF($AC6=MAX(AC2:AC10),"TOP","")</f>
        <v/>
      </c>
      <c r="AF6" s="52"/>
      <c r="AG6" s="99" t="s">
        <v>16</v>
      </c>
      <c r="AH6" s="104" t="s">
        <v>39</v>
      </c>
      <c r="AI6" s="105">
        <f>MAX(W2:X10)</f>
        <v>100</v>
      </c>
      <c r="AK6" s="99" t="str">
        <f t="shared" si="8"/>
        <v>QQQ</v>
      </c>
      <c r="AL6" s="106">
        <v>604.79999999999995</v>
      </c>
      <c r="AM6" s="107">
        <f t="shared" si="9"/>
        <v>99.147540983606547</v>
      </c>
      <c r="AO6" s="9"/>
      <c r="AP6" s="79" t="str">
        <f t="shared" si="10"/>
        <v>VIX</v>
      </c>
      <c r="AQ6" s="108">
        <f t="shared" si="11"/>
        <v>19.09</v>
      </c>
      <c r="AR6" s="91">
        <f>ABS(C14-AQ6)</f>
        <v>0.69000000000000128</v>
      </c>
      <c r="AS6" s="91">
        <f>ABS(E14-AQ6)</f>
        <v>0.33999999999999986</v>
      </c>
      <c r="AT6" s="91">
        <f>ABS(AQ6-G14)</f>
        <v>0.12000000000000099</v>
      </c>
      <c r="AU6" s="92" t="s">
        <v>40</v>
      </c>
      <c r="AV6" s="9"/>
      <c r="AW6" s="9"/>
      <c r="BB6" s="9"/>
    </row>
    <row r="7" spans="1:57" ht="14.4" x14ac:dyDescent="0.3">
      <c r="A7" s="109" t="s">
        <v>17</v>
      </c>
      <c r="B7" s="110">
        <v>273.73</v>
      </c>
      <c r="C7" s="111">
        <v>274.5</v>
      </c>
      <c r="D7" s="111">
        <v>274.10000000000002</v>
      </c>
      <c r="E7" s="111">
        <v>275</v>
      </c>
      <c r="F7" s="111">
        <v>272.91000000000003</v>
      </c>
      <c r="G7" s="111">
        <v>275</v>
      </c>
      <c r="H7" s="112">
        <v>274</v>
      </c>
      <c r="I7" s="112">
        <v>275</v>
      </c>
      <c r="J7" s="113">
        <v>275</v>
      </c>
      <c r="L7" s="2" t="s">
        <v>41</v>
      </c>
      <c r="N7" s="65" t="str">
        <f>G1</f>
        <v>Kimi 2.5</v>
      </c>
      <c r="O7" s="66">
        <f>100-ABS((($K11-G2)/($K11)))*100</f>
        <v>99.581280788177352</v>
      </c>
      <c r="P7" s="67">
        <f t="shared" si="0"/>
        <v>0.1112211493493989</v>
      </c>
      <c r="Q7" s="68">
        <f>100-ABS((($K12-G3)/($K12)))*100</f>
        <v>99.76375567895002</v>
      </c>
      <c r="R7" s="69">
        <f t="shared" si="1"/>
        <v>0.11146723211259778</v>
      </c>
      <c r="S7" s="69">
        <f>100-ABS((($K13-G4)/($K13)))*100</f>
        <v>99.775961282404566</v>
      </c>
      <c r="T7" s="69">
        <f t="shared" si="2"/>
        <v>0.11115756533774436</v>
      </c>
      <c r="U7" s="69">
        <f>100-ABS((($K14-G5)/($K14)))*100</f>
        <v>96.490309062336294</v>
      </c>
      <c r="V7" s="69">
        <f t="shared" si="3"/>
        <v>0.10933697394194813</v>
      </c>
      <c r="W7" s="70">
        <f>100-ABS((($K15-G6)/($K15)))*100</f>
        <v>99.836065573770497</v>
      </c>
      <c r="X7" s="71">
        <f t="shared" si="4"/>
        <v>0.11111658483450199</v>
      </c>
      <c r="Y7" s="72">
        <f>100-ABS((($K16-G7)/($K16)))*100</f>
        <v>40.922619047619044</v>
      </c>
      <c r="Z7" s="48">
        <f t="shared" si="5"/>
        <v>0.12532813183607991</v>
      </c>
      <c r="AA7" s="29"/>
      <c r="AB7" s="73">
        <f t="shared" si="6"/>
        <v>98.966522899365344</v>
      </c>
      <c r="AC7" s="74">
        <f t="shared" si="7"/>
        <v>89.394998572209644</v>
      </c>
      <c r="AD7" s="51" t="str">
        <f>IF($AB7=MAX(AB2:AB10),"TOP","")</f>
        <v/>
      </c>
      <c r="AE7" s="51" t="str">
        <f>IF($AC7=MAX(AC2:AC10),"TOP","")</f>
        <v/>
      </c>
      <c r="AF7" s="52"/>
      <c r="AG7" s="114" t="s">
        <v>17</v>
      </c>
      <c r="AH7" s="115" t="s">
        <v>42</v>
      </c>
      <c r="AI7" s="116">
        <f>MAX(Y2:Z10)</f>
        <v>40.922619047619044</v>
      </c>
      <c r="AK7" s="114" t="str">
        <f t="shared" si="8"/>
        <v>AAPL</v>
      </c>
      <c r="AL7" s="117">
        <v>245.25</v>
      </c>
      <c r="AM7" s="118">
        <f t="shared" si="9"/>
        <v>36.495535714285708</v>
      </c>
      <c r="AO7" s="9"/>
      <c r="AP7" s="79" t="str">
        <f t="shared" si="10"/>
        <v>QQQ</v>
      </c>
      <c r="AQ7" s="119">
        <f t="shared" si="11"/>
        <v>610</v>
      </c>
      <c r="AR7" s="91">
        <f>ABS(C15-AQ7)</f>
        <v>3.2999999999999545</v>
      </c>
      <c r="AS7" s="91">
        <f>ABS(E15-AQ7)</f>
        <v>5.3999999999999773</v>
      </c>
      <c r="AT7" s="91">
        <f>ABS(AQ7-G15)</f>
        <v>0.10000000000002274</v>
      </c>
      <c r="AU7" s="92" t="s">
        <v>43</v>
      </c>
      <c r="AV7" s="9"/>
      <c r="AW7" s="9"/>
      <c r="AX7" s="9"/>
      <c r="AY7" s="120"/>
      <c r="AZ7" s="120"/>
      <c r="BA7" s="9"/>
      <c r="BB7" s="9"/>
    </row>
    <row r="8" spans="1:57" ht="14.25" customHeight="1" x14ac:dyDescent="0.3">
      <c r="L8" s="121">
        <v>43</v>
      </c>
      <c r="N8" s="65" t="str">
        <f>H1</f>
        <v>Minimax 2.1</v>
      </c>
      <c r="O8" s="66">
        <f>100-ABS((($K11-H2)/($K11)))*100</f>
        <v>98.768472906403943</v>
      </c>
      <c r="P8" s="67">
        <f t="shared" si="0"/>
        <v>0.1103133338835245</v>
      </c>
      <c r="Q8" s="68">
        <f>100-ABS((($K12-H3)/($K12)))*100</f>
        <v>99.586067642604746</v>
      </c>
      <c r="R8" s="69">
        <f t="shared" si="1"/>
        <v>0.11126869915384802</v>
      </c>
      <c r="S8" s="69">
        <f>100-ABS((($K13-H4)/($K13)))*100</f>
        <v>99.819379638527721</v>
      </c>
      <c r="T8" s="69">
        <f t="shared" si="2"/>
        <v>0.11120593649544191</v>
      </c>
      <c r="U8" s="69">
        <f>100-ABS((($K14-H5)/($K14)))*100</f>
        <v>99.423782084861188</v>
      </c>
      <c r="V8" s="69">
        <f t="shared" si="3"/>
        <v>0.11266100789458065</v>
      </c>
      <c r="W8" s="70">
        <f>100-ABS((($K15-H6)/($K15)))*100</f>
        <v>99.672131147540981</v>
      </c>
      <c r="X8" s="71">
        <f t="shared" si="4"/>
        <v>0.1109341273881399</v>
      </c>
      <c r="Y8" s="72">
        <f>100-ABS((($K16-H7)/($K16)))*100</f>
        <v>40.773809523809526</v>
      </c>
      <c r="Z8" s="48">
        <f t="shared" si="5"/>
        <v>0.12487239317485782</v>
      </c>
      <c r="AA8" s="29"/>
      <c r="AB8" s="73">
        <f t="shared" si="6"/>
        <v>99.625340128383669</v>
      </c>
      <c r="AC8" s="74">
        <f t="shared" si="7"/>
        <v>89.673940490624673</v>
      </c>
      <c r="AD8" s="51" t="str">
        <f>IF($AB8=MAX(AB2:AB10),"TOP","")</f>
        <v/>
      </c>
      <c r="AE8" s="51" t="str">
        <f>IF($AC8=MAX(AC2:AC10),"TOP","")</f>
        <v/>
      </c>
      <c r="AF8" s="52"/>
      <c r="AG8" s="4"/>
      <c r="AH8" s="4"/>
      <c r="AI8" s="5"/>
      <c r="AM8" s="8"/>
      <c r="AO8" s="9"/>
      <c r="AP8" s="79" t="str">
        <f t="shared" si="10"/>
        <v>AAPL</v>
      </c>
      <c r="AQ8" s="122">
        <f t="shared" si="11"/>
        <v>672</v>
      </c>
      <c r="AR8" s="122">
        <f>ABS(C34-AQ8)</f>
        <v>398.8</v>
      </c>
      <c r="AS8" s="122">
        <f>ABS(E34-K16)</f>
        <v>397.7</v>
      </c>
      <c r="AT8" s="122">
        <f>ABS(AQ8-G34)</f>
        <v>399.1</v>
      </c>
      <c r="AU8" s="81" t="s">
        <v>33</v>
      </c>
      <c r="AV8" s="9"/>
      <c r="AW8" s="9"/>
      <c r="AX8" s="9"/>
      <c r="AY8" s="9"/>
      <c r="AZ8" s="9"/>
      <c r="BA8" s="9"/>
      <c r="BB8" s="9"/>
    </row>
    <row r="9" spans="1:57" ht="14.4" x14ac:dyDescent="0.3">
      <c r="L9" s="6" t="str">
        <f>IF(L8&lt;25,AC31,IF(L8&lt;45,AC32,IF(L8&lt;55,AC33,IF(L8&lt;75,AC34,AC35))))</f>
        <v>Fear</v>
      </c>
      <c r="N9" s="65" t="str">
        <f>I1</f>
        <v>LeChat</v>
      </c>
      <c r="O9" s="66">
        <f>100-ABS((($K11-I2)/($K11)))*100</f>
        <v>99.753694581280797</v>
      </c>
      <c r="P9" s="67">
        <f t="shared" si="0"/>
        <v>0.11141371626640256</v>
      </c>
      <c r="Q9" s="68">
        <f>100-ABS((($K12-I3)/($K12)))*100</f>
        <v>99.444724886421</v>
      </c>
      <c r="R9" s="69">
        <f t="shared" si="1"/>
        <v>0.11111077520938797</v>
      </c>
      <c r="S9" s="69">
        <f>100-ABS((($K13-I4)/($K13)))*100</f>
        <v>98.921488033901042</v>
      </c>
      <c r="T9" s="69">
        <f t="shared" si="2"/>
        <v>0.11020562095425651</v>
      </c>
      <c r="U9" s="123">
        <f>100-ABS((($K14-I5)/($K14)))*100</f>
        <v>99.528548978522792</v>
      </c>
      <c r="V9" s="69">
        <f t="shared" si="3"/>
        <v>0.11277972339288897</v>
      </c>
      <c r="W9" s="70">
        <f>100-ABS((($K15-I6)/($K15)))*100</f>
        <v>100</v>
      </c>
      <c r="X9" s="71">
        <f t="shared" si="4"/>
        <v>0.11129904228086404</v>
      </c>
      <c r="Y9" s="72">
        <f>100-ABS((($K16-I7)/($K16)))*100</f>
        <v>40.922619047619044</v>
      </c>
      <c r="Z9" s="124">
        <f t="shared" si="5"/>
        <v>0.12532813183607991</v>
      </c>
      <c r="AA9" s="29"/>
      <c r="AB9" s="73">
        <f>(Q10+S10+U10+W10)/4</f>
        <v>98.909517603227769</v>
      </c>
      <c r="AC9" s="74">
        <f>(O10+Q10+S10+U10+W10+Y10)/6</f>
        <v>89.303628867395432</v>
      </c>
      <c r="AD9" s="51" t="str">
        <f>IF($AB10=MAX(AB2:AB10),"TOP","")</f>
        <v/>
      </c>
      <c r="AE9" s="51" t="str">
        <f>IF($AC9=MAX(AC2:AC10),"TOP","")</f>
        <v/>
      </c>
      <c r="AF9" s="52"/>
      <c r="AG9" s="1319" t="s">
        <v>44</v>
      </c>
      <c r="AH9" s="1319"/>
      <c r="AI9" s="125">
        <f>AVERAGE(AI3:AI6)</f>
        <v>99.911633538410484</v>
      </c>
      <c r="AK9" s="1310" t="s">
        <v>44</v>
      </c>
      <c r="AL9" s="1310"/>
      <c r="AM9" s="126">
        <f>AVERAGE(AM3:AM6)</f>
        <v>99.064387958082335</v>
      </c>
      <c r="AO9" s="9"/>
      <c r="AQ9" s="79">
        <v>0</v>
      </c>
      <c r="AR9" s="33">
        <v>2.16</v>
      </c>
      <c r="AS9" s="33">
        <v>2.2400000000000002</v>
      </c>
      <c r="AT9" s="33">
        <v>1.79</v>
      </c>
      <c r="AU9" s="127" t="s">
        <v>45</v>
      </c>
      <c r="AV9" s="9"/>
      <c r="AW9" s="9"/>
      <c r="AX9" s="9"/>
      <c r="AY9" s="9"/>
      <c r="AZ9" s="9"/>
      <c r="BA9" s="9"/>
      <c r="BB9" s="9"/>
    </row>
    <row r="10" spans="1:57" ht="14.4" x14ac:dyDescent="0.3">
      <c r="B10" s="3" t="s">
        <v>46</v>
      </c>
      <c r="C10" s="1312" t="s">
        <v>47</v>
      </c>
      <c r="D10" s="1312"/>
      <c r="E10" s="1312">
        <v>85520</v>
      </c>
      <c r="F10" s="1312"/>
      <c r="G10" s="1312" t="s">
        <v>48</v>
      </c>
      <c r="H10" s="1312"/>
      <c r="I10" s="128" t="s">
        <v>36</v>
      </c>
      <c r="J10" s="129" t="s">
        <v>49</v>
      </c>
      <c r="K10" s="130" t="s">
        <v>50</v>
      </c>
      <c r="N10" s="131" t="str">
        <f>J1</f>
        <v>Qwen</v>
      </c>
      <c r="O10" s="132">
        <f>100-ABS((($K11-J2)/($K11)))*100</f>
        <v>99.261083743842377</v>
      </c>
      <c r="P10" s="133">
        <f t="shared" si="0"/>
        <v>0.11086352507496354</v>
      </c>
      <c r="Q10" s="134">
        <f>100-ABS((($K12-J3)/($K12)))*100</f>
        <v>99.586067642604746</v>
      </c>
      <c r="R10" s="135">
        <f t="shared" si="1"/>
        <v>0.11126869915384802</v>
      </c>
      <c r="S10" s="135">
        <f>100-ABS((($K13-J4)/($K13)))*100</f>
        <v>99.935161921522777</v>
      </c>
      <c r="T10" s="135">
        <f t="shared" si="2"/>
        <v>0.11133492624930205</v>
      </c>
      <c r="U10" s="135">
        <f>100-ABS((($K14-J5)/($K14)))*100</f>
        <v>96.280775275013085</v>
      </c>
      <c r="V10" s="135">
        <f t="shared" si="3"/>
        <v>0.10909954294533152</v>
      </c>
      <c r="W10" s="136">
        <f>100-ABS((($K15-J6)/($K15)))*100</f>
        <v>99.836065573770497</v>
      </c>
      <c r="X10" s="137">
        <f t="shared" si="4"/>
        <v>0.11111658483450199</v>
      </c>
      <c r="Y10" s="138">
        <f>100-ABS((($K16-J7)/($K16)))*100</f>
        <v>40.922619047619044</v>
      </c>
      <c r="Z10" s="48">
        <f t="shared" si="5"/>
        <v>0.12532813183607991</v>
      </c>
      <c r="AA10" s="29"/>
      <c r="AB10" s="139">
        <f>(Q9+S9+U9+W9)/4</f>
        <v>99.473690474711205</v>
      </c>
      <c r="AC10" s="140">
        <f>(O9+Q9+S9+U9+W9+Y9)/6</f>
        <v>89.761845921290785</v>
      </c>
      <c r="AD10" s="51" t="str">
        <f>IF($AB11=MAX(AB2:AB10),"TOP","")</f>
        <v/>
      </c>
      <c r="AE10" s="51" t="str">
        <f>IF($AC10=MAX(AC2:AC10),"TOP","")</f>
        <v/>
      </c>
      <c r="AG10" s="1320" t="s">
        <v>51</v>
      </c>
      <c r="AH10" s="1320"/>
      <c r="AI10" s="141">
        <f>AVERAGE(AI2:AI7)</f>
        <v>90.0743334153169</v>
      </c>
      <c r="AK10" s="1311" t="s">
        <v>51</v>
      </c>
      <c r="AL10" s="1311"/>
      <c r="AM10" s="142">
        <f>AVERAGE(AM2:AM7)</f>
        <v>88.012214098491654</v>
      </c>
      <c r="AO10" s="9"/>
      <c r="AQ10" s="79">
        <v>0</v>
      </c>
      <c r="AR10" s="33">
        <v>5.28</v>
      </c>
      <c r="AS10" s="33">
        <v>5.33</v>
      </c>
      <c r="AT10" s="33">
        <v>5.0999999999999996</v>
      </c>
      <c r="AU10" s="143" t="s">
        <v>52</v>
      </c>
      <c r="AV10" s="9"/>
      <c r="AW10" s="9"/>
      <c r="AX10" s="9"/>
      <c r="AY10" s="9"/>
      <c r="AZ10" s="9"/>
      <c r="BA10" s="9"/>
      <c r="BB10" s="9"/>
    </row>
    <row r="11" spans="1:57" ht="14.4" x14ac:dyDescent="0.3">
      <c r="A11" s="53" t="s">
        <v>12</v>
      </c>
      <c r="B11" s="144">
        <v>4.0330000000000004</v>
      </c>
      <c r="C11" s="145">
        <v>4.0199999999999996</v>
      </c>
      <c r="D11" s="146" t="str">
        <f t="shared" ref="D11:D16" si="12">IF(ABS(K11-I11)&lt;ABS(C11-K11),$I$10,$C$10)</f>
        <v>LLM</v>
      </c>
      <c r="E11" s="145">
        <v>4.05</v>
      </c>
      <c r="F11" s="146">
        <f t="shared" ref="F11:F16" si="13">IF(ABS(K11-I11)&lt;ABS(K11-E11),$I$10,$E$10)</f>
        <v>85520</v>
      </c>
      <c r="G11" s="145">
        <v>4.0599999999999996</v>
      </c>
      <c r="H11" s="146" t="str">
        <f t="shared" ref="H11:H16" si="14">IF(ABS(I11-K11)&lt;ABS(K11-G11),$I$10,$G$10)</f>
        <v>MICH</v>
      </c>
      <c r="I11" s="147">
        <f>(B2*P24)+(C2*P25)+(D2*P26)+(E2*P27)+(F2*P28)+(G2*P29)+(H2*P30)+(I2*P31)+(J2*P31)</f>
        <v>4.038897247706422</v>
      </c>
      <c r="J11" s="148">
        <v>4.0421696658097703</v>
      </c>
      <c r="K11" s="149">
        <v>4.0599999999999996</v>
      </c>
      <c r="AG11" s="150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7" ht="15" x14ac:dyDescent="0.3">
      <c r="A12" s="60" t="s">
        <v>13</v>
      </c>
      <c r="B12" s="151">
        <v>49174.5</v>
      </c>
      <c r="C12" s="61">
        <v>49515</v>
      </c>
      <c r="D12" s="152" t="str">
        <f t="shared" si="12"/>
        <v>RD</v>
      </c>
      <c r="E12" s="61">
        <v>49483</v>
      </c>
      <c r="F12" s="152">
        <f t="shared" si="13"/>
        <v>85520</v>
      </c>
      <c r="G12" s="61">
        <v>49310</v>
      </c>
      <c r="H12" s="152" t="str">
        <f t="shared" si="14"/>
        <v>MICH</v>
      </c>
      <c r="I12" s="153">
        <f>(B3*R24)+(C3*R25)+(D3*R26)+(E3*R27)+(F3*R28)+(G3*R29)+(H3*R30)+(I3*R31)+(J3*R31)</f>
        <v>49251.4836121673</v>
      </c>
      <c r="J12" s="154">
        <v>49221.088022616401</v>
      </c>
      <c r="K12" s="155">
        <v>49525</v>
      </c>
      <c r="N12" s="19" t="s">
        <v>53</v>
      </c>
      <c r="O12" s="156" t="s">
        <v>12</v>
      </c>
      <c r="P12" s="21">
        <f>SUM(O13:O21)</f>
        <v>780</v>
      </c>
      <c r="Q12" s="157" t="s">
        <v>13</v>
      </c>
      <c r="R12" s="158">
        <f>SUM(Q13:Q21)</f>
        <v>780</v>
      </c>
      <c r="S12" s="159" t="s">
        <v>14</v>
      </c>
      <c r="T12" s="158">
        <f>SUM(S13:S21)</f>
        <v>825</v>
      </c>
      <c r="U12" s="159" t="s">
        <v>15</v>
      </c>
      <c r="V12" s="158">
        <f>SUM(U13:U21)</f>
        <v>630</v>
      </c>
      <c r="W12" s="159" t="s">
        <v>16</v>
      </c>
      <c r="X12" s="26">
        <f>SUM(W13:W21)</f>
        <v>845</v>
      </c>
      <c r="Y12" s="160" t="s">
        <v>17</v>
      </c>
      <c r="Z12" s="28">
        <f>SUM(Y13:Y21)</f>
        <v>0.89999999999999991</v>
      </c>
      <c r="AA12" s="29"/>
      <c r="AB12" s="161" t="s">
        <v>54</v>
      </c>
      <c r="AC12" s="162" t="s">
        <v>55</v>
      </c>
      <c r="AG12" s="1315" t="str">
        <f>B19</f>
        <v>Close YF</v>
      </c>
      <c r="AH12" s="163">
        <f t="shared" ref="AH12:AH17" si="15">(I20-B20)/B20</f>
        <v>6.6947681626578839E-3</v>
      </c>
      <c r="AI12" s="164" t="str">
        <f>IF(K11-B20&gt;0,"↑","↓")</f>
        <v>↑</v>
      </c>
      <c r="AJ12" s="165">
        <f t="shared" ref="AJ12:AJ17" si="16">(C20-B20)/B20</f>
        <v>-3.2234068931318591E-3</v>
      </c>
      <c r="AK12" s="166" t="str">
        <f t="shared" ref="AK12:AK17" si="17">IF(C20-B20&gt;0,"↑","↓")</f>
        <v>↓</v>
      </c>
      <c r="AL12" s="163">
        <f t="shared" ref="AL12:AL17" si="18">(E20-B20)/B20</f>
        <v>4.215224398710503E-3</v>
      </c>
      <c r="AM12" s="164" t="str">
        <f t="shared" ref="AM12:AM17" si="19">IF(E20-B20&gt;0,"↑","↓")</f>
        <v>↑</v>
      </c>
      <c r="AN12" s="163">
        <f t="shared" ref="AN12:AN17" si="20">(G20-B20)/B20</f>
        <v>6.6947681626578839E-3</v>
      </c>
      <c r="AO12" s="164" t="str">
        <f t="shared" ref="AO12:AO17" si="21">IF(G20-B20&gt;0,"↑","↓")</f>
        <v>↑</v>
      </c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7" ht="15" x14ac:dyDescent="0.3">
      <c r="A13" s="82" t="s">
        <v>14</v>
      </c>
      <c r="B13" s="167">
        <v>6890.07</v>
      </c>
      <c r="C13" s="83">
        <v>6907</v>
      </c>
      <c r="D13" s="168" t="str">
        <f t="shared" si="12"/>
        <v>LLM</v>
      </c>
      <c r="E13" s="83">
        <v>6913</v>
      </c>
      <c r="F13" s="168" t="str">
        <f t="shared" si="13"/>
        <v>LLM</v>
      </c>
      <c r="G13" s="83">
        <v>6919</v>
      </c>
      <c r="H13" s="168" t="str">
        <f t="shared" si="14"/>
        <v>LLM</v>
      </c>
      <c r="I13" s="169">
        <f>(B4*T24)+(C4*T25)+(D4*T26)+(E4*T27)+(F4*T28)+(G4*T29)+(H4*T30)+(I4*T31)+(J4*T31)</f>
        <v>6907.2032967032965</v>
      </c>
      <c r="J13" s="170">
        <v>6912.76571546185</v>
      </c>
      <c r="K13" s="171">
        <v>6909.52</v>
      </c>
      <c r="N13" s="172" t="str">
        <f t="shared" ref="N13:N21" si="22">N2</f>
        <v>O 5.2</v>
      </c>
      <c r="O13" s="173">
        <f t="shared" ref="O13:O21" si="23">IF(O2=0,0, LOOKUP(O2-0.000000000001,$AB$13:$AB$29,$AC$13:$AC$29))</f>
        <v>80</v>
      </c>
      <c r="P13" s="174">
        <f t="shared" ref="P13:P21" si="24">O13/$P$12</f>
        <v>0.10256410256410256</v>
      </c>
      <c r="Q13" s="175">
        <f t="shared" ref="Q13:Q21" si="25">IF(Q2=0,0, LOOKUP(Q2-0.000000000001,$AB$13:$AB$29,$AC$13:$AC$29))</f>
        <v>90</v>
      </c>
      <c r="R13" s="176">
        <f t="shared" ref="R13:R21" si="26">Q13/$R$12</f>
        <v>0.11538461538461539</v>
      </c>
      <c r="S13" s="176">
        <f t="shared" ref="S13:S21" si="27">IF(S2=0,0, LOOKUP(S2-0.000000000001,$AB$13:$AB$29,$AC$13:$AC$29))</f>
        <v>95</v>
      </c>
      <c r="T13" s="176">
        <f t="shared" ref="T13:T21" si="28">S13/$T$12</f>
        <v>0.11515151515151516</v>
      </c>
      <c r="U13" s="176">
        <f t="shared" ref="U13:U21" si="29">IF(U2=0,0, LOOKUP(U2-0.000000000001,$AB$13:$AB$29,$AC$13:$AC$29))</f>
        <v>60</v>
      </c>
      <c r="V13" s="176">
        <f t="shared" ref="V13:V21" si="30">U13/$V$12</f>
        <v>9.5238095238095233E-2</v>
      </c>
      <c r="W13" s="176">
        <f t="shared" ref="W13:W21" si="31">IF(W2=0,0, LOOKUP(W2-0.000000000001,$AB$13:$AB$29,$AC$13:$AC$29))</f>
        <v>95</v>
      </c>
      <c r="X13" s="177">
        <f t="shared" ref="X13:X21" si="32">W13/$X$12</f>
        <v>0.11242603550295859</v>
      </c>
      <c r="Y13" s="178">
        <f t="shared" ref="Y13:Y21" si="33">IF(Y2=0,0, LOOKUP(Y2-0.000000000001,$AB$13:$AB$29,$AC$13:$AC$29))</f>
        <v>0.1</v>
      </c>
      <c r="Z13" s="179">
        <f t="shared" ref="Z13:Z21" si="34">Y13/$Z$12</f>
        <v>0.11111111111111113</v>
      </c>
      <c r="AA13" s="29"/>
      <c r="AB13" s="180">
        <v>1</v>
      </c>
      <c r="AC13" s="181">
        <v>0.1</v>
      </c>
      <c r="AG13" s="1315"/>
      <c r="AH13" s="182">
        <f t="shared" si="15"/>
        <v>7.1276779631719691E-3</v>
      </c>
      <c r="AI13" s="183" t="str">
        <f>IF(I21-B21&gt;0,"↑","↓")</f>
        <v>↑</v>
      </c>
      <c r="AJ13" s="184">
        <f t="shared" si="16"/>
        <v>6.9243205319830404E-3</v>
      </c>
      <c r="AK13" s="185" t="str">
        <f t="shared" si="17"/>
        <v>↑</v>
      </c>
      <c r="AL13" s="182">
        <f t="shared" si="18"/>
        <v>6.2735767521784665E-3</v>
      </c>
      <c r="AM13" s="183" t="str">
        <f t="shared" si="19"/>
        <v>↑</v>
      </c>
      <c r="AN13" s="182">
        <f t="shared" si="20"/>
        <v>2.7554931926099908E-3</v>
      </c>
      <c r="AO13" s="183" t="str">
        <f t="shared" si="21"/>
        <v>↑</v>
      </c>
      <c r="AP13" s="186" t="s">
        <v>13</v>
      </c>
      <c r="AQ13" s="187" t="str">
        <f>K10</f>
        <v xml:space="preserve">+3-day </v>
      </c>
      <c r="AR13" s="33" t="s">
        <v>23</v>
      </c>
      <c r="AS13" s="33" t="s">
        <v>24</v>
      </c>
      <c r="AT13" s="33" t="s">
        <v>25</v>
      </c>
      <c r="AU13" s="188" t="s">
        <v>35</v>
      </c>
      <c r="AV13" s="189">
        <v>893</v>
      </c>
      <c r="AW13" s="190" t="s">
        <v>56</v>
      </c>
      <c r="AX13" s="191" t="s">
        <v>57</v>
      </c>
      <c r="AY13" s="192">
        <v>893</v>
      </c>
      <c r="BB13" s="9"/>
    </row>
    <row r="14" spans="1:57" ht="15" x14ac:dyDescent="0.3">
      <c r="A14" s="82" t="s">
        <v>15</v>
      </c>
      <c r="B14" s="167">
        <v>19.55</v>
      </c>
      <c r="C14" s="93">
        <v>18.399999999999999</v>
      </c>
      <c r="D14" s="168" t="str">
        <f t="shared" si="12"/>
        <v>LLM</v>
      </c>
      <c r="E14" s="93">
        <v>18.75</v>
      </c>
      <c r="F14" s="168" t="str">
        <f t="shared" si="13"/>
        <v>LLM</v>
      </c>
      <c r="G14" s="93">
        <v>19.21</v>
      </c>
      <c r="H14" s="168" t="str">
        <f t="shared" si="14"/>
        <v>MICH</v>
      </c>
      <c r="I14" s="193">
        <f>(B5*V24)+(C5*V25)+(D5*V26)+(E5*V27)+(F5*V28)+(G5*V29)+(H5*V30)+(I5*V31)+(J5*V31)</f>
        <v>19.318179061481313</v>
      </c>
      <c r="J14" s="194">
        <v>18.934458143767099</v>
      </c>
      <c r="K14" s="171">
        <v>19.09</v>
      </c>
      <c r="N14" s="195" t="str">
        <f t="shared" si="22"/>
        <v>Grok 4.1</v>
      </c>
      <c r="O14" s="196">
        <f t="shared" si="23"/>
        <v>95</v>
      </c>
      <c r="P14" s="197">
        <f t="shared" si="24"/>
        <v>0.12179487179487179</v>
      </c>
      <c r="Q14" s="198">
        <f t="shared" si="25"/>
        <v>90</v>
      </c>
      <c r="R14" s="199">
        <f t="shared" si="26"/>
        <v>0.11538461538461539</v>
      </c>
      <c r="S14" s="199">
        <f t="shared" si="27"/>
        <v>95</v>
      </c>
      <c r="T14" s="199">
        <f t="shared" si="28"/>
        <v>0.11515151515151516</v>
      </c>
      <c r="U14" s="199">
        <f t="shared" si="29"/>
        <v>95</v>
      </c>
      <c r="V14" s="199">
        <f t="shared" si="30"/>
        <v>0.15079365079365079</v>
      </c>
      <c r="W14" s="199">
        <f t="shared" si="31"/>
        <v>100</v>
      </c>
      <c r="X14" s="200">
        <f t="shared" si="32"/>
        <v>0.11834319526627218</v>
      </c>
      <c r="Y14" s="201">
        <f t="shared" si="33"/>
        <v>0.1</v>
      </c>
      <c r="Z14" s="179">
        <f t="shared" si="34"/>
        <v>0.11111111111111113</v>
      </c>
      <c r="AA14" s="29"/>
      <c r="AB14" s="202">
        <v>80</v>
      </c>
      <c r="AC14" s="203">
        <v>1</v>
      </c>
      <c r="AG14" s="1315"/>
      <c r="AH14" s="182">
        <f t="shared" si="15"/>
        <v>2.8229031054837947E-3</v>
      </c>
      <c r="AI14" s="183" t="str">
        <f>IF(I22-B22&gt;0,"↑","↓")</f>
        <v>↑</v>
      </c>
      <c r="AJ14" s="184">
        <f t="shared" si="16"/>
        <v>2.4571593612256904E-3</v>
      </c>
      <c r="AK14" s="185" t="str">
        <f t="shared" si="17"/>
        <v>↑</v>
      </c>
      <c r="AL14" s="182">
        <f t="shared" si="18"/>
        <v>3.3279777999353118E-3</v>
      </c>
      <c r="AM14" s="183" t="str">
        <f t="shared" si="19"/>
        <v>↑</v>
      </c>
      <c r="AN14" s="182">
        <f t="shared" si="20"/>
        <v>4.1987962386449331E-3</v>
      </c>
      <c r="AO14" s="183" t="str">
        <f t="shared" si="21"/>
        <v>↑</v>
      </c>
      <c r="AP14" s="9"/>
      <c r="AQ14" s="187">
        <v>0</v>
      </c>
      <c r="AR14" s="204">
        <f>AR15/AU15</f>
        <v>1.1198208286674132E-2</v>
      </c>
      <c r="AS14" s="204">
        <f>AS15/AU15</f>
        <v>4.7032474804031353E-2</v>
      </c>
      <c r="AT14" s="204">
        <f>AT15/AU15</f>
        <v>0.24076147816349383</v>
      </c>
      <c r="AU14" s="187">
        <v>5</v>
      </c>
      <c r="AV14" s="205">
        <v>1</v>
      </c>
      <c r="AW14" s="190" t="s">
        <v>58</v>
      </c>
      <c r="AX14" s="191" t="s">
        <v>59</v>
      </c>
      <c r="AY14" s="206">
        <f>AV13/AQ4</f>
        <v>1.8031297324583542E-2</v>
      </c>
      <c r="BB14" s="9"/>
    </row>
    <row r="15" spans="1:57" ht="15" x14ac:dyDescent="0.3">
      <c r="A15" s="99" t="s">
        <v>16</v>
      </c>
      <c r="B15" s="207">
        <v>607.87</v>
      </c>
      <c r="C15" s="100">
        <v>613.29999999999995</v>
      </c>
      <c r="D15" s="208" t="str">
        <f t="shared" si="12"/>
        <v>LLM</v>
      </c>
      <c r="E15" s="100">
        <v>615.4</v>
      </c>
      <c r="F15" s="168" t="str">
        <f t="shared" si="13"/>
        <v>LLM</v>
      </c>
      <c r="G15" s="100">
        <v>609.9</v>
      </c>
      <c r="H15" s="208" t="str">
        <f t="shared" si="14"/>
        <v>LLM</v>
      </c>
      <c r="I15" s="209">
        <f>(B6*X24)+(C6*X25)+(D6*X26)+(E6*X27)+(F6*X28)+(G6*X29)+(H6*X30)+(I6*X31)+(J6*X31)</f>
        <v>609.91081932773113</v>
      </c>
      <c r="J15" s="210">
        <v>609.60971301369898</v>
      </c>
      <c r="K15" s="211">
        <v>610</v>
      </c>
      <c r="N15" s="195" t="str">
        <f t="shared" si="22"/>
        <v>Gemini Pro 3</v>
      </c>
      <c r="O15" s="196">
        <f t="shared" si="23"/>
        <v>95</v>
      </c>
      <c r="P15" s="197">
        <f t="shared" si="24"/>
        <v>0.12179487179487179</v>
      </c>
      <c r="Q15" s="198">
        <f t="shared" si="25"/>
        <v>90</v>
      </c>
      <c r="R15" s="199">
        <f t="shared" si="26"/>
        <v>0.11538461538461539</v>
      </c>
      <c r="S15" s="199">
        <f t="shared" si="27"/>
        <v>95</v>
      </c>
      <c r="T15" s="199">
        <f t="shared" si="28"/>
        <v>0.11515151515151516</v>
      </c>
      <c r="U15" s="199">
        <f t="shared" si="29"/>
        <v>95</v>
      </c>
      <c r="V15" s="199">
        <f t="shared" si="30"/>
        <v>0.15079365079365079</v>
      </c>
      <c r="W15" s="199">
        <f t="shared" si="31"/>
        <v>95</v>
      </c>
      <c r="X15" s="200">
        <f t="shared" si="32"/>
        <v>0.11242603550295859</v>
      </c>
      <c r="Y15" s="201">
        <f t="shared" si="33"/>
        <v>0.1</v>
      </c>
      <c r="Z15" s="179">
        <f t="shared" si="34"/>
        <v>0.11111111111111113</v>
      </c>
      <c r="AA15" s="29"/>
      <c r="AB15" s="202">
        <v>82.5</v>
      </c>
      <c r="AC15" s="203">
        <v>2</v>
      </c>
      <c r="AG15" s="1315"/>
      <c r="AH15" s="182">
        <f t="shared" si="15"/>
        <v>-2.3529411764705924E-2</v>
      </c>
      <c r="AI15" s="183" t="str">
        <f>IF(I23-B23&gt;0,"↑","↓")</f>
        <v>↓</v>
      </c>
      <c r="AJ15" s="184">
        <f t="shared" si="16"/>
        <v>-5.8823529411764816E-2</v>
      </c>
      <c r="AK15" s="185" t="str">
        <f t="shared" si="17"/>
        <v>↓</v>
      </c>
      <c r="AL15" s="182">
        <f t="shared" si="18"/>
        <v>-4.0920716112532007E-2</v>
      </c>
      <c r="AM15" s="183" t="str">
        <f t="shared" si="19"/>
        <v>↓</v>
      </c>
      <c r="AN15" s="182">
        <f t="shared" si="20"/>
        <v>-1.739130434782608E-2</v>
      </c>
      <c r="AO15" s="183" t="str">
        <f t="shared" si="21"/>
        <v>↓</v>
      </c>
      <c r="AP15" s="9"/>
      <c r="AQ15" s="212">
        <v>0</v>
      </c>
      <c r="AR15" s="213">
        <f>AR4</f>
        <v>10</v>
      </c>
      <c r="AS15" s="213">
        <f>AS4</f>
        <v>42</v>
      </c>
      <c r="AT15" s="213">
        <f>AT4</f>
        <v>215</v>
      </c>
      <c r="AU15" s="213">
        <f>AV14*AV13</f>
        <v>893</v>
      </c>
      <c r="AW15" s="214"/>
      <c r="AX15" s="13"/>
      <c r="AY15" s="13"/>
      <c r="BB15" s="9"/>
    </row>
    <row r="16" spans="1:57" ht="15" x14ac:dyDescent="0.3">
      <c r="A16" s="114" t="s">
        <v>17</v>
      </c>
      <c r="B16" s="215">
        <v>272.14</v>
      </c>
      <c r="C16" s="216">
        <v>273.2</v>
      </c>
      <c r="D16" s="217" t="str">
        <f t="shared" si="12"/>
        <v>LLM</v>
      </c>
      <c r="E16" s="216">
        <v>274.3</v>
      </c>
      <c r="F16" s="217" t="str">
        <f t="shared" si="13"/>
        <v>LLM</v>
      </c>
      <c r="G16" s="216">
        <v>272.89999999999998</v>
      </c>
      <c r="H16" s="217" t="str">
        <f t="shared" si="14"/>
        <v>LLM</v>
      </c>
      <c r="I16" s="218">
        <f>(B7*Z24)+(C7*Z25)+(D7*Z26)+(E7*Z27)+(F7*Z28)+(G7*Z29)+(H7*Z30)+(I7*Z31)+(J7*Z31)</f>
        <v>274.37624113475175</v>
      </c>
      <c r="J16" s="219">
        <v>271.24407479224402</v>
      </c>
      <c r="K16" s="220">
        <v>672</v>
      </c>
      <c r="N16" s="195" t="str">
        <f t="shared" si="22"/>
        <v>Claude</v>
      </c>
      <c r="O16" s="196">
        <f t="shared" si="23"/>
        <v>95</v>
      </c>
      <c r="P16" s="197">
        <f t="shared" si="24"/>
        <v>0.12179487179487179</v>
      </c>
      <c r="Q16" s="198">
        <f t="shared" si="25"/>
        <v>90</v>
      </c>
      <c r="R16" s="199">
        <f t="shared" si="26"/>
        <v>0.11538461538461539</v>
      </c>
      <c r="S16" s="199">
        <f t="shared" si="27"/>
        <v>95</v>
      </c>
      <c r="T16" s="199">
        <f t="shared" si="28"/>
        <v>0.11515151515151516</v>
      </c>
      <c r="U16" s="199">
        <f t="shared" si="29"/>
        <v>80</v>
      </c>
      <c r="V16" s="199">
        <f t="shared" si="30"/>
        <v>0.12698412698412698</v>
      </c>
      <c r="W16" s="199">
        <f t="shared" si="31"/>
        <v>95</v>
      </c>
      <c r="X16" s="200">
        <f t="shared" si="32"/>
        <v>0.11242603550295859</v>
      </c>
      <c r="Y16" s="201">
        <f t="shared" si="33"/>
        <v>0.1</v>
      </c>
      <c r="Z16" s="179">
        <f t="shared" si="34"/>
        <v>0.11111111111111113</v>
      </c>
      <c r="AA16" s="29"/>
      <c r="AB16" s="202">
        <v>85</v>
      </c>
      <c r="AC16" s="203">
        <v>5</v>
      </c>
      <c r="AG16" s="1315"/>
      <c r="AH16" s="182">
        <f t="shared" si="15"/>
        <v>3.5040386924835827E-3</v>
      </c>
      <c r="AI16" s="183" t="str">
        <f>IF(I24-B24&gt;0,"↑","↓")</f>
        <v>↑</v>
      </c>
      <c r="AJ16" s="184">
        <f t="shared" si="16"/>
        <v>8.9328310329510417E-3</v>
      </c>
      <c r="AK16" s="185" t="str">
        <f t="shared" si="17"/>
        <v>↑</v>
      </c>
      <c r="AL16" s="182">
        <f t="shared" si="18"/>
        <v>1.2387517067794056E-2</v>
      </c>
      <c r="AM16" s="183" t="str">
        <f t="shared" si="19"/>
        <v>↑</v>
      </c>
      <c r="AN16" s="182">
        <f t="shared" si="20"/>
        <v>3.3395298336814988E-3</v>
      </c>
      <c r="AO16" s="183" t="str">
        <f t="shared" si="21"/>
        <v>↑</v>
      </c>
      <c r="AP16" s="6"/>
      <c r="AQ16" s="120"/>
      <c r="AR16" s="120"/>
      <c r="AS16" s="120"/>
      <c r="AT16" s="120"/>
      <c r="AU16" s="120"/>
      <c r="AV16" s="120"/>
      <c r="AW16" s="190"/>
      <c r="AX16" s="221"/>
      <c r="AY16" s="222"/>
      <c r="BB16" s="9"/>
      <c r="BE16" s="8"/>
    </row>
    <row r="17" spans="1:56" ht="15" x14ac:dyDescent="0.3">
      <c r="N17" s="195" t="str">
        <f t="shared" si="22"/>
        <v>GLM-4.7</v>
      </c>
      <c r="O17" s="196">
        <f t="shared" si="23"/>
        <v>80</v>
      </c>
      <c r="P17" s="197">
        <f t="shared" si="24"/>
        <v>0.10256410256410256</v>
      </c>
      <c r="Q17" s="198">
        <f t="shared" si="25"/>
        <v>65</v>
      </c>
      <c r="R17" s="199">
        <f t="shared" si="26"/>
        <v>8.3333333333333329E-2</v>
      </c>
      <c r="S17" s="199">
        <f t="shared" si="27"/>
        <v>90</v>
      </c>
      <c r="T17" s="199">
        <f t="shared" si="28"/>
        <v>0.10909090909090909</v>
      </c>
      <c r="U17" s="199">
        <f t="shared" si="29"/>
        <v>30</v>
      </c>
      <c r="V17" s="199">
        <f t="shared" si="30"/>
        <v>4.7619047619047616E-2</v>
      </c>
      <c r="W17" s="199">
        <f t="shared" si="31"/>
        <v>80</v>
      </c>
      <c r="X17" s="200">
        <f t="shared" si="32"/>
        <v>9.4674556213017749E-2</v>
      </c>
      <c r="Y17" s="201">
        <f t="shared" si="33"/>
        <v>0.1</v>
      </c>
      <c r="Z17" s="179">
        <f t="shared" si="34"/>
        <v>0.11111111111111113</v>
      </c>
      <c r="AA17" s="29"/>
      <c r="AB17" s="202">
        <v>87.5</v>
      </c>
      <c r="AC17" s="203">
        <v>10</v>
      </c>
      <c r="AG17" s="1315"/>
      <c r="AH17" s="223">
        <f t="shared" si="15"/>
        <v>1.4693172631733669</v>
      </c>
      <c r="AI17" s="224" t="str">
        <f>IF(I25-B25&gt;0,"↑","↓")</f>
        <v>↑</v>
      </c>
      <c r="AJ17" s="225">
        <f t="shared" si="16"/>
        <v>3.8950540163151404E-3</v>
      </c>
      <c r="AK17" s="226" t="str">
        <f t="shared" si="17"/>
        <v>↑</v>
      </c>
      <c r="AL17" s="223">
        <f t="shared" si="18"/>
        <v>7.9370912030573421E-3</v>
      </c>
      <c r="AM17" s="224" t="str">
        <f t="shared" si="19"/>
        <v>↑</v>
      </c>
      <c r="AN17" s="223">
        <f t="shared" si="20"/>
        <v>2.7926802381127028E-3</v>
      </c>
      <c r="AO17" s="224" t="str">
        <f t="shared" si="21"/>
        <v>↑</v>
      </c>
      <c r="AP17" s="186" t="s">
        <v>14</v>
      </c>
      <c r="AQ17" s="187" t="str">
        <f>AQ13</f>
        <v xml:space="preserve">+3-day </v>
      </c>
      <c r="AR17" s="187" t="str">
        <f>AR13</f>
        <v>User1</v>
      </c>
      <c r="AS17" s="187" t="str">
        <f>AS13</f>
        <v>User2</v>
      </c>
      <c r="AT17" s="187" t="str">
        <f>AT13</f>
        <v>User3</v>
      </c>
      <c r="AU17" s="188" t="s">
        <v>38</v>
      </c>
      <c r="AV17" s="227">
        <v>225.6</v>
      </c>
      <c r="AW17" s="190" t="str">
        <f>AW13</f>
        <v>TEST</v>
      </c>
      <c r="AX17" s="191" t="str">
        <f>AX13</f>
        <v>BEST =</v>
      </c>
      <c r="AY17" s="192">
        <v>225.6</v>
      </c>
      <c r="BB17" s="9"/>
    </row>
    <row r="18" spans="1:56" ht="14.4" x14ac:dyDescent="0.3">
      <c r="N18" s="195" t="str">
        <f t="shared" si="22"/>
        <v>Kimi 2.5</v>
      </c>
      <c r="O18" s="196">
        <f t="shared" si="23"/>
        <v>90</v>
      </c>
      <c r="P18" s="197">
        <f t="shared" si="24"/>
        <v>0.11538461538461539</v>
      </c>
      <c r="Q18" s="198">
        <f t="shared" si="25"/>
        <v>95</v>
      </c>
      <c r="R18" s="199">
        <f t="shared" si="26"/>
        <v>0.12179487179487179</v>
      </c>
      <c r="S18" s="199">
        <f t="shared" si="27"/>
        <v>95</v>
      </c>
      <c r="T18" s="199">
        <f t="shared" si="28"/>
        <v>0.11515151515151516</v>
      </c>
      <c r="U18" s="199">
        <f t="shared" si="29"/>
        <v>50</v>
      </c>
      <c r="V18" s="199">
        <f t="shared" si="30"/>
        <v>7.9365079365079361E-2</v>
      </c>
      <c r="W18" s="199">
        <f t="shared" si="31"/>
        <v>95</v>
      </c>
      <c r="X18" s="200">
        <f t="shared" si="32"/>
        <v>0.11242603550295859</v>
      </c>
      <c r="Y18" s="201">
        <f t="shared" si="33"/>
        <v>0.1</v>
      </c>
      <c r="Z18" s="179">
        <f t="shared" si="34"/>
        <v>0.11111111111111113</v>
      </c>
      <c r="AA18" s="29"/>
      <c r="AB18" s="202">
        <v>90</v>
      </c>
      <c r="AC18" s="203">
        <v>20</v>
      </c>
      <c r="AG18" s="228"/>
      <c r="AH18" s="1316" t="str">
        <f>K10</f>
        <v xml:space="preserve">+3-day </v>
      </c>
      <c r="AI18" s="1316"/>
      <c r="AJ18" s="1317" t="str">
        <f>C10</f>
        <v>RD</v>
      </c>
      <c r="AK18" s="1317"/>
      <c r="AL18" s="1318">
        <f>E10</f>
        <v>85520</v>
      </c>
      <c r="AM18" s="1318"/>
      <c r="AN18" s="1318" t="str">
        <f>G10</f>
        <v>MICH</v>
      </c>
      <c r="AO18" s="1318"/>
      <c r="AP18" s="9"/>
      <c r="AQ18" s="187">
        <v>0</v>
      </c>
      <c r="AR18" s="204">
        <f>AR19/AU19</f>
        <v>1.1170212765959382E-2</v>
      </c>
      <c r="AS18" s="204">
        <f>AS19/AU19</f>
        <v>1.5425531914891683E-2</v>
      </c>
      <c r="AT18" s="204">
        <f>AT19/AU19</f>
        <v>4.202127659574275E-2</v>
      </c>
      <c r="AU18" s="187">
        <v>5</v>
      </c>
      <c r="AV18" s="229">
        <f>AV14</f>
        <v>1</v>
      </c>
      <c r="AW18" s="190" t="str">
        <f>AW14</f>
        <v>Scale</v>
      </c>
      <c r="AX18" s="191" t="str">
        <f>AX14</f>
        <v>RANGE  =</v>
      </c>
      <c r="AY18" s="206">
        <f>AV17/AQ5</f>
        <v>3.265060380460582E-2</v>
      </c>
      <c r="BB18" s="9"/>
    </row>
    <row r="19" spans="1:56" ht="15" x14ac:dyDescent="0.3">
      <c r="A19" s="2" t="s">
        <v>0</v>
      </c>
      <c r="B19" s="230" t="str">
        <f t="shared" ref="B19:B25" si="35">B10</f>
        <v>Close YF</v>
      </c>
      <c r="C19" s="1312" t="s">
        <v>47</v>
      </c>
      <c r="D19" s="1312"/>
      <c r="E19" s="1312">
        <v>85520</v>
      </c>
      <c r="F19" s="1312"/>
      <c r="G19" s="1312" t="str">
        <f t="shared" ref="G19:G25" si="36">G10</f>
        <v>MICH</v>
      </c>
      <c r="H19" s="1312"/>
      <c r="I19" s="1313" t="s">
        <v>50</v>
      </c>
      <c r="J19" s="1313"/>
      <c r="N19" s="195" t="str">
        <f t="shared" si="22"/>
        <v>Minimax 2.1</v>
      </c>
      <c r="O19" s="196">
        <f t="shared" si="23"/>
        <v>70</v>
      </c>
      <c r="P19" s="197">
        <f t="shared" si="24"/>
        <v>8.9743589743589744E-2</v>
      </c>
      <c r="Q19" s="198">
        <f t="shared" si="25"/>
        <v>90</v>
      </c>
      <c r="R19" s="199">
        <f t="shared" si="26"/>
        <v>0.11538461538461539</v>
      </c>
      <c r="S19" s="199">
        <f t="shared" si="27"/>
        <v>95</v>
      </c>
      <c r="T19" s="199">
        <f t="shared" si="28"/>
        <v>0.11515151515151516</v>
      </c>
      <c r="U19" s="199">
        <f t="shared" si="29"/>
        <v>80</v>
      </c>
      <c r="V19" s="199">
        <f t="shared" si="30"/>
        <v>0.12698412698412698</v>
      </c>
      <c r="W19" s="199">
        <f t="shared" si="31"/>
        <v>90</v>
      </c>
      <c r="X19" s="200">
        <f t="shared" si="32"/>
        <v>0.10650887573964497</v>
      </c>
      <c r="Y19" s="201">
        <f t="shared" si="33"/>
        <v>0.1</v>
      </c>
      <c r="Z19" s="179">
        <f t="shared" si="34"/>
        <v>0.11111111111111113</v>
      </c>
      <c r="AA19" s="29"/>
      <c r="AB19" s="202">
        <v>92.5</v>
      </c>
      <c r="AC19" s="203">
        <v>30</v>
      </c>
      <c r="AG19" s="1315" t="str">
        <f>B28</f>
        <v>Oraclum</v>
      </c>
      <c r="AH19" s="163">
        <f t="shared" ref="AH19:AH24" si="37">(I29-B29)/B29</f>
        <v>1.4800197335962848E-3</v>
      </c>
      <c r="AI19" s="164" t="str">
        <f t="shared" ref="AI19:AI24" si="38">IF(I29-B29&gt;0,"↑","↓")</f>
        <v>↑</v>
      </c>
      <c r="AJ19" s="165">
        <f t="shared" ref="AJ19:AJ24" si="39">(C29-B29)/B29</f>
        <v>-8.3867784903800431E-3</v>
      </c>
      <c r="AK19" s="166" t="str">
        <f t="shared" ref="AK19:AK24" si="40">IF(C29-B29&gt;0,"↑","↓")</f>
        <v>↓</v>
      </c>
      <c r="AL19" s="163">
        <f t="shared" ref="AL19:AL24" si="41">(E29-B29)/B29</f>
        <v>-9.8667982239774243E-4</v>
      </c>
      <c r="AM19" s="164" t="str">
        <f t="shared" ref="AM19:AM24" si="42">IF(E29-B29&gt;0,"↑","↓")</f>
        <v>↓</v>
      </c>
      <c r="AN19" s="163">
        <f t="shared" ref="AN19:AN24" si="43">(G29-B29)/B29</f>
        <v>1.4800197335962848E-3</v>
      </c>
      <c r="AO19" s="164" t="str">
        <f t="shared" ref="AO19:AO24" si="44">IF(G29-B29&gt;0,"↑","↓")</f>
        <v>↑</v>
      </c>
      <c r="AP19" s="9"/>
      <c r="AQ19" s="212">
        <v>0</v>
      </c>
      <c r="AR19" s="213">
        <f>AR5</f>
        <v>2.5200000000004366</v>
      </c>
      <c r="AS19" s="213">
        <f>AS5</f>
        <v>3.4799999999995634</v>
      </c>
      <c r="AT19" s="213">
        <f>AT5</f>
        <v>9.4799999999995634</v>
      </c>
      <c r="AU19" s="213">
        <f>AV18*AV17</f>
        <v>225.6</v>
      </c>
      <c r="AW19" s="214"/>
      <c r="AX19" s="13"/>
      <c r="AY19" s="13"/>
      <c r="BB19" s="9"/>
    </row>
    <row r="20" spans="1:56" ht="15" x14ac:dyDescent="0.3">
      <c r="A20" s="35" t="s">
        <v>12</v>
      </c>
      <c r="B20" s="231">
        <f t="shared" si="35"/>
        <v>4.0330000000000004</v>
      </c>
      <c r="C20" s="232">
        <f t="shared" ref="C20:C25" si="45">C11</f>
        <v>4.0199999999999996</v>
      </c>
      <c r="D20" s="146" t="str">
        <f t="shared" ref="D20:D25" si="46">CONCATENATE(TEXT(AJ12,"0.00%"),"  ",AK12)</f>
        <v>-0.32%  ↓</v>
      </c>
      <c r="E20" s="232">
        <f t="shared" ref="E20:E25" si="47">E11</f>
        <v>4.05</v>
      </c>
      <c r="F20" s="146" t="str">
        <f t="shared" ref="F20:F25" si="48">CONCATENATE(TEXT(AL12,"0.00%"),"  ",AM12)</f>
        <v>0.42%  ↑</v>
      </c>
      <c r="G20" s="232">
        <f t="shared" si="36"/>
        <v>4.0599999999999996</v>
      </c>
      <c r="H20" s="146" t="str">
        <f t="shared" ref="H20:H25" si="49">CONCATENATE(TEXT(AN12,"0.00%"),"  ",AO12)</f>
        <v>0.67%  ↑</v>
      </c>
      <c r="I20" s="233">
        <f t="shared" ref="I20:I25" si="50">K11</f>
        <v>4.0599999999999996</v>
      </c>
      <c r="J20" s="234" t="str">
        <f t="shared" ref="J20:J25" si="51">CONCATENATE(TEXT(AH12,"0.00%"),"  ",AI12)</f>
        <v>0.67%  ↑</v>
      </c>
      <c r="N20" s="195" t="str">
        <f t="shared" si="22"/>
        <v>LeChat</v>
      </c>
      <c r="O20" s="196">
        <f t="shared" si="23"/>
        <v>95</v>
      </c>
      <c r="P20" s="197">
        <f t="shared" si="24"/>
        <v>0.12179487179487179</v>
      </c>
      <c r="Q20" s="198">
        <f t="shared" si="25"/>
        <v>80</v>
      </c>
      <c r="R20" s="199">
        <f t="shared" si="26"/>
        <v>0.10256410256410256</v>
      </c>
      <c r="S20" s="199">
        <f t="shared" si="27"/>
        <v>70</v>
      </c>
      <c r="T20" s="199">
        <f t="shared" si="28"/>
        <v>8.4848484848484854E-2</v>
      </c>
      <c r="U20" s="199">
        <f t="shared" si="29"/>
        <v>90</v>
      </c>
      <c r="V20" s="199">
        <f t="shared" si="30"/>
        <v>0.14285714285714285</v>
      </c>
      <c r="W20" s="199">
        <f t="shared" si="31"/>
        <v>100</v>
      </c>
      <c r="X20" s="200">
        <f t="shared" si="32"/>
        <v>0.11834319526627218</v>
      </c>
      <c r="Y20" s="201">
        <f t="shared" si="33"/>
        <v>0.1</v>
      </c>
      <c r="Z20" s="235">
        <f t="shared" si="34"/>
        <v>0.11111111111111113</v>
      </c>
      <c r="AA20" s="29"/>
      <c r="AB20" s="202">
        <v>95</v>
      </c>
      <c r="AC20" s="203">
        <v>40</v>
      </c>
      <c r="AG20" s="1315"/>
      <c r="AH20" s="182">
        <f t="shared" si="37"/>
        <v>6.9300780840982007E-3</v>
      </c>
      <c r="AI20" s="183" t="str">
        <f t="shared" si="38"/>
        <v>↑</v>
      </c>
      <c r="AJ20" s="184">
        <f t="shared" si="39"/>
        <v>6.726760551925743E-3</v>
      </c>
      <c r="AK20" s="185" t="str">
        <f t="shared" si="40"/>
        <v>↑</v>
      </c>
      <c r="AL20" s="182">
        <f t="shared" si="41"/>
        <v>6.0761444489738775E-3</v>
      </c>
      <c r="AM20" s="183" t="str">
        <f t="shared" si="42"/>
        <v>↑</v>
      </c>
      <c r="AN20" s="182">
        <f t="shared" si="43"/>
        <v>2.558751142390354E-3</v>
      </c>
      <c r="AO20" s="183" t="str">
        <f t="shared" si="44"/>
        <v>↑</v>
      </c>
      <c r="AP20" s="9"/>
      <c r="AQ20" s="120"/>
      <c r="AR20" s="120"/>
      <c r="AS20" s="120"/>
      <c r="AT20" s="120"/>
      <c r="AU20" s="120"/>
      <c r="AV20" s="120"/>
      <c r="AW20" s="190"/>
      <c r="AX20" s="221"/>
      <c r="AY20" s="222"/>
      <c r="BB20" s="9"/>
    </row>
    <row r="21" spans="1:56" ht="15" x14ac:dyDescent="0.3">
      <c r="A21" s="60" t="s">
        <v>13</v>
      </c>
      <c r="B21" s="236">
        <f t="shared" si="35"/>
        <v>49174.5</v>
      </c>
      <c r="C21" s="237">
        <f t="shared" si="45"/>
        <v>49515</v>
      </c>
      <c r="D21" s="152" t="str">
        <f t="shared" si="46"/>
        <v>0.69%  ↑</v>
      </c>
      <c r="E21" s="237">
        <f t="shared" si="47"/>
        <v>49483</v>
      </c>
      <c r="F21" s="152" t="str">
        <f t="shared" si="48"/>
        <v>0.63%  ↑</v>
      </c>
      <c r="G21" s="237">
        <f t="shared" si="36"/>
        <v>49310</v>
      </c>
      <c r="H21" s="152" t="str">
        <f t="shared" si="49"/>
        <v>0.28%  ↑</v>
      </c>
      <c r="I21" s="238">
        <f t="shared" si="50"/>
        <v>49525</v>
      </c>
      <c r="J21" s="239" t="str">
        <f t="shared" si="51"/>
        <v>0.71%  ↑</v>
      </c>
      <c r="N21" s="240" t="str">
        <f t="shared" si="22"/>
        <v>Qwen</v>
      </c>
      <c r="O21" s="241">
        <f t="shared" si="23"/>
        <v>80</v>
      </c>
      <c r="P21" s="242">
        <f t="shared" si="24"/>
        <v>0.10256410256410256</v>
      </c>
      <c r="Q21" s="243">
        <f t="shared" si="25"/>
        <v>90</v>
      </c>
      <c r="R21" s="244">
        <f t="shared" si="26"/>
        <v>0.11538461538461539</v>
      </c>
      <c r="S21" s="244">
        <f t="shared" si="27"/>
        <v>95</v>
      </c>
      <c r="T21" s="244">
        <f t="shared" si="28"/>
        <v>0.11515151515151516</v>
      </c>
      <c r="U21" s="244">
        <f t="shared" si="29"/>
        <v>50</v>
      </c>
      <c r="V21" s="244">
        <f t="shared" si="30"/>
        <v>7.9365079365079361E-2</v>
      </c>
      <c r="W21" s="244">
        <f t="shared" si="31"/>
        <v>95</v>
      </c>
      <c r="X21" s="245">
        <f t="shared" si="32"/>
        <v>0.11242603550295859</v>
      </c>
      <c r="Y21" s="246">
        <f t="shared" si="33"/>
        <v>0.1</v>
      </c>
      <c r="Z21" s="235">
        <f t="shared" si="34"/>
        <v>0.11111111111111113</v>
      </c>
      <c r="AB21" s="202">
        <v>96</v>
      </c>
      <c r="AC21" s="203">
        <v>50</v>
      </c>
      <c r="AG21" s="1315"/>
      <c r="AH21" s="182">
        <f t="shared" si="37"/>
        <v>2.8243585687207418E-3</v>
      </c>
      <c r="AI21" s="183" t="str">
        <f t="shared" si="38"/>
        <v>↑</v>
      </c>
      <c r="AJ21" s="184">
        <f t="shared" si="39"/>
        <v>2.4586142936345399E-3</v>
      </c>
      <c r="AK21" s="185" t="str">
        <f t="shared" si="40"/>
        <v>↑</v>
      </c>
      <c r="AL21" s="182">
        <f t="shared" si="41"/>
        <v>3.329433996220584E-3</v>
      </c>
      <c r="AM21" s="183" t="str">
        <f t="shared" si="42"/>
        <v>↑</v>
      </c>
      <c r="AN21" s="182">
        <f t="shared" si="43"/>
        <v>4.2002536988066282E-3</v>
      </c>
      <c r="AO21" s="183" t="str">
        <f t="shared" si="44"/>
        <v>↑</v>
      </c>
      <c r="AP21" s="186" t="s">
        <v>15</v>
      </c>
      <c r="AQ21" s="187" t="str">
        <f>AQ17</f>
        <v xml:space="preserve">+3-day </v>
      </c>
      <c r="AR21" s="187" t="str">
        <f>AR17</f>
        <v>User1</v>
      </c>
      <c r="AS21" s="187" t="str">
        <f>AS17</f>
        <v>User2</v>
      </c>
      <c r="AT21" s="187" t="str">
        <f>AT17</f>
        <v>User3</v>
      </c>
      <c r="AU21" s="188" t="s">
        <v>40</v>
      </c>
      <c r="AV21" s="247">
        <v>3.3</v>
      </c>
      <c r="AW21" s="190" t="str">
        <f>AW17</f>
        <v>TEST</v>
      </c>
      <c r="AX21" s="191" t="str">
        <f>AX17</f>
        <v>BEST =</v>
      </c>
      <c r="AY21" s="192">
        <v>3.3</v>
      </c>
      <c r="BB21" s="9"/>
    </row>
    <row r="22" spans="1:56" ht="15" x14ac:dyDescent="0.3">
      <c r="A22" s="82" t="s">
        <v>14</v>
      </c>
      <c r="B22" s="248">
        <f t="shared" si="35"/>
        <v>6890.07</v>
      </c>
      <c r="C22" s="249">
        <f t="shared" si="45"/>
        <v>6907</v>
      </c>
      <c r="D22" s="168" t="str">
        <f t="shared" si="46"/>
        <v>0.25%  ↑</v>
      </c>
      <c r="E22" s="249">
        <f t="shared" si="47"/>
        <v>6913</v>
      </c>
      <c r="F22" s="168" t="str">
        <f t="shared" si="48"/>
        <v>0.33%  ↑</v>
      </c>
      <c r="G22" s="249">
        <f t="shared" si="36"/>
        <v>6919</v>
      </c>
      <c r="H22" s="168" t="str">
        <f t="shared" si="49"/>
        <v>0.42%  ↑</v>
      </c>
      <c r="I22" s="250">
        <f t="shared" si="50"/>
        <v>6909.52</v>
      </c>
      <c r="J22" s="239" t="str">
        <f t="shared" si="51"/>
        <v>0.28%  ↑</v>
      </c>
      <c r="AB22" s="202">
        <v>97</v>
      </c>
      <c r="AC22" s="203">
        <v>60</v>
      </c>
      <c r="AG22" s="1315"/>
      <c r="AH22" s="182">
        <f t="shared" si="37"/>
        <v>-2.3529411764705924E-2</v>
      </c>
      <c r="AI22" s="183" t="str">
        <f t="shared" si="38"/>
        <v>↓</v>
      </c>
      <c r="AJ22" s="184">
        <f t="shared" si="39"/>
        <v>-5.8823529411764816E-2</v>
      </c>
      <c r="AK22" s="185" t="str">
        <f t="shared" si="40"/>
        <v>↓</v>
      </c>
      <c r="AL22" s="182">
        <f t="shared" si="41"/>
        <v>-4.0920716112532007E-2</v>
      </c>
      <c r="AM22" s="183" t="str">
        <f t="shared" si="42"/>
        <v>↓</v>
      </c>
      <c r="AN22" s="182">
        <f t="shared" si="43"/>
        <v>-1.739130434782608E-2</v>
      </c>
      <c r="AO22" s="183" t="str">
        <f t="shared" si="44"/>
        <v>↓</v>
      </c>
      <c r="AP22" s="9"/>
      <c r="AQ22" s="187">
        <v>0</v>
      </c>
      <c r="AR22" s="204">
        <f>AR23/AU23</f>
        <v>0.20909090909090949</v>
      </c>
      <c r="AS22" s="204">
        <f>AS23/AU23</f>
        <v>0.10303030303030299</v>
      </c>
      <c r="AT22" s="204">
        <f>AT23/AU23</f>
        <v>3.6363636363636667E-2</v>
      </c>
      <c r="AU22" s="187">
        <v>5</v>
      </c>
      <c r="AV22" s="229">
        <f>AV18</f>
        <v>1</v>
      </c>
      <c r="AW22" s="190" t="str">
        <f>AW18</f>
        <v>Scale</v>
      </c>
      <c r="AX22" s="191" t="str">
        <f>AX18</f>
        <v>RANGE  =</v>
      </c>
      <c r="AY22" s="206">
        <f>AV21/AQ6</f>
        <v>0.17286537454164483</v>
      </c>
      <c r="BB22" s="120"/>
      <c r="BC22" s="251"/>
      <c r="BD22" s="251"/>
    </row>
    <row r="23" spans="1:56" ht="15" x14ac:dyDescent="0.3">
      <c r="A23" s="82" t="s">
        <v>15</v>
      </c>
      <c r="B23" s="248">
        <f t="shared" si="35"/>
        <v>19.55</v>
      </c>
      <c r="C23" s="252">
        <f t="shared" si="45"/>
        <v>18.399999999999999</v>
      </c>
      <c r="D23" s="168" t="str">
        <f t="shared" si="46"/>
        <v>-5.88%  ↓</v>
      </c>
      <c r="E23" s="252">
        <f t="shared" si="47"/>
        <v>18.75</v>
      </c>
      <c r="F23" s="168" t="str">
        <f t="shared" si="48"/>
        <v>-4.09%  ↓</v>
      </c>
      <c r="G23" s="252">
        <f t="shared" si="36"/>
        <v>19.21</v>
      </c>
      <c r="H23" s="168" t="str">
        <f t="shared" si="49"/>
        <v>-1.74%  ↓</v>
      </c>
      <c r="I23" s="250">
        <f t="shared" si="50"/>
        <v>19.09</v>
      </c>
      <c r="J23" s="239" t="str">
        <f t="shared" si="51"/>
        <v>-2.35%  ↓</v>
      </c>
      <c r="N23" s="19" t="s">
        <v>60</v>
      </c>
      <c r="O23" s="253" t="s">
        <v>12</v>
      </c>
      <c r="P23" s="254">
        <f>SUM(O24:O32)</f>
        <v>681.25</v>
      </c>
      <c r="Q23" s="255" t="s">
        <v>13</v>
      </c>
      <c r="R23" s="256">
        <f>SUM(Q24:Q32)</f>
        <v>657.5</v>
      </c>
      <c r="S23" s="257" t="s">
        <v>14</v>
      </c>
      <c r="T23" s="256">
        <f>SUM(S24:S32)</f>
        <v>682.5</v>
      </c>
      <c r="U23" s="257" t="s">
        <v>15</v>
      </c>
      <c r="V23" s="256">
        <f>SUM(U24:U32)</f>
        <v>329.77499999999998</v>
      </c>
      <c r="W23" s="257" t="s">
        <v>16</v>
      </c>
      <c r="X23" s="258">
        <f>SUM(W24:W32)</f>
        <v>595</v>
      </c>
      <c r="Y23" s="259" t="s">
        <v>17</v>
      </c>
      <c r="Z23" s="28">
        <f>SUM(Y24:Y32)</f>
        <v>528.75</v>
      </c>
      <c r="AA23" s="29"/>
      <c r="AB23" s="202">
        <v>98</v>
      </c>
      <c r="AC23" s="203">
        <v>65</v>
      </c>
      <c r="AG23" s="1315"/>
      <c r="AH23" s="182">
        <f t="shared" si="37"/>
        <v>3.5535667280862859E-3</v>
      </c>
      <c r="AI23" s="183" t="str">
        <f t="shared" si="38"/>
        <v>↑</v>
      </c>
      <c r="AJ23" s="184">
        <f t="shared" si="39"/>
        <v>8.9826270071070059E-3</v>
      </c>
      <c r="AK23" s="185" t="str">
        <f t="shared" si="40"/>
        <v>↑</v>
      </c>
      <c r="AL23" s="182">
        <f t="shared" si="41"/>
        <v>1.2437483548302094E-2</v>
      </c>
      <c r="AM23" s="183" t="str">
        <f t="shared" si="42"/>
        <v>↑</v>
      </c>
      <c r="AN23" s="182">
        <f t="shared" si="43"/>
        <v>3.3890497499341034E-3</v>
      </c>
      <c r="AO23" s="183" t="str">
        <f t="shared" si="44"/>
        <v>↑</v>
      </c>
      <c r="AP23" s="6"/>
      <c r="AQ23" s="212">
        <v>0</v>
      </c>
      <c r="AR23" s="213">
        <f>AR6</f>
        <v>0.69000000000000128</v>
      </c>
      <c r="AS23" s="213">
        <f>AS6</f>
        <v>0.33999999999999986</v>
      </c>
      <c r="AT23" s="213">
        <f>AT6</f>
        <v>0.12000000000000099</v>
      </c>
      <c r="AU23" s="213">
        <f>AV22*AV21</f>
        <v>3.3</v>
      </c>
      <c r="AW23" s="214"/>
      <c r="AX23" s="13"/>
      <c r="AY23" s="13"/>
      <c r="BB23" s="9"/>
    </row>
    <row r="24" spans="1:56" ht="15" x14ac:dyDescent="0.3">
      <c r="A24" s="99" t="s">
        <v>16</v>
      </c>
      <c r="B24" s="260">
        <f t="shared" si="35"/>
        <v>607.87</v>
      </c>
      <c r="C24" s="261">
        <f t="shared" si="45"/>
        <v>613.29999999999995</v>
      </c>
      <c r="D24" s="208" t="str">
        <f t="shared" si="46"/>
        <v>0.89%  ↑</v>
      </c>
      <c r="E24" s="261">
        <f t="shared" si="47"/>
        <v>615.4</v>
      </c>
      <c r="F24" s="208" t="str">
        <f t="shared" si="48"/>
        <v>1.24%  ↑</v>
      </c>
      <c r="G24" s="261">
        <f t="shared" si="36"/>
        <v>609.9</v>
      </c>
      <c r="H24" s="208" t="str">
        <f t="shared" si="49"/>
        <v>0.33%  ↑</v>
      </c>
      <c r="I24" s="262">
        <f t="shared" si="50"/>
        <v>610</v>
      </c>
      <c r="J24" s="239" t="str">
        <f t="shared" si="51"/>
        <v>0.35%  ↑</v>
      </c>
      <c r="N24" s="172" t="str">
        <f t="shared" ref="N24:N32" si="52">N13</f>
        <v>O 5.2</v>
      </c>
      <c r="O24" s="263">
        <v>78.75</v>
      </c>
      <c r="P24" s="264">
        <f t="shared" ref="P24:P32" si="53">O24/$P$23</f>
        <v>0.11559633027522936</v>
      </c>
      <c r="Q24" s="265">
        <v>76.25</v>
      </c>
      <c r="R24" s="266">
        <f t="shared" ref="R24:R32" si="54">Q24/$R$23</f>
        <v>0.11596958174904944</v>
      </c>
      <c r="S24" s="266">
        <v>77.5</v>
      </c>
      <c r="T24" s="266">
        <f t="shared" ref="T24:T32" si="55">S24/$T$23</f>
        <v>0.11355311355311355</v>
      </c>
      <c r="U24" s="266">
        <v>41.25</v>
      </c>
      <c r="V24" s="266">
        <f t="shared" ref="V24:V32" si="56">U24/$V$23</f>
        <v>0.12508528542187855</v>
      </c>
      <c r="W24" s="266">
        <v>67.5</v>
      </c>
      <c r="X24" s="267">
        <f t="shared" ref="X24:X32" si="57">W24/$X$23</f>
        <v>0.1134453781512605</v>
      </c>
      <c r="Y24" s="268">
        <v>53.75</v>
      </c>
      <c r="Z24" s="48">
        <f t="shared" ref="Z24:Z32" si="58">Y24/$Z$23</f>
        <v>0.10165484633569739</v>
      </c>
      <c r="AA24" s="29"/>
      <c r="AB24" s="202">
        <v>98.5</v>
      </c>
      <c r="AC24" s="203">
        <v>70</v>
      </c>
      <c r="AG24" s="1315"/>
      <c r="AH24" s="269">
        <f t="shared" si="37"/>
        <v>1.4688636614129835</v>
      </c>
      <c r="AI24" s="270" t="str">
        <f t="shared" si="38"/>
        <v>↑</v>
      </c>
      <c r="AJ24" s="271">
        <f t="shared" si="39"/>
        <v>3.7106433006355521E-3</v>
      </c>
      <c r="AK24" s="272" t="str">
        <f t="shared" si="40"/>
        <v>↑</v>
      </c>
      <c r="AL24" s="269">
        <f t="shared" si="41"/>
        <v>7.7519379844961742E-3</v>
      </c>
      <c r="AM24" s="270" t="str">
        <f t="shared" si="42"/>
        <v>↑</v>
      </c>
      <c r="AN24" s="269">
        <f t="shared" si="43"/>
        <v>2.6084720232189998E-3</v>
      </c>
      <c r="AO24" s="270" t="str">
        <f t="shared" si="44"/>
        <v>↑</v>
      </c>
      <c r="AP24" s="9"/>
      <c r="AQ24" s="120"/>
      <c r="AR24" s="120"/>
      <c r="AS24" s="120"/>
      <c r="AT24" s="120"/>
      <c r="AU24" s="120"/>
      <c r="AV24" s="120"/>
      <c r="AW24" s="190"/>
      <c r="AX24" s="221"/>
      <c r="AY24" s="222"/>
      <c r="BB24" s="9"/>
    </row>
    <row r="25" spans="1:56" ht="14.4" x14ac:dyDescent="0.3">
      <c r="A25" s="109" t="s">
        <v>17</v>
      </c>
      <c r="B25" s="273">
        <f t="shared" si="35"/>
        <v>272.14</v>
      </c>
      <c r="C25" s="274">
        <f t="shared" si="45"/>
        <v>273.2</v>
      </c>
      <c r="D25" s="217" t="str">
        <f t="shared" si="46"/>
        <v>0.39%  ↑</v>
      </c>
      <c r="E25" s="274">
        <f t="shared" si="47"/>
        <v>274.3</v>
      </c>
      <c r="F25" s="217" t="str">
        <f t="shared" si="48"/>
        <v>0.79%  ↑</v>
      </c>
      <c r="G25" s="274">
        <f t="shared" si="36"/>
        <v>272.89999999999998</v>
      </c>
      <c r="H25" s="217" t="str">
        <f t="shared" si="49"/>
        <v>0.28%  ↑</v>
      </c>
      <c r="I25" s="275">
        <f t="shared" si="50"/>
        <v>672</v>
      </c>
      <c r="J25" s="276" t="str">
        <f t="shared" si="51"/>
        <v>146.93%  ↑</v>
      </c>
      <c r="N25" s="195" t="str">
        <f t="shared" si="52"/>
        <v>Grok 4.1</v>
      </c>
      <c r="O25" s="277">
        <v>72.5</v>
      </c>
      <c r="P25" s="278">
        <f t="shared" si="53"/>
        <v>0.10642201834862386</v>
      </c>
      <c r="Q25" s="279">
        <v>72.5</v>
      </c>
      <c r="R25" s="280">
        <f t="shared" si="54"/>
        <v>0.11026615969581749</v>
      </c>
      <c r="S25" s="280">
        <v>77.5</v>
      </c>
      <c r="T25" s="280">
        <f t="shared" si="55"/>
        <v>0.11355311355311355</v>
      </c>
      <c r="U25" s="280">
        <v>35.5</v>
      </c>
      <c r="V25" s="280">
        <f t="shared" si="56"/>
        <v>0.10764915472670761</v>
      </c>
      <c r="W25" s="280">
        <v>65</v>
      </c>
      <c r="X25" s="281">
        <f t="shared" si="57"/>
        <v>0.1092436974789916</v>
      </c>
      <c r="Y25" s="282">
        <v>55</v>
      </c>
      <c r="Z25" s="48">
        <f t="shared" si="58"/>
        <v>0.10401891252955082</v>
      </c>
      <c r="AA25" s="29"/>
      <c r="AB25" s="202">
        <v>99</v>
      </c>
      <c r="AC25" s="203">
        <v>75</v>
      </c>
      <c r="AP25" s="186" t="s">
        <v>16</v>
      </c>
      <c r="AQ25" s="187" t="str">
        <f>AQ21</f>
        <v xml:space="preserve">+3-day </v>
      </c>
      <c r="AR25" s="187" t="str">
        <f>AR21</f>
        <v>User1</v>
      </c>
      <c r="AS25" s="187" t="str">
        <f>AS21</f>
        <v>User2</v>
      </c>
      <c r="AT25" s="187" t="str">
        <f>AT21</f>
        <v>User3</v>
      </c>
      <c r="AU25" s="188" t="s">
        <v>43</v>
      </c>
      <c r="AV25" s="247">
        <v>16</v>
      </c>
      <c r="AW25" s="190" t="str">
        <f>AW21</f>
        <v>TEST</v>
      </c>
      <c r="AX25" s="191" t="str">
        <f>AX21</f>
        <v>BEST =</v>
      </c>
      <c r="AY25" s="192">
        <v>16</v>
      </c>
      <c r="BB25" s="9"/>
    </row>
    <row r="26" spans="1:56" ht="14.4" x14ac:dyDescent="0.3">
      <c r="N26" s="195" t="str">
        <f t="shared" si="52"/>
        <v>Gemini Pro 3</v>
      </c>
      <c r="O26" s="277">
        <v>75</v>
      </c>
      <c r="P26" s="278">
        <f t="shared" si="53"/>
        <v>0.11009174311926606</v>
      </c>
      <c r="Q26" s="279">
        <v>72.5</v>
      </c>
      <c r="R26" s="280">
        <f t="shared" si="54"/>
        <v>0.11026615969581749</v>
      </c>
      <c r="S26" s="280">
        <v>77.5</v>
      </c>
      <c r="T26" s="280">
        <f t="shared" si="55"/>
        <v>0.11355311355311355</v>
      </c>
      <c r="U26" s="280">
        <v>32.524999999999999</v>
      </c>
      <c r="V26" s="280">
        <f t="shared" si="56"/>
        <v>9.8627852323553936E-2</v>
      </c>
      <c r="W26" s="280">
        <v>65</v>
      </c>
      <c r="X26" s="281">
        <f t="shared" si="57"/>
        <v>0.1092436974789916</v>
      </c>
      <c r="Y26" s="282">
        <v>61.25</v>
      </c>
      <c r="Z26" s="48">
        <f t="shared" si="58"/>
        <v>0.11583924349881797</v>
      </c>
      <c r="AA26" s="29"/>
      <c r="AB26" s="202">
        <v>99.25</v>
      </c>
      <c r="AC26" s="203">
        <v>80</v>
      </c>
      <c r="AG26" s="5"/>
      <c r="AH26" s="283" t="s">
        <v>47</v>
      </c>
      <c r="AI26" s="284">
        <v>85220</v>
      </c>
      <c r="AJ26" s="284" t="s">
        <v>48</v>
      </c>
      <c r="AK26" s="285" t="str">
        <f>J10</f>
        <v>ML</v>
      </c>
      <c r="AL26" s="286" t="str">
        <f>I10</f>
        <v>LLM</v>
      </c>
      <c r="AP26" s="9"/>
      <c r="AQ26" s="187">
        <v>0</v>
      </c>
      <c r="AR26" s="204">
        <f>AR27/AU27</f>
        <v>0.20624999999999716</v>
      </c>
      <c r="AS26" s="204">
        <f>AS27/AU27</f>
        <v>0.33749999999999858</v>
      </c>
      <c r="AT26" s="204">
        <f>AT27/AU27</f>
        <v>6.2500000000014211E-3</v>
      </c>
      <c r="AU26" s="187">
        <v>5</v>
      </c>
      <c r="AV26" s="229">
        <f>AV22</f>
        <v>1</v>
      </c>
      <c r="AW26" s="190" t="str">
        <f>AW22</f>
        <v>Scale</v>
      </c>
      <c r="AX26" s="191" t="str">
        <f>AX22</f>
        <v>RANGE  =</v>
      </c>
      <c r="AY26" s="206">
        <f>AV25/AQ7</f>
        <v>2.6229508196721311E-2</v>
      </c>
      <c r="BB26" s="9"/>
    </row>
    <row r="27" spans="1:56" ht="14.4" x14ac:dyDescent="0.3">
      <c r="N27" s="195" t="str">
        <f t="shared" si="52"/>
        <v>Claude</v>
      </c>
      <c r="O27" s="277">
        <v>72.5</v>
      </c>
      <c r="P27" s="278">
        <f t="shared" si="53"/>
        <v>0.10642201834862386</v>
      </c>
      <c r="Q27" s="279">
        <v>72.5</v>
      </c>
      <c r="R27" s="280">
        <f t="shared" si="54"/>
        <v>0.11026615969581749</v>
      </c>
      <c r="S27" s="280">
        <v>75</v>
      </c>
      <c r="T27" s="280">
        <f t="shared" si="55"/>
        <v>0.10989010989010989</v>
      </c>
      <c r="U27" s="280">
        <v>48.75</v>
      </c>
      <c r="V27" s="280">
        <f t="shared" si="56"/>
        <v>0.14782806458949285</v>
      </c>
      <c r="W27" s="280">
        <v>67.5</v>
      </c>
      <c r="X27" s="281">
        <f t="shared" si="57"/>
        <v>0.1134453781512605</v>
      </c>
      <c r="Y27" s="282">
        <v>55</v>
      </c>
      <c r="Z27" s="48">
        <f t="shared" si="58"/>
        <v>0.10401891252955082</v>
      </c>
      <c r="AA27" s="29"/>
      <c r="AB27" s="202">
        <v>99.5</v>
      </c>
      <c r="AC27" s="203">
        <v>90</v>
      </c>
      <c r="AG27" s="53" t="s">
        <v>12</v>
      </c>
      <c r="AH27" s="287">
        <f t="shared" ref="AH27:AH32" si="59">100-ABS(($K11-C11)/($K11))*100</f>
        <v>99.014778325123146</v>
      </c>
      <c r="AI27" s="288">
        <f t="shared" ref="AI27:AI32" si="60">100-ABS(($K11-E11)/($K11))*100</f>
        <v>99.753694581280797</v>
      </c>
      <c r="AJ27" s="288">
        <f t="shared" ref="AJ27:AJ32" si="61">100-ABS(($K11-G11)/($K11))*100</f>
        <v>100</v>
      </c>
      <c r="AK27" s="289">
        <f t="shared" ref="AK27:AK32" si="62">100-ABS((($K11-J11)/($K11)))*100</f>
        <v>99.560829207137203</v>
      </c>
      <c r="AL27" s="290">
        <f t="shared" ref="AL27:AL32" si="63">100-ABS((($K11-I11)/($K11)))*100</f>
        <v>99.480227776020257</v>
      </c>
      <c r="AP27" s="9"/>
      <c r="AQ27" s="212">
        <v>0</v>
      </c>
      <c r="AR27" s="213">
        <f>AR7</f>
        <v>3.2999999999999545</v>
      </c>
      <c r="AS27" s="213">
        <f>AS7</f>
        <v>5.3999999999999773</v>
      </c>
      <c r="AT27" s="213">
        <f>AT7</f>
        <v>0.10000000000002274</v>
      </c>
      <c r="AU27" s="213">
        <f>AV26*AV25</f>
        <v>16</v>
      </c>
      <c r="BB27" s="9"/>
    </row>
    <row r="28" spans="1:56" ht="14.25" customHeight="1" x14ac:dyDescent="0.3">
      <c r="A28" s="2" t="s">
        <v>0</v>
      </c>
      <c r="B28" s="230" t="s">
        <v>61</v>
      </c>
      <c r="C28" s="1312" t="s">
        <v>47</v>
      </c>
      <c r="D28" s="1312"/>
      <c r="E28" s="1312">
        <v>85520</v>
      </c>
      <c r="F28" s="1312"/>
      <c r="G28" s="1312" t="str">
        <f t="shared" ref="G28:G34" si="64">G19</f>
        <v>MICH</v>
      </c>
      <c r="H28" s="1312"/>
      <c r="I28" s="1313" t="s">
        <v>50</v>
      </c>
      <c r="J28" s="1313"/>
      <c r="N28" s="195" t="str">
        <f t="shared" si="52"/>
        <v>GLM-4.7</v>
      </c>
      <c r="O28" s="277">
        <v>77.5</v>
      </c>
      <c r="P28" s="278">
        <f t="shared" si="53"/>
        <v>0.11376146788990826</v>
      </c>
      <c r="Q28" s="279">
        <v>71.25</v>
      </c>
      <c r="R28" s="280">
        <f t="shared" si="54"/>
        <v>0.10836501901140684</v>
      </c>
      <c r="S28" s="280">
        <v>75</v>
      </c>
      <c r="T28" s="280">
        <f t="shared" si="55"/>
        <v>0.10989010989010989</v>
      </c>
      <c r="U28" s="280">
        <v>35.5</v>
      </c>
      <c r="V28" s="280">
        <f t="shared" si="56"/>
        <v>0.10764915472670761</v>
      </c>
      <c r="W28" s="280">
        <v>66.25</v>
      </c>
      <c r="X28" s="281">
        <f t="shared" si="57"/>
        <v>0.11134453781512606</v>
      </c>
      <c r="Y28" s="282">
        <v>57.5</v>
      </c>
      <c r="Z28" s="48">
        <f t="shared" si="58"/>
        <v>0.10874704491725769</v>
      </c>
      <c r="AA28" s="29"/>
      <c r="AB28" s="202">
        <v>99.75</v>
      </c>
      <c r="AC28" s="203">
        <v>95</v>
      </c>
      <c r="AG28" s="60" t="s">
        <v>13</v>
      </c>
      <c r="AH28" s="291">
        <f t="shared" si="59"/>
        <v>99.979808177688042</v>
      </c>
      <c r="AI28" s="292">
        <f t="shared" si="60"/>
        <v>99.915194346289752</v>
      </c>
      <c r="AJ28" s="292">
        <f t="shared" si="61"/>
        <v>99.565875820292774</v>
      </c>
      <c r="AK28" s="293">
        <f t="shared" si="62"/>
        <v>99.38634633541929</v>
      </c>
      <c r="AL28" s="294">
        <f t="shared" si="63"/>
        <v>99.447720569747204</v>
      </c>
      <c r="AQ28" s="120"/>
      <c r="AR28" s="120"/>
      <c r="AS28" s="120"/>
      <c r="AT28" s="120"/>
      <c r="AU28" s="120"/>
      <c r="AV28" s="251"/>
      <c r="AW28" s="251"/>
      <c r="AX28" s="295"/>
      <c r="AY28" s="296"/>
      <c r="AZ28" s="297"/>
    </row>
    <row r="29" spans="1:56" ht="14.25" customHeight="1" x14ac:dyDescent="0.3">
      <c r="A29" s="35" t="s">
        <v>12</v>
      </c>
      <c r="B29" s="298">
        <v>4.0540000000000003</v>
      </c>
      <c r="C29" s="232">
        <f t="shared" ref="C29:C34" si="65">C20</f>
        <v>4.0199999999999996</v>
      </c>
      <c r="D29" s="146" t="str">
        <f t="shared" ref="D29:D34" si="66">CONCATENATE(TEXT(AJ19,"0.00%"),"  ",AK19)</f>
        <v>-0.84%  ↓</v>
      </c>
      <c r="E29" s="232">
        <f t="shared" ref="E29:E34" si="67">E20</f>
        <v>4.05</v>
      </c>
      <c r="F29" s="146" t="str">
        <f t="shared" ref="F29:F34" si="68">CONCATENATE(TEXT(AL19,"0.00%"),"  ",AM19)</f>
        <v>-0.10%  ↓</v>
      </c>
      <c r="G29" s="232">
        <f t="shared" si="64"/>
        <v>4.0599999999999996</v>
      </c>
      <c r="H29" s="146" t="str">
        <f t="shared" ref="H29:H34" si="69">CONCATENATE(TEXT(AN19,"0.00%"),"  ",AO19)</f>
        <v>0.15%  ↑</v>
      </c>
      <c r="I29" s="233">
        <f t="shared" ref="I29:I34" si="70">I20</f>
        <v>4.0599999999999996</v>
      </c>
      <c r="J29" s="234" t="str">
        <f t="shared" ref="J29:J34" si="71">CONCATENATE(TEXT(AH19,"0.00%"),"  ",AI19)</f>
        <v>0.15%  ↑</v>
      </c>
      <c r="N29" s="195" t="str">
        <f t="shared" si="52"/>
        <v>Kimi 2.5</v>
      </c>
      <c r="O29" s="277">
        <v>76.25</v>
      </c>
      <c r="P29" s="278">
        <f t="shared" si="53"/>
        <v>0.11192660550458716</v>
      </c>
      <c r="Q29" s="279">
        <v>70</v>
      </c>
      <c r="R29" s="280">
        <f t="shared" si="54"/>
        <v>0.10646387832699619</v>
      </c>
      <c r="S29" s="280">
        <v>76.25</v>
      </c>
      <c r="T29" s="280">
        <f t="shared" si="55"/>
        <v>0.11172161172161173</v>
      </c>
      <c r="U29" s="280">
        <v>38.75</v>
      </c>
      <c r="V29" s="280">
        <f t="shared" si="56"/>
        <v>0.1175043590326738</v>
      </c>
      <c r="W29" s="280">
        <v>66.25</v>
      </c>
      <c r="X29" s="281">
        <f t="shared" si="57"/>
        <v>0.11134453781512606</v>
      </c>
      <c r="Y29" s="282">
        <v>60</v>
      </c>
      <c r="Z29" s="48">
        <f t="shared" si="58"/>
        <v>0.11347517730496454</v>
      </c>
      <c r="AA29" s="29"/>
      <c r="AB29" s="299">
        <v>99.99</v>
      </c>
      <c r="AC29" s="300">
        <v>100</v>
      </c>
      <c r="AG29" s="82" t="s">
        <v>14</v>
      </c>
      <c r="AH29" s="301">
        <f t="shared" si="59"/>
        <v>99.963528580856547</v>
      </c>
      <c r="AI29" s="302">
        <f t="shared" si="60"/>
        <v>99.949634706897157</v>
      </c>
      <c r="AJ29" s="302">
        <f t="shared" si="61"/>
        <v>99.862797994650862</v>
      </c>
      <c r="AK29" s="303">
        <f t="shared" si="62"/>
        <v>99.953025456734338</v>
      </c>
      <c r="AL29" s="304">
        <f t="shared" si="63"/>
        <v>99.966470850410687</v>
      </c>
      <c r="AQ29" s="120"/>
      <c r="AR29" s="305" t="s">
        <v>23</v>
      </c>
      <c r="AS29" s="305" t="s">
        <v>24</v>
      </c>
      <c r="AT29" s="305" t="s">
        <v>25</v>
      </c>
      <c r="AU29" s="120"/>
      <c r="AV29" s="251"/>
      <c r="AW29" s="251"/>
      <c r="AX29" s="295"/>
      <c r="AY29" s="296"/>
      <c r="AZ29" s="297"/>
    </row>
    <row r="30" spans="1:56" ht="14.25" customHeight="1" x14ac:dyDescent="0.3">
      <c r="A30" s="60" t="s">
        <v>13</v>
      </c>
      <c r="B30" s="306">
        <v>49184.15</v>
      </c>
      <c r="C30" s="237">
        <f t="shared" si="65"/>
        <v>49515</v>
      </c>
      <c r="D30" s="152" t="str">
        <f t="shared" si="66"/>
        <v>0.67%  ↑</v>
      </c>
      <c r="E30" s="237">
        <f t="shared" si="67"/>
        <v>49483</v>
      </c>
      <c r="F30" s="152" t="str">
        <f t="shared" si="68"/>
        <v>0.61%  ↑</v>
      </c>
      <c r="G30" s="237">
        <f t="shared" si="64"/>
        <v>49310</v>
      </c>
      <c r="H30" s="152" t="str">
        <f t="shared" si="69"/>
        <v>0.26%  ↑</v>
      </c>
      <c r="I30" s="238">
        <f t="shared" si="70"/>
        <v>49525</v>
      </c>
      <c r="J30" s="239" t="str">
        <f t="shared" si="71"/>
        <v>0.69%  ↑</v>
      </c>
      <c r="N30" s="195" t="str">
        <f t="shared" si="52"/>
        <v>Minimax 2.1</v>
      </c>
      <c r="O30" s="277">
        <v>73.75</v>
      </c>
      <c r="P30" s="278">
        <f t="shared" si="53"/>
        <v>0.10825688073394496</v>
      </c>
      <c r="Q30" s="279">
        <v>75</v>
      </c>
      <c r="R30" s="280">
        <f t="shared" si="54"/>
        <v>0.11406844106463879</v>
      </c>
      <c r="S30" s="280">
        <v>71.25</v>
      </c>
      <c r="T30" s="280">
        <f t="shared" si="55"/>
        <v>0.1043956043956044</v>
      </c>
      <c r="U30" s="280">
        <v>42.5</v>
      </c>
      <c r="V30" s="280">
        <f t="shared" si="56"/>
        <v>0.12887574861648093</v>
      </c>
      <c r="W30" s="280">
        <v>65</v>
      </c>
      <c r="X30" s="281">
        <f t="shared" si="57"/>
        <v>0.1092436974789916</v>
      </c>
      <c r="Y30" s="282">
        <v>58.75</v>
      </c>
      <c r="Z30" s="48">
        <f t="shared" si="58"/>
        <v>0.1111111111111111</v>
      </c>
      <c r="AA30" s="29"/>
      <c r="AG30" s="82" t="s">
        <v>15</v>
      </c>
      <c r="AH30" s="301">
        <f t="shared" si="59"/>
        <v>96.385542168674689</v>
      </c>
      <c r="AI30" s="302">
        <f t="shared" si="60"/>
        <v>98.218962807752746</v>
      </c>
      <c r="AJ30" s="302">
        <f t="shared" si="61"/>
        <v>99.371398638030371</v>
      </c>
      <c r="AK30" s="303">
        <f t="shared" si="62"/>
        <v>99.185218144405965</v>
      </c>
      <c r="AL30" s="304">
        <f t="shared" si="63"/>
        <v>98.804719426499148</v>
      </c>
      <c r="AN30" s="4"/>
      <c r="AQ30" s="307"/>
      <c r="AR30" s="308">
        <f>SUM(AR14,AR18,AR22,AR26)</f>
        <v>0.43770933014354019</v>
      </c>
      <c r="AS30" s="308">
        <f>SUM(AS14,AS18,AS22,AS26)</f>
        <v>0.50298830974922459</v>
      </c>
      <c r="AT30" s="308">
        <f>SUM(AT14,AT18,AT22,AT26)</f>
        <v>0.32539639112287466</v>
      </c>
      <c r="AU30" s="309" t="s">
        <v>62</v>
      </c>
      <c r="AV30" s="251"/>
      <c r="AW30" s="251"/>
      <c r="AX30" s="295"/>
      <c r="AY30" s="296"/>
      <c r="AZ30" s="297"/>
    </row>
    <row r="31" spans="1:56" ht="14.25" customHeight="1" x14ac:dyDescent="0.3">
      <c r="A31" s="82" t="s">
        <v>14</v>
      </c>
      <c r="B31" s="310">
        <v>6890.06</v>
      </c>
      <c r="C31" s="249">
        <f t="shared" si="65"/>
        <v>6907</v>
      </c>
      <c r="D31" s="168" t="str">
        <f t="shared" si="66"/>
        <v>0.25%  ↑</v>
      </c>
      <c r="E31" s="249">
        <f t="shared" si="67"/>
        <v>6913</v>
      </c>
      <c r="F31" s="168" t="str">
        <f t="shared" si="68"/>
        <v>0.33%  ↑</v>
      </c>
      <c r="G31" s="249">
        <f t="shared" si="64"/>
        <v>6919</v>
      </c>
      <c r="H31" s="168" t="str">
        <f t="shared" si="69"/>
        <v>0.42%  ↑</v>
      </c>
      <c r="I31" s="250">
        <f t="shared" si="70"/>
        <v>6909.52</v>
      </c>
      <c r="J31" s="239" t="str">
        <f t="shared" si="71"/>
        <v>0.28%  ↑</v>
      </c>
      <c r="N31" s="195" t="str">
        <f t="shared" si="52"/>
        <v>LeChat</v>
      </c>
      <c r="O31" s="277">
        <v>77.5</v>
      </c>
      <c r="P31" s="278">
        <f t="shared" si="53"/>
        <v>0.11376146788990826</v>
      </c>
      <c r="Q31" s="279">
        <v>73.75</v>
      </c>
      <c r="R31" s="280">
        <f t="shared" si="54"/>
        <v>0.11216730038022814</v>
      </c>
      <c r="S31" s="280">
        <v>76.25</v>
      </c>
      <c r="T31" s="280">
        <f t="shared" si="55"/>
        <v>0.11172161172161173</v>
      </c>
      <c r="U31" s="280">
        <v>27.5</v>
      </c>
      <c r="V31" s="280">
        <f t="shared" si="56"/>
        <v>8.3390190281252372E-2</v>
      </c>
      <c r="W31" s="280">
        <v>66.25</v>
      </c>
      <c r="X31" s="281">
        <f t="shared" si="57"/>
        <v>0.11134453781512606</v>
      </c>
      <c r="Y31" s="282">
        <v>63.75</v>
      </c>
      <c r="Z31" s="124">
        <f t="shared" si="58"/>
        <v>0.12056737588652482</v>
      </c>
      <c r="AC31" s="311" t="s">
        <v>63</v>
      </c>
      <c r="AG31" s="99" t="s">
        <v>16</v>
      </c>
      <c r="AH31" s="312">
        <f t="shared" si="59"/>
        <v>99.459016393442624</v>
      </c>
      <c r="AI31" s="313">
        <f t="shared" si="60"/>
        <v>99.114754098360663</v>
      </c>
      <c r="AJ31" s="313">
        <f t="shared" si="61"/>
        <v>99.983606557377044</v>
      </c>
      <c r="AK31" s="314">
        <f t="shared" si="62"/>
        <v>99.936018526835895</v>
      </c>
      <c r="AL31" s="315">
        <f t="shared" si="63"/>
        <v>99.985380217660847</v>
      </c>
      <c r="AN31" s="4"/>
      <c r="AR31" s="187">
        <f>AR9</f>
        <v>2.16</v>
      </c>
      <c r="AS31" s="187">
        <f>AS9</f>
        <v>2.2400000000000002</v>
      </c>
      <c r="AT31" s="187">
        <f>AT9</f>
        <v>1.79</v>
      </c>
      <c r="AU31" s="316" t="s">
        <v>61</v>
      </c>
      <c r="AV31" s="251"/>
      <c r="AW31" s="251"/>
      <c r="AX31" s="295"/>
      <c r="AY31" s="296"/>
      <c r="AZ31" s="297"/>
    </row>
    <row r="32" spans="1:56" ht="14.25" customHeight="1" x14ac:dyDescent="0.3">
      <c r="A32" s="82" t="s">
        <v>15</v>
      </c>
      <c r="B32" s="310">
        <v>19.55</v>
      </c>
      <c r="C32" s="252">
        <f t="shared" si="65"/>
        <v>18.399999999999999</v>
      </c>
      <c r="D32" s="168" t="str">
        <f t="shared" si="66"/>
        <v>-5.88%  ↓</v>
      </c>
      <c r="E32" s="252">
        <f t="shared" si="67"/>
        <v>18.75</v>
      </c>
      <c r="F32" s="168" t="str">
        <f t="shared" si="68"/>
        <v>-4.09%  ↓</v>
      </c>
      <c r="G32" s="252">
        <f t="shared" si="64"/>
        <v>19.21</v>
      </c>
      <c r="H32" s="168" t="str">
        <f t="shared" si="69"/>
        <v>-1.74%  ↓</v>
      </c>
      <c r="I32" s="250">
        <f t="shared" si="70"/>
        <v>19.09</v>
      </c>
      <c r="J32" s="239" t="str">
        <f t="shared" si="71"/>
        <v>-2.35%  ↓</v>
      </c>
      <c r="N32" s="240" t="str">
        <f t="shared" si="52"/>
        <v>Qwen</v>
      </c>
      <c r="O32" s="317">
        <v>77.5</v>
      </c>
      <c r="P32" s="318">
        <f t="shared" si="53"/>
        <v>0.11376146788990826</v>
      </c>
      <c r="Q32" s="319">
        <v>73.75</v>
      </c>
      <c r="R32" s="320">
        <f t="shared" si="54"/>
        <v>0.11216730038022814</v>
      </c>
      <c r="S32" s="320">
        <v>76.25</v>
      </c>
      <c r="T32" s="320">
        <f t="shared" si="55"/>
        <v>0.11172161172161173</v>
      </c>
      <c r="U32" s="320">
        <v>27.5</v>
      </c>
      <c r="V32" s="320">
        <f t="shared" si="56"/>
        <v>8.3390190281252372E-2</v>
      </c>
      <c r="W32" s="320">
        <v>66.25</v>
      </c>
      <c r="X32" s="321">
        <f t="shared" si="57"/>
        <v>0.11134453781512606</v>
      </c>
      <c r="Y32" s="322">
        <v>63.75</v>
      </c>
      <c r="Z32" s="124">
        <f t="shared" si="58"/>
        <v>0.12056737588652482</v>
      </c>
      <c r="AC32" s="311" t="s">
        <v>64</v>
      </c>
      <c r="AG32" s="114" t="s">
        <v>17</v>
      </c>
      <c r="AH32" s="323">
        <f t="shared" si="59"/>
        <v>40.654761904761905</v>
      </c>
      <c r="AI32" s="324">
        <f t="shared" si="60"/>
        <v>40.818452380952387</v>
      </c>
      <c r="AJ32" s="324">
        <f t="shared" si="61"/>
        <v>40.610119047619044</v>
      </c>
      <c r="AK32" s="325">
        <f t="shared" si="62"/>
        <v>40.363701605988688</v>
      </c>
      <c r="AL32" s="326">
        <f t="shared" si="63"/>
        <v>40.829797787909484</v>
      </c>
      <c r="AN32" s="4"/>
      <c r="AP32" s="4"/>
      <c r="AV32" s="251"/>
      <c r="AW32" s="251"/>
      <c r="AX32" s="295"/>
      <c r="AY32" s="296"/>
      <c r="AZ32" s="297"/>
    </row>
    <row r="33" spans="1:41" ht="14.25" customHeight="1" x14ac:dyDescent="0.3">
      <c r="A33" s="99" t="s">
        <v>16</v>
      </c>
      <c r="B33" s="327">
        <v>607.84</v>
      </c>
      <c r="C33" s="261">
        <f t="shared" si="65"/>
        <v>613.29999999999995</v>
      </c>
      <c r="D33" s="208" t="str">
        <f t="shared" si="66"/>
        <v>0.90%  ↑</v>
      </c>
      <c r="E33" s="261">
        <f t="shared" si="67"/>
        <v>615.4</v>
      </c>
      <c r="F33" s="208" t="str">
        <f t="shared" si="68"/>
        <v>1.24%  ↑</v>
      </c>
      <c r="G33" s="261">
        <f t="shared" si="64"/>
        <v>609.9</v>
      </c>
      <c r="H33" s="208" t="str">
        <f t="shared" si="69"/>
        <v>0.34%  ↑</v>
      </c>
      <c r="I33" s="262">
        <f t="shared" si="70"/>
        <v>610</v>
      </c>
      <c r="J33" s="239" t="str">
        <f t="shared" si="71"/>
        <v>0.36%  ↑</v>
      </c>
      <c r="AC33" s="311" t="s">
        <v>65</v>
      </c>
      <c r="AG33" s="4"/>
      <c r="AH33" s="328"/>
      <c r="AI33" s="329"/>
      <c r="AJ33" s="329"/>
      <c r="AK33" s="329"/>
      <c r="AL33" s="329"/>
    </row>
    <row r="34" spans="1:41" ht="14.25" customHeight="1" x14ac:dyDescent="0.3">
      <c r="A34" s="109" t="s">
        <v>17</v>
      </c>
      <c r="B34" s="330">
        <v>272.19</v>
      </c>
      <c r="C34" s="274">
        <f t="shared" si="65"/>
        <v>273.2</v>
      </c>
      <c r="D34" s="217" t="str">
        <f t="shared" si="66"/>
        <v>0.37%  ↑</v>
      </c>
      <c r="E34" s="274">
        <f t="shared" si="67"/>
        <v>274.3</v>
      </c>
      <c r="F34" s="217" t="str">
        <f t="shared" si="68"/>
        <v>0.78%  ↑</v>
      </c>
      <c r="G34" s="274">
        <f t="shared" si="64"/>
        <v>272.89999999999998</v>
      </c>
      <c r="H34" s="217" t="str">
        <f t="shared" si="69"/>
        <v>0.26%  ↑</v>
      </c>
      <c r="I34" s="275">
        <f t="shared" si="70"/>
        <v>672</v>
      </c>
      <c r="J34" s="276" t="str">
        <f t="shared" si="71"/>
        <v>146.89%  ↑</v>
      </c>
      <c r="AC34" s="311" t="s">
        <v>66</v>
      </c>
      <c r="AG34" s="331" t="str">
        <f>AB1</f>
        <v>AVR-4</v>
      </c>
      <c r="AH34" s="332">
        <f t="array" ref="AH34">SUM(AH28:AH31/4)</f>
        <v>98.94697383016549</v>
      </c>
      <c r="AI34" s="333">
        <f t="array" ref="AI34">SUM(AI28:AI31/4)</f>
        <v>99.299636489825076</v>
      </c>
      <c r="AJ34" s="333">
        <f t="array" ref="AJ34">SUM(AJ28:AJ31/4)</f>
        <v>99.69591975258777</v>
      </c>
      <c r="AK34" s="334">
        <f t="array" ref="AK34">SUM(AK28:AK31/4)</f>
        <v>99.615152115848872</v>
      </c>
      <c r="AL34" s="335">
        <f t="array" ref="AL34">SUM(AL28:AL31/4)</f>
        <v>99.551072766079471</v>
      </c>
      <c r="AM34" s="328"/>
      <c r="AO34" s="4"/>
    </row>
    <row r="35" spans="1:41" ht="14.25" customHeight="1" x14ac:dyDescent="0.3">
      <c r="AC35" s="311" t="s">
        <v>67</v>
      </c>
      <c r="AG35" s="336" t="str">
        <f>AC1</f>
        <v>AVR-6</v>
      </c>
      <c r="AH35" s="337">
        <f t="array" ref="AH35">SUM(AH27:AH32/6)</f>
        <v>89.242905925091165</v>
      </c>
      <c r="AI35" s="338">
        <f t="array" ref="AI35">SUM(AI27:AI32/6)</f>
        <v>89.628448820255571</v>
      </c>
      <c r="AJ35" s="338">
        <f t="array" ref="AJ35">SUM(AJ27:AJ32/6)</f>
        <v>89.898966342995024</v>
      </c>
      <c r="AK35" s="339">
        <f t="array" ref="AK35">SUM(AK27:AK32/6)</f>
        <v>89.730856546086898</v>
      </c>
      <c r="AL35" s="340">
        <f t="array" ref="AL35">SUM(AL27:AL32/6)</f>
        <v>89.752386104707952</v>
      </c>
      <c r="AM35" s="328"/>
      <c r="AO35" s="4"/>
    </row>
    <row r="36" spans="1:41" ht="14.25" customHeight="1" x14ac:dyDescent="0.3">
      <c r="AM36" s="328"/>
      <c r="AO36" s="4"/>
    </row>
    <row r="37" spans="1:41" ht="14.25" customHeight="1" x14ac:dyDescent="0.3">
      <c r="AM37" s="328"/>
      <c r="AO37" s="4"/>
    </row>
    <row r="38" spans="1:41" ht="14.25" customHeight="1" x14ac:dyDescent="0.3">
      <c r="AH38" s="1314" t="s">
        <v>68</v>
      </c>
      <c r="AI38" s="1314"/>
      <c r="AK38" s="4"/>
      <c r="AL38" s="1314" t="s">
        <v>69</v>
      </c>
      <c r="AM38" s="1314"/>
      <c r="AO38" s="4"/>
    </row>
    <row r="39" spans="1:41" ht="14.25" customHeight="1" x14ac:dyDescent="0.3">
      <c r="AG39" s="341" t="str">
        <f t="shared" ref="AG39:AG44" si="72">A2</f>
        <v>TNX</v>
      </c>
      <c r="AH39" s="342">
        <f t="shared" ref="AH39:AH44" si="73">C11</f>
        <v>4.0199999999999996</v>
      </c>
      <c r="AI39" s="57">
        <f t="shared" ref="AI39:AI44" si="74">100-ABS(($K11-AH39)/($K11))*100</f>
        <v>99.014778325123146</v>
      </c>
      <c r="AK39" s="53" t="str">
        <f t="shared" ref="AK39:AK44" si="75">AG39</f>
        <v>TNX</v>
      </c>
      <c r="AL39" s="342">
        <f t="shared" ref="AL39:AL44" si="76">E11</f>
        <v>4.05</v>
      </c>
      <c r="AM39" s="57">
        <f t="shared" ref="AM39:AM44" si="77">100-ABS(($K11-AL39)/($K11))*100</f>
        <v>99.753694581280797</v>
      </c>
      <c r="AO39" s="4"/>
    </row>
    <row r="40" spans="1:41" ht="14.25" customHeight="1" x14ac:dyDescent="0.3">
      <c r="AG40" s="343" t="str">
        <f t="shared" si="72"/>
        <v>DJI</v>
      </c>
      <c r="AH40" s="344">
        <f t="shared" si="73"/>
        <v>49515</v>
      </c>
      <c r="AI40" s="78">
        <f t="shared" si="74"/>
        <v>99.979808177688042</v>
      </c>
      <c r="AK40" s="60" t="str">
        <f t="shared" si="75"/>
        <v>DJI</v>
      </c>
      <c r="AL40" s="344">
        <f t="shared" si="76"/>
        <v>49483</v>
      </c>
      <c r="AM40" s="78">
        <f t="shared" si="77"/>
        <v>99.915194346289752</v>
      </c>
      <c r="AO40" s="4"/>
    </row>
    <row r="41" spans="1:41" ht="14.25" customHeight="1" x14ac:dyDescent="0.3">
      <c r="AG41" s="345" t="str">
        <f t="shared" si="72"/>
        <v>SPX</v>
      </c>
      <c r="AH41" s="346">
        <f t="shared" si="73"/>
        <v>6907</v>
      </c>
      <c r="AI41" s="89">
        <f t="shared" si="74"/>
        <v>99.963528580856547</v>
      </c>
      <c r="AK41" s="82" t="str">
        <f t="shared" si="75"/>
        <v>SPX</v>
      </c>
      <c r="AL41" s="346">
        <f t="shared" si="76"/>
        <v>6913</v>
      </c>
      <c r="AM41" s="89">
        <f t="shared" si="77"/>
        <v>99.949634706897157</v>
      </c>
      <c r="AO41" s="4"/>
    </row>
    <row r="42" spans="1:41" ht="14.25" customHeight="1" x14ac:dyDescent="0.3">
      <c r="AG42" s="345" t="str">
        <f t="shared" si="72"/>
        <v>VIX</v>
      </c>
      <c r="AH42" s="347">
        <f t="shared" si="73"/>
        <v>18.399999999999999</v>
      </c>
      <c r="AI42" s="89">
        <f t="shared" si="74"/>
        <v>96.385542168674689</v>
      </c>
      <c r="AK42" s="82" t="str">
        <f t="shared" si="75"/>
        <v>VIX</v>
      </c>
      <c r="AL42" s="347">
        <f t="shared" si="76"/>
        <v>18.75</v>
      </c>
      <c r="AM42" s="89">
        <f t="shared" si="77"/>
        <v>98.218962807752746</v>
      </c>
      <c r="AO42" s="4"/>
    </row>
    <row r="43" spans="1:41" ht="14.25" customHeight="1" x14ac:dyDescent="0.3">
      <c r="AG43" s="348" t="str">
        <f t="shared" si="72"/>
        <v>QQQ</v>
      </c>
      <c r="AH43" s="349">
        <f t="shared" si="73"/>
        <v>613.29999999999995</v>
      </c>
      <c r="AI43" s="107">
        <f t="shared" si="74"/>
        <v>99.459016393442624</v>
      </c>
      <c r="AK43" s="99" t="str">
        <f t="shared" si="75"/>
        <v>QQQ</v>
      </c>
      <c r="AL43" s="349">
        <f t="shared" si="76"/>
        <v>615.4</v>
      </c>
      <c r="AM43" s="107">
        <f t="shared" si="77"/>
        <v>99.114754098360663</v>
      </c>
      <c r="AO43" s="4"/>
    </row>
    <row r="44" spans="1:41" ht="14.25" customHeight="1" x14ac:dyDescent="0.3">
      <c r="AG44" s="350" t="str">
        <f t="shared" si="72"/>
        <v>AAPL</v>
      </c>
      <c r="AH44" s="351">
        <f t="shared" si="73"/>
        <v>273.2</v>
      </c>
      <c r="AI44" s="118">
        <f t="shared" si="74"/>
        <v>40.654761904761905</v>
      </c>
      <c r="AK44" s="114" t="str">
        <f t="shared" si="75"/>
        <v>AAPL</v>
      </c>
      <c r="AL44" s="351">
        <f t="shared" si="76"/>
        <v>274.3</v>
      </c>
      <c r="AM44" s="118">
        <f t="shared" si="77"/>
        <v>40.818452380952387</v>
      </c>
    </row>
    <row r="48" spans="1:41" ht="14.25" customHeight="1" x14ac:dyDescent="0.3">
      <c r="F48" s="6"/>
    </row>
    <row r="53" spans="33:39" ht="14.25" customHeight="1" x14ac:dyDescent="0.3">
      <c r="AI53" s="9"/>
    </row>
    <row r="54" spans="33:39" ht="14.25" customHeight="1" x14ac:dyDescent="0.3">
      <c r="AG54" s="1310" t="s">
        <v>44</v>
      </c>
      <c r="AH54" s="1310"/>
      <c r="AI54" s="126">
        <f>AVERAGE(AI40:AI43)</f>
        <v>98.94697383016549</v>
      </c>
      <c r="AK54" s="1310" t="s">
        <v>44</v>
      </c>
      <c r="AL54" s="1310"/>
      <c r="AM54" s="126">
        <f>AVERAGE(AM40:AM43)</f>
        <v>99.299636489825076</v>
      </c>
    </row>
    <row r="55" spans="33:39" ht="14.25" customHeight="1" x14ac:dyDescent="0.3">
      <c r="AG55" s="1311" t="s">
        <v>51</v>
      </c>
      <c r="AH55" s="1311"/>
      <c r="AI55" s="142">
        <f>AVERAGE(AI39:AI44)</f>
        <v>89.242905925091165</v>
      </c>
      <c r="AK55" s="1311" t="s">
        <v>51</v>
      </c>
      <c r="AL55" s="1311"/>
      <c r="AM55" s="142">
        <f>AVERAGE(AM39:AM44)</f>
        <v>89.628448820255585</v>
      </c>
    </row>
  </sheetData>
  <mergeCells count="29">
    <mergeCell ref="AH1:AI1"/>
    <mergeCell ref="AL1:AM1"/>
    <mergeCell ref="AG9:AH9"/>
    <mergeCell ref="AK9:AL9"/>
    <mergeCell ref="C10:D10"/>
    <mergeCell ref="E10:F10"/>
    <mergeCell ref="G10:H10"/>
    <mergeCell ref="AG10:AH10"/>
    <mergeCell ref="AK10:AL10"/>
    <mergeCell ref="AG12:AG17"/>
    <mergeCell ref="AH18:AI18"/>
    <mergeCell ref="AJ18:AK18"/>
    <mergeCell ref="AL18:AM18"/>
    <mergeCell ref="AN18:AO18"/>
    <mergeCell ref="C19:D19"/>
    <mergeCell ref="E19:F19"/>
    <mergeCell ref="G19:H19"/>
    <mergeCell ref="I19:J19"/>
    <mergeCell ref="AG19:AG24"/>
    <mergeCell ref="C28:D28"/>
    <mergeCell ref="E28:F28"/>
    <mergeCell ref="G28:H28"/>
    <mergeCell ref="I28:J28"/>
    <mergeCell ref="AH38:AI38"/>
    <mergeCell ref="AL38:AM38"/>
    <mergeCell ref="AG54:AH54"/>
    <mergeCell ref="AK54:AL54"/>
    <mergeCell ref="AG55:AH55"/>
    <mergeCell ref="AK55:AL55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34"/>
  <sheetViews>
    <sheetView topLeftCell="A28" zoomScale="140" zoomScaleNormal="140" workbookViewId="0">
      <selection activeCell="B95" sqref="B95"/>
    </sheetView>
  </sheetViews>
  <sheetFormatPr defaultColWidth="13.44140625" defaultRowHeight="13.5" customHeight="1" x14ac:dyDescent="0.3"/>
  <cols>
    <col min="1" max="1" width="5.6640625" style="352" customWidth="1"/>
    <col min="2" max="2" width="5.44140625" style="10" customWidth="1"/>
    <col min="3" max="3" width="3.33203125" style="353" customWidth="1"/>
    <col min="4" max="4" width="5.44140625" style="10" customWidth="1"/>
    <col min="5" max="5" width="3.33203125" style="353" customWidth="1"/>
    <col min="6" max="6" width="5.44140625" style="10" customWidth="1"/>
    <col min="7" max="7" width="3.33203125" style="353" customWidth="1"/>
    <col min="8" max="8" width="5.44140625" style="10" customWidth="1"/>
    <col min="9" max="9" width="3.33203125" style="353" customWidth="1"/>
    <col min="10" max="10" width="5.44140625" style="10" customWidth="1"/>
    <col min="11" max="11" width="3.33203125" style="353" customWidth="1"/>
    <col min="12" max="12" width="5.44140625" style="10" customWidth="1"/>
    <col min="13" max="13" width="3.33203125" style="353" customWidth="1"/>
    <col min="14" max="14" width="4.44140625" style="10" customWidth="1"/>
    <col min="15" max="15" width="7.5546875" style="10" customWidth="1"/>
    <col min="16" max="16" width="2.109375" style="10" customWidth="1"/>
    <col min="17" max="17" width="7.5546875" style="10" customWidth="1"/>
    <col min="18" max="18" width="2.109375" style="10" customWidth="1"/>
    <col min="19" max="19" width="7.5546875" style="10" customWidth="1"/>
    <col min="20" max="20" width="2.109375" style="10" customWidth="1"/>
    <col min="21" max="21" width="7.5546875" style="10" customWidth="1"/>
    <col min="22" max="22" width="2.109375" style="10" customWidth="1"/>
    <col min="23" max="23" width="7.5546875" style="10" customWidth="1"/>
    <col min="24" max="24" width="2.109375" style="10" customWidth="1"/>
    <col min="25" max="25" width="7.5546875" style="10" customWidth="1"/>
    <col min="26" max="26" width="4.44140625" style="10" customWidth="1"/>
    <col min="27" max="27" width="6.77734375" style="354" customWidth="1"/>
    <col min="28" max="28" width="2.109375" style="354" customWidth="1"/>
    <col min="29" max="29" width="6.77734375" style="354" customWidth="1"/>
    <col min="30" max="30" width="2.109375" style="354" customWidth="1"/>
    <col min="31" max="31" width="6.77734375" style="354" customWidth="1"/>
    <col min="32" max="32" width="2.109375" style="354" customWidth="1"/>
    <col min="33" max="33" width="6.77734375" style="354" customWidth="1"/>
    <col min="34" max="34" width="2.109375" style="354" customWidth="1"/>
    <col min="35" max="35" width="6.77734375" style="354" customWidth="1"/>
    <col min="36" max="36" width="2.109375" style="354" customWidth="1"/>
    <col min="37" max="37" width="6.77734375" style="354" customWidth="1"/>
    <col min="38" max="38" width="4.44140625" style="10" customWidth="1"/>
    <col min="39" max="39" width="4" customWidth="1"/>
    <col min="47" max="16384" width="13.44140625" style="10"/>
  </cols>
  <sheetData>
    <row r="1" spans="1:39" ht="12.75" customHeight="1" x14ac:dyDescent="0.3">
      <c r="A1" s="352" t="s">
        <v>70</v>
      </c>
      <c r="B1" s="355" t="s">
        <v>12</v>
      </c>
      <c r="C1" s="356">
        <v>680</v>
      </c>
      <c r="D1" s="355" t="s">
        <v>13</v>
      </c>
      <c r="E1" s="356">
        <v>755</v>
      </c>
      <c r="F1" s="355" t="s">
        <v>14</v>
      </c>
      <c r="G1" s="356">
        <v>615</v>
      </c>
      <c r="H1" s="355" t="s">
        <v>15</v>
      </c>
      <c r="I1" s="356">
        <v>225.1</v>
      </c>
      <c r="J1" s="355" t="s">
        <v>16</v>
      </c>
      <c r="K1" s="356">
        <v>555</v>
      </c>
      <c r="L1" s="355" t="s">
        <v>17</v>
      </c>
      <c r="M1" s="356">
        <v>615</v>
      </c>
      <c r="O1" s="357" t="s">
        <v>12</v>
      </c>
      <c r="P1" s="357"/>
      <c r="Q1" s="357" t="s">
        <v>13</v>
      </c>
      <c r="R1" s="357"/>
      <c r="S1" s="357" t="s">
        <v>14</v>
      </c>
      <c r="T1" s="357"/>
      <c r="U1" s="357" t="s">
        <v>15</v>
      </c>
      <c r="V1" s="357"/>
      <c r="W1" s="357" t="s">
        <v>16</v>
      </c>
      <c r="X1" s="357"/>
      <c r="Y1" s="357" t="s">
        <v>17</v>
      </c>
      <c r="Z1" s="358"/>
      <c r="AA1" s="359" t="s">
        <v>12</v>
      </c>
      <c r="AB1" s="359"/>
      <c r="AC1" s="359" t="s">
        <v>13</v>
      </c>
      <c r="AD1" s="359"/>
      <c r="AE1" s="359" t="s">
        <v>14</v>
      </c>
      <c r="AF1" s="359"/>
      <c r="AG1" s="359" t="s">
        <v>15</v>
      </c>
      <c r="AH1" s="359"/>
      <c r="AI1" s="359" t="s">
        <v>16</v>
      </c>
      <c r="AJ1" s="359"/>
      <c r="AK1" s="359" t="s">
        <v>17</v>
      </c>
      <c r="AM1" s="10">
        <f>AM12</f>
        <v>4</v>
      </c>
    </row>
    <row r="2" spans="1:39" ht="12.75" customHeight="1" x14ac:dyDescent="0.3">
      <c r="B2" s="355">
        <v>90</v>
      </c>
      <c r="C2" s="356">
        <v>0.13235294117647101</v>
      </c>
      <c r="D2" s="355">
        <v>95</v>
      </c>
      <c r="E2" s="356">
        <v>0.12582781456953601</v>
      </c>
      <c r="F2" s="355">
        <v>80</v>
      </c>
      <c r="G2" s="356">
        <v>0.13008130081300801</v>
      </c>
      <c r="H2" s="355">
        <v>30</v>
      </c>
      <c r="I2" s="356">
        <v>0.13327410039982199</v>
      </c>
      <c r="J2" s="355">
        <v>70</v>
      </c>
      <c r="K2" s="356">
        <v>0.126126126126126</v>
      </c>
      <c r="L2" s="355">
        <v>65</v>
      </c>
      <c r="M2" s="356">
        <v>0.105691056910569</v>
      </c>
      <c r="O2" s="357">
        <f t="shared" ref="O2:O10" si="0">AA2/$AM$166</f>
        <v>90</v>
      </c>
      <c r="P2" s="357"/>
      <c r="Q2" s="357">
        <f t="shared" ref="Q2:Q10" si="1">AC2/$AM$166</f>
        <v>95</v>
      </c>
      <c r="R2" s="357"/>
      <c r="S2" s="357">
        <f t="shared" ref="S2:S10" si="2">AE2/$AM$166</f>
        <v>80</v>
      </c>
      <c r="T2" s="357"/>
      <c r="U2" s="357">
        <f t="shared" ref="U2:U10" si="3">AG2/$AM$166</f>
        <v>30</v>
      </c>
      <c r="V2" s="357"/>
      <c r="W2" s="357">
        <f t="shared" ref="W2:W10" si="4">AI2/$AM$166</f>
        <v>70</v>
      </c>
      <c r="X2" s="357"/>
      <c r="Y2" s="357">
        <f t="shared" ref="Y2:Y10" si="5">AK2/$AM$166</f>
        <v>65</v>
      </c>
      <c r="Z2" s="358"/>
      <c r="AA2" s="359">
        <f t="shared" ref="AA2:AA9" si="6">(B45+B34+B23+B13)</f>
        <v>360</v>
      </c>
      <c r="AB2" s="359"/>
      <c r="AC2" s="359">
        <f t="shared" ref="AC2:AC9" si="7">(D45+D34+D23+D13)</f>
        <v>380</v>
      </c>
      <c r="AD2" s="359"/>
      <c r="AE2" s="359">
        <f t="shared" ref="AE2:AE9" si="8">(F45+F34+F23+F13)</f>
        <v>320</v>
      </c>
      <c r="AF2" s="359"/>
      <c r="AG2" s="359">
        <f t="shared" ref="AG2:AG9" si="9">(H45+H34+H23+H13)</f>
        <v>120</v>
      </c>
      <c r="AH2" s="359"/>
      <c r="AI2" s="359">
        <f t="shared" ref="AI2:AI9" si="10">(J45+J34+J23+J13)</f>
        <v>280</v>
      </c>
      <c r="AJ2" s="359"/>
      <c r="AK2" s="359">
        <f t="shared" ref="AK2:AK9" si="11">(L45+L34+L23+L13)</f>
        <v>260</v>
      </c>
    </row>
    <row r="3" spans="1:39" ht="12.75" customHeight="1" x14ac:dyDescent="0.3">
      <c r="B3" s="355">
        <v>80</v>
      </c>
      <c r="C3" s="356">
        <v>0.11764705882352899</v>
      </c>
      <c r="D3" s="355">
        <v>95</v>
      </c>
      <c r="E3" s="356">
        <v>0.12582781456953601</v>
      </c>
      <c r="F3" s="355">
        <v>80</v>
      </c>
      <c r="G3" s="356">
        <v>0.13008130081300801</v>
      </c>
      <c r="H3" s="355">
        <v>30</v>
      </c>
      <c r="I3" s="356">
        <v>0.13327410039982199</v>
      </c>
      <c r="J3" s="355">
        <v>70</v>
      </c>
      <c r="K3" s="356">
        <v>0.126126126126126</v>
      </c>
      <c r="L3" s="355">
        <v>75</v>
      </c>
      <c r="M3" s="356">
        <v>0.12195121951219499</v>
      </c>
      <c r="O3" s="357">
        <f t="shared" si="0"/>
        <v>80</v>
      </c>
      <c r="P3" s="357"/>
      <c r="Q3" s="357">
        <f t="shared" si="1"/>
        <v>95</v>
      </c>
      <c r="R3" s="357"/>
      <c r="S3" s="357">
        <f t="shared" si="2"/>
        <v>80</v>
      </c>
      <c r="T3" s="357"/>
      <c r="U3" s="357">
        <f t="shared" si="3"/>
        <v>30</v>
      </c>
      <c r="V3" s="357"/>
      <c r="W3" s="357">
        <f t="shared" si="4"/>
        <v>70</v>
      </c>
      <c r="X3" s="357"/>
      <c r="Y3" s="357">
        <f t="shared" si="5"/>
        <v>75</v>
      </c>
      <c r="Z3" s="358"/>
      <c r="AA3" s="359">
        <f t="shared" si="6"/>
        <v>320</v>
      </c>
      <c r="AB3" s="359"/>
      <c r="AC3" s="359">
        <f t="shared" si="7"/>
        <v>380</v>
      </c>
      <c r="AD3" s="359"/>
      <c r="AE3" s="359">
        <f t="shared" si="8"/>
        <v>320</v>
      </c>
      <c r="AF3" s="359"/>
      <c r="AG3" s="359">
        <f t="shared" si="9"/>
        <v>120</v>
      </c>
      <c r="AH3" s="359"/>
      <c r="AI3" s="359">
        <f t="shared" si="10"/>
        <v>280</v>
      </c>
      <c r="AJ3" s="359"/>
      <c r="AK3" s="359">
        <f t="shared" si="11"/>
        <v>300</v>
      </c>
    </row>
    <row r="4" spans="1:39" ht="12.75" customHeight="1" x14ac:dyDescent="0.3">
      <c r="B4" s="355">
        <v>75</v>
      </c>
      <c r="C4" s="356">
        <v>0.110294117647059</v>
      </c>
      <c r="D4" s="355">
        <v>95</v>
      </c>
      <c r="E4" s="356">
        <v>0.12582781456953601</v>
      </c>
      <c r="F4" s="355">
        <v>80</v>
      </c>
      <c r="G4" s="356">
        <v>0.13008130081300801</v>
      </c>
      <c r="H4" s="355">
        <v>0.1</v>
      </c>
      <c r="I4" s="356">
        <v>4.4424700133274098E-4</v>
      </c>
      <c r="J4" s="355">
        <v>70</v>
      </c>
      <c r="K4" s="356">
        <v>0.126126126126126</v>
      </c>
      <c r="L4" s="355">
        <v>90</v>
      </c>
      <c r="M4" s="356">
        <v>0.146341463414634</v>
      </c>
      <c r="O4" s="357">
        <f t="shared" si="0"/>
        <v>75</v>
      </c>
      <c r="P4" s="357"/>
      <c r="Q4" s="357">
        <f t="shared" si="1"/>
        <v>95</v>
      </c>
      <c r="R4" s="357"/>
      <c r="S4" s="357">
        <f t="shared" si="2"/>
        <v>80</v>
      </c>
      <c r="T4" s="357"/>
      <c r="U4" s="357">
        <f t="shared" si="3"/>
        <v>0.1</v>
      </c>
      <c r="V4" s="357"/>
      <c r="W4" s="357">
        <f t="shared" si="4"/>
        <v>70</v>
      </c>
      <c r="X4" s="357"/>
      <c r="Y4" s="357">
        <f t="shared" si="5"/>
        <v>90</v>
      </c>
      <c r="Z4" s="358"/>
      <c r="AA4" s="359">
        <f t="shared" si="6"/>
        <v>300</v>
      </c>
      <c r="AB4" s="359"/>
      <c r="AC4" s="359">
        <f t="shared" si="7"/>
        <v>380</v>
      </c>
      <c r="AD4" s="359"/>
      <c r="AE4" s="359">
        <f t="shared" si="8"/>
        <v>320</v>
      </c>
      <c r="AF4" s="359"/>
      <c r="AG4" s="359">
        <f t="shared" si="9"/>
        <v>0.4</v>
      </c>
      <c r="AH4" s="359"/>
      <c r="AI4" s="359">
        <f t="shared" si="10"/>
        <v>280</v>
      </c>
      <c r="AJ4" s="359"/>
      <c r="AK4" s="359">
        <f t="shared" si="11"/>
        <v>360</v>
      </c>
    </row>
    <row r="5" spans="1:39" ht="12.75" customHeight="1" x14ac:dyDescent="0.3">
      <c r="B5" s="355">
        <v>70</v>
      </c>
      <c r="C5" s="356">
        <v>0.10294117647058799</v>
      </c>
      <c r="D5" s="355">
        <v>95</v>
      </c>
      <c r="E5" s="356">
        <v>0.12582781456953601</v>
      </c>
      <c r="F5" s="355">
        <v>80</v>
      </c>
      <c r="G5" s="356">
        <v>0.13008130081300801</v>
      </c>
      <c r="H5" s="355">
        <v>50</v>
      </c>
      <c r="I5" s="356">
        <v>0.22212350066637099</v>
      </c>
      <c r="J5" s="355">
        <v>70</v>
      </c>
      <c r="K5" s="356">
        <v>0.126126126126126</v>
      </c>
      <c r="L5" s="355">
        <v>80</v>
      </c>
      <c r="M5" s="356">
        <v>0.13008130081300801</v>
      </c>
      <c r="O5" s="357">
        <f t="shared" si="0"/>
        <v>70</v>
      </c>
      <c r="P5" s="357"/>
      <c r="Q5" s="357">
        <f t="shared" si="1"/>
        <v>95</v>
      </c>
      <c r="R5" s="357"/>
      <c r="S5" s="357">
        <f t="shared" si="2"/>
        <v>80</v>
      </c>
      <c r="T5" s="357"/>
      <c r="U5" s="357">
        <f t="shared" si="3"/>
        <v>50</v>
      </c>
      <c r="V5" s="357"/>
      <c r="W5" s="357">
        <f t="shared" si="4"/>
        <v>70</v>
      </c>
      <c r="X5" s="357"/>
      <c r="Y5" s="357">
        <f t="shared" si="5"/>
        <v>80</v>
      </c>
      <c r="Z5" s="358"/>
      <c r="AA5" s="359">
        <f t="shared" si="6"/>
        <v>280</v>
      </c>
      <c r="AB5" s="359"/>
      <c r="AC5" s="359">
        <f t="shared" si="7"/>
        <v>380</v>
      </c>
      <c r="AD5" s="359"/>
      <c r="AE5" s="359">
        <f t="shared" si="8"/>
        <v>320</v>
      </c>
      <c r="AF5" s="359"/>
      <c r="AG5" s="359">
        <f t="shared" si="9"/>
        <v>200</v>
      </c>
      <c r="AH5" s="359"/>
      <c r="AI5" s="359">
        <f t="shared" si="10"/>
        <v>280</v>
      </c>
      <c r="AJ5" s="359"/>
      <c r="AK5" s="359">
        <f t="shared" si="11"/>
        <v>320</v>
      </c>
    </row>
    <row r="6" spans="1:39" ht="12.75" customHeight="1" x14ac:dyDescent="0.3">
      <c r="B6" s="355">
        <v>95</v>
      </c>
      <c r="C6" s="356">
        <v>0.13970588235294101</v>
      </c>
      <c r="D6" s="355">
        <v>95</v>
      </c>
      <c r="E6" s="356">
        <v>0.12582781456953601</v>
      </c>
      <c r="F6" s="355">
        <v>75</v>
      </c>
      <c r="G6" s="356">
        <v>0.12195121951219499</v>
      </c>
      <c r="H6" s="355">
        <v>30</v>
      </c>
      <c r="I6" s="356">
        <v>0.13327410039982199</v>
      </c>
      <c r="J6" s="355">
        <v>70</v>
      </c>
      <c r="K6" s="356">
        <v>0.126126126126126</v>
      </c>
      <c r="L6" s="355">
        <v>80</v>
      </c>
      <c r="M6" s="356">
        <v>0.13008130081300801</v>
      </c>
      <c r="O6" s="357">
        <f t="shared" si="0"/>
        <v>95</v>
      </c>
      <c r="P6" s="357"/>
      <c r="Q6" s="357">
        <f t="shared" si="1"/>
        <v>95</v>
      </c>
      <c r="R6" s="357"/>
      <c r="S6" s="357">
        <f t="shared" si="2"/>
        <v>75</v>
      </c>
      <c r="T6" s="357"/>
      <c r="U6" s="357">
        <f t="shared" si="3"/>
        <v>30</v>
      </c>
      <c r="V6" s="357"/>
      <c r="W6" s="357">
        <f t="shared" si="4"/>
        <v>70</v>
      </c>
      <c r="X6" s="357"/>
      <c r="Y6" s="357">
        <f t="shared" si="5"/>
        <v>80</v>
      </c>
      <c r="Z6" s="358"/>
      <c r="AA6" s="359">
        <f t="shared" si="6"/>
        <v>380</v>
      </c>
      <c r="AB6" s="359"/>
      <c r="AC6" s="359">
        <f t="shared" si="7"/>
        <v>380</v>
      </c>
      <c r="AD6" s="359"/>
      <c r="AE6" s="359">
        <f t="shared" si="8"/>
        <v>300</v>
      </c>
      <c r="AF6" s="359"/>
      <c r="AG6" s="359">
        <f t="shared" si="9"/>
        <v>120</v>
      </c>
      <c r="AH6" s="359"/>
      <c r="AI6" s="359">
        <f t="shared" si="10"/>
        <v>280</v>
      </c>
      <c r="AJ6" s="359"/>
      <c r="AK6" s="359">
        <f t="shared" si="11"/>
        <v>320</v>
      </c>
    </row>
    <row r="7" spans="1:39" ht="12.75" customHeight="1" x14ac:dyDescent="0.3">
      <c r="B7" s="355">
        <v>95</v>
      </c>
      <c r="C7" s="356">
        <v>0.13970588235294101</v>
      </c>
      <c r="D7" s="355">
        <v>95</v>
      </c>
      <c r="E7" s="356">
        <v>0.12582781456953601</v>
      </c>
      <c r="F7" s="355">
        <v>75</v>
      </c>
      <c r="G7" s="356">
        <v>0.12195121951219499</v>
      </c>
      <c r="H7" s="355">
        <v>30</v>
      </c>
      <c r="I7" s="356">
        <v>0.13327410039982199</v>
      </c>
      <c r="J7" s="355">
        <v>70</v>
      </c>
      <c r="K7" s="356">
        <v>0.126126126126126</v>
      </c>
      <c r="L7" s="355">
        <v>70</v>
      </c>
      <c r="M7" s="356">
        <v>0.113821138211382</v>
      </c>
      <c r="O7" s="357">
        <f t="shared" si="0"/>
        <v>95</v>
      </c>
      <c r="P7" s="357"/>
      <c r="Q7" s="357">
        <f t="shared" si="1"/>
        <v>95</v>
      </c>
      <c r="R7" s="357"/>
      <c r="S7" s="357">
        <f t="shared" si="2"/>
        <v>75</v>
      </c>
      <c r="T7" s="357"/>
      <c r="U7" s="357">
        <f t="shared" si="3"/>
        <v>30</v>
      </c>
      <c r="V7" s="357"/>
      <c r="W7" s="357">
        <f t="shared" si="4"/>
        <v>70</v>
      </c>
      <c r="X7" s="357"/>
      <c r="Y7" s="357">
        <f t="shared" si="5"/>
        <v>70</v>
      </c>
      <c r="Z7" s="358"/>
      <c r="AA7" s="359">
        <f t="shared" si="6"/>
        <v>380</v>
      </c>
      <c r="AB7" s="359"/>
      <c r="AC7" s="359">
        <f t="shared" si="7"/>
        <v>380</v>
      </c>
      <c r="AD7" s="359"/>
      <c r="AE7" s="359">
        <f t="shared" si="8"/>
        <v>300</v>
      </c>
      <c r="AF7" s="359"/>
      <c r="AG7" s="359">
        <f t="shared" si="9"/>
        <v>120</v>
      </c>
      <c r="AH7" s="359"/>
      <c r="AI7" s="359">
        <f t="shared" si="10"/>
        <v>280</v>
      </c>
      <c r="AJ7" s="359"/>
      <c r="AK7" s="359">
        <f t="shared" si="11"/>
        <v>280</v>
      </c>
    </row>
    <row r="8" spans="1:39" ht="12.75" customHeight="1" x14ac:dyDescent="0.3">
      <c r="B8" s="355">
        <v>80</v>
      </c>
      <c r="C8" s="356">
        <v>0.11764705882352899</v>
      </c>
      <c r="D8" s="355">
        <v>95</v>
      </c>
      <c r="E8" s="356">
        <v>0.12582781456953601</v>
      </c>
      <c r="F8" s="355">
        <v>75</v>
      </c>
      <c r="G8" s="356">
        <v>0.12195121951219499</v>
      </c>
      <c r="H8" s="355">
        <v>50</v>
      </c>
      <c r="I8" s="356">
        <v>0.22212350066637099</v>
      </c>
      <c r="J8" s="355">
        <v>70</v>
      </c>
      <c r="K8" s="356">
        <v>0.126126126126126</v>
      </c>
      <c r="L8" s="355">
        <v>80</v>
      </c>
      <c r="M8" s="356">
        <v>0.13008130081300801</v>
      </c>
      <c r="O8" s="357">
        <f t="shared" si="0"/>
        <v>80</v>
      </c>
      <c r="P8" s="357"/>
      <c r="Q8" s="357">
        <f t="shared" si="1"/>
        <v>95</v>
      </c>
      <c r="R8" s="357"/>
      <c r="S8" s="357">
        <f t="shared" si="2"/>
        <v>75</v>
      </c>
      <c r="T8" s="357"/>
      <c r="U8" s="357">
        <f t="shared" si="3"/>
        <v>50</v>
      </c>
      <c r="V8" s="357"/>
      <c r="W8" s="357">
        <f t="shared" si="4"/>
        <v>70</v>
      </c>
      <c r="X8" s="357"/>
      <c r="Y8" s="357">
        <f t="shared" si="5"/>
        <v>80</v>
      </c>
      <c r="Z8" s="358"/>
      <c r="AA8" s="359">
        <f t="shared" si="6"/>
        <v>320</v>
      </c>
      <c r="AB8" s="359"/>
      <c r="AC8" s="359">
        <f t="shared" si="7"/>
        <v>380</v>
      </c>
      <c r="AD8" s="359"/>
      <c r="AE8" s="359">
        <f t="shared" si="8"/>
        <v>300</v>
      </c>
      <c r="AF8" s="359"/>
      <c r="AG8" s="359">
        <f t="shared" si="9"/>
        <v>200</v>
      </c>
      <c r="AH8" s="359"/>
      <c r="AI8" s="359">
        <f t="shared" si="10"/>
        <v>280</v>
      </c>
      <c r="AJ8" s="359"/>
      <c r="AK8" s="359">
        <f t="shared" si="11"/>
        <v>320</v>
      </c>
    </row>
    <row r="9" spans="1:39" ht="12.75" customHeight="1" x14ac:dyDescent="0.3">
      <c r="B9" s="355">
        <v>95</v>
      </c>
      <c r="C9" s="356">
        <v>0.13970588235294101</v>
      </c>
      <c r="D9" s="355">
        <v>90</v>
      </c>
      <c r="E9" s="356">
        <v>0.119205298013245</v>
      </c>
      <c r="F9" s="355">
        <v>70</v>
      </c>
      <c r="G9" s="356">
        <v>0.113821138211382</v>
      </c>
      <c r="H9" s="355">
        <v>5</v>
      </c>
      <c r="I9" s="356">
        <v>2.2212350066637101E-2</v>
      </c>
      <c r="J9" s="355">
        <v>65</v>
      </c>
      <c r="K9" s="356">
        <v>0.117117117117117</v>
      </c>
      <c r="L9" s="355">
        <v>75</v>
      </c>
      <c r="M9" s="356">
        <v>0.12195121951219499</v>
      </c>
      <c r="O9" s="357">
        <f t="shared" si="0"/>
        <v>95</v>
      </c>
      <c r="P9" s="357"/>
      <c r="Q9" s="357">
        <f t="shared" si="1"/>
        <v>90</v>
      </c>
      <c r="R9" s="357"/>
      <c r="S9" s="357">
        <f t="shared" si="2"/>
        <v>70</v>
      </c>
      <c r="T9" s="357"/>
      <c r="U9" s="357">
        <f t="shared" si="3"/>
        <v>5</v>
      </c>
      <c r="V9" s="357"/>
      <c r="W9" s="357">
        <f t="shared" si="4"/>
        <v>65</v>
      </c>
      <c r="X9" s="357"/>
      <c r="Y9" s="357">
        <f t="shared" si="5"/>
        <v>75</v>
      </c>
      <c r="Z9" s="358"/>
      <c r="AA9" s="359">
        <f t="shared" si="6"/>
        <v>380</v>
      </c>
      <c r="AB9" s="359"/>
      <c r="AC9" s="359">
        <f t="shared" si="7"/>
        <v>360</v>
      </c>
      <c r="AD9" s="359"/>
      <c r="AE9" s="359">
        <f t="shared" si="8"/>
        <v>280</v>
      </c>
      <c r="AF9" s="359"/>
      <c r="AG9" s="359">
        <f t="shared" si="9"/>
        <v>20</v>
      </c>
      <c r="AH9" s="359"/>
      <c r="AI9" s="359">
        <f t="shared" si="10"/>
        <v>260</v>
      </c>
      <c r="AJ9" s="359"/>
      <c r="AK9" s="359">
        <f t="shared" si="11"/>
        <v>300</v>
      </c>
    </row>
    <row r="10" spans="1:39" ht="12.75" customHeight="1" x14ac:dyDescent="0.3">
      <c r="B10" s="355">
        <v>95</v>
      </c>
      <c r="C10" s="356">
        <v>0.13970588235294101</v>
      </c>
      <c r="D10" s="355">
        <v>90</v>
      </c>
      <c r="E10" s="356">
        <v>0.119205298013245</v>
      </c>
      <c r="F10" s="355">
        <v>70</v>
      </c>
      <c r="G10" s="356">
        <v>0.113821138211382</v>
      </c>
      <c r="H10" s="355">
        <v>5</v>
      </c>
      <c r="I10" s="356">
        <v>2.2212350066637101E-2</v>
      </c>
      <c r="J10" s="355">
        <v>65</v>
      </c>
      <c r="K10" s="356">
        <v>0.117117117117117</v>
      </c>
      <c r="L10" s="355">
        <v>75</v>
      </c>
      <c r="M10" s="356">
        <v>0.12195121951219499</v>
      </c>
      <c r="O10" s="357">
        <f t="shared" si="0"/>
        <v>23.75</v>
      </c>
      <c r="P10" s="357"/>
      <c r="Q10" s="357">
        <f t="shared" si="1"/>
        <v>22.5</v>
      </c>
      <c r="R10" s="357"/>
      <c r="S10" s="357">
        <f t="shared" si="2"/>
        <v>17.5</v>
      </c>
      <c r="T10" s="357"/>
      <c r="U10" s="357">
        <f t="shared" si="3"/>
        <v>1.25</v>
      </c>
      <c r="V10" s="357"/>
      <c r="W10" s="357">
        <f t="shared" si="4"/>
        <v>16.25</v>
      </c>
      <c r="X10" s="357"/>
      <c r="Y10" s="357">
        <f t="shared" si="5"/>
        <v>18.75</v>
      </c>
      <c r="Z10" s="358"/>
      <c r="AA10" s="359">
        <f>(B53+B43+B32+B21)</f>
        <v>95</v>
      </c>
      <c r="AB10" s="359"/>
      <c r="AC10" s="359">
        <f>(D53+D43+D32+D21)</f>
        <v>90</v>
      </c>
      <c r="AD10" s="359"/>
      <c r="AE10" s="359">
        <f>(F53+F43+F32+F21)</f>
        <v>70</v>
      </c>
      <c r="AF10" s="359"/>
      <c r="AG10" s="359">
        <f>(H53+H43+H32+H21)</f>
        <v>5</v>
      </c>
      <c r="AH10" s="359"/>
      <c r="AI10" s="359">
        <f>(J53+J43+J32+J21)</f>
        <v>65</v>
      </c>
      <c r="AJ10" s="359"/>
      <c r="AK10" s="359">
        <f>(L53+L43+L32+L21)</f>
        <v>75</v>
      </c>
    </row>
    <row r="11" spans="1:39" customFormat="1" ht="12.75" customHeight="1" x14ac:dyDescent="0.3">
      <c r="A11" s="352"/>
      <c r="B11" s="10"/>
      <c r="C11" s="353"/>
      <c r="D11" s="10"/>
      <c r="E11" s="353"/>
      <c r="F11" s="10"/>
      <c r="G11" s="353"/>
      <c r="H11" s="10"/>
      <c r="I11" s="353"/>
      <c r="J11" s="10"/>
      <c r="K11" s="353"/>
      <c r="L11" s="10"/>
      <c r="M11" s="353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354"/>
      <c r="AB11" s="354"/>
      <c r="AC11" s="354"/>
      <c r="AD11" s="354"/>
      <c r="AE11" s="354"/>
      <c r="AF11" s="354"/>
      <c r="AG11" s="354"/>
      <c r="AH11" s="354"/>
      <c r="AI11" s="354"/>
      <c r="AJ11" s="354"/>
      <c r="AK11" s="354"/>
      <c r="AL11" s="10"/>
    </row>
    <row r="12" spans="1:39" ht="12.75" customHeight="1" x14ac:dyDescent="0.3">
      <c r="A12" s="352" t="s">
        <v>71</v>
      </c>
      <c r="B12" s="355" t="s">
        <v>12</v>
      </c>
      <c r="C12" s="356">
        <v>680</v>
      </c>
      <c r="D12" s="355" t="s">
        <v>13</v>
      </c>
      <c r="E12" s="356">
        <v>755</v>
      </c>
      <c r="F12" s="355" t="s">
        <v>14</v>
      </c>
      <c r="G12" s="356">
        <v>615</v>
      </c>
      <c r="H12" s="355" t="s">
        <v>15</v>
      </c>
      <c r="I12" s="356">
        <v>225.1</v>
      </c>
      <c r="J12" s="355" t="s">
        <v>16</v>
      </c>
      <c r="K12" s="356">
        <v>555</v>
      </c>
      <c r="L12" s="355" t="s">
        <v>17</v>
      </c>
      <c r="M12" s="356">
        <v>615</v>
      </c>
      <c r="O12" s="357" t="s">
        <v>12</v>
      </c>
      <c r="P12" s="357"/>
      <c r="Q12" s="357" t="s">
        <v>13</v>
      </c>
      <c r="R12" s="357"/>
      <c r="S12" s="357" t="s">
        <v>14</v>
      </c>
      <c r="T12" s="357"/>
      <c r="U12" s="357" t="s">
        <v>15</v>
      </c>
      <c r="V12" s="357"/>
      <c r="W12" s="357" t="s">
        <v>16</v>
      </c>
      <c r="X12" s="357"/>
      <c r="Y12" s="357" t="s">
        <v>17</v>
      </c>
      <c r="Z12" s="358"/>
      <c r="AA12" s="359" t="s">
        <v>12</v>
      </c>
      <c r="AB12" s="359"/>
      <c r="AC12" s="359" t="s">
        <v>13</v>
      </c>
      <c r="AD12" s="359"/>
      <c r="AE12" s="359" t="s">
        <v>14</v>
      </c>
      <c r="AF12" s="359"/>
      <c r="AG12" s="359" t="s">
        <v>15</v>
      </c>
      <c r="AH12" s="359"/>
      <c r="AI12" s="359" t="s">
        <v>16</v>
      </c>
      <c r="AJ12" s="359"/>
      <c r="AK12" s="359" t="s">
        <v>17</v>
      </c>
      <c r="AM12" s="10">
        <f>AM22</f>
        <v>4</v>
      </c>
    </row>
    <row r="13" spans="1:39" ht="12.75" customHeight="1" x14ac:dyDescent="0.3">
      <c r="B13" s="355">
        <v>90</v>
      </c>
      <c r="C13" s="356">
        <v>0.13235294117647101</v>
      </c>
      <c r="D13" s="355">
        <v>95</v>
      </c>
      <c r="E13" s="356">
        <v>0.12582781456953601</v>
      </c>
      <c r="F13" s="355">
        <v>80</v>
      </c>
      <c r="G13" s="356">
        <v>0.13008130081300801</v>
      </c>
      <c r="H13" s="355">
        <v>30</v>
      </c>
      <c r="I13" s="356">
        <v>0.13327410039982199</v>
      </c>
      <c r="J13" s="355">
        <v>70</v>
      </c>
      <c r="K13" s="356">
        <v>0.126126126126126</v>
      </c>
      <c r="L13" s="355">
        <v>65</v>
      </c>
      <c r="M13" s="356">
        <v>0.105691056910569</v>
      </c>
      <c r="O13" s="357">
        <f t="shared" ref="O13:O20" si="12">AA13/$AM$166</f>
        <v>90</v>
      </c>
      <c r="P13" s="357"/>
      <c r="Q13" s="357">
        <f t="shared" ref="Q13:Q20" si="13">AC13/$AM$166</f>
        <v>95</v>
      </c>
      <c r="R13" s="357"/>
      <c r="S13" s="357">
        <f t="shared" ref="S13:S20" si="14">AE13/$AM$166</f>
        <v>80</v>
      </c>
      <c r="T13" s="357"/>
      <c r="U13" s="357">
        <f t="shared" ref="U13:U20" si="15">AG13/$AM$166</f>
        <v>30</v>
      </c>
      <c r="V13" s="357"/>
      <c r="W13" s="357">
        <f t="shared" ref="W13:W20" si="16">AI13/$AM$166</f>
        <v>70</v>
      </c>
      <c r="X13" s="357"/>
      <c r="Y13" s="357">
        <f t="shared" ref="Y13:Y20" si="17">AK13/$AM$166</f>
        <v>65</v>
      </c>
      <c r="Z13" s="358"/>
      <c r="AA13" s="359">
        <f t="shared" ref="AA13:AA20" si="18">(B56+B45+B34+B23)</f>
        <v>360</v>
      </c>
      <c r="AB13" s="359"/>
      <c r="AC13" s="359">
        <f t="shared" ref="AC13:AC20" si="19">(D56+D45+D34+D23)</f>
        <v>380</v>
      </c>
      <c r="AD13" s="359"/>
      <c r="AE13" s="359">
        <f t="shared" ref="AE13:AE20" si="20">(F56+F45+F34+F23)</f>
        <v>320</v>
      </c>
      <c r="AF13" s="359"/>
      <c r="AG13" s="359">
        <f t="shared" ref="AG13:AG20" si="21">(H56+H45+H34+H23)</f>
        <v>120</v>
      </c>
      <c r="AH13" s="359"/>
      <c r="AI13" s="359">
        <f t="shared" ref="AI13:AI20" si="22">(J56+J45+J34+J23)</f>
        <v>280</v>
      </c>
      <c r="AJ13" s="359"/>
      <c r="AK13" s="359">
        <f t="shared" ref="AK13:AK20" si="23">(L56+L45+L34+L23)</f>
        <v>260</v>
      </c>
    </row>
    <row r="14" spans="1:39" ht="12.75" customHeight="1" x14ac:dyDescent="0.3">
      <c r="B14" s="355">
        <v>80</v>
      </c>
      <c r="C14" s="356">
        <v>0.11764705882352899</v>
      </c>
      <c r="D14" s="355">
        <v>95</v>
      </c>
      <c r="E14" s="356">
        <v>0.12582781456953601</v>
      </c>
      <c r="F14" s="355">
        <v>80</v>
      </c>
      <c r="G14" s="356">
        <v>0.13008130081300801</v>
      </c>
      <c r="H14" s="355">
        <v>30</v>
      </c>
      <c r="I14" s="356">
        <v>0.13327410039982199</v>
      </c>
      <c r="J14" s="355">
        <v>70</v>
      </c>
      <c r="K14" s="356">
        <v>0.126126126126126</v>
      </c>
      <c r="L14" s="355">
        <v>75</v>
      </c>
      <c r="M14" s="356">
        <v>0.12195121951219499</v>
      </c>
      <c r="O14" s="357">
        <f t="shared" si="12"/>
        <v>80</v>
      </c>
      <c r="P14" s="357"/>
      <c r="Q14" s="357">
        <f t="shared" si="13"/>
        <v>95</v>
      </c>
      <c r="R14" s="357"/>
      <c r="S14" s="357">
        <f t="shared" si="14"/>
        <v>80</v>
      </c>
      <c r="T14" s="357"/>
      <c r="U14" s="357">
        <f t="shared" si="15"/>
        <v>30</v>
      </c>
      <c r="V14" s="357"/>
      <c r="W14" s="357">
        <f t="shared" si="16"/>
        <v>70</v>
      </c>
      <c r="X14" s="357"/>
      <c r="Y14" s="357">
        <f t="shared" si="17"/>
        <v>75</v>
      </c>
      <c r="Z14" s="358"/>
      <c r="AA14" s="359">
        <f t="shared" si="18"/>
        <v>320</v>
      </c>
      <c r="AB14" s="359"/>
      <c r="AC14" s="359">
        <f t="shared" si="19"/>
        <v>380</v>
      </c>
      <c r="AD14" s="359"/>
      <c r="AE14" s="359">
        <f t="shared" si="20"/>
        <v>320</v>
      </c>
      <c r="AF14" s="359"/>
      <c r="AG14" s="359">
        <f t="shared" si="21"/>
        <v>120</v>
      </c>
      <c r="AH14" s="359"/>
      <c r="AI14" s="359">
        <f t="shared" si="22"/>
        <v>280</v>
      </c>
      <c r="AJ14" s="359"/>
      <c r="AK14" s="359">
        <f t="shared" si="23"/>
        <v>300</v>
      </c>
    </row>
    <row r="15" spans="1:39" ht="12.75" customHeight="1" x14ac:dyDescent="0.3">
      <c r="B15" s="355">
        <v>75</v>
      </c>
      <c r="C15" s="356">
        <v>0.110294117647059</v>
      </c>
      <c r="D15" s="355">
        <v>95</v>
      </c>
      <c r="E15" s="356">
        <v>0.12582781456953601</v>
      </c>
      <c r="F15" s="355">
        <v>80</v>
      </c>
      <c r="G15" s="356">
        <v>0.13008130081300801</v>
      </c>
      <c r="H15" s="355">
        <v>0.1</v>
      </c>
      <c r="I15" s="356">
        <v>4.4424700133274098E-4</v>
      </c>
      <c r="J15" s="355">
        <v>70</v>
      </c>
      <c r="K15" s="356">
        <v>0.126126126126126</v>
      </c>
      <c r="L15" s="355">
        <v>90</v>
      </c>
      <c r="M15" s="356">
        <v>0.146341463414634</v>
      </c>
      <c r="O15" s="357">
        <f t="shared" si="12"/>
        <v>75</v>
      </c>
      <c r="P15" s="357"/>
      <c r="Q15" s="357">
        <f t="shared" si="13"/>
        <v>95</v>
      </c>
      <c r="R15" s="357"/>
      <c r="S15" s="357">
        <f t="shared" si="14"/>
        <v>80</v>
      </c>
      <c r="T15" s="357"/>
      <c r="U15" s="357">
        <f t="shared" si="15"/>
        <v>0.1</v>
      </c>
      <c r="V15" s="357"/>
      <c r="W15" s="357">
        <f t="shared" si="16"/>
        <v>70</v>
      </c>
      <c r="X15" s="357"/>
      <c r="Y15" s="357">
        <f t="shared" si="17"/>
        <v>90</v>
      </c>
      <c r="Z15" s="358"/>
      <c r="AA15" s="359">
        <f t="shared" si="18"/>
        <v>300</v>
      </c>
      <c r="AB15" s="359"/>
      <c r="AC15" s="359">
        <f t="shared" si="19"/>
        <v>380</v>
      </c>
      <c r="AD15" s="359"/>
      <c r="AE15" s="359">
        <f t="shared" si="20"/>
        <v>320</v>
      </c>
      <c r="AF15" s="359"/>
      <c r="AG15" s="359">
        <f t="shared" si="21"/>
        <v>0.4</v>
      </c>
      <c r="AH15" s="359"/>
      <c r="AI15" s="359">
        <f t="shared" si="22"/>
        <v>280</v>
      </c>
      <c r="AJ15" s="359"/>
      <c r="AK15" s="359">
        <f t="shared" si="23"/>
        <v>360</v>
      </c>
    </row>
    <row r="16" spans="1:39" ht="12.75" customHeight="1" x14ac:dyDescent="0.3">
      <c r="B16" s="355">
        <v>70</v>
      </c>
      <c r="C16" s="356">
        <v>0.10294117647058799</v>
      </c>
      <c r="D16" s="355">
        <v>95</v>
      </c>
      <c r="E16" s="356">
        <v>0.12582781456953601</v>
      </c>
      <c r="F16" s="355">
        <v>80</v>
      </c>
      <c r="G16" s="356">
        <v>0.13008130081300801</v>
      </c>
      <c r="H16" s="355">
        <v>50</v>
      </c>
      <c r="I16" s="356">
        <v>0.22212350066637099</v>
      </c>
      <c r="J16" s="355">
        <v>70</v>
      </c>
      <c r="K16" s="356">
        <v>0.126126126126126</v>
      </c>
      <c r="L16" s="355">
        <v>80</v>
      </c>
      <c r="M16" s="356">
        <v>0.13008130081300801</v>
      </c>
      <c r="O16" s="357">
        <f t="shared" si="12"/>
        <v>70</v>
      </c>
      <c r="P16" s="357"/>
      <c r="Q16" s="357">
        <f t="shared" si="13"/>
        <v>95</v>
      </c>
      <c r="R16" s="357"/>
      <c r="S16" s="357">
        <f t="shared" si="14"/>
        <v>80</v>
      </c>
      <c r="T16" s="357"/>
      <c r="U16" s="357">
        <f t="shared" si="15"/>
        <v>50</v>
      </c>
      <c r="V16" s="357"/>
      <c r="W16" s="357">
        <f t="shared" si="16"/>
        <v>70</v>
      </c>
      <c r="X16" s="357"/>
      <c r="Y16" s="357">
        <f t="shared" si="17"/>
        <v>80</v>
      </c>
      <c r="Z16" s="358"/>
      <c r="AA16" s="359">
        <f t="shared" si="18"/>
        <v>280</v>
      </c>
      <c r="AB16" s="359"/>
      <c r="AC16" s="359">
        <f t="shared" si="19"/>
        <v>380</v>
      </c>
      <c r="AD16" s="359"/>
      <c r="AE16" s="359">
        <f t="shared" si="20"/>
        <v>320</v>
      </c>
      <c r="AF16" s="359"/>
      <c r="AG16" s="359">
        <f t="shared" si="21"/>
        <v>200</v>
      </c>
      <c r="AH16" s="359"/>
      <c r="AI16" s="359">
        <f t="shared" si="22"/>
        <v>280</v>
      </c>
      <c r="AJ16" s="359"/>
      <c r="AK16" s="359">
        <f t="shared" si="23"/>
        <v>320</v>
      </c>
    </row>
    <row r="17" spans="1:39" ht="12.75" customHeight="1" x14ac:dyDescent="0.3">
      <c r="B17" s="355">
        <v>95</v>
      </c>
      <c r="C17" s="356">
        <v>0.13970588235294101</v>
      </c>
      <c r="D17" s="355">
        <v>95</v>
      </c>
      <c r="E17" s="356">
        <v>0.12582781456953601</v>
      </c>
      <c r="F17" s="355">
        <v>75</v>
      </c>
      <c r="G17" s="356">
        <v>0.12195121951219499</v>
      </c>
      <c r="H17" s="355">
        <v>30</v>
      </c>
      <c r="I17" s="356">
        <v>0.13327410039982199</v>
      </c>
      <c r="J17" s="355">
        <v>70</v>
      </c>
      <c r="K17" s="356">
        <v>0.126126126126126</v>
      </c>
      <c r="L17" s="355">
        <v>80</v>
      </c>
      <c r="M17" s="356">
        <v>0.13008130081300801</v>
      </c>
      <c r="O17" s="357">
        <f t="shared" si="12"/>
        <v>95</v>
      </c>
      <c r="P17" s="357"/>
      <c r="Q17" s="357">
        <f t="shared" si="13"/>
        <v>95</v>
      </c>
      <c r="R17" s="357"/>
      <c r="S17" s="357">
        <f t="shared" si="14"/>
        <v>75</v>
      </c>
      <c r="T17" s="357"/>
      <c r="U17" s="357">
        <f t="shared" si="15"/>
        <v>30</v>
      </c>
      <c r="V17" s="357"/>
      <c r="W17" s="357">
        <f t="shared" si="16"/>
        <v>70</v>
      </c>
      <c r="X17" s="357"/>
      <c r="Y17" s="357">
        <f t="shared" si="17"/>
        <v>80</v>
      </c>
      <c r="Z17" s="358"/>
      <c r="AA17" s="359">
        <f t="shared" si="18"/>
        <v>380</v>
      </c>
      <c r="AB17" s="359"/>
      <c r="AC17" s="359">
        <f t="shared" si="19"/>
        <v>380</v>
      </c>
      <c r="AD17" s="359"/>
      <c r="AE17" s="359">
        <f t="shared" si="20"/>
        <v>300</v>
      </c>
      <c r="AF17" s="359"/>
      <c r="AG17" s="359">
        <f t="shared" si="21"/>
        <v>120</v>
      </c>
      <c r="AH17" s="359"/>
      <c r="AI17" s="359">
        <f t="shared" si="22"/>
        <v>280</v>
      </c>
      <c r="AJ17" s="359"/>
      <c r="AK17" s="359">
        <f t="shared" si="23"/>
        <v>320</v>
      </c>
    </row>
    <row r="18" spans="1:39" ht="12.75" customHeight="1" x14ac:dyDescent="0.3">
      <c r="B18" s="355">
        <v>95</v>
      </c>
      <c r="C18" s="356">
        <v>0.13970588235294101</v>
      </c>
      <c r="D18" s="355">
        <v>95</v>
      </c>
      <c r="E18" s="356">
        <v>0.12582781456953601</v>
      </c>
      <c r="F18" s="355">
        <v>75</v>
      </c>
      <c r="G18" s="356">
        <v>0.12195121951219499</v>
      </c>
      <c r="H18" s="355">
        <v>30</v>
      </c>
      <c r="I18" s="356">
        <v>0.13327410039982199</v>
      </c>
      <c r="J18" s="355">
        <v>70</v>
      </c>
      <c r="K18" s="356">
        <v>0.126126126126126</v>
      </c>
      <c r="L18" s="355">
        <v>70</v>
      </c>
      <c r="M18" s="356">
        <v>0.113821138211382</v>
      </c>
      <c r="O18" s="357">
        <f t="shared" si="12"/>
        <v>95</v>
      </c>
      <c r="P18" s="357"/>
      <c r="Q18" s="357">
        <f t="shared" si="13"/>
        <v>95</v>
      </c>
      <c r="R18" s="357"/>
      <c r="S18" s="357">
        <f t="shared" si="14"/>
        <v>75</v>
      </c>
      <c r="T18" s="357"/>
      <c r="U18" s="357">
        <f t="shared" si="15"/>
        <v>30</v>
      </c>
      <c r="V18" s="357"/>
      <c r="W18" s="357">
        <f t="shared" si="16"/>
        <v>70</v>
      </c>
      <c r="X18" s="357"/>
      <c r="Y18" s="357">
        <f t="shared" si="17"/>
        <v>70</v>
      </c>
      <c r="Z18" s="358"/>
      <c r="AA18" s="359">
        <f t="shared" si="18"/>
        <v>380</v>
      </c>
      <c r="AB18" s="359"/>
      <c r="AC18" s="359">
        <f t="shared" si="19"/>
        <v>380</v>
      </c>
      <c r="AD18" s="359"/>
      <c r="AE18" s="359">
        <f t="shared" si="20"/>
        <v>300</v>
      </c>
      <c r="AF18" s="359"/>
      <c r="AG18" s="359">
        <f t="shared" si="21"/>
        <v>120</v>
      </c>
      <c r="AH18" s="359"/>
      <c r="AI18" s="359">
        <f t="shared" si="22"/>
        <v>280</v>
      </c>
      <c r="AJ18" s="359"/>
      <c r="AK18" s="359">
        <f t="shared" si="23"/>
        <v>280</v>
      </c>
    </row>
    <row r="19" spans="1:39" ht="12.75" customHeight="1" x14ac:dyDescent="0.3">
      <c r="B19" s="355">
        <v>80</v>
      </c>
      <c r="C19" s="356">
        <v>0.11764705882352899</v>
      </c>
      <c r="D19" s="355">
        <v>95</v>
      </c>
      <c r="E19" s="356">
        <v>0.12582781456953601</v>
      </c>
      <c r="F19" s="355">
        <v>75</v>
      </c>
      <c r="G19" s="356">
        <v>0.12195121951219499</v>
      </c>
      <c r="H19" s="355">
        <v>50</v>
      </c>
      <c r="I19" s="356">
        <v>0.22212350066637099</v>
      </c>
      <c r="J19" s="355">
        <v>70</v>
      </c>
      <c r="K19" s="356">
        <v>0.126126126126126</v>
      </c>
      <c r="L19" s="355">
        <v>80</v>
      </c>
      <c r="M19" s="356">
        <v>0.13008130081300801</v>
      </c>
      <c r="O19" s="357">
        <f t="shared" si="12"/>
        <v>80</v>
      </c>
      <c r="P19" s="357"/>
      <c r="Q19" s="357">
        <f t="shared" si="13"/>
        <v>95</v>
      </c>
      <c r="R19" s="357"/>
      <c r="S19" s="357">
        <f t="shared" si="14"/>
        <v>75</v>
      </c>
      <c r="T19" s="357"/>
      <c r="U19" s="357">
        <f t="shared" si="15"/>
        <v>50</v>
      </c>
      <c r="V19" s="357"/>
      <c r="W19" s="357">
        <f t="shared" si="16"/>
        <v>70</v>
      </c>
      <c r="X19" s="357"/>
      <c r="Y19" s="357">
        <f t="shared" si="17"/>
        <v>80</v>
      </c>
      <c r="Z19" s="358"/>
      <c r="AA19" s="359">
        <f t="shared" si="18"/>
        <v>320</v>
      </c>
      <c r="AB19" s="359"/>
      <c r="AC19" s="359">
        <f t="shared" si="19"/>
        <v>380</v>
      </c>
      <c r="AD19" s="359"/>
      <c r="AE19" s="359">
        <f t="shared" si="20"/>
        <v>300</v>
      </c>
      <c r="AF19" s="359"/>
      <c r="AG19" s="359">
        <f t="shared" si="21"/>
        <v>200</v>
      </c>
      <c r="AH19" s="359"/>
      <c r="AI19" s="359">
        <f t="shared" si="22"/>
        <v>280</v>
      </c>
      <c r="AJ19" s="359"/>
      <c r="AK19" s="359">
        <f t="shared" si="23"/>
        <v>320</v>
      </c>
    </row>
    <row r="20" spans="1:39" ht="12.75" customHeight="1" x14ac:dyDescent="0.3">
      <c r="B20" s="355">
        <v>95</v>
      </c>
      <c r="C20" s="356">
        <v>0.13970588235294101</v>
      </c>
      <c r="D20" s="355">
        <v>90</v>
      </c>
      <c r="E20" s="356">
        <v>0.119205298013245</v>
      </c>
      <c r="F20" s="355">
        <v>70</v>
      </c>
      <c r="G20" s="356">
        <v>0.113821138211382</v>
      </c>
      <c r="H20" s="355">
        <v>5</v>
      </c>
      <c r="I20" s="356">
        <v>2.2212350066637101E-2</v>
      </c>
      <c r="J20" s="355">
        <v>65</v>
      </c>
      <c r="K20" s="356">
        <v>0.117117117117117</v>
      </c>
      <c r="L20" s="355">
        <v>75</v>
      </c>
      <c r="M20" s="356">
        <v>0.12195121951219499</v>
      </c>
      <c r="O20" s="357">
        <f t="shared" si="12"/>
        <v>95</v>
      </c>
      <c r="P20" s="357"/>
      <c r="Q20" s="357">
        <f t="shared" si="13"/>
        <v>90</v>
      </c>
      <c r="R20" s="357"/>
      <c r="S20" s="357">
        <f t="shared" si="14"/>
        <v>70</v>
      </c>
      <c r="T20" s="357"/>
      <c r="U20" s="357">
        <f t="shared" si="15"/>
        <v>5</v>
      </c>
      <c r="V20" s="357"/>
      <c r="W20" s="357">
        <f t="shared" si="16"/>
        <v>65</v>
      </c>
      <c r="X20" s="357"/>
      <c r="Y20" s="357">
        <f t="shared" si="17"/>
        <v>75</v>
      </c>
      <c r="Z20" s="358"/>
      <c r="AA20" s="359">
        <f t="shared" si="18"/>
        <v>380</v>
      </c>
      <c r="AB20" s="359"/>
      <c r="AC20" s="359">
        <f t="shared" si="19"/>
        <v>360</v>
      </c>
      <c r="AD20" s="359"/>
      <c r="AE20" s="359">
        <f t="shared" si="20"/>
        <v>280</v>
      </c>
      <c r="AF20" s="359"/>
      <c r="AG20" s="359">
        <f t="shared" si="21"/>
        <v>20</v>
      </c>
      <c r="AH20" s="359"/>
      <c r="AI20" s="359">
        <f t="shared" si="22"/>
        <v>260</v>
      </c>
      <c r="AJ20" s="359"/>
      <c r="AK20" s="359">
        <f t="shared" si="23"/>
        <v>300</v>
      </c>
    </row>
    <row r="21" spans="1:39" customFormat="1" ht="12.75" customHeight="1" x14ac:dyDescent="0.3">
      <c r="A21" s="352"/>
      <c r="B21" s="10"/>
      <c r="C21" s="353"/>
      <c r="D21" s="10"/>
      <c r="E21" s="353"/>
      <c r="F21" s="10"/>
      <c r="G21" s="353"/>
      <c r="H21" s="10"/>
      <c r="I21" s="353"/>
      <c r="J21" s="10"/>
      <c r="K21" s="353"/>
      <c r="L21" s="10"/>
      <c r="M21" s="353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354"/>
      <c r="AB21" s="354"/>
      <c r="AC21" s="354"/>
      <c r="AD21" s="354"/>
      <c r="AE21" s="354"/>
      <c r="AF21" s="354"/>
      <c r="AG21" s="354"/>
      <c r="AH21" s="354"/>
      <c r="AI21" s="354"/>
      <c r="AJ21" s="354"/>
      <c r="AK21" s="354"/>
      <c r="AL21" s="10"/>
    </row>
    <row r="22" spans="1:39" ht="12.75" customHeight="1" x14ac:dyDescent="0.3">
      <c r="A22" s="352" t="s">
        <v>72</v>
      </c>
      <c r="B22" s="355" t="s">
        <v>12</v>
      </c>
      <c r="C22" s="356">
        <v>680</v>
      </c>
      <c r="D22" s="355" t="s">
        <v>13</v>
      </c>
      <c r="E22" s="356">
        <v>755</v>
      </c>
      <c r="F22" s="355" t="s">
        <v>14</v>
      </c>
      <c r="G22" s="356">
        <v>615</v>
      </c>
      <c r="H22" s="355" t="s">
        <v>15</v>
      </c>
      <c r="I22" s="356">
        <v>225.1</v>
      </c>
      <c r="J22" s="355" t="s">
        <v>16</v>
      </c>
      <c r="K22" s="356">
        <v>555</v>
      </c>
      <c r="L22" s="355" t="s">
        <v>17</v>
      </c>
      <c r="M22" s="356">
        <v>615</v>
      </c>
      <c r="O22" s="357" t="s">
        <v>12</v>
      </c>
      <c r="P22" s="357"/>
      <c r="Q22" s="357" t="s">
        <v>13</v>
      </c>
      <c r="R22" s="357"/>
      <c r="S22" s="357" t="s">
        <v>14</v>
      </c>
      <c r="T22" s="357"/>
      <c r="U22" s="357" t="s">
        <v>15</v>
      </c>
      <c r="V22" s="357"/>
      <c r="W22" s="357" t="s">
        <v>16</v>
      </c>
      <c r="X22" s="357"/>
      <c r="Y22" s="357" t="s">
        <v>17</v>
      </c>
      <c r="Z22" s="358"/>
      <c r="AA22" s="359" t="s">
        <v>12</v>
      </c>
      <c r="AB22" s="359"/>
      <c r="AC22" s="359" t="s">
        <v>13</v>
      </c>
      <c r="AD22" s="359"/>
      <c r="AE22" s="359" t="s">
        <v>14</v>
      </c>
      <c r="AF22" s="359"/>
      <c r="AG22" s="359" t="s">
        <v>15</v>
      </c>
      <c r="AH22" s="359"/>
      <c r="AI22" s="359" t="s">
        <v>16</v>
      </c>
      <c r="AJ22" s="359"/>
      <c r="AK22" s="359" t="s">
        <v>17</v>
      </c>
      <c r="AM22" s="10">
        <f>AM33</f>
        <v>4</v>
      </c>
    </row>
    <row r="23" spans="1:39" ht="12.75" customHeight="1" x14ac:dyDescent="0.3">
      <c r="B23" s="355">
        <v>90</v>
      </c>
      <c r="C23" s="356">
        <v>0.13235294117647101</v>
      </c>
      <c r="D23" s="355">
        <v>95</v>
      </c>
      <c r="E23" s="356">
        <v>0.12582781456953601</v>
      </c>
      <c r="F23" s="355">
        <v>80</v>
      </c>
      <c r="G23" s="356">
        <v>0.13008130081300801</v>
      </c>
      <c r="H23" s="355">
        <v>30</v>
      </c>
      <c r="I23" s="356">
        <v>0.13327410039982199</v>
      </c>
      <c r="J23" s="355">
        <v>70</v>
      </c>
      <c r="K23" s="356">
        <v>0.126126126126126</v>
      </c>
      <c r="L23" s="355">
        <v>65</v>
      </c>
      <c r="M23" s="356">
        <v>0.105691056910569</v>
      </c>
      <c r="O23" s="357">
        <f t="shared" ref="O23:O31" si="24">AA23/$AM$166</f>
        <v>82.5</v>
      </c>
      <c r="P23" s="357"/>
      <c r="Q23" s="357">
        <f t="shared" ref="Q23:Q31" si="25">AC23/$AM$166</f>
        <v>83.75</v>
      </c>
      <c r="R23" s="357"/>
      <c r="S23" s="357">
        <f t="shared" ref="S23:S31" si="26">AE23/$AM$166</f>
        <v>75</v>
      </c>
      <c r="T23" s="357"/>
      <c r="U23" s="357">
        <f t="shared" ref="U23:U31" si="27">AG23/$AM$166</f>
        <v>23.75</v>
      </c>
      <c r="V23" s="357"/>
      <c r="W23" s="357">
        <f t="shared" ref="W23:W31" si="28">AI23/$AM$166</f>
        <v>68.75</v>
      </c>
      <c r="X23" s="357"/>
      <c r="Y23" s="357">
        <f t="shared" ref="Y23:Y31" si="29">AK23/$AM$166</f>
        <v>53.75</v>
      </c>
      <c r="Z23" s="358"/>
      <c r="AA23" s="359">
        <f t="shared" ref="AA23:AA31" si="30">(B67+B56+B45+B34)</f>
        <v>330</v>
      </c>
      <c r="AB23" s="359"/>
      <c r="AC23" s="359">
        <f t="shared" ref="AC23:AC31" si="31">(D67+D56+D45+D34)</f>
        <v>335</v>
      </c>
      <c r="AD23" s="359"/>
      <c r="AE23" s="359">
        <f t="shared" ref="AE23:AE31" si="32">(F67+F56+F45+F34)</f>
        <v>300</v>
      </c>
      <c r="AF23" s="359"/>
      <c r="AG23" s="359">
        <f t="shared" ref="AG23:AG31" si="33">(H67+H56+H45+H34)</f>
        <v>95</v>
      </c>
      <c r="AH23" s="359"/>
      <c r="AI23" s="359">
        <f t="shared" ref="AI23:AI31" si="34">(J67+J56+J45+J34)</f>
        <v>275</v>
      </c>
      <c r="AJ23" s="359"/>
      <c r="AK23" s="359">
        <f t="shared" ref="AK23:AK31" si="35">(L67+L56+L45+L34)</f>
        <v>215</v>
      </c>
    </row>
    <row r="24" spans="1:39" ht="12.75" customHeight="1" x14ac:dyDescent="0.3">
      <c r="B24" s="355">
        <v>80</v>
      </c>
      <c r="C24" s="356">
        <v>0.11764705882352899</v>
      </c>
      <c r="D24" s="355">
        <v>95</v>
      </c>
      <c r="E24" s="356">
        <v>0.12582781456953601</v>
      </c>
      <c r="F24" s="355">
        <v>80</v>
      </c>
      <c r="G24" s="356">
        <v>0.13008130081300801</v>
      </c>
      <c r="H24" s="355">
        <v>30</v>
      </c>
      <c r="I24" s="356">
        <v>0.13327410039982199</v>
      </c>
      <c r="J24" s="355">
        <v>70</v>
      </c>
      <c r="K24" s="356">
        <v>0.126126126126126</v>
      </c>
      <c r="L24" s="355">
        <v>75</v>
      </c>
      <c r="M24" s="356">
        <v>0.12195121951219499</v>
      </c>
      <c r="O24" s="357">
        <f t="shared" si="24"/>
        <v>75</v>
      </c>
      <c r="P24" s="357"/>
      <c r="Q24" s="357">
        <f t="shared" si="25"/>
        <v>83.75</v>
      </c>
      <c r="R24" s="357"/>
      <c r="S24" s="357">
        <f t="shared" si="26"/>
        <v>75</v>
      </c>
      <c r="T24" s="357"/>
      <c r="U24" s="357">
        <f t="shared" si="27"/>
        <v>23</v>
      </c>
      <c r="V24" s="357"/>
      <c r="W24" s="357">
        <f t="shared" si="28"/>
        <v>67.5</v>
      </c>
      <c r="X24" s="357"/>
      <c r="Y24" s="357">
        <f t="shared" si="29"/>
        <v>61.25</v>
      </c>
      <c r="Z24" s="358"/>
      <c r="AA24" s="359">
        <f t="shared" si="30"/>
        <v>300</v>
      </c>
      <c r="AB24" s="359"/>
      <c r="AC24" s="359">
        <f t="shared" si="31"/>
        <v>335</v>
      </c>
      <c r="AD24" s="359"/>
      <c r="AE24" s="359">
        <f t="shared" si="32"/>
        <v>300</v>
      </c>
      <c r="AF24" s="359"/>
      <c r="AG24" s="359">
        <f t="shared" si="33"/>
        <v>92</v>
      </c>
      <c r="AH24" s="359"/>
      <c r="AI24" s="359">
        <f t="shared" si="34"/>
        <v>270</v>
      </c>
      <c r="AJ24" s="359"/>
      <c r="AK24" s="359">
        <f t="shared" si="35"/>
        <v>245</v>
      </c>
    </row>
    <row r="25" spans="1:39" ht="12.75" customHeight="1" x14ac:dyDescent="0.3">
      <c r="B25" s="355">
        <v>75</v>
      </c>
      <c r="C25" s="356">
        <v>0.110294117647059</v>
      </c>
      <c r="D25" s="355">
        <v>95</v>
      </c>
      <c r="E25" s="356">
        <v>0.12582781456953601</v>
      </c>
      <c r="F25" s="355">
        <v>80</v>
      </c>
      <c r="G25" s="356">
        <v>0.13008130081300801</v>
      </c>
      <c r="H25" s="355">
        <v>0.1</v>
      </c>
      <c r="I25" s="356">
        <v>4.4424700133274098E-4</v>
      </c>
      <c r="J25" s="355">
        <v>70</v>
      </c>
      <c r="K25" s="356">
        <v>0.126126126126126</v>
      </c>
      <c r="L25" s="355">
        <v>90</v>
      </c>
      <c r="M25" s="356">
        <v>0.146341463414634</v>
      </c>
      <c r="O25" s="357">
        <f t="shared" si="24"/>
        <v>71.25</v>
      </c>
      <c r="P25" s="357"/>
      <c r="Q25" s="357">
        <f t="shared" si="25"/>
        <v>83.75</v>
      </c>
      <c r="R25" s="357"/>
      <c r="S25" s="357">
        <f t="shared" si="26"/>
        <v>75</v>
      </c>
      <c r="T25" s="357"/>
      <c r="U25" s="357">
        <f t="shared" si="27"/>
        <v>1.3249999999999997</v>
      </c>
      <c r="V25" s="357"/>
      <c r="W25" s="357">
        <f t="shared" si="28"/>
        <v>67.5</v>
      </c>
      <c r="X25" s="357"/>
      <c r="Y25" s="357">
        <f t="shared" si="29"/>
        <v>75</v>
      </c>
      <c r="Z25" s="358"/>
      <c r="AA25" s="359">
        <f t="shared" si="30"/>
        <v>285</v>
      </c>
      <c r="AB25" s="359"/>
      <c r="AC25" s="359">
        <f t="shared" si="31"/>
        <v>335</v>
      </c>
      <c r="AD25" s="359"/>
      <c r="AE25" s="359">
        <f t="shared" si="32"/>
        <v>300</v>
      </c>
      <c r="AF25" s="359"/>
      <c r="AG25" s="359">
        <f t="shared" si="33"/>
        <v>5.2999999999999989</v>
      </c>
      <c r="AH25" s="359"/>
      <c r="AI25" s="359">
        <f t="shared" si="34"/>
        <v>270</v>
      </c>
      <c r="AJ25" s="359"/>
      <c r="AK25" s="359">
        <f t="shared" si="35"/>
        <v>300</v>
      </c>
    </row>
    <row r="26" spans="1:39" ht="12.75" customHeight="1" x14ac:dyDescent="0.3">
      <c r="B26" s="355">
        <v>70</v>
      </c>
      <c r="C26" s="356">
        <v>0.10294117647058799</v>
      </c>
      <c r="D26" s="355">
        <v>95</v>
      </c>
      <c r="E26" s="356">
        <v>0.12582781456953601</v>
      </c>
      <c r="F26" s="355">
        <v>80</v>
      </c>
      <c r="G26" s="356">
        <v>0.13008130081300801</v>
      </c>
      <c r="H26" s="355">
        <v>50</v>
      </c>
      <c r="I26" s="356">
        <v>0.22212350066637099</v>
      </c>
      <c r="J26" s="355">
        <v>70</v>
      </c>
      <c r="K26" s="356">
        <v>0.126126126126126</v>
      </c>
      <c r="L26" s="355">
        <v>80</v>
      </c>
      <c r="M26" s="356">
        <v>0.13008130081300801</v>
      </c>
      <c r="O26" s="357">
        <f t="shared" si="24"/>
        <v>67.5</v>
      </c>
      <c r="P26" s="357"/>
      <c r="Q26" s="357">
        <f t="shared" si="25"/>
        <v>83.75</v>
      </c>
      <c r="R26" s="357"/>
      <c r="S26" s="357">
        <f t="shared" si="26"/>
        <v>76.25</v>
      </c>
      <c r="T26" s="357"/>
      <c r="U26" s="357">
        <f t="shared" si="27"/>
        <v>38.75</v>
      </c>
      <c r="V26" s="357"/>
      <c r="W26" s="357">
        <f t="shared" si="28"/>
        <v>67.5</v>
      </c>
      <c r="X26" s="357"/>
      <c r="Y26" s="357">
        <f t="shared" si="29"/>
        <v>65</v>
      </c>
      <c r="Z26" s="358"/>
      <c r="AA26" s="359">
        <f t="shared" si="30"/>
        <v>270</v>
      </c>
      <c r="AB26" s="359"/>
      <c r="AC26" s="359">
        <f t="shared" si="31"/>
        <v>335</v>
      </c>
      <c r="AD26" s="359"/>
      <c r="AE26" s="359">
        <f t="shared" si="32"/>
        <v>305</v>
      </c>
      <c r="AF26" s="359"/>
      <c r="AG26" s="359">
        <f t="shared" si="33"/>
        <v>155</v>
      </c>
      <c r="AH26" s="359"/>
      <c r="AI26" s="359">
        <f t="shared" si="34"/>
        <v>270</v>
      </c>
      <c r="AJ26" s="359"/>
      <c r="AK26" s="359">
        <f t="shared" si="35"/>
        <v>260</v>
      </c>
    </row>
    <row r="27" spans="1:39" ht="12.75" customHeight="1" x14ac:dyDescent="0.3">
      <c r="B27" s="355">
        <v>95</v>
      </c>
      <c r="C27" s="356">
        <v>0.13970588235294101</v>
      </c>
      <c r="D27" s="355">
        <v>95</v>
      </c>
      <c r="E27" s="356">
        <v>0.12582781456953601</v>
      </c>
      <c r="F27" s="355">
        <v>75</v>
      </c>
      <c r="G27" s="356">
        <v>0.12195121951219499</v>
      </c>
      <c r="H27" s="355">
        <v>30</v>
      </c>
      <c r="I27" s="356">
        <v>0.13327410039982199</v>
      </c>
      <c r="J27" s="355">
        <v>70</v>
      </c>
      <c r="K27" s="356">
        <v>0.126126126126126</v>
      </c>
      <c r="L27" s="355">
        <v>80</v>
      </c>
      <c r="M27" s="356">
        <v>0.13008130081300801</v>
      </c>
      <c r="O27" s="357">
        <f t="shared" si="24"/>
        <v>86.25</v>
      </c>
      <c r="P27" s="357"/>
      <c r="Q27" s="357">
        <f t="shared" si="25"/>
        <v>83.75</v>
      </c>
      <c r="R27" s="357"/>
      <c r="S27" s="357">
        <f t="shared" si="26"/>
        <v>71.25</v>
      </c>
      <c r="T27" s="357"/>
      <c r="U27" s="357">
        <f t="shared" si="27"/>
        <v>23</v>
      </c>
      <c r="V27" s="357"/>
      <c r="W27" s="357">
        <f t="shared" si="28"/>
        <v>67.5</v>
      </c>
      <c r="X27" s="357"/>
      <c r="Y27" s="357">
        <f t="shared" si="29"/>
        <v>65</v>
      </c>
      <c r="Z27" s="358"/>
      <c r="AA27" s="359">
        <f t="shared" si="30"/>
        <v>345</v>
      </c>
      <c r="AB27" s="359"/>
      <c r="AC27" s="359">
        <f t="shared" si="31"/>
        <v>335</v>
      </c>
      <c r="AD27" s="359"/>
      <c r="AE27" s="359">
        <f t="shared" si="32"/>
        <v>285</v>
      </c>
      <c r="AF27" s="359"/>
      <c r="AG27" s="359">
        <f t="shared" si="33"/>
        <v>92</v>
      </c>
      <c r="AH27" s="359"/>
      <c r="AI27" s="359">
        <f t="shared" si="34"/>
        <v>270</v>
      </c>
      <c r="AJ27" s="359"/>
      <c r="AK27" s="359">
        <f t="shared" si="35"/>
        <v>260</v>
      </c>
    </row>
    <row r="28" spans="1:39" ht="12.75" customHeight="1" x14ac:dyDescent="0.3">
      <c r="B28" s="355">
        <v>95</v>
      </c>
      <c r="C28" s="356">
        <v>0.13970588235294101</v>
      </c>
      <c r="D28" s="355">
        <v>95</v>
      </c>
      <c r="E28" s="356">
        <v>0.12582781456953601</v>
      </c>
      <c r="F28" s="355">
        <v>75</v>
      </c>
      <c r="G28" s="356">
        <v>0.12195121951219499</v>
      </c>
      <c r="H28" s="355">
        <v>30</v>
      </c>
      <c r="I28" s="356">
        <v>0.13327410039982199</v>
      </c>
      <c r="J28" s="355">
        <v>70</v>
      </c>
      <c r="K28" s="356">
        <v>0.126126126126126</v>
      </c>
      <c r="L28" s="355">
        <v>70</v>
      </c>
      <c r="M28" s="356">
        <v>0.113821138211382</v>
      </c>
      <c r="O28" s="357">
        <f t="shared" si="24"/>
        <v>83.75</v>
      </c>
      <c r="P28" s="357"/>
      <c r="Q28" s="357">
        <f t="shared" si="25"/>
        <v>81.25</v>
      </c>
      <c r="R28" s="357"/>
      <c r="S28" s="357">
        <f t="shared" si="26"/>
        <v>71.25</v>
      </c>
      <c r="T28" s="357"/>
      <c r="U28" s="357">
        <f t="shared" si="27"/>
        <v>23.75</v>
      </c>
      <c r="V28" s="357"/>
      <c r="W28" s="357">
        <f t="shared" si="28"/>
        <v>67.5</v>
      </c>
      <c r="X28" s="357"/>
      <c r="Y28" s="357">
        <f t="shared" si="29"/>
        <v>57.5</v>
      </c>
      <c r="Z28" s="358"/>
      <c r="AA28" s="359">
        <f t="shared" si="30"/>
        <v>335</v>
      </c>
      <c r="AB28" s="359"/>
      <c r="AC28" s="359">
        <f t="shared" si="31"/>
        <v>325</v>
      </c>
      <c r="AD28" s="359"/>
      <c r="AE28" s="359">
        <f t="shared" si="32"/>
        <v>285</v>
      </c>
      <c r="AF28" s="359"/>
      <c r="AG28" s="359">
        <f t="shared" si="33"/>
        <v>95</v>
      </c>
      <c r="AH28" s="359"/>
      <c r="AI28" s="359">
        <f t="shared" si="34"/>
        <v>270</v>
      </c>
      <c r="AJ28" s="359"/>
      <c r="AK28" s="359">
        <f t="shared" si="35"/>
        <v>230</v>
      </c>
    </row>
    <row r="29" spans="1:39" ht="12.75" customHeight="1" x14ac:dyDescent="0.3">
      <c r="B29" s="355">
        <v>80</v>
      </c>
      <c r="C29" s="356">
        <v>0.11764705882352899</v>
      </c>
      <c r="D29" s="355">
        <v>95</v>
      </c>
      <c r="E29" s="356">
        <v>0.12582781456953601</v>
      </c>
      <c r="F29" s="355">
        <v>75</v>
      </c>
      <c r="G29" s="356">
        <v>0.12195121951219499</v>
      </c>
      <c r="H29" s="355">
        <v>50</v>
      </c>
      <c r="I29" s="356">
        <v>0.22212350066637099</v>
      </c>
      <c r="J29" s="355">
        <v>70</v>
      </c>
      <c r="K29" s="356">
        <v>0.126126126126126</v>
      </c>
      <c r="L29" s="355">
        <v>80</v>
      </c>
      <c r="M29" s="356">
        <v>0.13008130081300801</v>
      </c>
      <c r="O29" s="357">
        <f t="shared" si="24"/>
        <v>72.5</v>
      </c>
      <c r="P29" s="357"/>
      <c r="Q29" s="357">
        <f t="shared" si="25"/>
        <v>83.75</v>
      </c>
      <c r="R29" s="357"/>
      <c r="S29" s="357">
        <f t="shared" si="26"/>
        <v>71.25</v>
      </c>
      <c r="T29" s="357"/>
      <c r="U29" s="357">
        <f t="shared" si="27"/>
        <v>38.75</v>
      </c>
      <c r="V29" s="357"/>
      <c r="W29" s="357">
        <f t="shared" si="28"/>
        <v>67.5</v>
      </c>
      <c r="X29" s="357"/>
      <c r="Y29" s="357">
        <f t="shared" si="29"/>
        <v>67.5</v>
      </c>
      <c r="Z29" s="358"/>
      <c r="AA29" s="359">
        <f t="shared" si="30"/>
        <v>290</v>
      </c>
      <c r="AB29" s="359"/>
      <c r="AC29" s="359">
        <f t="shared" si="31"/>
        <v>335</v>
      </c>
      <c r="AD29" s="359"/>
      <c r="AE29" s="359">
        <f t="shared" si="32"/>
        <v>285</v>
      </c>
      <c r="AF29" s="359"/>
      <c r="AG29" s="359">
        <f t="shared" si="33"/>
        <v>155</v>
      </c>
      <c r="AH29" s="359"/>
      <c r="AI29" s="359">
        <f t="shared" si="34"/>
        <v>270</v>
      </c>
      <c r="AJ29" s="359"/>
      <c r="AK29" s="359">
        <f t="shared" si="35"/>
        <v>270</v>
      </c>
    </row>
    <row r="30" spans="1:39" ht="12.75" customHeight="1" x14ac:dyDescent="0.3">
      <c r="B30" s="355">
        <v>95</v>
      </c>
      <c r="C30" s="356">
        <v>0.13970588235294101</v>
      </c>
      <c r="D30" s="355">
        <v>90</v>
      </c>
      <c r="E30" s="356">
        <v>0.119205298013245</v>
      </c>
      <c r="F30" s="355">
        <v>70</v>
      </c>
      <c r="G30" s="356">
        <v>0.113821138211382</v>
      </c>
      <c r="H30" s="355">
        <v>5</v>
      </c>
      <c r="I30" s="356">
        <v>2.2212350066637101E-2</v>
      </c>
      <c r="J30" s="355">
        <v>65</v>
      </c>
      <c r="K30" s="356">
        <v>0.117117117117117</v>
      </c>
      <c r="L30" s="355">
        <v>75</v>
      </c>
      <c r="M30" s="356">
        <v>0.12195121951219499</v>
      </c>
      <c r="O30" s="357">
        <f t="shared" si="24"/>
        <v>86.25</v>
      </c>
      <c r="P30" s="357"/>
      <c r="Q30" s="357">
        <f t="shared" si="25"/>
        <v>80</v>
      </c>
      <c r="R30" s="357"/>
      <c r="S30" s="357">
        <f t="shared" si="26"/>
        <v>68.75</v>
      </c>
      <c r="T30" s="357"/>
      <c r="U30" s="357">
        <f t="shared" si="27"/>
        <v>5</v>
      </c>
      <c r="V30" s="357"/>
      <c r="W30" s="357">
        <f t="shared" si="28"/>
        <v>65</v>
      </c>
      <c r="X30" s="357"/>
      <c r="Y30" s="357">
        <f t="shared" si="29"/>
        <v>63.75</v>
      </c>
      <c r="Z30" s="358"/>
      <c r="AA30" s="359">
        <f t="shared" si="30"/>
        <v>345</v>
      </c>
      <c r="AB30" s="359"/>
      <c r="AC30" s="359">
        <f t="shared" si="31"/>
        <v>320</v>
      </c>
      <c r="AD30" s="359"/>
      <c r="AE30" s="359">
        <f t="shared" si="32"/>
        <v>275</v>
      </c>
      <c r="AF30" s="359"/>
      <c r="AG30" s="359">
        <f t="shared" si="33"/>
        <v>20</v>
      </c>
      <c r="AH30" s="359"/>
      <c r="AI30" s="359">
        <f t="shared" si="34"/>
        <v>260</v>
      </c>
      <c r="AJ30" s="359"/>
      <c r="AK30" s="359">
        <f t="shared" si="35"/>
        <v>255</v>
      </c>
    </row>
    <row r="31" spans="1:39" ht="12.75" customHeight="1" x14ac:dyDescent="0.3">
      <c r="B31" s="355">
        <v>95</v>
      </c>
      <c r="C31" s="356">
        <v>0.13970588235294101</v>
      </c>
      <c r="D31" s="355">
        <v>90</v>
      </c>
      <c r="E31" s="356">
        <v>0.119205298013245</v>
      </c>
      <c r="F31" s="355">
        <v>70</v>
      </c>
      <c r="G31" s="356">
        <v>0.113821138211382</v>
      </c>
      <c r="H31" s="355">
        <v>5</v>
      </c>
      <c r="I31" s="356">
        <v>2.2212350066637101E-2</v>
      </c>
      <c r="J31" s="355">
        <v>65</v>
      </c>
      <c r="K31" s="356">
        <v>0.117117117117117</v>
      </c>
      <c r="L31" s="355">
        <v>75</v>
      </c>
      <c r="M31" s="356">
        <v>0.12195121951219499</v>
      </c>
      <c r="O31" s="357">
        <f t="shared" si="24"/>
        <v>86.25</v>
      </c>
      <c r="P31" s="357"/>
      <c r="Q31" s="357">
        <f t="shared" si="25"/>
        <v>83.75</v>
      </c>
      <c r="R31" s="357"/>
      <c r="S31" s="357">
        <f t="shared" si="26"/>
        <v>73.75</v>
      </c>
      <c r="T31" s="357"/>
      <c r="U31" s="357">
        <f t="shared" si="27"/>
        <v>41.25</v>
      </c>
      <c r="V31" s="357"/>
      <c r="W31" s="357">
        <f t="shared" si="28"/>
        <v>71.25</v>
      </c>
      <c r="X31" s="357"/>
      <c r="Y31" s="357">
        <f t="shared" si="29"/>
        <v>76.25</v>
      </c>
      <c r="Z31" s="358"/>
      <c r="AA31" s="359">
        <f t="shared" si="30"/>
        <v>345</v>
      </c>
      <c r="AB31" s="359"/>
      <c r="AC31" s="359">
        <f t="shared" si="31"/>
        <v>335</v>
      </c>
      <c r="AD31" s="359"/>
      <c r="AE31" s="359">
        <f t="shared" si="32"/>
        <v>295</v>
      </c>
      <c r="AF31" s="359"/>
      <c r="AG31" s="359">
        <f t="shared" si="33"/>
        <v>165</v>
      </c>
      <c r="AH31" s="359"/>
      <c r="AI31" s="359">
        <f t="shared" si="34"/>
        <v>285</v>
      </c>
      <c r="AJ31" s="359"/>
      <c r="AK31" s="359">
        <f t="shared" si="35"/>
        <v>305</v>
      </c>
    </row>
    <row r="32" spans="1:39" customFormat="1" ht="12.75" customHeight="1" x14ac:dyDescent="0.3">
      <c r="A32" s="352"/>
      <c r="B32" s="10"/>
      <c r="C32" s="353"/>
      <c r="D32" s="10"/>
      <c r="E32" s="353"/>
      <c r="F32" s="10"/>
      <c r="G32" s="353"/>
      <c r="H32" s="10"/>
      <c r="I32" s="353"/>
      <c r="J32" s="10"/>
      <c r="K32" s="353"/>
      <c r="L32" s="10"/>
      <c r="M32" s="353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354"/>
      <c r="AB32" s="354"/>
      <c r="AC32" s="354"/>
      <c r="AD32" s="354"/>
      <c r="AE32" s="354"/>
      <c r="AF32" s="354"/>
      <c r="AG32" s="354"/>
      <c r="AH32" s="354"/>
      <c r="AI32" s="354"/>
      <c r="AJ32" s="354"/>
      <c r="AK32" s="354"/>
      <c r="AL32" s="10"/>
    </row>
    <row r="33" spans="1:40" ht="12.75" customHeight="1" x14ac:dyDescent="0.3">
      <c r="A33" s="352" t="s">
        <v>73</v>
      </c>
      <c r="B33" s="355" t="s">
        <v>12</v>
      </c>
      <c r="C33" s="356">
        <v>680</v>
      </c>
      <c r="D33" s="355" t="s">
        <v>13</v>
      </c>
      <c r="E33" s="356">
        <v>755</v>
      </c>
      <c r="F33" s="355" t="s">
        <v>14</v>
      </c>
      <c r="G33" s="356">
        <v>615</v>
      </c>
      <c r="H33" s="355" t="s">
        <v>15</v>
      </c>
      <c r="I33" s="356">
        <v>225.1</v>
      </c>
      <c r="J33" s="355" t="s">
        <v>16</v>
      </c>
      <c r="K33" s="356">
        <v>555</v>
      </c>
      <c r="L33" s="355" t="s">
        <v>17</v>
      </c>
      <c r="M33" s="356">
        <v>615</v>
      </c>
      <c r="O33" s="357" t="s">
        <v>12</v>
      </c>
      <c r="P33" s="357"/>
      <c r="Q33" s="357" t="s">
        <v>13</v>
      </c>
      <c r="R33" s="357"/>
      <c r="S33" s="357" t="s">
        <v>14</v>
      </c>
      <c r="T33" s="357"/>
      <c r="U33" s="357" t="s">
        <v>15</v>
      </c>
      <c r="V33" s="357"/>
      <c r="W33" s="357" t="s">
        <v>16</v>
      </c>
      <c r="X33" s="357"/>
      <c r="Y33" s="357" t="s">
        <v>17</v>
      </c>
      <c r="Z33" s="358"/>
      <c r="AA33" s="359" t="s">
        <v>12</v>
      </c>
      <c r="AB33" s="359"/>
      <c r="AC33" s="359" t="s">
        <v>13</v>
      </c>
      <c r="AD33" s="359"/>
      <c r="AE33" s="359" t="s">
        <v>14</v>
      </c>
      <c r="AF33" s="359"/>
      <c r="AG33" s="359" t="s">
        <v>15</v>
      </c>
      <c r="AH33" s="359"/>
      <c r="AI33" s="359" t="s">
        <v>16</v>
      </c>
      <c r="AJ33" s="359"/>
      <c r="AK33" s="359" t="s">
        <v>17</v>
      </c>
      <c r="AM33" s="10">
        <f>AM44</f>
        <v>4</v>
      </c>
    </row>
    <row r="34" spans="1:40" ht="12.75" customHeight="1" x14ac:dyDescent="0.3">
      <c r="B34" s="355">
        <v>90</v>
      </c>
      <c r="C34" s="356">
        <v>0.13235294117647101</v>
      </c>
      <c r="D34" s="355">
        <v>95</v>
      </c>
      <c r="E34" s="356">
        <v>0.12582781456953601</v>
      </c>
      <c r="F34" s="355">
        <v>80</v>
      </c>
      <c r="G34" s="356">
        <v>0.13008130081300801</v>
      </c>
      <c r="H34" s="355">
        <v>30</v>
      </c>
      <c r="I34" s="356">
        <v>0.13327410039982199</v>
      </c>
      <c r="J34" s="355">
        <v>70</v>
      </c>
      <c r="K34" s="356">
        <v>0.126126126126126</v>
      </c>
      <c r="L34" s="355">
        <v>65</v>
      </c>
      <c r="M34" s="356">
        <v>0.105691056910569</v>
      </c>
      <c r="O34" s="357">
        <f t="shared" ref="O34:O42" si="36">AA34/$AM$166</f>
        <v>77.5</v>
      </c>
      <c r="P34" s="357"/>
      <c r="Q34" s="357">
        <f t="shared" ref="Q34:Q42" si="37">AC34/$AM$166</f>
        <v>77.5</v>
      </c>
      <c r="R34" s="357"/>
      <c r="S34" s="357">
        <f t="shared" ref="S34:S42" si="38">AE34/$AM$166</f>
        <v>78.75</v>
      </c>
      <c r="T34" s="357"/>
      <c r="U34" s="357">
        <f t="shared" ref="U34:U42" si="39">AG34/$AM$166</f>
        <v>41.25</v>
      </c>
      <c r="V34" s="357"/>
      <c r="W34" s="357">
        <f t="shared" ref="W34:W42" si="40">AI34/$AM$166</f>
        <v>68.75</v>
      </c>
      <c r="X34" s="357"/>
      <c r="Y34" s="357">
        <f t="shared" ref="Y34:Y42" si="41">AK34/$AM$166</f>
        <v>52.5</v>
      </c>
      <c r="Z34" s="358"/>
      <c r="AA34" s="359">
        <f t="shared" ref="AA34:AA42" si="42">(B77+B67+B56+B45)</f>
        <v>310</v>
      </c>
      <c r="AB34" s="359"/>
      <c r="AC34" s="359">
        <f t="shared" ref="AC34:AC42" si="43">(D77+D67+D56+D45)</f>
        <v>310</v>
      </c>
      <c r="AD34" s="359"/>
      <c r="AE34" s="359">
        <f t="shared" ref="AE34:AE42" si="44">(F77+F67+F56+F45)</f>
        <v>315</v>
      </c>
      <c r="AF34" s="359"/>
      <c r="AG34" s="359">
        <f t="shared" ref="AG34:AG42" si="45">(H77+H67+H56+H45)</f>
        <v>165</v>
      </c>
      <c r="AH34" s="359"/>
      <c r="AI34" s="359">
        <f t="shared" ref="AI34:AI42" si="46">(J77+J67+J56+J45)</f>
        <v>275</v>
      </c>
      <c r="AJ34" s="359"/>
      <c r="AK34" s="359">
        <f t="shared" ref="AK34:AK42" si="47">(L77+L67+L56+L45)</f>
        <v>210</v>
      </c>
    </row>
    <row r="35" spans="1:40" ht="12.75" customHeight="1" x14ac:dyDescent="0.3">
      <c r="B35" s="355">
        <v>80</v>
      </c>
      <c r="C35" s="356">
        <v>0.11764705882352899</v>
      </c>
      <c r="D35" s="355">
        <v>95</v>
      </c>
      <c r="E35" s="356">
        <v>0.12582781456953601</v>
      </c>
      <c r="F35" s="355">
        <v>80</v>
      </c>
      <c r="G35" s="356">
        <v>0.13008130081300801</v>
      </c>
      <c r="H35" s="355">
        <v>30</v>
      </c>
      <c r="I35" s="356">
        <v>0.13327410039982199</v>
      </c>
      <c r="J35" s="355">
        <v>70</v>
      </c>
      <c r="K35" s="356">
        <v>0.126126126126126</v>
      </c>
      <c r="L35" s="355">
        <v>75</v>
      </c>
      <c r="M35" s="356">
        <v>0.12195121951219499</v>
      </c>
      <c r="O35" s="357">
        <f t="shared" si="36"/>
        <v>72.5</v>
      </c>
      <c r="P35" s="357"/>
      <c r="Q35" s="357">
        <f t="shared" si="37"/>
        <v>77.5</v>
      </c>
      <c r="R35" s="357"/>
      <c r="S35" s="357">
        <f t="shared" si="38"/>
        <v>78.75</v>
      </c>
      <c r="T35" s="357"/>
      <c r="U35" s="357">
        <f t="shared" si="39"/>
        <v>35.5</v>
      </c>
      <c r="V35" s="357"/>
      <c r="W35" s="357">
        <f t="shared" si="40"/>
        <v>67.5</v>
      </c>
      <c r="X35" s="357"/>
      <c r="Y35" s="357">
        <f t="shared" si="41"/>
        <v>57.5</v>
      </c>
      <c r="Z35" s="358"/>
      <c r="AA35" s="359">
        <f t="shared" si="42"/>
        <v>290</v>
      </c>
      <c r="AB35" s="359"/>
      <c r="AC35" s="359">
        <f t="shared" si="43"/>
        <v>310</v>
      </c>
      <c r="AD35" s="359"/>
      <c r="AE35" s="359">
        <f t="shared" si="44"/>
        <v>315</v>
      </c>
      <c r="AF35" s="359"/>
      <c r="AG35" s="359">
        <f t="shared" si="45"/>
        <v>142</v>
      </c>
      <c r="AH35" s="359"/>
      <c r="AI35" s="359">
        <f t="shared" si="46"/>
        <v>270</v>
      </c>
      <c r="AJ35" s="359"/>
      <c r="AK35" s="359">
        <f t="shared" si="47"/>
        <v>230</v>
      </c>
    </row>
    <row r="36" spans="1:40" ht="12.75" customHeight="1" x14ac:dyDescent="0.3">
      <c r="B36" s="355">
        <v>75</v>
      </c>
      <c r="C36" s="356">
        <v>0.110294117647059</v>
      </c>
      <c r="D36" s="355">
        <v>95</v>
      </c>
      <c r="E36" s="356">
        <v>0.12582781456953601</v>
      </c>
      <c r="F36" s="355">
        <v>80</v>
      </c>
      <c r="G36" s="356">
        <v>0.13008130081300801</v>
      </c>
      <c r="H36" s="355">
        <v>0.1</v>
      </c>
      <c r="I36" s="356">
        <v>4.4424700133274098E-4</v>
      </c>
      <c r="J36" s="355">
        <v>70</v>
      </c>
      <c r="K36" s="356">
        <v>0.126126126126126</v>
      </c>
      <c r="L36" s="355">
        <v>90</v>
      </c>
      <c r="M36" s="356">
        <v>0.146341463414634</v>
      </c>
      <c r="O36" s="357">
        <f t="shared" si="36"/>
        <v>71.25</v>
      </c>
      <c r="P36" s="357"/>
      <c r="Q36" s="357">
        <f t="shared" si="37"/>
        <v>76.25</v>
      </c>
      <c r="R36" s="357"/>
      <c r="S36" s="357">
        <f t="shared" si="38"/>
        <v>78.75</v>
      </c>
      <c r="T36" s="357"/>
      <c r="U36" s="357">
        <f t="shared" si="39"/>
        <v>25.049999999999997</v>
      </c>
      <c r="V36" s="357"/>
      <c r="W36" s="357">
        <f t="shared" si="40"/>
        <v>66.25</v>
      </c>
      <c r="X36" s="357"/>
      <c r="Y36" s="357">
        <f t="shared" si="41"/>
        <v>67.5</v>
      </c>
      <c r="Z36" s="358"/>
      <c r="AA36" s="359">
        <f t="shared" si="42"/>
        <v>285</v>
      </c>
      <c r="AB36" s="359"/>
      <c r="AC36" s="359">
        <f t="shared" si="43"/>
        <v>305</v>
      </c>
      <c r="AD36" s="359"/>
      <c r="AE36" s="359">
        <f t="shared" si="44"/>
        <v>315</v>
      </c>
      <c r="AF36" s="359"/>
      <c r="AG36" s="359">
        <f t="shared" si="45"/>
        <v>100.19999999999999</v>
      </c>
      <c r="AH36" s="359"/>
      <c r="AI36" s="359">
        <f t="shared" si="46"/>
        <v>265</v>
      </c>
      <c r="AJ36" s="359"/>
      <c r="AK36" s="359">
        <f t="shared" si="47"/>
        <v>270</v>
      </c>
    </row>
    <row r="37" spans="1:40" ht="12.75" customHeight="1" x14ac:dyDescent="0.3">
      <c r="B37" s="355">
        <v>70</v>
      </c>
      <c r="C37" s="356">
        <v>0.10294117647058799</v>
      </c>
      <c r="D37" s="355">
        <v>95</v>
      </c>
      <c r="E37" s="356">
        <v>0.12582781456953601</v>
      </c>
      <c r="F37" s="355">
        <v>80</v>
      </c>
      <c r="G37" s="356">
        <v>0.13008130081300801</v>
      </c>
      <c r="H37" s="355">
        <v>50</v>
      </c>
      <c r="I37" s="356">
        <v>0.22212350066637099</v>
      </c>
      <c r="J37" s="355">
        <v>70</v>
      </c>
      <c r="K37" s="356">
        <v>0.126126126126126</v>
      </c>
      <c r="L37" s="355">
        <v>80</v>
      </c>
      <c r="M37" s="356">
        <v>0.13008130081300801</v>
      </c>
      <c r="O37" s="357">
        <f t="shared" si="36"/>
        <v>67.5</v>
      </c>
      <c r="P37" s="357"/>
      <c r="Q37" s="357">
        <f t="shared" si="37"/>
        <v>76.25</v>
      </c>
      <c r="R37" s="357"/>
      <c r="S37" s="357">
        <f t="shared" si="38"/>
        <v>76.25</v>
      </c>
      <c r="T37" s="357"/>
      <c r="U37" s="357">
        <f t="shared" si="39"/>
        <v>48.75</v>
      </c>
      <c r="V37" s="357"/>
      <c r="W37" s="357">
        <f t="shared" si="40"/>
        <v>68.75</v>
      </c>
      <c r="X37" s="357"/>
      <c r="Y37" s="357">
        <f t="shared" si="41"/>
        <v>57.5</v>
      </c>
      <c r="Z37" s="358"/>
      <c r="AA37" s="359">
        <f t="shared" si="42"/>
        <v>270</v>
      </c>
      <c r="AB37" s="359"/>
      <c r="AC37" s="359">
        <f t="shared" si="43"/>
        <v>305</v>
      </c>
      <c r="AD37" s="359"/>
      <c r="AE37" s="359">
        <f t="shared" si="44"/>
        <v>305</v>
      </c>
      <c r="AF37" s="359"/>
      <c r="AG37" s="359">
        <f t="shared" si="45"/>
        <v>195</v>
      </c>
      <c r="AH37" s="359"/>
      <c r="AI37" s="359">
        <f t="shared" si="46"/>
        <v>275</v>
      </c>
      <c r="AJ37" s="359"/>
      <c r="AK37" s="359">
        <f t="shared" si="47"/>
        <v>230</v>
      </c>
    </row>
    <row r="38" spans="1:40" ht="12.75" customHeight="1" x14ac:dyDescent="0.3">
      <c r="B38" s="355">
        <v>95</v>
      </c>
      <c r="C38" s="356">
        <v>0.13970588235294101</v>
      </c>
      <c r="D38" s="355">
        <v>95</v>
      </c>
      <c r="E38" s="356">
        <v>0.12582781456953601</v>
      </c>
      <c r="F38" s="355">
        <v>75</v>
      </c>
      <c r="G38" s="356">
        <v>0.12195121951219499</v>
      </c>
      <c r="H38" s="355">
        <v>30</v>
      </c>
      <c r="I38" s="356">
        <v>0.13327410039982199</v>
      </c>
      <c r="J38" s="355">
        <v>70</v>
      </c>
      <c r="K38" s="356">
        <v>0.126126126126126</v>
      </c>
      <c r="L38" s="355">
        <v>80</v>
      </c>
      <c r="M38" s="356">
        <v>0.13008130081300801</v>
      </c>
      <c r="O38" s="357">
        <f t="shared" si="36"/>
        <v>78.75</v>
      </c>
      <c r="P38" s="357"/>
      <c r="Q38" s="357">
        <f t="shared" si="37"/>
        <v>76.25</v>
      </c>
      <c r="R38" s="357"/>
      <c r="S38" s="357">
        <f t="shared" si="38"/>
        <v>75</v>
      </c>
      <c r="T38" s="357"/>
      <c r="U38" s="357">
        <f t="shared" si="39"/>
        <v>35.5</v>
      </c>
      <c r="V38" s="357"/>
      <c r="W38" s="357">
        <f t="shared" si="40"/>
        <v>67.5</v>
      </c>
      <c r="X38" s="357"/>
      <c r="Y38" s="357">
        <f t="shared" si="41"/>
        <v>60</v>
      </c>
      <c r="Z38" s="358"/>
      <c r="AA38" s="359">
        <f t="shared" si="42"/>
        <v>315</v>
      </c>
      <c r="AB38" s="359"/>
      <c r="AC38" s="359">
        <f t="shared" si="43"/>
        <v>305</v>
      </c>
      <c r="AD38" s="359"/>
      <c r="AE38" s="359">
        <f t="shared" si="44"/>
        <v>300</v>
      </c>
      <c r="AF38" s="359"/>
      <c r="AG38" s="359">
        <f t="shared" si="45"/>
        <v>142</v>
      </c>
      <c r="AH38" s="359"/>
      <c r="AI38" s="359">
        <f t="shared" si="46"/>
        <v>270</v>
      </c>
      <c r="AJ38" s="359"/>
      <c r="AK38" s="359">
        <f t="shared" si="47"/>
        <v>240</v>
      </c>
    </row>
    <row r="39" spans="1:40" ht="12.75" customHeight="1" x14ac:dyDescent="0.3">
      <c r="B39" s="355">
        <v>95</v>
      </c>
      <c r="C39" s="356">
        <v>0.13970588235294101</v>
      </c>
      <c r="D39" s="355">
        <v>95</v>
      </c>
      <c r="E39" s="356">
        <v>0.12582781456953601</v>
      </c>
      <c r="F39" s="355">
        <v>75</v>
      </c>
      <c r="G39" s="356">
        <v>0.12195121951219499</v>
      </c>
      <c r="H39" s="355">
        <v>30</v>
      </c>
      <c r="I39" s="356">
        <v>0.13327410039982199</v>
      </c>
      <c r="J39" s="355">
        <v>70</v>
      </c>
      <c r="K39" s="356">
        <v>0.126126126126126</v>
      </c>
      <c r="L39" s="355">
        <v>70</v>
      </c>
      <c r="M39" s="356">
        <v>0.113821138211382</v>
      </c>
      <c r="O39" s="357">
        <f t="shared" si="36"/>
        <v>77.5</v>
      </c>
      <c r="P39" s="357"/>
      <c r="Q39" s="357">
        <f t="shared" si="37"/>
        <v>73.75</v>
      </c>
      <c r="R39" s="357"/>
      <c r="S39" s="357">
        <f t="shared" si="38"/>
        <v>76.25</v>
      </c>
      <c r="T39" s="357"/>
      <c r="U39" s="357">
        <f t="shared" si="39"/>
        <v>38.75</v>
      </c>
      <c r="V39" s="357"/>
      <c r="W39" s="357">
        <f t="shared" si="40"/>
        <v>67.5</v>
      </c>
      <c r="X39" s="357"/>
      <c r="Y39" s="357">
        <f t="shared" si="41"/>
        <v>55</v>
      </c>
      <c r="Z39" s="358"/>
      <c r="AA39" s="359">
        <f t="shared" si="42"/>
        <v>310</v>
      </c>
      <c r="AB39" s="359"/>
      <c r="AC39" s="359">
        <f t="shared" si="43"/>
        <v>295</v>
      </c>
      <c r="AD39" s="359"/>
      <c r="AE39" s="359">
        <f t="shared" si="44"/>
        <v>305</v>
      </c>
      <c r="AF39" s="359"/>
      <c r="AG39" s="359">
        <f t="shared" si="45"/>
        <v>155</v>
      </c>
      <c r="AH39" s="359"/>
      <c r="AI39" s="359">
        <f t="shared" si="46"/>
        <v>270</v>
      </c>
      <c r="AJ39" s="359"/>
      <c r="AK39" s="359">
        <f t="shared" si="47"/>
        <v>220</v>
      </c>
    </row>
    <row r="40" spans="1:40" ht="12.75" customHeight="1" x14ac:dyDescent="0.3">
      <c r="B40" s="355">
        <v>80</v>
      </c>
      <c r="C40" s="356">
        <v>0.11764705882352899</v>
      </c>
      <c r="D40" s="355">
        <v>95</v>
      </c>
      <c r="E40" s="356">
        <v>0.12582781456953601</v>
      </c>
      <c r="F40" s="355">
        <v>75</v>
      </c>
      <c r="G40" s="356">
        <v>0.12195121951219499</v>
      </c>
      <c r="H40" s="355">
        <v>50</v>
      </c>
      <c r="I40" s="356">
        <v>0.22212350066637099</v>
      </c>
      <c r="J40" s="355">
        <v>70</v>
      </c>
      <c r="K40" s="356">
        <v>0.126126126126126</v>
      </c>
      <c r="L40" s="355">
        <v>80</v>
      </c>
      <c r="M40" s="356">
        <v>0.13008130081300801</v>
      </c>
      <c r="O40" s="357">
        <f t="shared" si="36"/>
        <v>71.25</v>
      </c>
      <c r="P40" s="357"/>
      <c r="Q40" s="357">
        <f t="shared" si="37"/>
        <v>76.25</v>
      </c>
      <c r="R40" s="357"/>
      <c r="S40" s="357">
        <f t="shared" si="38"/>
        <v>71.25</v>
      </c>
      <c r="T40" s="357"/>
      <c r="U40" s="357">
        <f t="shared" si="39"/>
        <v>45</v>
      </c>
      <c r="V40" s="357"/>
      <c r="W40" s="357">
        <f t="shared" si="40"/>
        <v>67.5</v>
      </c>
      <c r="X40" s="357"/>
      <c r="Y40" s="357">
        <f t="shared" si="41"/>
        <v>62.5</v>
      </c>
      <c r="Z40" s="358"/>
      <c r="AA40" s="359">
        <f t="shared" si="42"/>
        <v>285</v>
      </c>
      <c r="AB40" s="359"/>
      <c r="AC40" s="359">
        <f t="shared" si="43"/>
        <v>305</v>
      </c>
      <c r="AD40" s="359"/>
      <c r="AE40" s="359">
        <f t="shared" si="44"/>
        <v>285</v>
      </c>
      <c r="AF40" s="359"/>
      <c r="AG40" s="359">
        <f t="shared" si="45"/>
        <v>180</v>
      </c>
      <c r="AH40" s="359"/>
      <c r="AI40" s="359">
        <f t="shared" si="46"/>
        <v>270</v>
      </c>
      <c r="AJ40" s="359"/>
      <c r="AK40" s="359">
        <f t="shared" si="47"/>
        <v>250</v>
      </c>
    </row>
    <row r="41" spans="1:40" ht="12.75" customHeight="1" x14ac:dyDescent="0.3">
      <c r="B41" s="355">
        <v>95</v>
      </c>
      <c r="C41" s="356">
        <v>0.13970588235294101</v>
      </c>
      <c r="D41" s="355">
        <v>90</v>
      </c>
      <c r="E41" s="356">
        <v>0.119205298013245</v>
      </c>
      <c r="F41" s="355">
        <v>70</v>
      </c>
      <c r="G41" s="356">
        <v>0.113821138211382</v>
      </c>
      <c r="H41" s="355">
        <v>5</v>
      </c>
      <c r="I41" s="356">
        <v>2.2212350066637101E-2</v>
      </c>
      <c r="J41" s="355">
        <v>65</v>
      </c>
      <c r="K41" s="356">
        <v>0.117117117117117</v>
      </c>
      <c r="L41" s="355">
        <v>75</v>
      </c>
      <c r="M41" s="356">
        <v>0.12195121951219499</v>
      </c>
      <c r="O41" s="357">
        <f t="shared" si="36"/>
        <v>78.75</v>
      </c>
      <c r="P41" s="357"/>
      <c r="Q41" s="357">
        <f t="shared" si="37"/>
        <v>73.75</v>
      </c>
      <c r="R41" s="357"/>
      <c r="S41" s="357">
        <f t="shared" si="38"/>
        <v>75</v>
      </c>
      <c r="T41" s="357"/>
      <c r="U41" s="357">
        <f t="shared" si="39"/>
        <v>21.25</v>
      </c>
      <c r="V41" s="357"/>
      <c r="W41" s="357">
        <f t="shared" si="40"/>
        <v>66.25</v>
      </c>
      <c r="X41" s="357"/>
      <c r="Y41" s="357">
        <f t="shared" si="41"/>
        <v>60</v>
      </c>
      <c r="Z41" s="358"/>
      <c r="AA41" s="359">
        <f t="shared" si="42"/>
        <v>315</v>
      </c>
      <c r="AB41" s="359"/>
      <c r="AC41" s="359">
        <f t="shared" si="43"/>
        <v>295</v>
      </c>
      <c r="AD41" s="359"/>
      <c r="AE41" s="359">
        <f t="shared" si="44"/>
        <v>300</v>
      </c>
      <c r="AF41" s="359"/>
      <c r="AG41" s="359">
        <f t="shared" si="45"/>
        <v>85</v>
      </c>
      <c r="AH41" s="359"/>
      <c r="AI41" s="359">
        <f t="shared" si="46"/>
        <v>265</v>
      </c>
      <c r="AJ41" s="359"/>
      <c r="AK41" s="359">
        <f t="shared" si="47"/>
        <v>240</v>
      </c>
    </row>
    <row r="42" spans="1:40" ht="12.75" customHeight="1" x14ac:dyDescent="0.3">
      <c r="B42" s="355">
        <v>95</v>
      </c>
      <c r="C42" s="356">
        <v>0.13970588235294101</v>
      </c>
      <c r="D42" s="355">
        <v>90</v>
      </c>
      <c r="E42" s="356">
        <v>0.119205298013245</v>
      </c>
      <c r="F42" s="355">
        <v>70</v>
      </c>
      <c r="G42" s="356">
        <v>0.113821138211382</v>
      </c>
      <c r="H42" s="355">
        <v>5</v>
      </c>
      <c r="I42" s="356">
        <v>2.2212350066637101E-2</v>
      </c>
      <c r="J42" s="355">
        <v>65</v>
      </c>
      <c r="K42" s="356">
        <v>0.117117117117117</v>
      </c>
      <c r="L42" s="355">
        <v>75</v>
      </c>
      <c r="M42" s="356">
        <v>0.12195121951219499</v>
      </c>
      <c r="O42" s="357">
        <f t="shared" si="36"/>
        <v>81.875</v>
      </c>
      <c r="P42" s="357"/>
      <c r="Q42" s="357">
        <f t="shared" si="37"/>
        <v>80.625</v>
      </c>
      <c r="R42" s="357"/>
      <c r="S42" s="357">
        <f t="shared" si="38"/>
        <v>75.625</v>
      </c>
      <c r="T42" s="357"/>
      <c r="U42" s="357">
        <f t="shared" si="39"/>
        <v>59.375</v>
      </c>
      <c r="V42" s="357"/>
      <c r="W42" s="357">
        <f t="shared" si="40"/>
        <v>74.375</v>
      </c>
      <c r="X42" s="357"/>
      <c r="Y42" s="357">
        <f t="shared" si="41"/>
        <v>76.875</v>
      </c>
      <c r="Z42" s="358"/>
      <c r="AA42" s="359">
        <f t="shared" si="42"/>
        <v>327.5</v>
      </c>
      <c r="AB42" s="359"/>
      <c r="AC42" s="359">
        <f t="shared" si="43"/>
        <v>322.5</v>
      </c>
      <c r="AD42" s="359"/>
      <c r="AE42" s="359">
        <f t="shared" si="44"/>
        <v>302.5</v>
      </c>
      <c r="AF42" s="359"/>
      <c r="AG42" s="359">
        <f t="shared" si="45"/>
        <v>237.5</v>
      </c>
      <c r="AH42" s="359"/>
      <c r="AI42" s="359">
        <f t="shared" si="46"/>
        <v>297.5</v>
      </c>
      <c r="AJ42" s="359"/>
      <c r="AK42" s="359">
        <f t="shared" si="47"/>
        <v>307.5</v>
      </c>
    </row>
    <row r="43" spans="1:40" customFormat="1" ht="12.75" customHeight="1" x14ac:dyDescent="0.3">
      <c r="A43" s="352"/>
      <c r="B43" s="10"/>
      <c r="C43" s="353"/>
      <c r="D43" s="10"/>
      <c r="E43" s="353"/>
      <c r="F43" s="10"/>
      <c r="G43" s="353"/>
      <c r="H43" s="10"/>
      <c r="I43" s="353"/>
      <c r="J43" s="10"/>
      <c r="K43" s="353"/>
      <c r="L43" s="10"/>
      <c r="M43" s="353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354"/>
      <c r="AB43" s="354"/>
      <c r="AC43" s="354"/>
      <c r="AD43" s="354"/>
      <c r="AE43" s="354"/>
      <c r="AF43" s="354"/>
      <c r="AG43" s="354"/>
      <c r="AH43" s="354"/>
      <c r="AI43" s="354"/>
      <c r="AJ43" s="354"/>
      <c r="AK43" s="354"/>
      <c r="AL43" s="10"/>
    </row>
    <row r="44" spans="1:40" ht="12.75" customHeight="1" x14ac:dyDescent="0.3">
      <c r="A44" s="352" t="s">
        <v>74</v>
      </c>
      <c r="B44" s="355" t="s">
        <v>12</v>
      </c>
      <c r="C44" s="356">
        <v>680</v>
      </c>
      <c r="D44" s="355" t="s">
        <v>13</v>
      </c>
      <c r="E44" s="356">
        <v>755</v>
      </c>
      <c r="F44" s="355" t="s">
        <v>14</v>
      </c>
      <c r="G44" s="356">
        <v>615</v>
      </c>
      <c r="H44" s="355" t="s">
        <v>15</v>
      </c>
      <c r="I44" s="356">
        <v>225.1</v>
      </c>
      <c r="J44" s="355" t="s">
        <v>16</v>
      </c>
      <c r="K44" s="356">
        <v>555</v>
      </c>
      <c r="L44" s="355" t="s">
        <v>17</v>
      </c>
      <c r="M44" s="356">
        <v>615</v>
      </c>
      <c r="O44" s="360" t="s">
        <v>12</v>
      </c>
      <c r="P44" s="360"/>
      <c r="Q44" s="360" t="s">
        <v>13</v>
      </c>
      <c r="R44" s="360"/>
      <c r="S44" s="360" t="s">
        <v>14</v>
      </c>
      <c r="T44" s="360"/>
      <c r="U44" s="360" t="s">
        <v>15</v>
      </c>
      <c r="V44" s="360"/>
      <c r="W44" s="360" t="s">
        <v>16</v>
      </c>
      <c r="X44" s="360"/>
      <c r="Y44" s="360" t="s">
        <v>17</v>
      </c>
      <c r="Z44" s="358"/>
      <c r="AA44" s="359" t="s">
        <v>12</v>
      </c>
      <c r="AB44" s="359"/>
      <c r="AC44" s="359" t="s">
        <v>13</v>
      </c>
      <c r="AD44" s="359"/>
      <c r="AE44" s="359" t="s">
        <v>14</v>
      </c>
      <c r="AF44" s="359"/>
      <c r="AG44" s="359" t="s">
        <v>15</v>
      </c>
      <c r="AH44" s="359"/>
      <c r="AI44" s="359" t="s">
        <v>16</v>
      </c>
      <c r="AJ44" s="359"/>
      <c r="AK44" s="359" t="s">
        <v>17</v>
      </c>
      <c r="AM44" s="10">
        <f>AM55</f>
        <v>4</v>
      </c>
    </row>
    <row r="45" spans="1:40" ht="12.75" customHeight="1" x14ac:dyDescent="0.3">
      <c r="B45" s="355">
        <v>90</v>
      </c>
      <c r="C45" s="356">
        <v>0.13235294117647101</v>
      </c>
      <c r="D45" s="355">
        <v>95</v>
      </c>
      <c r="E45" s="356">
        <v>0.12582781456953601</v>
      </c>
      <c r="F45" s="355">
        <v>80</v>
      </c>
      <c r="G45" s="356">
        <v>0.13008130081300801</v>
      </c>
      <c r="H45" s="355">
        <v>30</v>
      </c>
      <c r="I45" s="356">
        <v>0.13327410039982199</v>
      </c>
      <c r="J45" s="355">
        <v>70</v>
      </c>
      <c r="K45" s="356">
        <v>0.126126126126126</v>
      </c>
      <c r="L45" s="355">
        <v>65</v>
      </c>
      <c r="M45" s="356">
        <v>0.105691056910569</v>
      </c>
      <c r="O45" s="360">
        <f t="shared" ref="O45:O53" si="48">AA45/$AM$166</f>
        <v>78.75</v>
      </c>
      <c r="P45" s="360"/>
      <c r="Q45" s="360">
        <f t="shared" ref="Q45:Q53" si="49">AC45/$AM$166</f>
        <v>76.25</v>
      </c>
      <c r="R45" s="360"/>
      <c r="S45" s="360">
        <f t="shared" ref="S45:S53" si="50">AE45/$AM$166</f>
        <v>77.5</v>
      </c>
      <c r="T45" s="360"/>
      <c r="U45" s="360">
        <f t="shared" ref="U45:U53" si="51">AG45/$AM$166</f>
        <v>41.25</v>
      </c>
      <c r="V45" s="360"/>
      <c r="W45" s="360">
        <f t="shared" ref="W45:W53" si="52">AI45/$AM$166</f>
        <v>67.5</v>
      </c>
      <c r="X45" s="360"/>
      <c r="Y45" s="360">
        <f t="shared" ref="Y45:Y53" si="53">AK45/$AM$166</f>
        <v>53.75</v>
      </c>
      <c r="Z45" s="358"/>
      <c r="AA45" s="359">
        <f t="shared" ref="AA45:AA53" si="54">(B87+B77+B67+B56)</f>
        <v>315</v>
      </c>
      <c r="AB45" s="359"/>
      <c r="AC45" s="359">
        <f t="shared" ref="AC45:AC53" si="55">(D87+D77+D67+D56)</f>
        <v>305</v>
      </c>
      <c r="AD45" s="359"/>
      <c r="AE45" s="359">
        <f t="shared" ref="AE45:AE53" si="56">(F87+F77+F67+F56)</f>
        <v>310</v>
      </c>
      <c r="AF45" s="359"/>
      <c r="AG45" s="359">
        <f t="shared" ref="AG45:AG53" si="57">(H87+H77+H67+H56)</f>
        <v>165</v>
      </c>
      <c r="AH45" s="359"/>
      <c r="AI45" s="359">
        <f t="shared" ref="AI45:AI53" si="58">(J87+J77+J67+J56)</f>
        <v>270</v>
      </c>
      <c r="AJ45" s="359"/>
      <c r="AK45" s="359">
        <f t="shared" ref="AK45:AK53" si="59">(L87+L77+L67+L56)</f>
        <v>215</v>
      </c>
      <c r="AM45" s="361">
        <v>1</v>
      </c>
      <c r="AN45" s="362" t="s">
        <v>1</v>
      </c>
    </row>
    <row r="46" spans="1:40" ht="12.75" customHeight="1" x14ac:dyDescent="0.3">
      <c r="B46" s="355">
        <v>80</v>
      </c>
      <c r="C46" s="356">
        <v>0.11764705882352899</v>
      </c>
      <c r="D46" s="355">
        <v>95</v>
      </c>
      <c r="E46" s="356">
        <v>0.12582781456953601</v>
      </c>
      <c r="F46" s="355">
        <v>80</v>
      </c>
      <c r="G46" s="356">
        <v>0.13008130081300801</v>
      </c>
      <c r="H46" s="355">
        <v>30</v>
      </c>
      <c r="I46" s="356">
        <v>0.13327410039982199</v>
      </c>
      <c r="J46" s="355">
        <v>70</v>
      </c>
      <c r="K46" s="356">
        <v>0.126126126126126</v>
      </c>
      <c r="L46" s="355">
        <v>75</v>
      </c>
      <c r="M46" s="356">
        <v>0.12195121951219499</v>
      </c>
      <c r="O46" s="360">
        <f t="shared" si="48"/>
        <v>72.5</v>
      </c>
      <c r="P46" s="360"/>
      <c r="Q46" s="360">
        <f t="shared" si="49"/>
        <v>72.5</v>
      </c>
      <c r="R46" s="360"/>
      <c r="S46" s="360">
        <f t="shared" si="50"/>
        <v>77.5</v>
      </c>
      <c r="T46" s="360"/>
      <c r="U46" s="360">
        <f t="shared" si="51"/>
        <v>35.5</v>
      </c>
      <c r="V46" s="360"/>
      <c r="W46" s="360">
        <f t="shared" si="52"/>
        <v>65</v>
      </c>
      <c r="X46" s="360"/>
      <c r="Y46" s="360">
        <f t="shared" si="53"/>
        <v>55</v>
      </c>
      <c r="Z46" s="358"/>
      <c r="AA46" s="359">
        <f t="shared" si="54"/>
        <v>290</v>
      </c>
      <c r="AB46" s="359"/>
      <c r="AC46" s="359">
        <f t="shared" si="55"/>
        <v>290</v>
      </c>
      <c r="AD46" s="359"/>
      <c r="AE46" s="359">
        <f t="shared" si="56"/>
        <v>310</v>
      </c>
      <c r="AF46" s="359"/>
      <c r="AG46" s="359">
        <f t="shared" si="57"/>
        <v>142</v>
      </c>
      <c r="AH46" s="359"/>
      <c r="AI46" s="359">
        <f t="shared" si="58"/>
        <v>260</v>
      </c>
      <c r="AJ46" s="359"/>
      <c r="AK46" s="359">
        <f t="shared" si="59"/>
        <v>220</v>
      </c>
      <c r="AM46" s="361">
        <f t="shared" ref="AM46:AM53" si="60">AM45+1</f>
        <v>2</v>
      </c>
      <c r="AN46" s="362" t="s">
        <v>2</v>
      </c>
    </row>
    <row r="47" spans="1:40" ht="12.75" customHeight="1" x14ac:dyDescent="0.3">
      <c r="B47" s="355">
        <v>75</v>
      </c>
      <c r="C47" s="356">
        <v>0.110294117647059</v>
      </c>
      <c r="D47" s="355">
        <v>95</v>
      </c>
      <c r="E47" s="356">
        <v>0.12582781456953601</v>
      </c>
      <c r="F47" s="355">
        <v>80</v>
      </c>
      <c r="G47" s="356">
        <v>0.13008130081300801</v>
      </c>
      <c r="H47" s="355">
        <v>0.1</v>
      </c>
      <c r="I47" s="356">
        <v>4.4424700133274098E-4</v>
      </c>
      <c r="J47" s="355">
        <v>70</v>
      </c>
      <c r="K47" s="356">
        <v>0.126126126126126</v>
      </c>
      <c r="L47" s="355">
        <v>90</v>
      </c>
      <c r="M47" s="356">
        <v>0.146341463414634</v>
      </c>
      <c r="O47" s="360">
        <f t="shared" si="48"/>
        <v>75</v>
      </c>
      <c r="P47" s="360"/>
      <c r="Q47" s="360">
        <f t="shared" si="49"/>
        <v>72.5</v>
      </c>
      <c r="R47" s="360"/>
      <c r="S47" s="360">
        <f t="shared" si="50"/>
        <v>77.5</v>
      </c>
      <c r="T47" s="360"/>
      <c r="U47" s="360">
        <f t="shared" si="51"/>
        <v>32.524999999999999</v>
      </c>
      <c r="V47" s="360"/>
      <c r="W47" s="360">
        <f t="shared" si="52"/>
        <v>65</v>
      </c>
      <c r="X47" s="360"/>
      <c r="Y47" s="360">
        <f t="shared" si="53"/>
        <v>61.25</v>
      </c>
      <c r="Z47" s="358"/>
      <c r="AA47" s="359">
        <f t="shared" si="54"/>
        <v>300</v>
      </c>
      <c r="AB47" s="359"/>
      <c r="AC47" s="359">
        <f t="shared" si="55"/>
        <v>290</v>
      </c>
      <c r="AD47" s="359"/>
      <c r="AE47" s="359">
        <f t="shared" si="56"/>
        <v>310</v>
      </c>
      <c r="AF47" s="359"/>
      <c r="AG47" s="359">
        <f t="shared" si="57"/>
        <v>130.1</v>
      </c>
      <c r="AH47" s="359"/>
      <c r="AI47" s="359">
        <f t="shared" si="58"/>
        <v>260</v>
      </c>
      <c r="AJ47" s="359"/>
      <c r="AK47" s="359">
        <f t="shared" si="59"/>
        <v>245</v>
      </c>
      <c r="AM47" s="361">
        <f t="shared" si="60"/>
        <v>3</v>
      </c>
      <c r="AN47" s="362" t="s">
        <v>3</v>
      </c>
    </row>
    <row r="48" spans="1:40" ht="12.75" customHeight="1" x14ac:dyDescent="0.3">
      <c r="B48" s="355">
        <v>70</v>
      </c>
      <c r="C48" s="356">
        <v>0.10294117647058799</v>
      </c>
      <c r="D48" s="355">
        <v>95</v>
      </c>
      <c r="E48" s="356">
        <v>0.12582781456953601</v>
      </c>
      <c r="F48" s="355">
        <v>80</v>
      </c>
      <c r="G48" s="356">
        <v>0.13008130081300801</v>
      </c>
      <c r="H48" s="355">
        <v>50</v>
      </c>
      <c r="I48" s="356">
        <v>0.22212350066637099</v>
      </c>
      <c r="J48" s="355">
        <v>70</v>
      </c>
      <c r="K48" s="356">
        <v>0.126126126126126</v>
      </c>
      <c r="L48" s="355">
        <v>80</v>
      </c>
      <c r="M48" s="356">
        <v>0.13008130081300801</v>
      </c>
      <c r="O48" s="360">
        <f t="shared" si="48"/>
        <v>72.5</v>
      </c>
      <c r="P48" s="360"/>
      <c r="Q48" s="360">
        <f t="shared" si="49"/>
        <v>72.5</v>
      </c>
      <c r="R48" s="360"/>
      <c r="S48" s="360">
        <f t="shared" si="50"/>
        <v>75</v>
      </c>
      <c r="T48" s="360"/>
      <c r="U48" s="360">
        <f t="shared" si="51"/>
        <v>48.75</v>
      </c>
      <c r="V48" s="360"/>
      <c r="W48" s="360">
        <f t="shared" si="52"/>
        <v>67.5</v>
      </c>
      <c r="X48" s="360"/>
      <c r="Y48" s="360">
        <f t="shared" si="53"/>
        <v>55</v>
      </c>
      <c r="Z48" s="358"/>
      <c r="AA48" s="359">
        <f t="shared" si="54"/>
        <v>290</v>
      </c>
      <c r="AB48" s="359"/>
      <c r="AC48" s="359">
        <f t="shared" si="55"/>
        <v>290</v>
      </c>
      <c r="AD48" s="359"/>
      <c r="AE48" s="359">
        <f t="shared" si="56"/>
        <v>300</v>
      </c>
      <c r="AF48" s="359"/>
      <c r="AG48" s="359">
        <f t="shared" si="57"/>
        <v>195</v>
      </c>
      <c r="AH48" s="359"/>
      <c r="AI48" s="359">
        <f t="shared" si="58"/>
        <v>270</v>
      </c>
      <c r="AJ48" s="359"/>
      <c r="AK48" s="359">
        <f t="shared" si="59"/>
        <v>220</v>
      </c>
      <c r="AM48" s="361">
        <f t="shared" si="60"/>
        <v>4</v>
      </c>
      <c r="AN48" s="362" t="s">
        <v>4</v>
      </c>
    </row>
    <row r="49" spans="1:40" ht="12.75" customHeight="1" x14ac:dyDescent="0.3">
      <c r="B49" s="355">
        <v>95</v>
      </c>
      <c r="C49" s="356">
        <v>0.13970588235294101</v>
      </c>
      <c r="D49" s="355">
        <v>95</v>
      </c>
      <c r="E49" s="356">
        <v>0.12582781456953601</v>
      </c>
      <c r="F49" s="355">
        <v>75</v>
      </c>
      <c r="G49" s="356">
        <v>0.12195121951219499</v>
      </c>
      <c r="H49" s="355">
        <v>30</v>
      </c>
      <c r="I49" s="356">
        <v>0.13327410039982199</v>
      </c>
      <c r="J49" s="355">
        <v>70</v>
      </c>
      <c r="K49" s="356">
        <v>0.126126126126126</v>
      </c>
      <c r="L49" s="355">
        <v>80</v>
      </c>
      <c r="M49" s="356">
        <v>0.13008130081300801</v>
      </c>
      <c r="O49" s="360">
        <f t="shared" si="48"/>
        <v>77.5</v>
      </c>
      <c r="P49" s="360"/>
      <c r="Q49" s="360">
        <f t="shared" si="49"/>
        <v>71.25</v>
      </c>
      <c r="R49" s="360"/>
      <c r="S49" s="360">
        <f t="shared" si="50"/>
        <v>75</v>
      </c>
      <c r="T49" s="360"/>
      <c r="U49" s="360">
        <f t="shared" si="51"/>
        <v>35.5</v>
      </c>
      <c r="V49" s="360"/>
      <c r="W49" s="360">
        <f t="shared" si="52"/>
        <v>66.25</v>
      </c>
      <c r="X49" s="360"/>
      <c r="Y49" s="360">
        <f t="shared" si="53"/>
        <v>57.5</v>
      </c>
      <c r="Z49" s="358"/>
      <c r="AA49" s="359">
        <f t="shared" si="54"/>
        <v>310</v>
      </c>
      <c r="AB49" s="359"/>
      <c r="AC49" s="359">
        <f t="shared" si="55"/>
        <v>285</v>
      </c>
      <c r="AD49" s="359"/>
      <c r="AE49" s="359">
        <f t="shared" si="56"/>
        <v>300</v>
      </c>
      <c r="AF49" s="359"/>
      <c r="AG49" s="359">
        <f t="shared" si="57"/>
        <v>142</v>
      </c>
      <c r="AH49" s="359"/>
      <c r="AI49" s="359">
        <f t="shared" si="58"/>
        <v>265</v>
      </c>
      <c r="AJ49" s="359"/>
      <c r="AK49" s="359">
        <f t="shared" si="59"/>
        <v>230</v>
      </c>
      <c r="AM49" s="361">
        <f t="shared" si="60"/>
        <v>5</v>
      </c>
      <c r="AN49" s="362" t="s">
        <v>5</v>
      </c>
    </row>
    <row r="50" spans="1:40" ht="12.75" customHeight="1" x14ac:dyDescent="0.3">
      <c r="B50" s="355">
        <v>95</v>
      </c>
      <c r="C50" s="356">
        <v>0.13970588235294101</v>
      </c>
      <c r="D50" s="355">
        <v>95</v>
      </c>
      <c r="E50" s="356">
        <v>0.12582781456953601</v>
      </c>
      <c r="F50" s="355">
        <v>75</v>
      </c>
      <c r="G50" s="356">
        <v>0.12195121951219499</v>
      </c>
      <c r="H50" s="355">
        <v>30</v>
      </c>
      <c r="I50" s="356">
        <v>0.13327410039982199</v>
      </c>
      <c r="J50" s="355">
        <v>70</v>
      </c>
      <c r="K50" s="356">
        <v>0.126126126126126</v>
      </c>
      <c r="L50" s="355">
        <v>70</v>
      </c>
      <c r="M50" s="356">
        <v>0.113821138211382</v>
      </c>
      <c r="O50" s="360">
        <f t="shared" si="48"/>
        <v>76.25</v>
      </c>
      <c r="P50" s="360"/>
      <c r="Q50" s="360">
        <f t="shared" si="49"/>
        <v>70</v>
      </c>
      <c r="R50" s="360"/>
      <c r="S50" s="360">
        <f t="shared" si="50"/>
        <v>76.25</v>
      </c>
      <c r="T50" s="360"/>
      <c r="U50" s="360">
        <f t="shared" si="51"/>
        <v>38.75</v>
      </c>
      <c r="V50" s="360"/>
      <c r="W50" s="360">
        <f t="shared" si="52"/>
        <v>66.25</v>
      </c>
      <c r="X50" s="360"/>
      <c r="Y50" s="360">
        <f t="shared" si="53"/>
        <v>60</v>
      </c>
      <c r="Z50" s="358"/>
      <c r="AA50" s="359">
        <f t="shared" si="54"/>
        <v>305</v>
      </c>
      <c r="AB50" s="359"/>
      <c r="AC50" s="359">
        <f t="shared" si="55"/>
        <v>280</v>
      </c>
      <c r="AD50" s="359"/>
      <c r="AE50" s="359">
        <f t="shared" si="56"/>
        <v>305</v>
      </c>
      <c r="AF50" s="359"/>
      <c r="AG50" s="359">
        <f t="shared" si="57"/>
        <v>155</v>
      </c>
      <c r="AH50" s="359"/>
      <c r="AI50" s="359">
        <f t="shared" si="58"/>
        <v>265</v>
      </c>
      <c r="AJ50" s="359"/>
      <c r="AK50" s="359">
        <f t="shared" si="59"/>
        <v>240</v>
      </c>
      <c r="AM50" s="361">
        <f t="shared" si="60"/>
        <v>6</v>
      </c>
      <c r="AN50" s="362" t="s">
        <v>6</v>
      </c>
    </row>
    <row r="51" spans="1:40" ht="12.75" customHeight="1" x14ac:dyDescent="0.3">
      <c r="B51" s="355">
        <v>80</v>
      </c>
      <c r="C51" s="356">
        <v>0.11764705882352899</v>
      </c>
      <c r="D51" s="355">
        <v>95</v>
      </c>
      <c r="E51" s="356">
        <v>0.12582781456953601</v>
      </c>
      <c r="F51" s="355">
        <v>75</v>
      </c>
      <c r="G51" s="356">
        <v>0.12195121951219499</v>
      </c>
      <c r="H51" s="355">
        <v>50</v>
      </c>
      <c r="I51" s="356">
        <v>0.22212350066637099</v>
      </c>
      <c r="J51" s="355">
        <v>70</v>
      </c>
      <c r="K51" s="356">
        <v>0.126126126126126</v>
      </c>
      <c r="L51" s="355">
        <v>80</v>
      </c>
      <c r="M51" s="356">
        <v>0.13008130081300801</v>
      </c>
      <c r="O51" s="360">
        <f t="shared" si="48"/>
        <v>73.75</v>
      </c>
      <c r="P51" s="360"/>
      <c r="Q51" s="360">
        <f t="shared" si="49"/>
        <v>75</v>
      </c>
      <c r="R51" s="360"/>
      <c r="S51" s="360">
        <f t="shared" si="50"/>
        <v>71.25</v>
      </c>
      <c r="T51" s="360"/>
      <c r="U51" s="360">
        <f t="shared" si="51"/>
        <v>42.5</v>
      </c>
      <c r="V51" s="360"/>
      <c r="W51" s="360">
        <f t="shared" si="52"/>
        <v>65</v>
      </c>
      <c r="X51" s="360"/>
      <c r="Y51" s="360">
        <f t="shared" si="53"/>
        <v>58.75</v>
      </c>
      <c r="Z51" s="358"/>
      <c r="AA51" s="359">
        <f t="shared" si="54"/>
        <v>295</v>
      </c>
      <c r="AB51" s="359"/>
      <c r="AC51" s="359">
        <f t="shared" si="55"/>
        <v>300</v>
      </c>
      <c r="AD51" s="359"/>
      <c r="AE51" s="359">
        <f t="shared" si="56"/>
        <v>285</v>
      </c>
      <c r="AF51" s="359"/>
      <c r="AG51" s="359">
        <f t="shared" si="57"/>
        <v>170</v>
      </c>
      <c r="AH51" s="359"/>
      <c r="AI51" s="359">
        <f t="shared" si="58"/>
        <v>260</v>
      </c>
      <c r="AJ51" s="359"/>
      <c r="AK51" s="359">
        <f t="shared" si="59"/>
        <v>235</v>
      </c>
      <c r="AM51" s="361">
        <f t="shared" si="60"/>
        <v>7</v>
      </c>
      <c r="AN51" s="362" t="s">
        <v>7</v>
      </c>
    </row>
    <row r="52" spans="1:40" ht="12.75" customHeight="1" x14ac:dyDescent="0.3">
      <c r="B52" s="355">
        <v>95</v>
      </c>
      <c r="C52" s="356">
        <v>0.13970588235294101</v>
      </c>
      <c r="D52" s="355">
        <v>90</v>
      </c>
      <c r="E52" s="356">
        <v>0.119205298013245</v>
      </c>
      <c r="F52" s="355">
        <v>70</v>
      </c>
      <c r="G52" s="356">
        <v>0.113821138211382</v>
      </c>
      <c r="H52" s="355">
        <v>5</v>
      </c>
      <c r="I52" s="356">
        <v>2.2212350066637101E-2</v>
      </c>
      <c r="J52" s="355">
        <v>65</v>
      </c>
      <c r="K52" s="356">
        <v>0.117117117117117</v>
      </c>
      <c r="L52" s="355">
        <v>75</v>
      </c>
      <c r="M52" s="356">
        <v>0.12195121951219499</v>
      </c>
      <c r="O52" s="360">
        <f t="shared" si="48"/>
        <v>77.5</v>
      </c>
      <c r="P52" s="360"/>
      <c r="Q52" s="360">
        <f t="shared" si="49"/>
        <v>73.75</v>
      </c>
      <c r="R52" s="360"/>
      <c r="S52" s="360">
        <f t="shared" si="50"/>
        <v>76.25</v>
      </c>
      <c r="T52" s="360"/>
      <c r="U52" s="360">
        <f t="shared" si="51"/>
        <v>27.5</v>
      </c>
      <c r="V52" s="360"/>
      <c r="W52" s="360">
        <f t="shared" si="52"/>
        <v>66.25</v>
      </c>
      <c r="X52" s="360"/>
      <c r="Y52" s="360">
        <f t="shared" si="53"/>
        <v>63.75</v>
      </c>
      <c r="Z52" s="358"/>
      <c r="AA52" s="359">
        <f t="shared" si="54"/>
        <v>310</v>
      </c>
      <c r="AB52" s="359"/>
      <c r="AC52" s="359">
        <f t="shared" si="55"/>
        <v>295</v>
      </c>
      <c r="AD52" s="359"/>
      <c r="AE52" s="359">
        <f t="shared" si="56"/>
        <v>305</v>
      </c>
      <c r="AF52" s="359"/>
      <c r="AG52" s="359">
        <f t="shared" si="57"/>
        <v>110</v>
      </c>
      <c r="AH52" s="359"/>
      <c r="AI52" s="359">
        <f t="shared" si="58"/>
        <v>265</v>
      </c>
      <c r="AJ52" s="359"/>
      <c r="AK52" s="359">
        <f t="shared" si="59"/>
        <v>255</v>
      </c>
      <c r="AM52" s="361">
        <f t="shared" si="60"/>
        <v>8</v>
      </c>
      <c r="AN52" s="362" t="s">
        <v>8</v>
      </c>
    </row>
    <row r="53" spans="1:40" ht="12.75" customHeight="1" x14ac:dyDescent="0.3">
      <c r="B53" s="355">
        <v>95</v>
      </c>
      <c r="C53" s="356">
        <v>0.13970588235294101</v>
      </c>
      <c r="D53" s="355">
        <v>90</v>
      </c>
      <c r="E53" s="356">
        <v>0.119205298013245</v>
      </c>
      <c r="F53" s="355">
        <v>70</v>
      </c>
      <c r="G53" s="356">
        <v>0.113821138211382</v>
      </c>
      <c r="H53" s="355">
        <v>5</v>
      </c>
      <c r="I53" s="356">
        <v>2.2212350066637101E-2</v>
      </c>
      <c r="J53" s="355">
        <v>65</v>
      </c>
      <c r="K53" s="356">
        <v>0.117117117117117</v>
      </c>
      <c r="L53" s="355">
        <v>75</v>
      </c>
      <c r="M53" s="356">
        <v>0.12195121951219499</v>
      </c>
      <c r="O53" s="360">
        <f t="shared" si="48"/>
        <v>77.5</v>
      </c>
      <c r="P53" s="360"/>
      <c r="Q53" s="360">
        <f t="shared" si="49"/>
        <v>77.5</v>
      </c>
      <c r="R53" s="360"/>
      <c r="S53" s="360">
        <f t="shared" si="50"/>
        <v>77.5</v>
      </c>
      <c r="T53" s="360"/>
      <c r="U53" s="360">
        <f t="shared" si="51"/>
        <v>77.5</v>
      </c>
      <c r="V53" s="360"/>
      <c r="W53" s="360">
        <f t="shared" si="52"/>
        <v>77.5</v>
      </c>
      <c r="X53" s="360"/>
      <c r="Y53" s="360">
        <f t="shared" si="53"/>
        <v>77.5</v>
      </c>
      <c r="Z53" s="358"/>
      <c r="AA53" s="359">
        <f t="shared" si="54"/>
        <v>310</v>
      </c>
      <c r="AB53" s="359"/>
      <c r="AC53" s="359">
        <f t="shared" si="55"/>
        <v>310</v>
      </c>
      <c r="AD53" s="359"/>
      <c r="AE53" s="359">
        <f t="shared" si="56"/>
        <v>310</v>
      </c>
      <c r="AF53" s="359"/>
      <c r="AG53" s="359">
        <f t="shared" si="57"/>
        <v>310</v>
      </c>
      <c r="AH53" s="359"/>
      <c r="AI53" s="359">
        <f t="shared" si="58"/>
        <v>310</v>
      </c>
      <c r="AJ53" s="359"/>
      <c r="AK53" s="359">
        <f t="shared" si="59"/>
        <v>310</v>
      </c>
      <c r="AM53" s="361">
        <f t="shared" si="60"/>
        <v>9</v>
      </c>
      <c r="AN53" s="362" t="s">
        <v>9</v>
      </c>
    </row>
    <row r="54" spans="1:40" ht="12.75" customHeight="1" x14ac:dyDescent="0.3"/>
    <row r="55" spans="1:40" ht="12.75" customHeight="1" x14ac:dyDescent="0.3">
      <c r="A55" s="363" t="s">
        <v>75</v>
      </c>
      <c r="B55" s="364" t="s">
        <v>12</v>
      </c>
      <c r="C55" s="365">
        <v>680</v>
      </c>
      <c r="D55" s="364" t="s">
        <v>13</v>
      </c>
      <c r="E55" s="365">
        <v>755</v>
      </c>
      <c r="F55" s="364" t="s">
        <v>14</v>
      </c>
      <c r="G55" s="365">
        <v>615</v>
      </c>
      <c r="H55" s="364" t="s">
        <v>15</v>
      </c>
      <c r="I55" s="365">
        <v>225.1</v>
      </c>
      <c r="J55" s="364" t="s">
        <v>16</v>
      </c>
      <c r="K55" s="365">
        <v>555</v>
      </c>
      <c r="L55" s="364" t="s">
        <v>17</v>
      </c>
      <c r="M55" s="365">
        <v>615</v>
      </c>
      <c r="O55" s="360" t="s">
        <v>12</v>
      </c>
      <c r="P55" s="360"/>
      <c r="Q55" s="360" t="s">
        <v>13</v>
      </c>
      <c r="R55" s="360"/>
      <c r="S55" s="360" t="s">
        <v>14</v>
      </c>
      <c r="T55" s="360"/>
      <c r="U55" s="360" t="s">
        <v>15</v>
      </c>
      <c r="V55" s="360"/>
      <c r="W55" s="360" t="s">
        <v>16</v>
      </c>
      <c r="X55" s="360"/>
      <c r="Y55" s="360" t="s">
        <v>17</v>
      </c>
      <c r="Z55" s="358"/>
      <c r="AA55" s="359" t="s">
        <v>12</v>
      </c>
      <c r="AB55" s="359"/>
      <c r="AC55" s="359" t="s">
        <v>13</v>
      </c>
      <c r="AD55" s="359"/>
      <c r="AE55" s="359" t="s">
        <v>14</v>
      </c>
      <c r="AF55" s="359"/>
      <c r="AG55" s="359" t="s">
        <v>15</v>
      </c>
      <c r="AH55" s="359"/>
      <c r="AI55" s="359" t="s">
        <v>16</v>
      </c>
      <c r="AJ55" s="359"/>
      <c r="AK55" s="359" t="s">
        <v>17</v>
      </c>
      <c r="AM55" s="10">
        <f>AM66</f>
        <v>4</v>
      </c>
    </row>
    <row r="56" spans="1:40" ht="12.75" customHeight="1" x14ac:dyDescent="0.3">
      <c r="A56" s="363"/>
      <c r="B56" s="364">
        <v>90</v>
      </c>
      <c r="C56" s="365">
        <v>0.13235294117647101</v>
      </c>
      <c r="D56" s="364">
        <v>95</v>
      </c>
      <c r="E56" s="365">
        <v>0.12582781456953601</v>
      </c>
      <c r="F56" s="364">
        <v>80</v>
      </c>
      <c r="G56" s="365">
        <v>0.13008130081300801</v>
      </c>
      <c r="H56" s="364">
        <v>30</v>
      </c>
      <c r="I56" s="365">
        <v>0.13327410039982199</v>
      </c>
      <c r="J56" s="364">
        <v>70</v>
      </c>
      <c r="K56" s="365">
        <v>0.126126126126126</v>
      </c>
      <c r="L56" s="364">
        <v>65</v>
      </c>
      <c r="M56" s="365">
        <v>0.105691056910569</v>
      </c>
      <c r="O56" s="360">
        <f t="shared" ref="O56:O64" si="61">AA56/$AM$166</f>
        <v>75</v>
      </c>
      <c r="P56" s="360"/>
      <c r="Q56" s="360">
        <f t="shared" ref="Q56:Q64" si="62">AC56/$AM$166</f>
        <v>71.25</v>
      </c>
      <c r="R56" s="360"/>
      <c r="S56" s="360">
        <f t="shared" ref="S56:S64" si="63">AE56/$AM$166</f>
        <v>75</v>
      </c>
      <c r="T56" s="360"/>
      <c r="U56" s="360">
        <f t="shared" ref="U56:U64" si="64">AG56/$AM$166</f>
        <v>33.774999999999999</v>
      </c>
      <c r="V56" s="360"/>
      <c r="W56" s="360">
        <f t="shared" ref="W56:W64" si="65">AI56/$AM$166</f>
        <v>66.25</v>
      </c>
      <c r="X56" s="360"/>
      <c r="Y56" s="360">
        <f t="shared" ref="Y56:Y64" si="66">AK56/$AM$166</f>
        <v>56.25</v>
      </c>
      <c r="Z56" s="358"/>
      <c r="AA56" s="359">
        <f t="shared" ref="AA56:AA64" si="67">(B97+B87+B77+B67)</f>
        <v>300</v>
      </c>
      <c r="AB56" s="359"/>
      <c r="AC56" s="359">
        <f t="shared" ref="AC56:AC64" si="68">(D97+D87+D77+D67)</f>
        <v>285</v>
      </c>
      <c r="AD56" s="359"/>
      <c r="AE56" s="359">
        <f t="shared" ref="AE56:AE64" si="69">(F97+F87+F77+F67)</f>
        <v>300</v>
      </c>
      <c r="AF56" s="359"/>
      <c r="AG56" s="359">
        <f t="shared" ref="AG56:AG64" si="70">(H97+H87+H77+H67)</f>
        <v>135.1</v>
      </c>
      <c r="AH56" s="359"/>
      <c r="AI56" s="359">
        <f t="shared" ref="AI56:AI64" si="71">(J97+J87+J77+J67)</f>
        <v>265</v>
      </c>
      <c r="AJ56" s="359"/>
      <c r="AK56" s="359">
        <f t="shared" ref="AK56:AK64" si="72">(L97+L87+L77+L67)</f>
        <v>225</v>
      </c>
    </row>
    <row r="57" spans="1:40" ht="12.75" customHeight="1" x14ac:dyDescent="0.3">
      <c r="A57" s="363"/>
      <c r="B57" s="364">
        <v>80</v>
      </c>
      <c r="C57" s="365">
        <v>0.11764705882352899</v>
      </c>
      <c r="D57" s="364">
        <v>95</v>
      </c>
      <c r="E57" s="365">
        <v>0.12582781456953601</v>
      </c>
      <c r="F57" s="364">
        <v>80</v>
      </c>
      <c r="G57" s="365">
        <v>0.13008130081300801</v>
      </c>
      <c r="H57" s="364">
        <v>30</v>
      </c>
      <c r="I57" s="365">
        <v>0.13327410039982199</v>
      </c>
      <c r="J57" s="364">
        <v>70</v>
      </c>
      <c r="K57" s="365">
        <v>0.126126126126126</v>
      </c>
      <c r="L57" s="364">
        <v>75</v>
      </c>
      <c r="M57" s="365">
        <v>0.12195121951219499</v>
      </c>
      <c r="O57" s="360">
        <f t="shared" si="61"/>
        <v>70</v>
      </c>
      <c r="P57" s="360"/>
      <c r="Q57" s="360">
        <f t="shared" si="62"/>
        <v>67.5</v>
      </c>
      <c r="R57" s="360"/>
      <c r="S57" s="360">
        <f t="shared" si="63"/>
        <v>75</v>
      </c>
      <c r="T57" s="360"/>
      <c r="U57" s="360">
        <f t="shared" si="64"/>
        <v>28.024999999999999</v>
      </c>
      <c r="V57" s="360"/>
      <c r="W57" s="360">
        <f t="shared" si="65"/>
        <v>65</v>
      </c>
      <c r="X57" s="360"/>
      <c r="Y57" s="360">
        <f t="shared" si="66"/>
        <v>48.75</v>
      </c>
      <c r="Z57" s="358"/>
      <c r="AA57" s="359">
        <f t="shared" si="67"/>
        <v>280</v>
      </c>
      <c r="AB57" s="359"/>
      <c r="AC57" s="359">
        <f t="shared" si="68"/>
        <v>270</v>
      </c>
      <c r="AD57" s="359"/>
      <c r="AE57" s="359">
        <f t="shared" si="69"/>
        <v>300</v>
      </c>
      <c r="AF57" s="359"/>
      <c r="AG57" s="359">
        <f t="shared" si="70"/>
        <v>112.1</v>
      </c>
      <c r="AH57" s="359"/>
      <c r="AI57" s="359">
        <f t="shared" si="71"/>
        <v>260</v>
      </c>
      <c r="AJ57" s="359"/>
      <c r="AK57" s="359">
        <f t="shared" si="72"/>
        <v>195</v>
      </c>
    </row>
    <row r="58" spans="1:40" ht="12.75" customHeight="1" x14ac:dyDescent="0.3">
      <c r="A58" s="363"/>
      <c r="B58" s="364">
        <v>75</v>
      </c>
      <c r="C58" s="365">
        <v>0.110294117647059</v>
      </c>
      <c r="D58" s="364">
        <v>95</v>
      </c>
      <c r="E58" s="365">
        <v>0.12582781456953601</v>
      </c>
      <c r="F58" s="364">
        <v>80</v>
      </c>
      <c r="G58" s="365">
        <v>0.13008130081300801</v>
      </c>
      <c r="H58" s="364">
        <v>0.1</v>
      </c>
      <c r="I58" s="365">
        <v>4.4424700133274098E-4</v>
      </c>
      <c r="J58" s="364">
        <v>70</v>
      </c>
      <c r="K58" s="365">
        <v>0.126126126126126</v>
      </c>
      <c r="L58" s="364">
        <v>90</v>
      </c>
      <c r="M58" s="365">
        <v>0.146341463414634</v>
      </c>
      <c r="O58" s="360">
        <f t="shared" si="61"/>
        <v>73.75</v>
      </c>
      <c r="P58" s="360"/>
      <c r="Q58" s="360">
        <f t="shared" si="62"/>
        <v>67.5</v>
      </c>
      <c r="R58" s="360"/>
      <c r="S58" s="360">
        <f t="shared" si="63"/>
        <v>75</v>
      </c>
      <c r="T58" s="360"/>
      <c r="U58" s="360">
        <f t="shared" si="64"/>
        <v>32.524999999999999</v>
      </c>
      <c r="V58" s="360"/>
      <c r="W58" s="360">
        <f t="shared" si="65"/>
        <v>65</v>
      </c>
      <c r="X58" s="360"/>
      <c r="Y58" s="360">
        <f t="shared" si="66"/>
        <v>51.25</v>
      </c>
      <c r="Z58" s="358"/>
      <c r="AA58" s="359">
        <f t="shared" si="67"/>
        <v>295</v>
      </c>
      <c r="AB58" s="359"/>
      <c r="AC58" s="359">
        <f t="shared" si="68"/>
        <v>270</v>
      </c>
      <c r="AD58" s="359"/>
      <c r="AE58" s="359">
        <f t="shared" si="69"/>
        <v>300</v>
      </c>
      <c r="AF58" s="359"/>
      <c r="AG58" s="359">
        <f t="shared" si="70"/>
        <v>130.1</v>
      </c>
      <c r="AH58" s="359"/>
      <c r="AI58" s="359">
        <f t="shared" si="71"/>
        <v>260</v>
      </c>
      <c r="AJ58" s="359"/>
      <c r="AK58" s="359">
        <f t="shared" si="72"/>
        <v>205</v>
      </c>
    </row>
    <row r="59" spans="1:40" ht="12.75" customHeight="1" x14ac:dyDescent="0.3">
      <c r="A59" s="363"/>
      <c r="B59" s="364">
        <v>70</v>
      </c>
      <c r="C59" s="365">
        <v>0.10294117647058799</v>
      </c>
      <c r="D59" s="364">
        <v>95</v>
      </c>
      <c r="E59" s="365">
        <v>0.12582781456953601</v>
      </c>
      <c r="F59" s="364">
        <v>80</v>
      </c>
      <c r="G59" s="365">
        <v>0.13008130081300801</v>
      </c>
      <c r="H59" s="364">
        <v>50</v>
      </c>
      <c r="I59" s="365">
        <v>0.22212350066637099</v>
      </c>
      <c r="J59" s="364">
        <v>70</v>
      </c>
      <c r="K59" s="365">
        <v>0.126126126126126</v>
      </c>
      <c r="L59" s="364">
        <v>80</v>
      </c>
      <c r="M59" s="365">
        <v>0.13008130081300801</v>
      </c>
      <c r="O59" s="360">
        <f t="shared" si="61"/>
        <v>73.75</v>
      </c>
      <c r="P59" s="360"/>
      <c r="Q59" s="360">
        <f t="shared" si="62"/>
        <v>67.5</v>
      </c>
      <c r="R59" s="360"/>
      <c r="S59" s="360">
        <f t="shared" si="63"/>
        <v>72.5</v>
      </c>
      <c r="T59" s="360"/>
      <c r="U59" s="360">
        <f t="shared" si="64"/>
        <v>36.274999999999999</v>
      </c>
      <c r="V59" s="360"/>
      <c r="W59" s="360">
        <f t="shared" si="65"/>
        <v>66.25</v>
      </c>
      <c r="X59" s="360"/>
      <c r="Y59" s="360">
        <f t="shared" si="66"/>
        <v>57.5</v>
      </c>
      <c r="Z59" s="358"/>
      <c r="AA59" s="359">
        <f t="shared" si="67"/>
        <v>295</v>
      </c>
      <c r="AB59" s="359"/>
      <c r="AC59" s="359">
        <f t="shared" si="68"/>
        <v>270</v>
      </c>
      <c r="AD59" s="359"/>
      <c r="AE59" s="359">
        <f t="shared" si="69"/>
        <v>290</v>
      </c>
      <c r="AF59" s="359"/>
      <c r="AG59" s="359">
        <f t="shared" si="70"/>
        <v>145.1</v>
      </c>
      <c r="AH59" s="359"/>
      <c r="AI59" s="359">
        <f t="shared" si="71"/>
        <v>265</v>
      </c>
      <c r="AJ59" s="359"/>
      <c r="AK59" s="359">
        <f t="shared" si="72"/>
        <v>230</v>
      </c>
    </row>
    <row r="60" spans="1:40" ht="12.75" customHeight="1" x14ac:dyDescent="0.3">
      <c r="A60" s="363"/>
      <c r="B60" s="364">
        <v>95</v>
      </c>
      <c r="C60" s="365">
        <v>0.13970588235294101</v>
      </c>
      <c r="D60" s="364">
        <v>95</v>
      </c>
      <c r="E60" s="365">
        <v>0.12582781456953601</v>
      </c>
      <c r="F60" s="364">
        <v>75</v>
      </c>
      <c r="G60" s="365">
        <v>0.12195121951219499</v>
      </c>
      <c r="H60" s="364">
        <v>30</v>
      </c>
      <c r="I60" s="365">
        <v>0.13327410039982199</v>
      </c>
      <c r="J60" s="364">
        <v>70</v>
      </c>
      <c r="K60" s="365">
        <v>0.126126126126126</v>
      </c>
      <c r="L60" s="364">
        <v>80</v>
      </c>
      <c r="M60" s="365">
        <v>0.13008130081300801</v>
      </c>
      <c r="O60" s="360">
        <f t="shared" si="61"/>
        <v>71.25</v>
      </c>
      <c r="P60" s="360"/>
      <c r="Q60" s="360">
        <f t="shared" si="62"/>
        <v>67.5</v>
      </c>
      <c r="R60" s="360"/>
      <c r="S60" s="360">
        <f t="shared" si="63"/>
        <v>73.75</v>
      </c>
      <c r="T60" s="360"/>
      <c r="U60" s="360">
        <f t="shared" si="64"/>
        <v>28.024999999999999</v>
      </c>
      <c r="V60" s="360"/>
      <c r="W60" s="360">
        <f t="shared" si="65"/>
        <v>65</v>
      </c>
      <c r="X60" s="360"/>
      <c r="Y60" s="360">
        <f t="shared" si="66"/>
        <v>60</v>
      </c>
      <c r="Z60" s="358"/>
      <c r="AA60" s="359">
        <f t="shared" si="67"/>
        <v>285</v>
      </c>
      <c r="AB60" s="359"/>
      <c r="AC60" s="359">
        <f t="shared" si="68"/>
        <v>270</v>
      </c>
      <c r="AD60" s="359"/>
      <c r="AE60" s="359">
        <f t="shared" si="69"/>
        <v>295</v>
      </c>
      <c r="AF60" s="359"/>
      <c r="AG60" s="359">
        <f t="shared" si="70"/>
        <v>112.1</v>
      </c>
      <c r="AH60" s="359"/>
      <c r="AI60" s="359">
        <f t="shared" si="71"/>
        <v>260</v>
      </c>
      <c r="AJ60" s="359"/>
      <c r="AK60" s="359">
        <f t="shared" si="72"/>
        <v>240</v>
      </c>
    </row>
    <row r="61" spans="1:40" ht="12.75" customHeight="1" x14ac:dyDescent="0.3">
      <c r="A61" s="363"/>
      <c r="B61" s="364">
        <v>95</v>
      </c>
      <c r="C61" s="365">
        <v>0.13970588235294101</v>
      </c>
      <c r="D61" s="364">
        <v>95</v>
      </c>
      <c r="E61" s="365">
        <v>0.12582781456953601</v>
      </c>
      <c r="F61" s="364">
        <v>75</v>
      </c>
      <c r="G61" s="365">
        <v>0.12195121951219499</v>
      </c>
      <c r="H61" s="364">
        <v>30</v>
      </c>
      <c r="I61" s="365">
        <v>0.13327410039982199</v>
      </c>
      <c r="J61" s="364">
        <v>70</v>
      </c>
      <c r="K61" s="365">
        <v>0.126126126126126</v>
      </c>
      <c r="L61" s="364">
        <v>70</v>
      </c>
      <c r="M61" s="365">
        <v>0.113821138211382</v>
      </c>
      <c r="O61" s="360">
        <f t="shared" si="61"/>
        <v>70</v>
      </c>
      <c r="P61" s="360"/>
      <c r="Q61" s="360">
        <f t="shared" si="62"/>
        <v>65</v>
      </c>
      <c r="R61" s="360"/>
      <c r="S61" s="360">
        <f t="shared" si="63"/>
        <v>73.75</v>
      </c>
      <c r="T61" s="360"/>
      <c r="U61" s="360">
        <f t="shared" si="64"/>
        <v>31.274999999999999</v>
      </c>
      <c r="V61" s="360"/>
      <c r="W61" s="360">
        <f t="shared" si="65"/>
        <v>65</v>
      </c>
      <c r="X61" s="360"/>
      <c r="Y61" s="360">
        <f t="shared" si="66"/>
        <v>65</v>
      </c>
      <c r="Z61" s="358"/>
      <c r="AA61" s="359">
        <f t="shared" si="67"/>
        <v>280</v>
      </c>
      <c r="AB61" s="359"/>
      <c r="AC61" s="359">
        <f t="shared" si="68"/>
        <v>260</v>
      </c>
      <c r="AD61" s="359"/>
      <c r="AE61" s="359">
        <f t="shared" si="69"/>
        <v>295</v>
      </c>
      <c r="AF61" s="359"/>
      <c r="AG61" s="359">
        <f t="shared" si="70"/>
        <v>125.1</v>
      </c>
      <c r="AH61" s="359"/>
      <c r="AI61" s="359">
        <f t="shared" si="71"/>
        <v>260</v>
      </c>
      <c r="AJ61" s="359"/>
      <c r="AK61" s="359">
        <f t="shared" si="72"/>
        <v>260</v>
      </c>
    </row>
    <row r="62" spans="1:40" ht="12.75" customHeight="1" x14ac:dyDescent="0.3">
      <c r="A62" s="363"/>
      <c r="B62" s="364">
        <v>80</v>
      </c>
      <c r="C62" s="365">
        <v>0.11764705882352899</v>
      </c>
      <c r="D62" s="364">
        <v>95</v>
      </c>
      <c r="E62" s="365">
        <v>0.12582781456953601</v>
      </c>
      <c r="F62" s="364">
        <v>75</v>
      </c>
      <c r="G62" s="365">
        <v>0.12195121951219499</v>
      </c>
      <c r="H62" s="364">
        <v>50</v>
      </c>
      <c r="I62" s="365">
        <v>0.22212350066637099</v>
      </c>
      <c r="J62" s="364">
        <v>70</v>
      </c>
      <c r="K62" s="365">
        <v>0.126126126126126</v>
      </c>
      <c r="L62" s="364">
        <v>80</v>
      </c>
      <c r="M62" s="365">
        <v>0.13008130081300801</v>
      </c>
      <c r="O62" s="360">
        <f t="shared" si="61"/>
        <v>70</v>
      </c>
      <c r="P62" s="360"/>
      <c r="Q62" s="360">
        <f t="shared" si="62"/>
        <v>70</v>
      </c>
      <c r="R62" s="360"/>
      <c r="S62" s="360">
        <f t="shared" si="63"/>
        <v>68.75</v>
      </c>
      <c r="T62" s="360"/>
      <c r="U62" s="360">
        <f t="shared" si="64"/>
        <v>30.024999999999999</v>
      </c>
      <c r="V62" s="360"/>
      <c r="W62" s="360">
        <f t="shared" si="65"/>
        <v>63.75</v>
      </c>
      <c r="X62" s="360"/>
      <c r="Y62" s="360">
        <f t="shared" si="66"/>
        <v>61.25</v>
      </c>
      <c r="Z62" s="358"/>
      <c r="AA62" s="359">
        <f t="shared" si="67"/>
        <v>280</v>
      </c>
      <c r="AB62" s="359"/>
      <c r="AC62" s="359">
        <f t="shared" si="68"/>
        <v>280</v>
      </c>
      <c r="AD62" s="359"/>
      <c r="AE62" s="359">
        <f t="shared" si="69"/>
        <v>275</v>
      </c>
      <c r="AF62" s="359"/>
      <c r="AG62" s="359">
        <f t="shared" si="70"/>
        <v>120.1</v>
      </c>
      <c r="AH62" s="359"/>
      <c r="AI62" s="359">
        <f t="shared" si="71"/>
        <v>255</v>
      </c>
      <c r="AJ62" s="359"/>
      <c r="AK62" s="359">
        <f t="shared" si="72"/>
        <v>245</v>
      </c>
    </row>
    <row r="63" spans="1:40" ht="12.75" customHeight="1" x14ac:dyDescent="0.3">
      <c r="A63" s="363"/>
      <c r="B63" s="364">
        <v>95</v>
      </c>
      <c r="C63" s="365">
        <v>0.13970588235294101</v>
      </c>
      <c r="D63" s="364">
        <v>90</v>
      </c>
      <c r="E63" s="365">
        <v>0.119205298013245</v>
      </c>
      <c r="F63" s="364">
        <v>70</v>
      </c>
      <c r="G63" s="365">
        <v>0.113821138211382</v>
      </c>
      <c r="H63" s="364">
        <v>5</v>
      </c>
      <c r="I63" s="365">
        <v>2.2212350066637101E-2</v>
      </c>
      <c r="J63" s="364">
        <v>65</v>
      </c>
      <c r="K63" s="365">
        <v>0.117117117117117</v>
      </c>
      <c r="L63" s="364">
        <v>75</v>
      </c>
      <c r="M63" s="365">
        <v>0.12195121951219499</v>
      </c>
      <c r="O63" s="360">
        <f t="shared" si="61"/>
        <v>70</v>
      </c>
      <c r="P63" s="360"/>
      <c r="Q63" s="360">
        <f t="shared" si="62"/>
        <v>71.25</v>
      </c>
      <c r="R63" s="360"/>
      <c r="S63" s="360">
        <f t="shared" si="63"/>
        <v>76.25</v>
      </c>
      <c r="T63" s="360"/>
      <c r="U63" s="360">
        <f t="shared" si="64"/>
        <v>26.274999999999999</v>
      </c>
      <c r="V63" s="360"/>
      <c r="W63" s="360">
        <f t="shared" si="65"/>
        <v>72.5</v>
      </c>
      <c r="X63" s="360"/>
      <c r="Y63" s="360">
        <f t="shared" si="66"/>
        <v>68.75</v>
      </c>
      <c r="Z63" s="358"/>
      <c r="AA63" s="359">
        <f t="shared" si="67"/>
        <v>280</v>
      </c>
      <c r="AB63" s="359"/>
      <c r="AC63" s="359">
        <f t="shared" si="68"/>
        <v>285</v>
      </c>
      <c r="AD63" s="359"/>
      <c r="AE63" s="359">
        <f t="shared" si="69"/>
        <v>305</v>
      </c>
      <c r="AF63" s="359"/>
      <c r="AG63" s="359">
        <f t="shared" si="70"/>
        <v>105.1</v>
      </c>
      <c r="AH63" s="359"/>
      <c r="AI63" s="359">
        <f t="shared" si="71"/>
        <v>290</v>
      </c>
      <c r="AJ63" s="359"/>
      <c r="AK63" s="359">
        <f t="shared" si="72"/>
        <v>275</v>
      </c>
    </row>
    <row r="64" spans="1:40" ht="12.75" customHeight="1" x14ac:dyDescent="0.3">
      <c r="B64" s="10">
        <v>77.5</v>
      </c>
      <c r="D64" s="10">
        <v>77.5</v>
      </c>
      <c r="F64" s="10">
        <v>77.5</v>
      </c>
      <c r="H64" s="10">
        <v>77.5</v>
      </c>
      <c r="J64" s="10">
        <v>77.5</v>
      </c>
      <c r="L64" s="10">
        <v>77.5</v>
      </c>
      <c r="O64" s="360">
        <f t="shared" si="61"/>
        <v>58.125</v>
      </c>
      <c r="P64" s="360"/>
      <c r="Q64" s="360">
        <f t="shared" si="62"/>
        <v>58.125</v>
      </c>
      <c r="R64" s="360"/>
      <c r="S64" s="360">
        <f t="shared" si="63"/>
        <v>58.125</v>
      </c>
      <c r="T64" s="360"/>
      <c r="U64" s="360">
        <f t="shared" si="64"/>
        <v>58.125</v>
      </c>
      <c r="V64" s="360"/>
      <c r="W64" s="360">
        <f t="shared" si="65"/>
        <v>58.125</v>
      </c>
      <c r="X64" s="360"/>
      <c r="Y64" s="360">
        <f t="shared" si="66"/>
        <v>58.125</v>
      </c>
      <c r="Z64" s="358"/>
      <c r="AA64" s="359">
        <f t="shared" si="67"/>
        <v>232.5</v>
      </c>
      <c r="AB64" s="359"/>
      <c r="AC64" s="359">
        <f t="shared" si="68"/>
        <v>232.5</v>
      </c>
      <c r="AD64" s="359"/>
      <c r="AE64" s="359">
        <f t="shared" si="69"/>
        <v>232.5</v>
      </c>
      <c r="AF64" s="359"/>
      <c r="AG64" s="359">
        <f t="shared" si="70"/>
        <v>232.5</v>
      </c>
      <c r="AH64" s="359"/>
      <c r="AI64" s="359">
        <f t="shared" si="71"/>
        <v>232.5</v>
      </c>
      <c r="AJ64" s="359"/>
      <c r="AK64" s="359">
        <f t="shared" si="72"/>
        <v>232.5</v>
      </c>
    </row>
    <row r="65" spans="1:39" ht="12.75" customHeight="1" x14ac:dyDescent="0.3">
      <c r="P65" s="353"/>
      <c r="R65" s="353"/>
      <c r="T65" s="353"/>
      <c r="V65" s="353"/>
      <c r="X65" s="353"/>
      <c r="Z65" s="353"/>
      <c r="AA65" s="359"/>
      <c r="AB65" s="359"/>
      <c r="AC65" s="359"/>
      <c r="AD65" s="359"/>
      <c r="AE65" s="359"/>
      <c r="AF65" s="359"/>
      <c r="AG65" s="359"/>
      <c r="AH65" s="359"/>
      <c r="AI65" s="359"/>
      <c r="AJ65" s="359"/>
      <c r="AK65" s="359"/>
    </row>
    <row r="66" spans="1:39" ht="12.75" customHeight="1" x14ac:dyDescent="0.3">
      <c r="A66" s="352" t="s">
        <v>76</v>
      </c>
      <c r="B66" s="364" t="s">
        <v>12</v>
      </c>
      <c r="C66" s="365">
        <v>460</v>
      </c>
      <c r="D66" s="364" t="s">
        <v>13</v>
      </c>
      <c r="E66" s="365">
        <v>390</v>
      </c>
      <c r="F66" s="364" t="s">
        <v>14</v>
      </c>
      <c r="G66" s="365">
        <v>490</v>
      </c>
      <c r="H66" s="364" t="s">
        <v>15</v>
      </c>
      <c r="I66" s="365">
        <v>34</v>
      </c>
      <c r="J66" s="364" t="s">
        <v>16</v>
      </c>
      <c r="K66" s="365">
        <v>490</v>
      </c>
      <c r="L66" s="364" t="s">
        <v>17</v>
      </c>
      <c r="M66" s="365">
        <v>190</v>
      </c>
      <c r="N66" s="358"/>
      <c r="O66" s="360" t="s">
        <v>12</v>
      </c>
      <c r="P66" s="360"/>
      <c r="Q66" s="360" t="s">
        <v>13</v>
      </c>
      <c r="R66" s="360"/>
      <c r="S66" s="360" t="s">
        <v>14</v>
      </c>
      <c r="T66" s="360"/>
      <c r="U66" s="360" t="s">
        <v>15</v>
      </c>
      <c r="V66" s="360"/>
      <c r="W66" s="360" t="s">
        <v>16</v>
      </c>
      <c r="X66" s="360"/>
      <c r="Y66" s="360" t="s">
        <v>17</v>
      </c>
      <c r="AA66" s="354" t="s">
        <v>12</v>
      </c>
      <c r="AC66" s="354" t="s">
        <v>13</v>
      </c>
      <c r="AE66" s="354" t="s">
        <v>14</v>
      </c>
      <c r="AG66" s="354" t="s">
        <v>15</v>
      </c>
      <c r="AI66" s="354" t="s">
        <v>16</v>
      </c>
      <c r="AK66" s="354" t="s">
        <v>17</v>
      </c>
      <c r="AM66" s="10">
        <f>AM76</f>
        <v>4</v>
      </c>
    </row>
    <row r="67" spans="1:39" ht="12.75" customHeight="1" x14ac:dyDescent="0.3">
      <c r="B67" s="364">
        <v>60</v>
      </c>
      <c r="C67" s="365">
        <v>0.13043478260869601</v>
      </c>
      <c r="D67" s="364">
        <v>50</v>
      </c>
      <c r="E67" s="365">
        <v>0.128205128205128</v>
      </c>
      <c r="F67" s="364">
        <v>60</v>
      </c>
      <c r="G67" s="365">
        <v>0.122448979591837</v>
      </c>
      <c r="H67" s="364">
        <v>5</v>
      </c>
      <c r="I67" s="365">
        <v>0.14705882352941199</v>
      </c>
      <c r="J67" s="364">
        <v>65</v>
      </c>
      <c r="K67" s="365">
        <v>0.13265306122449</v>
      </c>
      <c r="L67" s="364">
        <v>20</v>
      </c>
      <c r="M67" s="365">
        <v>0.105263157894737</v>
      </c>
      <c r="N67" s="358"/>
      <c r="O67" s="360">
        <f t="shared" ref="O67:O74" si="73">AA67/$AM$166</f>
        <v>77.5</v>
      </c>
      <c r="P67" s="360"/>
      <c r="Q67" s="360">
        <f t="shared" ref="Q67:Q74" si="74">AC67/$AM$166</f>
        <v>82.5</v>
      </c>
      <c r="R67" s="360"/>
      <c r="S67" s="360">
        <f t="shared" ref="S67:S74" si="75">AE67/$AM$166</f>
        <v>83.75</v>
      </c>
      <c r="T67" s="360"/>
      <c r="U67" s="360">
        <f t="shared" ref="U67:U74" si="76">AG67/$AM$166</f>
        <v>37.524999999999999</v>
      </c>
      <c r="V67" s="360"/>
      <c r="W67" s="360">
        <f t="shared" ref="W67:W74" si="77">AI67/$AM$166</f>
        <v>70</v>
      </c>
      <c r="X67" s="360"/>
      <c r="Y67" s="360">
        <f t="shared" ref="Y67:Y74" si="78">AK67/$AM$166</f>
        <v>66.25</v>
      </c>
      <c r="AA67" s="354">
        <f t="shared" ref="AA67:AA74" si="79">(B107+B97+B87+B77)</f>
        <v>310</v>
      </c>
      <c r="AC67" s="354">
        <f t="shared" ref="AC67:AC74" si="80">(D107+D97+D87+D77)</f>
        <v>330</v>
      </c>
      <c r="AE67" s="354">
        <f t="shared" ref="AE67:AE74" si="81">(F107+F97+F87+F77)</f>
        <v>335</v>
      </c>
      <c r="AG67" s="354">
        <f t="shared" ref="AG67:AG74" si="82">(H107+H97+H87+H77)</f>
        <v>150.1</v>
      </c>
      <c r="AI67" s="354">
        <f t="shared" ref="AI67:AI74" si="83">(J107+J97+J87+J77)</f>
        <v>280</v>
      </c>
      <c r="AK67" s="354">
        <f t="shared" ref="AK67:AK74" si="84">(L107+L97+L87+L77)</f>
        <v>265</v>
      </c>
    </row>
    <row r="68" spans="1:39" ht="12.75" customHeight="1" x14ac:dyDescent="0.3">
      <c r="B68" s="364">
        <v>60</v>
      </c>
      <c r="C68" s="365">
        <v>0.13043478260869601</v>
      </c>
      <c r="D68" s="364">
        <v>50</v>
      </c>
      <c r="E68" s="365">
        <v>0.128205128205128</v>
      </c>
      <c r="F68" s="364">
        <v>60</v>
      </c>
      <c r="G68" s="365">
        <v>0.122448979591837</v>
      </c>
      <c r="H68" s="364">
        <v>2</v>
      </c>
      <c r="I68" s="365">
        <v>5.8823529411764698E-2</v>
      </c>
      <c r="J68" s="364">
        <v>60</v>
      </c>
      <c r="K68" s="365">
        <v>0.122448979591837</v>
      </c>
      <c r="L68" s="364">
        <v>20</v>
      </c>
      <c r="M68" s="365">
        <v>0.105263157894737</v>
      </c>
      <c r="N68" s="358"/>
      <c r="O68" s="360">
        <f t="shared" si="73"/>
        <v>72.5</v>
      </c>
      <c r="P68" s="360"/>
      <c r="Q68" s="360">
        <f t="shared" si="74"/>
        <v>78.75</v>
      </c>
      <c r="R68" s="360"/>
      <c r="S68" s="360">
        <f t="shared" si="75"/>
        <v>83.75</v>
      </c>
      <c r="T68" s="360"/>
      <c r="U68" s="360">
        <f t="shared" si="76"/>
        <v>32.524999999999999</v>
      </c>
      <c r="V68" s="360"/>
      <c r="W68" s="360">
        <f t="shared" si="77"/>
        <v>70</v>
      </c>
      <c r="X68" s="360"/>
      <c r="Y68" s="360">
        <f t="shared" si="78"/>
        <v>58.75</v>
      </c>
      <c r="AA68" s="354">
        <f t="shared" si="79"/>
        <v>290</v>
      </c>
      <c r="AC68" s="354">
        <f t="shared" si="80"/>
        <v>315</v>
      </c>
      <c r="AE68" s="354">
        <f t="shared" si="81"/>
        <v>335</v>
      </c>
      <c r="AG68" s="354">
        <f t="shared" si="82"/>
        <v>130.1</v>
      </c>
      <c r="AI68" s="354">
        <f t="shared" si="83"/>
        <v>280</v>
      </c>
      <c r="AK68" s="354">
        <f t="shared" si="84"/>
        <v>235</v>
      </c>
    </row>
    <row r="69" spans="1:39" ht="12.75" customHeight="1" x14ac:dyDescent="0.3">
      <c r="B69" s="364">
        <v>60</v>
      </c>
      <c r="C69" s="365">
        <v>0.13043478260869601</v>
      </c>
      <c r="D69" s="364">
        <v>50</v>
      </c>
      <c r="E69" s="365">
        <v>0.128205128205128</v>
      </c>
      <c r="F69" s="364">
        <v>60</v>
      </c>
      <c r="G69" s="365">
        <v>0.122448979591837</v>
      </c>
      <c r="H69" s="364">
        <v>5</v>
      </c>
      <c r="I69" s="365">
        <v>0.14705882352941199</v>
      </c>
      <c r="J69" s="364">
        <v>60</v>
      </c>
      <c r="K69" s="365">
        <v>0.122448979591837</v>
      </c>
      <c r="L69" s="364">
        <v>30</v>
      </c>
      <c r="M69" s="365">
        <v>0.157894736842105</v>
      </c>
      <c r="N69" s="358"/>
      <c r="O69" s="360">
        <f t="shared" si="73"/>
        <v>76.25</v>
      </c>
      <c r="P69" s="360"/>
      <c r="Q69" s="360">
        <f t="shared" si="74"/>
        <v>78.75</v>
      </c>
      <c r="R69" s="360"/>
      <c r="S69" s="360">
        <f t="shared" si="75"/>
        <v>83.75</v>
      </c>
      <c r="T69" s="360"/>
      <c r="U69" s="360">
        <f t="shared" si="76"/>
        <v>43.774999999999999</v>
      </c>
      <c r="V69" s="360"/>
      <c r="W69" s="360">
        <f t="shared" si="77"/>
        <v>68.75</v>
      </c>
      <c r="X69" s="360"/>
      <c r="Y69" s="360">
        <f t="shared" si="78"/>
        <v>56.25</v>
      </c>
      <c r="AA69" s="354">
        <f t="shared" si="79"/>
        <v>305</v>
      </c>
      <c r="AC69" s="354">
        <f t="shared" si="80"/>
        <v>315</v>
      </c>
      <c r="AE69" s="354">
        <f t="shared" si="81"/>
        <v>335</v>
      </c>
      <c r="AG69" s="354">
        <f t="shared" si="82"/>
        <v>175.1</v>
      </c>
      <c r="AI69" s="354">
        <f t="shared" si="83"/>
        <v>275</v>
      </c>
      <c r="AK69" s="354">
        <f t="shared" si="84"/>
        <v>225</v>
      </c>
    </row>
    <row r="70" spans="1:39" ht="12.75" customHeight="1" x14ac:dyDescent="0.3">
      <c r="B70" s="364">
        <v>60</v>
      </c>
      <c r="C70" s="365">
        <v>0.13043478260869601</v>
      </c>
      <c r="D70" s="364">
        <v>50</v>
      </c>
      <c r="E70" s="365">
        <v>0.128205128205128</v>
      </c>
      <c r="F70" s="364">
        <v>65</v>
      </c>
      <c r="G70" s="365">
        <v>0.13265306122449</v>
      </c>
      <c r="H70" s="364">
        <v>5</v>
      </c>
      <c r="I70" s="365">
        <v>0.14705882352941199</v>
      </c>
      <c r="J70" s="364">
        <v>60</v>
      </c>
      <c r="K70" s="365">
        <v>0.122448979591837</v>
      </c>
      <c r="L70" s="364">
        <v>20</v>
      </c>
      <c r="M70" s="365">
        <v>0.105263157894737</v>
      </c>
      <c r="N70" s="358"/>
      <c r="O70" s="360">
        <f t="shared" si="73"/>
        <v>76.25</v>
      </c>
      <c r="P70" s="360"/>
      <c r="Q70" s="360">
        <f t="shared" si="74"/>
        <v>78.75</v>
      </c>
      <c r="R70" s="360"/>
      <c r="S70" s="360">
        <f t="shared" si="75"/>
        <v>80</v>
      </c>
      <c r="T70" s="360"/>
      <c r="U70" s="360">
        <f t="shared" si="76"/>
        <v>40.024999999999999</v>
      </c>
      <c r="V70" s="360"/>
      <c r="W70" s="360">
        <f t="shared" si="77"/>
        <v>71.25</v>
      </c>
      <c r="X70" s="360"/>
      <c r="Y70" s="360">
        <f t="shared" si="78"/>
        <v>67.5</v>
      </c>
      <c r="AA70" s="354">
        <f t="shared" si="79"/>
        <v>305</v>
      </c>
      <c r="AC70" s="354">
        <f t="shared" si="80"/>
        <v>315</v>
      </c>
      <c r="AE70" s="354">
        <f t="shared" si="81"/>
        <v>320</v>
      </c>
      <c r="AG70" s="354">
        <f t="shared" si="82"/>
        <v>160.1</v>
      </c>
      <c r="AI70" s="354">
        <f t="shared" si="83"/>
        <v>285</v>
      </c>
      <c r="AK70" s="354">
        <f t="shared" si="84"/>
        <v>270</v>
      </c>
    </row>
    <row r="71" spans="1:39" ht="12.75" customHeight="1" x14ac:dyDescent="0.3">
      <c r="B71" s="364">
        <v>60</v>
      </c>
      <c r="C71" s="365">
        <v>0.13043478260869601</v>
      </c>
      <c r="D71" s="364">
        <v>50</v>
      </c>
      <c r="E71" s="365">
        <v>0.128205128205128</v>
      </c>
      <c r="F71" s="364">
        <v>60</v>
      </c>
      <c r="G71" s="365">
        <v>0.122448979591837</v>
      </c>
      <c r="H71" s="364">
        <v>2</v>
      </c>
      <c r="I71" s="365">
        <v>5.8823529411764698E-2</v>
      </c>
      <c r="J71" s="364">
        <v>60</v>
      </c>
      <c r="K71" s="365">
        <v>0.122448979591837</v>
      </c>
      <c r="L71" s="364">
        <v>20</v>
      </c>
      <c r="M71" s="365">
        <v>0.105263157894737</v>
      </c>
      <c r="N71" s="358"/>
      <c r="O71" s="360">
        <f t="shared" si="73"/>
        <v>73.75</v>
      </c>
      <c r="P71" s="360"/>
      <c r="Q71" s="360">
        <f t="shared" si="74"/>
        <v>78.75</v>
      </c>
      <c r="R71" s="360"/>
      <c r="S71" s="360">
        <f t="shared" si="75"/>
        <v>82.5</v>
      </c>
      <c r="T71" s="360"/>
      <c r="U71" s="360">
        <f t="shared" si="76"/>
        <v>32.524999999999999</v>
      </c>
      <c r="V71" s="360"/>
      <c r="W71" s="360">
        <f t="shared" si="77"/>
        <v>70</v>
      </c>
      <c r="X71" s="360"/>
      <c r="Y71" s="360">
        <f t="shared" si="78"/>
        <v>70</v>
      </c>
      <c r="AA71" s="354">
        <f t="shared" si="79"/>
        <v>295</v>
      </c>
      <c r="AC71" s="354">
        <f t="shared" si="80"/>
        <v>315</v>
      </c>
      <c r="AE71" s="354">
        <f t="shared" si="81"/>
        <v>330</v>
      </c>
      <c r="AG71" s="354">
        <f t="shared" si="82"/>
        <v>130.1</v>
      </c>
      <c r="AI71" s="354">
        <f t="shared" si="83"/>
        <v>280</v>
      </c>
      <c r="AK71" s="354">
        <f t="shared" si="84"/>
        <v>280</v>
      </c>
    </row>
    <row r="72" spans="1:39" ht="12.75" customHeight="1" x14ac:dyDescent="0.3">
      <c r="B72" s="364">
        <v>50</v>
      </c>
      <c r="C72" s="365">
        <v>0.108695652173913</v>
      </c>
      <c r="D72" s="364">
        <v>40</v>
      </c>
      <c r="E72" s="365">
        <v>0.102564102564103</v>
      </c>
      <c r="F72" s="364">
        <v>60</v>
      </c>
      <c r="G72" s="365">
        <v>0.122448979591837</v>
      </c>
      <c r="H72" s="364">
        <v>5</v>
      </c>
      <c r="I72" s="365">
        <v>0.14705882352941199</v>
      </c>
      <c r="J72" s="364">
        <v>60</v>
      </c>
      <c r="K72" s="365">
        <v>0.122448979591837</v>
      </c>
      <c r="L72" s="364">
        <v>20</v>
      </c>
      <c r="M72" s="365">
        <v>0.105263157894737</v>
      </c>
      <c r="N72" s="358"/>
      <c r="O72" s="360">
        <f t="shared" si="73"/>
        <v>75</v>
      </c>
      <c r="P72" s="360"/>
      <c r="Q72" s="360">
        <f t="shared" si="74"/>
        <v>78.75</v>
      </c>
      <c r="R72" s="360"/>
      <c r="S72" s="360">
        <f t="shared" si="75"/>
        <v>82.5</v>
      </c>
      <c r="T72" s="360"/>
      <c r="U72" s="360">
        <f t="shared" si="76"/>
        <v>35.024999999999999</v>
      </c>
      <c r="V72" s="360"/>
      <c r="W72" s="360">
        <f t="shared" si="77"/>
        <v>70</v>
      </c>
      <c r="X72" s="360"/>
      <c r="Y72" s="360">
        <f t="shared" si="78"/>
        <v>75</v>
      </c>
      <c r="AA72" s="354">
        <f t="shared" si="79"/>
        <v>300</v>
      </c>
      <c r="AC72" s="354">
        <f t="shared" si="80"/>
        <v>315</v>
      </c>
      <c r="AE72" s="354">
        <f t="shared" si="81"/>
        <v>330</v>
      </c>
      <c r="AG72" s="354">
        <f t="shared" si="82"/>
        <v>140.1</v>
      </c>
      <c r="AI72" s="354">
        <f t="shared" si="83"/>
        <v>280</v>
      </c>
      <c r="AK72" s="354">
        <f t="shared" si="84"/>
        <v>300</v>
      </c>
    </row>
    <row r="73" spans="1:39" ht="12.75" customHeight="1" x14ac:dyDescent="0.3">
      <c r="B73" s="364">
        <v>50</v>
      </c>
      <c r="C73" s="365">
        <v>0.108695652173913</v>
      </c>
      <c r="D73" s="364">
        <v>50</v>
      </c>
      <c r="E73" s="365">
        <v>0.128205128205128</v>
      </c>
      <c r="F73" s="364">
        <v>60</v>
      </c>
      <c r="G73" s="365">
        <v>0.122448979591837</v>
      </c>
      <c r="H73" s="364">
        <v>5</v>
      </c>
      <c r="I73" s="365">
        <v>0.14705882352941199</v>
      </c>
      <c r="J73" s="364">
        <v>60</v>
      </c>
      <c r="K73" s="365">
        <v>0.122448979591837</v>
      </c>
      <c r="L73" s="364">
        <v>30</v>
      </c>
      <c r="M73" s="365">
        <v>0.157894736842105</v>
      </c>
      <c r="N73" s="358"/>
      <c r="O73" s="360">
        <f t="shared" si="73"/>
        <v>72.5</v>
      </c>
      <c r="P73" s="360"/>
      <c r="Q73" s="360">
        <f t="shared" si="74"/>
        <v>80</v>
      </c>
      <c r="R73" s="360"/>
      <c r="S73" s="360">
        <f t="shared" si="75"/>
        <v>77.5</v>
      </c>
      <c r="T73" s="360"/>
      <c r="U73" s="360">
        <f t="shared" si="76"/>
        <v>33.774999999999999</v>
      </c>
      <c r="V73" s="360"/>
      <c r="W73" s="360">
        <f t="shared" si="77"/>
        <v>65</v>
      </c>
      <c r="X73" s="360"/>
      <c r="Y73" s="360">
        <f t="shared" si="78"/>
        <v>66.25</v>
      </c>
      <c r="AA73" s="354">
        <f t="shared" si="79"/>
        <v>290</v>
      </c>
      <c r="AC73" s="354">
        <f t="shared" si="80"/>
        <v>320</v>
      </c>
      <c r="AE73" s="354">
        <f t="shared" si="81"/>
        <v>310</v>
      </c>
      <c r="AG73" s="354">
        <f t="shared" si="82"/>
        <v>135.1</v>
      </c>
      <c r="AI73" s="354">
        <f t="shared" si="83"/>
        <v>260</v>
      </c>
      <c r="AK73" s="354">
        <f t="shared" si="84"/>
        <v>265</v>
      </c>
    </row>
    <row r="74" spans="1:39" ht="12.75" customHeight="1" x14ac:dyDescent="0.3">
      <c r="B74" s="364">
        <v>60</v>
      </c>
      <c r="C74" s="365">
        <v>0.13043478260869601</v>
      </c>
      <c r="D74" s="364">
        <v>50</v>
      </c>
      <c r="E74" s="365">
        <v>0.128205128205128</v>
      </c>
      <c r="F74" s="364">
        <v>65</v>
      </c>
      <c r="G74" s="365">
        <v>0.13265306122449</v>
      </c>
      <c r="H74" s="364">
        <v>5</v>
      </c>
      <c r="I74" s="365">
        <v>0.14705882352941199</v>
      </c>
      <c r="J74" s="364">
        <v>65</v>
      </c>
      <c r="K74" s="365">
        <v>0.13265306122449</v>
      </c>
      <c r="L74" s="364">
        <v>30</v>
      </c>
      <c r="M74" s="365">
        <v>0.157894736842105</v>
      </c>
      <c r="N74" s="358"/>
      <c r="O74" s="360">
        <f t="shared" si="73"/>
        <v>72.5</v>
      </c>
      <c r="P74" s="360"/>
      <c r="Q74" s="360">
        <f t="shared" si="74"/>
        <v>82.5</v>
      </c>
      <c r="R74" s="360"/>
      <c r="S74" s="360">
        <f t="shared" si="75"/>
        <v>83.75</v>
      </c>
      <c r="T74" s="360"/>
      <c r="U74" s="360">
        <f t="shared" si="76"/>
        <v>37.524999999999999</v>
      </c>
      <c r="V74" s="360"/>
      <c r="W74" s="360">
        <f t="shared" si="77"/>
        <v>75</v>
      </c>
      <c r="X74" s="360"/>
      <c r="Y74" s="360">
        <f t="shared" si="78"/>
        <v>76.25</v>
      </c>
      <c r="AA74" s="354">
        <f t="shared" si="79"/>
        <v>290</v>
      </c>
      <c r="AC74" s="354">
        <f t="shared" si="80"/>
        <v>330</v>
      </c>
      <c r="AE74" s="354">
        <f t="shared" si="81"/>
        <v>335</v>
      </c>
      <c r="AG74" s="354">
        <f t="shared" si="82"/>
        <v>150.1</v>
      </c>
      <c r="AI74" s="354">
        <f t="shared" si="83"/>
        <v>300</v>
      </c>
      <c r="AK74" s="354">
        <f t="shared" si="84"/>
        <v>305</v>
      </c>
    </row>
    <row r="75" spans="1:39" ht="12.75" customHeight="1" x14ac:dyDescent="0.3">
      <c r="B75" s="10">
        <v>77.5</v>
      </c>
      <c r="D75" s="10">
        <v>77.5</v>
      </c>
      <c r="F75" s="10">
        <v>77.5</v>
      </c>
      <c r="H75" s="10">
        <v>77.5</v>
      </c>
      <c r="J75" s="10">
        <v>77.5</v>
      </c>
      <c r="L75" s="10">
        <v>77.5</v>
      </c>
    </row>
    <row r="76" spans="1:39" ht="12.75" customHeight="1" x14ac:dyDescent="0.3">
      <c r="A76" s="363" t="s">
        <v>77</v>
      </c>
      <c r="B76" s="364" t="s">
        <v>12</v>
      </c>
      <c r="C76" s="365">
        <v>560</v>
      </c>
      <c r="D76" s="364" t="s">
        <v>13</v>
      </c>
      <c r="E76" s="365">
        <v>530</v>
      </c>
      <c r="F76" s="364" t="s">
        <v>14</v>
      </c>
      <c r="G76" s="365">
        <v>720</v>
      </c>
      <c r="H76" s="364" t="s">
        <v>15</v>
      </c>
      <c r="I76" s="365">
        <v>680</v>
      </c>
      <c r="J76" s="364" t="s">
        <v>16</v>
      </c>
      <c r="K76" s="365">
        <v>560</v>
      </c>
      <c r="L76" s="364" t="s">
        <v>17</v>
      </c>
      <c r="M76" s="365">
        <v>470</v>
      </c>
      <c r="N76" s="358"/>
      <c r="O76" s="360" t="s">
        <v>12</v>
      </c>
      <c r="P76" s="360"/>
      <c r="Q76" s="360" t="s">
        <v>13</v>
      </c>
      <c r="R76" s="360"/>
      <c r="S76" s="360" t="s">
        <v>14</v>
      </c>
      <c r="T76" s="360"/>
      <c r="U76" s="360" t="s">
        <v>15</v>
      </c>
      <c r="V76" s="360"/>
      <c r="W76" s="360" t="s">
        <v>16</v>
      </c>
      <c r="X76" s="360"/>
      <c r="Y76" s="360" t="s">
        <v>17</v>
      </c>
      <c r="AA76" s="354" t="s">
        <v>12</v>
      </c>
      <c r="AC76" s="354" t="s">
        <v>13</v>
      </c>
      <c r="AE76" s="354" t="s">
        <v>14</v>
      </c>
      <c r="AG76" s="354" t="s">
        <v>15</v>
      </c>
      <c r="AI76" s="354" t="s">
        <v>16</v>
      </c>
      <c r="AK76" s="354" t="s">
        <v>17</v>
      </c>
      <c r="AM76" s="10">
        <f>AM86</f>
        <v>4</v>
      </c>
    </row>
    <row r="77" spans="1:39" ht="12.75" customHeight="1" x14ac:dyDescent="0.3">
      <c r="A77" s="363"/>
      <c r="B77" s="364">
        <v>70</v>
      </c>
      <c r="C77" s="365">
        <v>0.125</v>
      </c>
      <c r="D77" s="364">
        <v>70</v>
      </c>
      <c r="E77" s="365">
        <v>0.13207547169811301</v>
      </c>
      <c r="F77" s="364">
        <v>95</v>
      </c>
      <c r="G77" s="365">
        <v>0.131944444444444</v>
      </c>
      <c r="H77" s="364">
        <v>100</v>
      </c>
      <c r="I77" s="365">
        <v>0.14705882352941199</v>
      </c>
      <c r="J77" s="364">
        <v>70</v>
      </c>
      <c r="K77" s="365">
        <v>0.125</v>
      </c>
      <c r="L77" s="364">
        <v>60</v>
      </c>
      <c r="M77" s="365">
        <v>0.12765957446808501</v>
      </c>
      <c r="N77" s="358"/>
      <c r="O77" s="360">
        <f t="shared" ref="O77:O84" si="85">AA77/$AM$166</f>
        <v>83.75</v>
      </c>
      <c r="P77" s="360"/>
      <c r="Q77" s="360">
        <f t="shared" ref="Q77:Q84" si="86">AC77/$AM$166</f>
        <v>87.5</v>
      </c>
      <c r="R77" s="360"/>
      <c r="S77" s="360">
        <f t="shared" ref="S77:S84" si="87">AE77/$AM$166</f>
        <v>83.75</v>
      </c>
      <c r="T77" s="360"/>
      <c r="U77" s="360">
        <f t="shared" ref="U77:U84" si="88">AG77/$AM$166</f>
        <v>15.025</v>
      </c>
      <c r="V77" s="360"/>
      <c r="W77" s="360">
        <f t="shared" ref="W77:W84" si="89">AI77/$AM$166</f>
        <v>75</v>
      </c>
      <c r="X77" s="360"/>
      <c r="Y77" s="360">
        <f t="shared" ref="Y77:Y84" si="90">AK77/$AM$166</f>
        <v>70</v>
      </c>
      <c r="AA77" s="354">
        <f t="shared" ref="AA77:AA84" si="91">(B117+B107+B97+B87)</f>
        <v>335</v>
      </c>
      <c r="AC77" s="354">
        <f t="shared" ref="AC77:AC84" si="92">(D117+D107+D97+D87)</f>
        <v>350</v>
      </c>
      <c r="AE77" s="354">
        <f t="shared" ref="AE77:AE84" si="93">(F117+F107+F97+F87)</f>
        <v>335</v>
      </c>
      <c r="AG77" s="354">
        <f t="shared" ref="AG77:AG84" si="94">(H117+H107+H97+H87)</f>
        <v>60.1</v>
      </c>
      <c r="AI77" s="354">
        <f t="shared" ref="AI77:AI84" si="95">(J117+J107+J97+J87)</f>
        <v>300</v>
      </c>
      <c r="AK77" s="354">
        <f t="shared" ref="AK77:AK84" si="96">(L117+L107+L97+L87)</f>
        <v>280</v>
      </c>
    </row>
    <row r="78" spans="1:39" ht="12.75" customHeight="1" x14ac:dyDescent="0.3">
      <c r="A78" s="363"/>
      <c r="B78" s="364">
        <v>70</v>
      </c>
      <c r="C78" s="365">
        <v>0.125</v>
      </c>
      <c r="D78" s="364">
        <v>70</v>
      </c>
      <c r="E78" s="365">
        <v>0.13207547169811301</v>
      </c>
      <c r="F78" s="364">
        <v>95</v>
      </c>
      <c r="G78" s="365">
        <v>0.131944444444444</v>
      </c>
      <c r="H78" s="364">
        <v>80</v>
      </c>
      <c r="I78" s="365">
        <v>0.11764705882352899</v>
      </c>
      <c r="J78" s="364">
        <v>70</v>
      </c>
      <c r="K78" s="365">
        <v>0.125</v>
      </c>
      <c r="L78" s="364">
        <v>60</v>
      </c>
      <c r="M78" s="365">
        <v>0.12765957446808501</v>
      </c>
      <c r="N78" s="358"/>
      <c r="O78" s="360">
        <f t="shared" si="85"/>
        <v>78.75</v>
      </c>
      <c r="P78" s="360"/>
      <c r="Q78" s="360">
        <f t="shared" si="86"/>
        <v>85</v>
      </c>
      <c r="R78" s="360"/>
      <c r="S78" s="360">
        <f t="shared" si="87"/>
        <v>82.5</v>
      </c>
      <c r="T78" s="360"/>
      <c r="U78" s="360">
        <f t="shared" si="88"/>
        <v>15.025</v>
      </c>
      <c r="V78" s="360"/>
      <c r="W78" s="360">
        <f t="shared" si="89"/>
        <v>71.25</v>
      </c>
      <c r="X78" s="360"/>
      <c r="Y78" s="360">
        <f t="shared" si="90"/>
        <v>66.25</v>
      </c>
      <c r="AA78" s="354">
        <f t="shared" si="91"/>
        <v>315</v>
      </c>
      <c r="AC78" s="354">
        <f t="shared" si="92"/>
        <v>340</v>
      </c>
      <c r="AE78" s="354">
        <f t="shared" si="93"/>
        <v>330</v>
      </c>
      <c r="AG78" s="354">
        <f t="shared" si="94"/>
        <v>60.1</v>
      </c>
      <c r="AI78" s="354">
        <f t="shared" si="95"/>
        <v>285</v>
      </c>
      <c r="AK78" s="354">
        <f t="shared" si="96"/>
        <v>265</v>
      </c>
    </row>
    <row r="79" spans="1:39" ht="12.75" customHeight="1" x14ac:dyDescent="0.3">
      <c r="A79" s="363"/>
      <c r="B79" s="364">
        <v>75</v>
      </c>
      <c r="C79" s="365">
        <v>0.13392857142857101</v>
      </c>
      <c r="D79" s="364">
        <v>65</v>
      </c>
      <c r="E79" s="365">
        <v>0.122641509433962</v>
      </c>
      <c r="F79" s="364">
        <v>95</v>
      </c>
      <c r="G79" s="365">
        <v>0.131944444444444</v>
      </c>
      <c r="H79" s="364">
        <v>95</v>
      </c>
      <c r="I79" s="365">
        <v>0.13970588235294101</v>
      </c>
      <c r="J79" s="364">
        <v>65</v>
      </c>
      <c r="K79" s="365">
        <v>0.11607142857142901</v>
      </c>
      <c r="L79" s="364">
        <v>60</v>
      </c>
      <c r="M79" s="365">
        <v>0.12765957446808501</v>
      </c>
      <c r="N79" s="358"/>
      <c r="O79" s="360">
        <f t="shared" si="85"/>
        <v>81.25</v>
      </c>
      <c r="P79" s="360"/>
      <c r="Q79" s="360">
        <f t="shared" si="86"/>
        <v>86.25</v>
      </c>
      <c r="R79" s="360"/>
      <c r="S79" s="360">
        <f t="shared" si="87"/>
        <v>82.5</v>
      </c>
      <c r="T79" s="360"/>
      <c r="U79" s="360">
        <f t="shared" si="88"/>
        <v>22.524999999999999</v>
      </c>
      <c r="V79" s="360"/>
      <c r="W79" s="360">
        <f t="shared" si="89"/>
        <v>71.25</v>
      </c>
      <c r="X79" s="360"/>
      <c r="Y79" s="360">
        <f t="shared" si="90"/>
        <v>63.75</v>
      </c>
      <c r="AA79" s="354">
        <f t="shared" si="91"/>
        <v>325</v>
      </c>
      <c r="AC79" s="354">
        <f t="shared" si="92"/>
        <v>345</v>
      </c>
      <c r="AE79" s="354">
        <f t="shared" si="93"/>
        <v>330</v>
      </c>
      <c r="AG79" s="354">
        <f t="shared" si="94"/>
        <v>90.1</v>
      </c>
      <c r="AI79" s="354">
        <f t="shared" si="95"/>
        <v>285</v>
      </c>
      <c r="AK79" s="354">
        <f t="shared" si="96"/>
        <v>255</v>
      </c>
    </row>
    <row r="80" spans="1:39" ht="12.75" customHeight="1" x14ac:dyDescent="0.3">
      <c r="A80" s="363"/>
      <c r="B80" s="364">
        <v>70</v>
      </c>
      <c r="C80" s="365">
        <v>0.125</v>
      </c>
      <c r="D80" s="364">
        <v>65</v>
      </c>
      <c r="E80" s="365">
        <v>0.122641509433962</v>
      </c>
      <c r="F80" s="364">
        <v>80</v>
      </c>
      <c r="G80" s="365">
        <v>0.11111111111111099</v>
      </c>
      <c r="H80" s="364">
        <v>90</v>
      </c>
      <c r="I80" s="365">
        <v>0.13235294117647101</v>
      </c>
      <c r="J80" s="364">
        <v>75</v>
      </c>
      <c r="K80" s="365">
        <v>0.13392857142857101</v>
      </c>
      <c r="L80" s="364">
        <v>50</v>
      </c>
      <c r="M80" s="365">
        <v>0.10638297872340401</v>
      </c>
      <c r="N80" s="358"/>
      <c r="O80" s="360">
        <f t="shared" si="85"/>
        <v>82.5</v>
      </c>
      <c r="P80" s="360"/>
      <c r="Q80" s="360">
        <f t="shared" si="86"/>
        <v>86.25</v>
      </c>
      <c r="R80" s="360"/>
      <c r="S80" s="360">
        <f t="shared" si="87"/>
        <v>82.5</v>
      </c>
      <c r="T80" s="360"/>
      <c r="U80" s="360">
        <f t="shared" si="88"/>
        <v>20.024999999999999</v>
      </c>
      <c r="V80" s="360"/>
      <c r="W80" s="360">
        <f t="shared" si="89"/>
        <v>71.25</v>
      </c>
      <c r="X80" s="360"/>
      <c r="Y80" s="360">
        <f t="shared" si="90"/>
        <v>73.75</v>
      </c>
      <c r="AA80" s="354">
        <f t="shared" si="91"/>
        <v>330</v>
      </c>
      <c r="AC80" s="354">
        <f t="shared" si="92"/>
        <v>345</v>
      </c>
      <c r="AE80" s="354">
        <f t="shared" si="93"/>
        <v>330</v>
      </c>
      <c r="AG80" s="354">
        <f t="shared" si="94"/>
        <v>80.099999999999994</v>
      </c>
      <c r="AI80" s="354">
        <f t="shared" si="95"/>
        <v>285</v>
      </c>
      <c r="AK80" s="354">
        <f t="shared" si="96"/>
        <v>295</v>
      </c>
    </row>
    <row r="81" spans="1:39" ht="12.75" customHeight="1" x14ac:dyDescent="0.3">
      <c r="A81" s="363"/>
      <c r="B81" s="364">
        <v>65</v>
      </c>
      <c r="C81" s="365">
        <v>0.11607142857142901</v>
      </c>
      <c r="D81" s="364">
        <v>65</v>
      </c>
      <c r="E81" s="365">
        <v>0.122641509433962</v>
      </c>
      <c r="F81" s="364">
        <v>90</v>
      </c>
      <c r="G81" s="365">
        <v>0.125</v>
      </c>
      <c r="H81" s="364">
        <v>80</v>
      </c>
      <c r="I81" s="365">
        <v>0.11764705882352899</v>
      </c>
      <c r="J81" s="364">
        <v>70</v>
      </c>
      <c r="K81" s="365">
        <v>0.125</v>
      </c>
      <c r="L81" s="364">
        <v>60</v>
      </c>
      <c r="M81" s="365">
        <v>0.12765957446808501</v>
      </c>
      <c r="N81" s="358"/>
      <c r="O81" s="360">
        <f t="shared" si="85"/>
        <v>81.25</v>
      </c>
      <c r="P81" s="360"/>
      <c r="Q81" s="360">
        <f t="shared" si="86"/>
        <v>86.25</v>
      </c>
      <c r="R81" s="360"/>
      <c r="S81" s="360">
        <f t="shared" si="87"/>
        <v>83.75</v>
      </c>
      <c r="T81" s="360"/>
      <c r="U81" s="360">
        <f t="shared" si="88"/>
        <v>15.025</v>
      </c>
      <c r="V81" s="360"/>
      <c r="W81" s="360">
        <f t="shared" si="89"/>
        <v>75</v>
      </c>
      <c r="X81" s="360"/>
      <c r="Y81" s="360">
        <f t="shared" si="90"/>
        <v>77.5</v>
      </c>
      <c r="AA81" s="354">
        <f t="shared" si="91"/>
        <v>325</v>
      </c>
      <c r="AC81" s="354">
        <f t="shared" si="92"/>
        <v>345</v>
      </c>
      <c r="AE81" s="354">
        <f t="shared" si="93"/>
        <v>335</v>
      </c>
      <c r="AG81" s="354">
        <f t="shared" si="94"/>
        <v>60.1</v>
      </c>
      <c r="AI81" s="354">
        <f t="shared" si="95"/>
        <v>300</v>
      </c>
      <c r="AK81" s="354">
        <f t="shared" si="96"/>
        <v>310</v>
      </c>
    </row>
    <row r="82" spans="1:39" ht="12.75" customHeight="1" x14ac:dyDescent="0.3">
      <c r="A82" s="363"/>
      <c r="B82" s="364">
        <v>70</v>
      </c>
      <c r="C82" s="365">
        <v>0.125</v>
      </c>
      <c r="D82" s="364">
        <v>65</v>
      </c>
      <c r="E82" s="365">
        <v>0.122641509433962</v>
      </c>
      <c r="F82" s="364">
        <v>95</v>
      </c>
      <c r="G82" s="365">
        <v>0.131944444444444</v>
      </c>
      <c r="H82" s="364">
        <v>90</v>
      </c>
      <c r="I82" s="365">
        <v>0.13235294117647101</v>
      </c>
      <c r="J82" s="364">
        <v>70</v>
      </c>
      <c r="K82" s="365">
        <v>0.125</v>
      </c>
      <c r="L82" s="364">
        <v>60</v>
      </c>
      <c r="M82" s="365">
        <v>0.12765957446808501</v>
      </c>
      <c r="N82" s="358"/>
      <c r="O82" s="360">
        <f t="shared" si="85"/>
        <v>81.25</v>
      </c>
      <c r="P82" s="360"/>
      <c r="Q82" s="360">
        <f t="shared" si="86"/>
        <v>86.25</v>
      </c>
      <c r="R82" s="360"/>
      <c r="S82" s="360">
        <f t="shared" si="87"/>
        <v>81.25</v>
      </c>
      <c r="T82" s="360"/>
      <c r="U82" s="360">
        <f t="shared" si="88"/>
        <v>15.025</v>
      </c>
      <c r="V82" s="360"/>
      <c r="W82" s="360">
        <f t="shared" si="89"/>
        <v>71.25</v>
      </c>
      <c r="X82" s="360"/>
      <c r="Y82" s="360">
        <f t="shared" si="90"/>
        <v>82.5</v>
      </c>
      <c r="AA82" s="354">
        <f t="shared" si="91"/>
        <v>325</v>
      </c>
      <c r="AC82" s="354">
        <f t="shared" si="92"/>
        <v>345</v>
      </c>
      <c r="AE82" s="354">
        <f t="shared" si="93"/>
        <v>325</v>
      </c>
      <c r="AG82" s="354">
        <f t="shared" si="94"/>
        <v>60.1</v>
      </c>
      <c r="AI82" s="354">
        <f t="shared" si="95"/>
        <v>285</v>
      </c>
      <c r="AK82" s="354">
        <f t="shared" si="96"/>
        <v>330</v>
      </c>
    </row>
    <row r="83" spans="1:39" ht="12.75" customHeight="1" x14ac:dyDescent="0.3">
      <c r="A83" s="363"/>
      <c r="B83" s="364">
        <v>75</v>
      </c>
      <c r="C83" s="365">
        <v>0.13392857142857101</v>
      </c>
      <c r="D83" s="364">
        <v>65</v>
      </c>
      <c r="E83" s="365">
        <v>0.122641509433962</v>
      </c>
      <c r="F83" s="364">
        <v>75</v>
      </c>
      <c r="G83" s="365">
        <v>0.104166666666667</v>
      </c>
      <c r="H83" s="364">
        <v>75</v>
      </c>
      <c r="I83" s="365">
        <v>0.110294117647059</v>
      </c>
      <c r="J83" s="364">
        <v>70</v>
      </c>
      <c r="K83" s="365">
        <v>0.125</v>
      </c>
      <c r="L83" s="364">
        <v>60</v>
      </c>
      <c r="M83" s="365">
        <v>0.12765957446808501</v>
      </c>
      <c r="N83" s="358"/>
      <c r="O83" s="360">
        <f t="shared" si="85"/>
        <v>77.5</v>
      </c>
      <c r="P83" s="360"/>
      <c r="Q83" s="360">
        <f t="shared" si="86"/>
        <v>87.5</v>
      </c>
      <c r="R83" s="360"/>
      <c r="S83" s="360">
        <f t="shared" si="87"/>
        <v>82.5</v>
      </c>
      <c r="T83" s="360"/>
      <c r="U83" s="360">
        <f t="shared" si="88"/>
        <v>17.524999999999999</v>
      </c>
      <c r="V83" s="360"/>
      <c r="W83" s="360">
        <f t="shared" si="89"/>
        <v>70</v>
      </c>
      <c r="X83" s="360"/>
      <c r="Y83" s="360">
        <f t="shared" si="90"/>
        <v>70</v>
      </c>
      <c r="AA83" s="354">
        <f t="shared" si="91"/>
        <v>310</v>
      </c>
      <c r="AC83" s="354">
        <f t="shared" si="92"/>
        <v>350</v>
      </c>
      <c r="AE83" s="354">
        <f t="shared" si="93"/>
        <v>330</v>
      </c>
      <c r="AG83" s="354">
        <f t="shared" si="94"/>
        <v>70.099999999999994</v>
      </c>
      <c r="AI83" s="354">
        <f t="shared" si="95"/>
        <v>280</v>
      </c>
      <c r="AK83" s="354">
        <f t="shared" si="96"/>
        <v>280</v>
      </c>
    </row>
    <row r="84" spans="1:39" ht="12.75" customHeight="1" x14ac:dyDescent="0.3">
      <c r="A84" s="363"/>
      <c r="B84" s="364">
        <v>65</v>
      </c>
      <c r="C84" s="365">
        <v>0.11607142857142901</v>
      </c>
      <c r="D84" s="364">
        <v>65</v>
      </c>
      <c r="E84" s="365">
        <v>0.122641509433962</v>
      </c>
      <c r="F84" s="364">
        <v>95</v>
      </c>
      <c r="G84" s="365">
        <v>0.131944444444444</v>
      </c>
      <c r="H84" s="364">
        <v>70</v>
      </c>
      <c r="I84" s="365">
        <v>0.10294117647058799</v>
      </c>
      <c r="J84" s="364">
        <v>70</v>
      </c>
      <c r="K84" s="365">
        <v>0.125</v>
      </c>
      <c r="L84" s="364">
        <v>60</v>
      </c>
      <c r="M84" s="365">
        <v>0.12765957446808501</v>
      </c>
      <c r="N84" s="358"/>
      <c r="O84" s="360">
        <f t="shared" si="85"/>
        <v>80</v>
      </c>
      <c r="P84" s="360"/>
      <c r="Q84" s="360">
        <f t="shared" si="86"/>
        <v>90</v>
      </c>
      <c r="R84" s="360"/>
      <c r="S84" s="360">
        <f t="shared" si="87"/>
        <v>80</v>
      </c>
      <c r="T84" s="360"/>
      <c r="U84" s="360">
        <f t="shared" si="88"/>
        <v>22.524999999999999</v>
      </c>
      <c r="V84" s="360"/>
      <c r="W84" s="360">
        <f t="shared" si="89"/>
        <v>76.25</v>
      </c>
      <c r="X84" s="360"/>
      <c r="Y84" s="360">
        <f t="shared" si="90"/>
        <v>83.75</v>
      </c>
      <c r="AA84" s="354">
        <f t="shared" si="91"/>
        <v>320</v>
      </c>
      <c r="AC84" s="354">
        <f t="shared" si="92"/>
        <v>360</v>
      </c>
      <c r="AE84" s="354">
        <f t="shared" si="93"/>
        <v>320</v>
      </c>
      <c r="AG84" s="354">
        <f t="shared" si="94"/>
        <v>90.1</v>
      </c>
      <c r="AI84" s="354">
        <f t="shared" si="95"/>
        <v>305</v>
      </c>
      <c r="AK84" s="354">
        <f t="shared" si="96"/>
        <v>335</v>
      </c>
    </row>
    <row r="85" spans="1:39" ht="12.75" customHeight="1" x14ac:dyDescent="0.3">
      <c r="B85" s="10">
        <v>77.5</v>
      </c>
      <c r="D85" s="10">
        <v>77.5</v>
      </c>
      <c r="F85" s="10">
        <v>77.5</v>
      </c>
      <c r="H85" s="10">
        <v>77.5</v>
      </c>
      <c r="J85" s="10">
        <v>77.5</v>
      </c>
      <c r="L85" s="10">
        <v>77.5</v>
      </c>
    </row>
    <row r="86" spans="1:39" ht="12.75" customHeight="1" x14ac:dyDescent="0.3">
      <c r="A86" s="363" t="s">
        <v>78</v>
      </c>
      <c r="B86" s="364" t="s">
        <v>12</v>
      </c>
      <c r="C86" s="365">
        <v>715</v>
      </c>
      <c r="D86" s="364" t="s">
        <v>13</v>
      </c>
      <c r="E86" s="365">
        <v>660</v>
      </c>
      <c r="F86" s="364" t="s">
        <v>14</v>
      </c>
      <c r="G86" s="365">
        <v>600</v>
      </c>
      <c r="H86" s="364" t="s">
        <v>15</v>
      </c>
      <c r="I86" s="365">
        <v>270</v>
      </c>
      <c r="J86" s="364" t="s">
        <v>16</v>
      </c>
      <c r="K86" s="365">
        <v>510</v>
      </c>
      <c r="L86" s="364" t="s">
        <v>17</v>
      </c>
      <c r="M86" s="365">
        <v>585</v>
      </c>
      <c r="O86" s="360" t="s">
        <v>12</v>
      </c>
      <c r="P86" s="360"/>
      <c r="Q86" s="360" t="s">
        <v>13</v>
      </c>
      <c r="R86" s="360"/>
      <c r="S86" s="360" t="s">
        <v>14</v>
      </c>
      <c r="T86" s="360"/>
      <c r="U86" s="360" t="s">
        <v>15</v>
      </c>
      <c r="V86" s="360"/>
      <c r="W86" s="360" t="s">
        <v>16</v>
      </c>
      <c r="X86" s="360"/>
      <c r="Y86" s="360" t="s">
        <v>17</v>
      </c>
      <c r="AA86" s="354" t="s">
        <v>12</v>
      </c>
      <c r="AC86" s="354" t="s">
        <v>13</v>
      </c>
      <c r="AE86" s="354" t="s">
        <v>14</v>
      </c>
      <c r="AG86" s="354" t="s">
        <v>15</v>
      </c>
      <c r="AI86" s="354" t="s">
        <v>16</v>
      </c>
      <c r="AK86" s="354" t="s">
        <v>17</v>
      </c>
      <c r="AM86" s="10">
        <f>AM96</f>
        <v>4</v>
      </c>
    </row>
    <row r="87" spans="1:39" ht="12.75" customHeight="1" x14ac:dyDescent="0.3">
      <c r="A87" s="363"/>
      <c r="B87" s="364">
        <v>95</v>
      </c>
      <c r="C87" s="365">
        <v>0.132867132867133</v>
      </c>
      <c r="D87" s="364">
        <v>90</v>
      </c>
      <c r="E87" s="365">
        <v>0.13636363636363599</v>
      </c>
      <c r="F87" s="364">
        <v>75</v>
      </c>
      <c r="G87" s="365">
        <v>0.125</v>
      </c>
      <c r="H87" s="364">
        <v>30</v>
      </c>
      <c r="I87" s="365">
        <v>0.11111111111111099</v>
      </c>
      <c r="J87" s="364">
        <v>65</v>
      </c>
      <c r="K87" s="365">
        <v>0.12745098039215699</v>
      </c>
      <c r="L87" s="364">
        <v>70</v>
      </c>
      <c r="M87" s="365">
        <v>0.11965811965812</v>
      </c>
      <c r="O87" s="360">
        <f t="shared" ref="O87:O94" si="97">AA87/$AM$166</f>
        <v>82.5</v>
      </c>
      <c r="P87" s="360"/>
      <c r="Q87" s="360">
        <f t="shared" ref="Q87:Q94" si="98">AC87/$AM$166</f>
        <v>82.5</v>
      </c>
      <c r="R87" s="360"/>
      <c r="S87" s="360">
        <f t="shared" ref="S87:S94" si="99">AE87/$AM$166</f>
        <v>85</v>
      </c>
      <c r="T87" s="360"/>
      <c r="U87" s="360">
        <f t="shared" ref="U87:U94" si="100">AG87/$AM$166</f>
        <v>15.025</v>
      </c>
      <c r="V87" s="360"/>
      <c r="W87" s="360">
        <f t="shared" ref="W87:W94" si="101">AI87/$AM$166</f>
        <v>73.75</v>
      </c>
      <c r="X87" s="360"/>
      <c r="Y87" s="360">
        <f t="shared" ref="Y87:Y94" si="102">AK87/$AM$166</f>
        <v>72.5</v>
      </c>
      <c r="AA87" s="354">
        <f t="shared" ref="AA87:AA94" si="103">(B127+B117+B107+B97)</f>
        <v>330</v>
      </c>
      <c r="AC87" s="354">
        <f t="shared" ref="AC87:AC94" si="104">(D127+D117+D107+D97)</f>
        <v>330</v>
      </c>
      <c r="AE87" s="354">
        <f t="shared" ref="AE87:AE94" si="105">(F127+F117+F107+F97)</f>
        <v>340</v>
      </c>
      <c r="AG87" s="354">
        <f t="shared" ref="AG87:AG94" si="106">(H127+H117+H107+H97)</f>
        <v>60.1</v>
      </c>
      <c r="AI87" s="354">
        <f t="shared" ref="AI87:AI94" si="107">(J127+J117+J107+J97)</f>
        <v>295</v>
      </c>
      <c r="AK87" s="354">
        <f t="shared" ref="AK87:AK94" si="108">(L127+L117+L107+L97)</f>
        <v>290</v>
      </c>
    </row>
    <row r="88" spans="1:39" ht="12.75" customHeight="1" x14ac:dyDescent="0.3">
      <c r="A88" s="363"/>
      <c r="B88" s="364">
        <v>80</v>
      </c>
      <c r="C88" s="365">
        <v>0.111888111888112</v>
      </c>
      <c r="D88" s="364">
        <v>75</v>
      </c>
      <c r="E88" s="365">
        <v>0.11363636363636399</v>
      </c>
      <c r="F88" s="364">
        <v>75</v>
      </c>
      <c r="G88" s="365">
        <v>0.125</v>
      </c>
      <c r="H88" s="364">
        <v>30</v>
      </c>
      <c r="I88" s="365">
        <v>0.11111111111111099</v>
      </c>
      <c r="J88" s="364">
        <v>60</v>
      </c>
      <c r="K88" s="365">
        <v>0.11764705882352899</v>
      </c>
      <c r="L88" s="364">
        <v>65</v>
      </c>
      <c r="M88" s="365">
        <v>0.11111111111111099</v>
      </c>
      <c r="O88" s="360">
        <f t="shared" si="97"/>
        <v>78.75</v>
      </c>
      <c r="P88" s="360"/>
      <c r="Q88" s="360">
        <f t="shared" si="98"/>
        <v>83.75</v>
      </c>
      <c r="R88" s="360"/>
      <c r="S88" s="360">
        <f t="shared" si="99"/>
        <v>86.25</v>
      </c>
      <c r="T88" s="360"/>
      <c r="U88" s="360">
        <f t="shared" si="100"/>
        <v>12.525</v>
      </c>
      <c r="V88" s="360"/>
      <c r="W88" s="360">
        <f t="shared" si="101"/>
        <v>71.25</v>
      </c>
      <c r="X88" s="360"/>
      <c r="Y88" s="360">
        <f t="shared" si="102"/>
        <v>72.5</v>
      </c>
      <c r="AA88" s="354">
        <f t="shared" si="103"/>
        <v>315</v>
      </c>
      <c r="AC88" s="354">
        <f t="shared" si="104"/>
        <v>335</v>
      </c>
      <c r="AE88" s="354">
        <f t="shared" si="105"/>
        <v>345</v>
      </c>
      <c r="AG88" s="354">
        <f t="shared" si="106"/>
        <v>50.1</v>
      </c>
      <c r="AI88" s="354">
        <f t="shared" si="107"/>
        <v>285</v>
      </c>
      <c r="AK88" s="354">
        <f t="shared" si="108"/>
        <v>290</v>
      </c>
    </row>
    <row r="89" spans="1:39" ht="12.75" customHeight="1" x14ac:dyDescent="0.3">
      <c r="A89" s="363"/>
      <c r="B89" s="364">
        <v>90</v>
      </c>
      <c r="C89" s="365">
        <v>0.125874125874126</v>
      </c>
      <c r="D89" s="364">
        <v>80</v>
      </c>
      <c r="E89" s="365">
        <v>0.12121212121212099</v>
      </c>
      <c r="F89" s="364">
        <v>75</v>
      </c>
      <c r="G89" s="365">
        <v>0.125</v>
      </c>
      <c r="H89" s="364">
        <v>30</v>
      </c>
      <c r="I89" s="365">
        <v>0.11111111111111099</v>
      </c>
      <c r="J89" s="364">
        <v>65</v>
      </c>
      <c r="K89" s="365">
        <v>0.12745098039215699</v>
      </c>
      <c r="L89" s="364">
        <v>65</v>
      </c>
      <c r="M89" s="365">
        <v>0.11111111111111099</v>
      </c>
      <c r="O89" s="360">
        <f t="shared" si="97"/>
        <v>77.5</v>
      </c>
      <c r="P89" s="360"/>
      <c r="Q89" s="360">
        <f t="shared" si="98"/>
        <v>83.75</v>
      </c>
      <c r="R89" s="360"/>
      <c r="S89" s="360">
        <f t="shared" si="99"/>
        <v>86.25</v>
      </c>
      <c r="T89" s="360"/>
      <c r="U89" s="360">
        <f t="shared" si="100"/>
        <v>20.024999999999999</v>
      </c>
      <c r="V89" s="360"/>
      <c r="W89" s="360">
        <f t="shared" si="101"/>
        <v>70</v>
      </c>
      <c r="X89" s="360"/>
      <c r="Y89" s="360">
        <f t="shared" si="102"/>
        <v>71.25</v>
      </c>
      <c r="AA89" s="354">
        <f t="shared" si="103"/>
        <v>310</v>
      </c>
      <c r="AC89" s="354">
        <f t="shared" si="104"/>
        <v>335</v>
      </c>
      <c r="AE89" s="354">
        <f t="shared" si="105"/>
        <v>345</v>
      </c>
      <c r="AG89" s="354">
        <f t="shared" si="106"/>
        <v>80.099999999999994</v>
      </c>
      <c r="AI89" s="354">
        <f t="shared" si="107"/>
        <v>280</v>
      </c>
      <c r="AK89" s="354">
        <f t="shared" si="108"/>
        <v>285</v>
      </c>
    </row>
    <row r="90" spans="1:39" ht="12.75" customHeight="1" x14ac:dyDescent="0.3">
      <c r="A90" s="363"/>
      <c r="B90" s="364">
        <v>90</v>
      </c>
      <c r="C90" s="365">
        <v>0.125874125874126</v>
      </c>
      <c r="D90" s="364">
        <v>80</v>
      </c>
      <c r="E90" s="365">
        <v>0.12121212121212099</v>
      </c>
      <c r="F90" s="364">
        <v>75</v>
      </c>
      <c r="G90" s="365">
        <v>0.125</v>
      </c>
      <c r="H90" s="364">
        <v>50</v>
      </c>
      <c r="I90" s="365">
        <v>0.18518518518518501</v>
      </c>
      <c r="J90" s="364">
        <v>65</v>
      </c>
      <c r="K90" s="365">
        <v>0.12745098039215699</v>
      </c>
      <c r="L90" s="364">
        <v>70</v>
      </c>
      <c r="M90" s="365">
        <v>0.11965811965812</v>
      </c>
      <c r="O90" s="360">
        <f t="shared" si="97"/>
        <v>80</v>
      </c>
      <c r="P90" s="360"/>
      <c r="Q90" s="360">
        <f t="shared" si="98"/>
        <v>83.75</v>
      </c>
      <c r="R90" s="360"/>
      <c r="S90" s="360">
        <f t="shared" si="99"/>
        <v>83.75</v>
      </c>
      <c r="T90" s="360"/>
      <c r="U90" s="360">
        <f t="shared" si="100"/>
        <v>15.025</v>
      </c>
      <c r="V90" s="360"/>
      <c r="W90" s="360">
        <f t="shared" si="101"/>
        <v>70</v>
      </c>
      <c r="X90" s="360"/>
      <c r="Y90" s="360">
        <f t="shared" si="102"/>
        <v>76.25</v>
      </c>
      <c r="AA90" s="354">
        <f t="shared" si="103"/>
        <v>320</v>
      </c>
      <c r="AC90" s="354">
        <f t="shared" si="104"/>
        <v>335</v>
      </c>
      <c r="AE90" s="354">
        <f t="shared" si="105"/>
        <v>335</v>
      </c>
      <c r="AG90" s="354">
        <f t="shared" si="106"/>
        <v>60.1</v>
      </c>
      <c r="AI90" s="354">
        <f t="shared" si="107"/>
        <v>280</v>
      </c>
      <c r="AK90" s="354">
        <f t="shared" si="108"/>
        <v>305</v>
      </c>
    </row>
    <row r="91" spans="1:39" ht="12.75" customHeight="1" x14ac:dyDescent="0.3">
      <c r="A91" s="363"/>
      <c r="B91" s="364">
        <v>90</v>
      </c>
      <c r="C91" s="365">
        <v>0.125874125874126</v>
      </c>
      <c r="D91" s="364">
        <v>75</v>
      </c>
      <c r="E91" s="365">
        <v>0.11363636363636399</v>
      </c>
      <c r="F91" s="364">
        <v>75</v>
      </c>
      <c r="G91" s="365">
        <v>0.125</v>
      </c>
      <c r="H91" s="364">
        <v>30</v>
      </c>
      <c r="I91" s="365">
        <v>0.11111111111111099</v>
      </c>
      <c r="J91" s="364">
        <v>65</v>
      </c>
      <c r="K91" s="365">
        <v>0.12745098039215699</v>
      </c>
      <c r="L91" s="364">
        <v>70</v>
      </c>
      <c r="M91" s="365">
        <v>0.11965811965812</v>
      </c>
      <c r="O91" s="360">
        <f t="shared" si="97"/>
        <v>76.25</v>
      </c>
      <c r="P91" s="360"/>
      <c r="Q91" s="360">
        <f t="shared" si="98"/>
        <v>85</v>
      </c>
      <c r="R91" s="360"/>
      <c r="S91" s="360">
        <f t="shared" si="99"/>
        <v>83.75</v>
      </c>
      <c r="T91" s="360"/>
      <c r="U91" s="360">
        <f t="shared" si="100"/>
        <v>12.525</v>
      </c>
      <c r="V91" s="360"/>
      <c r="W91" s="360">
        <f t="shared" si="101"/>
        <v>73.75</v>
      </c>
      <c r="X91" s="360"/>
      <c r="Y91" s="360">
        <f t="shared" si="102"/>
        <v>78.75</v>
      </c>
      <c r="AA91" s="354">
        <f t="shared" si="103"/>
        <v>305</v>
      </c>
      <c r="AC91" s="354">
        <f t="shared" si="104"/>
        <v>340</v>
      </c>
      <c r="AE91" s="354">
        <f t="shared" si="105"/>
        <v>335</v>
      </c>
      <c r="AG91" s="354">
        <f t="shared" si="106"/>
        <v>50.1</v>
      </c>
      <c r="AI91" s="354">
        <f t="shared" si="107"/>
        <v>295</v>
      </c>
      <c r="AK91" s="354">
        <f t="shared" si="108"/>
        <v>315</v>
      </c>
    </row>
    <row r="92" spans="1:39" ht="12.75" customHeight="1" x14ac:dyDescent="0.3">
      <c r="A92" s="363"/>
      <c r="B92" s="364">
        <v>90</v>
      </c>
      <c r="C92" s="365">
        <v>0.125874125874126</v>
      </c>
      <c r="D92" s="364">
        <v>80</v>
      </c>
      <c r="E92" s="365">
        <v>0.12121212121212099</v>
      </c>
      <c r="F92" s="364">
        <v>75</v>
      </c>
      <c r="G92" s="365">
        <v>0.125</v>
      </c>
      <c r="H92" s="364">
        <v>30</v>
      </c>
      <c r="I92" s="365">
        <v>0.11111111111111099</v>
      </c>
      <c r="J92" s="364">
        <v>65</v>
      </c>
      <c r="K92" s="365">
        <v>0.12745098039215699</v>
      </c>
      <c r="L92" s="364">
        <v>90</v>
      </c>
      <c r="M92" s="365">
        <v>0.15384615384615399</v>
      </c>
      <c r="O92" s="360">
        <f t="shared" si="97"/>
        <v>82.5</v>
      </c>
      <c r="P92" s="360"/>
      <c r="Q92" s="360">
        <f t="shared" si="98"/>
        <v>83.75</v>
      </c>
      <c r="R92" s="360"/>
      <c r="S92" s="360">
        <f t="shared" si="99"/>
        <v>85</v>
      </c>
      <c r="T92" s="360"/>
      <c r="U92" s="360">
        <f t="shared" si="100"/>
        <v>15.025</v>
      </c>
      <c r="V92" s="360"/>
      <c r="W92" s="360">
        <f t="shared" si="101"/>
        <v>71.25</v>
      </c>
      <c r="X92" s="360"/>
      <c r="Y92" s="360">
        <f t="shared" si="102"/>
        <v>78.75</v>
      </c>
      <c r="AA92" s="354">
        <f t="shared" si="103"/>
        <v>330</v>
      </c>
      <c r="AC92" s="354">
        <f t="shared" si="104"/>
        <v>335</v>
      </c>
      <c r="AE92" s="354">
        <f t="shared" si="105"/>
        <v>340</v>
      </c>
      <c r="AG92" s="354">
        <f t="shared" si="106"/>
        <v>60.1</v>
      </c>
      <c r="AI92" s="354">
        <f t="shared" si="107"/>
        <v>285</v>
      </c>
      <c r="AK92" s="354">
        <f t="shared" si="108"/>
        <v>315</v>
      </c>
    </row>
    <row r="93" spans="1:39" ht="12.75" customHeight="1" x14ac:dyDescent="0.3">
      <c r="A93" s="363"/>
      <c r="B93" s="364">
        <v>90</v>
      </c>
      <c r="C93" s="365">
        <v>0.125874125874126</v>
      </c>
      <c r="D93" s="364">
        <v>90</v>
      </c>
      <c r="E93" s="365">
        <v>0.13636363636363599</v>
      </c>
      <c r="F93" s="364">
        <v>75</v>
      </c>
      <c r="G93" s="365">
        <v>0.125</v>
      </c>
      <c r="H93" s="364">
        <v>40</v>
      </c>
      <c r="I93" s="365">
        <v>0.148148148148148</v>
      </c>
      <c r="J93" s="364">
        <v>60</v>
      </c>
      <c r="K93" s="365">
        <v>0.11764705882352899</v>
      </c>
      <c r="L93" s="364">
        <v>65</v>
      </c>
      <c r="M93" s="365">
        <v>0.11111111111111099</v>
      </c>
      <c r="O93" s="360">
        <f t="shared" si="97"/>
        <v>78.75</v>
      </c>
      <c r="P93" s="360"/>
      <c r="Q93" s="360">
        <f t="shared" si="98"/>
        <v>82.5</v>
      </c>
      <c r="R93" s="360"/>
      <c r="S93" s="360">
        <f t="shared" si="99"/>
        <v>83.75</v>
      </c>
      <c r="T93" s="360"/>
      <c r="U93" s="360">
        <f t="shared" si="100"/>
        <v>12.525</v>
      </c>
      <c r="V93" s="360"/>
      <c r="W93" s="360">
        <f t="shared" si="101"/>
        <v>70</v>
      </c>
      <c r="X93" s="360"/>
      <c r="Y93" s="360">
        <f t="shared" si="102"/>
        <v>76.25</v>
      </c>
      <c r="AA93" s="354">
        <f t="shared" si="103"/>
        <v>315</v>
      </c>
      <c r="AC93" s="354">
        <f t="shared" si="104"/>
        <v>330</v>
      </c>
      <c r="AE93" s="354">
        <f t="shared" si="105"/>
        <v>335</v>
      </c>
      <c r="AG93" s="354">
        <f t="shared" si="106"/>
        <v>50.1</v>
      </c>
      <c r="AI93" s="354">
        <f t="shared" si="107"/>
        <v>280</v>
      </c>
      <c r="AK93" s="354">
        <f t="shared" si="108"/>
        <v>305</v>
      </c>
    </row>
    <row r="94" spans="1:39" ht="12.75" customHeight="1" x14ac:dyDescent="0.3">
      <c r="A94" s="363"/>
      <c r="B94" s="364">
        <v>90</v>
      </c>
      <c r="C94" s="365">
        <v>0.125874125874126</v>
      </c>
      <c r="D94" s="364">
        <v>90</v>
      </c>
      <c r="E94" s="365">
        <v>0.13636363636363599</v>
      </c>
      <c r="F94" s="364">
        <v>75</v>
      </c>
      <c r="G94" s="365">
        <v>0.125</v>
      </c>
      <c r="H94" s="364">
        <v>30</v>
      </c>
      <c r="I94" s="365">
        <v>0.11111111111111099</v>
      </c>
      <c r="J94" s="364">
        <v>65</v>
      </c>
      <c r="K94" s="365">
        <v>0.12745098039215699</v>
      </c>
      <c r="L94" s="364">
        <v>90</v>
      </c>
      <c r="M94" s="365">
        <v>0.15384615384615399</v>
      </c>
      <c r="O94" s="360">
        <f t="shared" si="97"/>
        <v>77.5</v>
      </c>
      <c r="P94" s="360"/>
      <c r="Q94" s="360">
        <f t="shared" si="98"/>
        <v>82.5</v>
      </c>
      <c r="R94" s="360"/>
      <c r="S94" s="360">
        <f t="shared" si="99"/>
        <v>85</v>
      </c>
      <c r="T94" s="360"/>
      <c r="U94" s="360">
        <f t="shared" si="100"/>
        <v>37.524999999999999</v>
      </c>
      <c r="V94" s="360"/>
      <c r="W94" s="360">
        <f t="shared" si="101"/>
        <v>77.5</v>
      </c>
      <c r="X94" s="360"/>
      <c r="Y94" s="360">
        <f t="shared" si="102"/>
        <v>83.75</v>
      </c>
      <c r="AA94" s="354">
        <f t="shared" si="103"/>
        <v>310</v>
      </c>
      <c r="AC94" s="354">
        <f t="shared" si="104"/>
        <v>330</v>
      </c>
      <c r="AE94" s="354">
        <f t="shared" si="105"/>
        <v>340</v>
      </c>
      <c r="AG94" s="354">
        <f t="shared" si="106"/>
        <v>150.1</v>
      </c>
      <c r="AI94" s="354">
        <f t="shared" si="107"/>
        <v>310</v>
      </c>
      <c r="AK94" s="354">
        <f t="shared" si="108"/>
        <v>335</v>
      </c>
    </row>
    <row r="95" spans="1:39" ht="12.75" customHeight="1" x14ac:dyDescent="0.3">
      <c r="B95" s="10">
        <v>77.5</v>
      </c>
      <c r="D95" s="10">
        <v>77.5</v>
      </c>
      <c r="F95" s="10">
        <v>77.5</v>
      </c>
      <c r="H95" s="10">
        <v>77.5</v>
      </c>
      <c r="J95" s="10">
        <v>77.5</v>
      </c>
      <c r="L95" s="10">
        <v>77.5</v>
      </c>
    </row>
    <row r="96" spans="1:39" ht="13.5" customHeight="1" x14ac:dyDescent="0.3">
      <c r="A96" s="363" t="s">
        <v>79</v>
      </c>
      <c r="B96" s="364" t="s">
        <v>12</v>
      </c>
      <c r="C96" s="365">
        <v>560</v>
      </c>
      <c r="D96" s="364" t="s">
        <v>13</v>
      </c>
      <c r="E96" s="365">
        <v>610</v>
      </c>
      <c r="F96" s="364" t="s">
        <v>14</v>
      </c>
      <c r="G96" s="365">
        <v>550</v>
      </c>
      <c r="H96" s="364" t="s">
        <v>15</v>
      </c>
      <c r="I96" s="365">
        <v>0.8</v>
      </c>
      <c r="J96" s="364" t="s">
        <v>16</v>
      </c>
      <c r="K96" s="365">
        <v>555</v>
      </c>
      <c r="L96" s="364" t="s">
        <v>17</v>
      </c>
      <c r="M96" s="365">
        <v>630</v>
      </c>
      <c r="O96" s="360" t="s">
        <v>12</v>
      </c>
      <c r="P96" s="360"/>
      <c r="Q96" s="360" t="s">
        <v>13</v>
      </c>
      <c r="R96" s="360"/>
      <c r="S96" s="360" t="s">
        <v>14</v>
      </c>
      <c r="T96" s="360"/>
      <c r="U96" s="360" t="s">
        <v>15</v>
      </c>
      <c r="V96" s="360"/>
      <c r="W96" s="360" t="s">
        <v>16</v>
      </c>
      <c r="X96" s="360"/>
      <c r="Y96" s="360" t="s">
        <v>17</v>
      </c>
      <c r="AA96" s="354" t="s">
        <v>12</v>
      </c>
      <c r="AC96" s="354" t="s">
        <v>13</v>
      </c>
      <c r="AE96" s="354" t="s">
        <v>14</v>
      </c>
      <c r="AG96" s="354" t="s">
        <v>15</v>
      </c>
      <c r="AI96" s="354" t="s">
        <v>16</v>
      </c>
      <c r="AK96" s="354" t="s">
        <v>17</v>
      </c>
      <c r="AM96" s="10">
        <f>AM106</f>
        <v>4</v>
      </c>
    </row>
    <row r="97" spans="1:39" ht="13.5" customHeight="1" x14ac:dyDescent="0.3">
      <c r="B97" s="364">
        <v>75</v>
      </c>
      <c r="C97" s="365">
        <v>0.13392857142857101</v>
      </c>
      <c r="D97" s="364">
        <v>75</v>
      </c>
      <c r="E97" s="365">
        <v>0.12295081967213101</v>
      </c>
      <c r="F97" s="364">
        <v>70</v>
      </c>
      <c r="G97" s="365">
        <v>0.12727272727272701</v>
      </c>
      <c r="H97" s="364">
        <v>0.1</v>
      </c>
      <c r="I97" s="365">
        <v>0.125</v>
      </c>
      <c r="J97" s="364">
        <v>65</v>
      </c>
      <c r="K97" s="365">
        <v>0.117117117117117</v>
      </c>
      <c r="L97" s="364">
        <v>75</v>
      </c>
      <c r="M97" s="365">
        <v>0.119047619047619</v>
      </c>
      <c r="O97" s="360">
        <f t="shared" ref="O97:O104" si="109">AA97/$AM$166</f>
        <v>81.25</v>
      </c>
      <c r="P97" s="360"/>
      <c r="Q97" s="360">
        <f t="shared" ref="Q97:Q104" si="110">AC97/$AM$166</f>
        <v>83.75</v>
      </c>
      <c r="R97" s="360"/>
      <c r="S97" s="360">
        <f t="shared" ref="S97:S104" si="111">AE97/$AM$166</f>
        <v>91.25</v>
      </c>
      <c r="T97" s="360"/>
      <c r="U97" s="360">
        <f t="shared" ref="U97:U104" si="112">AG97/$AM$166</f>
        <v>20</v>
      </c>
      <c r="V97" s="360"/>
      <c r="W97" s="360">
        <f t="shared" ref="W97:W104" si="113">AI97/$AM$166</f>
        <v>80</v>
      </c>
      <c r="X97" s="360"/>
      <c r="Y97" s="360">
        <f t="shared" ref="Y97:Y104" si="114">AK97/$AM$166</f>
        <v>66.25</v>
      </c>
      <c r="AA97" s="354">
        <f t="shared" ref="AA97:AA104" si="115">(B137+B127+B117+B107)</f>
        <v>325</v>
      </c>
      <c r="AC97" s="354">
        <f t="shared" ref="AC97:AC104" si="116">(D137+D127+D117+D107)</f>
        <v>335</v>
      </c>
      <c r="AE97" s="354">
        <f t="shared" ref="AE97:AE104" si="117">(F137+F127+F117+F107)</f>
        <v>365</v>
      </c>
      <c r="AG97" s="354">
        <f t="shared" ref="AG97:AG104" si="118">(H137+H127+H117+H107)</f>
        <v>80</v>
      </c>
      <c r="AI97" s="354">
        <f t="shared" ref="AI97:AI104" si="119">(J137+J127+J117+J107)</f>
        <v>320</v>
      </c>
      <c r="AK97" s="354">
        <f t="shared" ref="AK97:AK104" si="120">(L137+L127+L117+L107)</f>
        <v>265</v>
      </c>
    </row>
    <row r="98" spans="1:39" ht="13.5" customHeight="1" x14ac:dyDescent="0.3">
      <c r="B98" s="364">
        <v>70</v>
      </c>
      <c r="C98" s="365">
        <v>0.125</v>
      </c>
      <c r="D98" s="364">
        <v>75</v>
      </c>
      <c r="E98" s="365">
        <v>0.12295081967213101</v>
      </c>
      <c r="F98" s="364">
        <v>70</v>
      </c>
      <c r="G98" s="365">
        <v>0.12727272727272701</v>
      </c>
      <c r="H98" s="364">
        <v>0.1</v>
      </c>
      <c r="I98" s="365">
        <v>0.125</v>
      </c>
      <c r="J98" s="364">
        <v>70</v>
      </c>
      <c r="K98" s="365">
        <v>0.126126126126126</v>
      </c>
      <c r="L98" s="364">
        <v>50</v>
      </c>
      <c r="M98" s="365">
        <v>7.9365079365079402E-2</v>
      </c>
      <c r="O98" s="360">
        <f t="shared" si="109"/>
        <v>78.75</v>
      </c>
      <c r="P98" s="360"/>
      <c r="Q98" s="360">
        <f t="shared" si="110"/>
        <v>85</v>
      </c>
      <c r="R98" s="360"/>
      <c r="S98" s="360">
        <f t="shared" si="111"/>
        <v>92.5</v>
      </c>
      <c r="T98" s="360"/>
      <c r="U98" s="360">
        <f t="shared" si="112"/>
        <v>17.5</v>
      </c>
      <c r="V98" s="360"/>
      <c r="W98" s="360">
        <f t="shared" si="113"/>
        <v>77.5</v>
      </c>
      <c r="X98" s="360"/>
      <c r="Y98" s="360">
        <f t="shared" si="114"/>
        <v>72.5</v>
      </c>
      <c r="AA98" s="354">
        <f t="shared" si="115"/>
        <v>315</v>
      </c>
      <c r="AC98" s="354">
        <f t="shared" si="116"/>
        <v>340</v>
      </c>
      <c r="AE98" s="354">
        <f t="shared" si="117"/>
        <v>370</v>
      </c>
      <c r="AG98" s="354">
        <f t="shared" si="118"/>
        <v>70</v>
      </c>
      <c r="AI98" s="354">
        <f t="shared" si="119"/>
        <v>310</v>
      </c>
      <c r="AK98" s="354">
        <f t="shared" si="120"/>
        <v>290</v>
      </c>
    </row>
    <row r="99" spans="1:39" ht="13.5" customHeight="1" x14ac:dyDescent="0.3">
      <c r="B99" s="364">
        <v>70</v>
      </c>
      <c r="C99" s="365">
        <v>0.125</v>
      </c>
      <c r="D99" s="364">
        <v>75</v>
      </c>
      <c r="E99" s="365">
        <v>0.12295081967213101</v>
      </c>
      <c r="F99" s="364">
        <v>70</v>
      </c>
      <c r="G99" s="365">
        <v>0.12727272727272701</v>
      </c>
      <c r="H99" s="364">
        <v>0.1</v>
      </c>
      <c r="I99" s="365">
        <v>0.125</v>
      </c>
      <c r="J99" s="364">
        <v>70</v>
      </c>
      <c r="K99" s="365">
        <v>0.126126126126126</v>
      </c>
      <c r="L99" s="364">
        <v>50</v>
      </c>
      <c r="M99" s="365">
        <v>7.9365079365079402E-2</v>
      </c>
      <c r="O99" s="360">
        <f t="shared" si="109"/>
        <v>77.5</v>
      </c>
      <c r="P99" s="360"/>
      <c r="Q99" s="360">
        <f t="shared" si="110"/>
        <v>83.75</v>
      </c>
      <c r="R99" s="360"/>
      <c r="S99" s="360">
        <f t="shared" si="111"/>
        <v>92.5</v>
      </c>
      <c r="T99" s="360"/>
      <c r="U99" s="360">
        <f t="shared" si="112"/>
        <v>25</v>
      </c>
      <c r="V99" s="360"/>
      <c r="W99" s="360">
        <f t="shared" si="113"/>
        <v>76.25</v>
      </c>
      <c r="X99" s="360"/>
      <c r="Y99" s="360">
        <f t="shared" si="114"/>
        <v>71.25</v>
      </c>
      <c r="AA99" s="354">
        <f t="shared" si="115"/>
        <v>310</v>
      </c>
      <c r="AC99" s="354">
        <f t="shared" si="116"/>
        <v>335</v>
      </c>
      <c r="AE99" s="354">
        <f t="shared" si="117"/>
        <v>370</v>
      </c>
      <c r="AG99" s="354">
        <f t="shared" si="118"/>
        <v>100</v>
      </c>
      <c r="AI99" s="354">
        <f t="shared" si="119"/>
        <v>305</v>
      </c>
      <c r="AK99" s="354">
        <f t="shared" si="120"/>
        <v>285</v>
      </c>
    </row>
    <row r="100" spans="1:39" ht="13.5" customHeight="1" x14ac:dyDescent="0.3">
      <c r="B100" s="364">
        <v>75</v>
      </c>
      <c r="C100" s="365">
        <v>0.13392857142857101</v>
      </c>
      <c r="D100" s="364">
        <v>75</v>
      </c>
      <c r="E100" s="365">
        <v>0.12295081967213101</v>
      </c>
      <c r="F100" s="364">
        <v>70</v>
      </c>
      <c r="G100" s="365">
        <v>0.12727272727272701</v>
      </c>
      <c r="H100" s="364">
        <v>0.1</v>
      </c>
      <c r="I100" s="365">
        <v>0.125</v>
      </c>
      <c r="J100" s="364">
        <v>65</v>
      </c>
      <c r="K100" s="365">
        <v>0.117117117117117</v>
      </c>
      <c r="L100" s="364">
        <v>90</v>
      </c>
      <c r="M100" s="365">
        <v>0.14285714285714299</v>
      </c>
      <c r="O100" s="360">
        <f t="shared" si="109"/>
        <v>78.75</v>
      </c>
      <c r="P100" s="360"/>
      <c r="Q100" s="360">
        <f t="shared" si="110"/>
        <v>85</v>
      </c>
      <c r="R100" s="360"/>
      <c r="S100" s="360">
        <f t="shared" si="111"/>
        <v>88.75</v>
      </c>
      <c r="T100" s="360"/>
      <c r="U100" s="360">
        <f t="shared" si="112"/>
        <v>20</v>
      </c>
      <c r="V100" s="360"/>
      <c r="W100" s="360">
        <f t="shared" si="113"/>
        <v>77.5</v>
      </c>
      <c r="X100" s="360"/>
      <c r="Y100" s="360">
        <f t="shared" si="114"/>
        <v>66.25</v>
      </c>
      <c r="AA100" s="354">
        <f t="shared" si="115"/>
        <v>315</v>
      </c>
      <c r="AC100" s="354">
        <f t="shared" si="116"/>
        <v>340</v>
      </c>
      <c r="AE100" s="354">
        <f t="shared" si="117"/>
        <v>355</v>
      </c>
      <c r="AG100" s="354">
        <f t="shared" si="118"/>
        <v>80</v>
      </c>
      <c r="AI100" s="354">
        <f t="shared" si="119"/>
        <v>310</v>
      </c>
      <c r="AK100" s="354">
        <f t="shared" si="120"/>
        <v>265</v>
      </c>
    </row>
    <row r="101" spans="1:39" ht="13.5" customHeight="1" x14ac:dyDescent="0.3">
      <c r="B101" s="364">
        <v>70</v>
      </c>
      <c r="C101" s="365">
        <v>0.125</v>
      </c>
      <c r="D101" s="364">
        <v>80</v>
      </c>
      <c r="E101" s="365">
        <v>0.13114754098360701</v>
      </c>
      <c r="F101" s="364">
        <v>70</v>
      </c>
      <c r="G101" s="365">
        <v>0.12727272727272701</v>
      </c>
      <c r="H101" s="364">
        <v>0.1</v>
      </c>
      <c r="I101" s="365">
        <v>0.125</v>
      </c>
      <c r="J101" s="364">
        <v>65</v>
      </c>
      <c r="K101" s="365">
        <v>0.117117117117117</v>
      </c>
      <c r="L101" s="364">
        <v>90</v>
      </c>
      <c r="M101" s="365">
        <v>0.14285714285714299</v>
      </c>
      <c r="O101" s="360">
        <f t="shared" si="109"/>
        <v>76.25</v>
      </c>
      <c r="P101" s="360"/>
      <c r="Q101" s="360">
        <f t="shared" si="110"/>
        <v>83.75</v>
      </c>
      <c r="R101" s="360"/>
      <c r="S101" s="360">
        <f t="shared" si="111"/>
        <v>88.75</v>
      </c>
      <c r="T101" s="360"/>
      <c r="U101" s="360">
        <f t="shared" si="112"/>
        <v>17.5</v>
      </c>
      <c r="V101" s="360"/>
      <c r="W101" s="360">
        <f t="shared" si="113"/>
        <v>81.25</v>
      </c>
      <c r="X101" s="360"/>
      <c r="Y101" s="360">
        <f t="shared" si="114"/>
        <v>71.25</v>
      </c>
      <c r="AA101" s="354">
        <f t="shared" si="115"/>
        <v>305</v>
      </c>
      <c r="AC101" s="354">
        <f t="shared" si="116"/>
        <v>335</v>
      </c>
      <c r="AE101" s="354">
        <f t="shared" si="117"/>
        <v>355</v>
      </c>
      <c r="AG101" s="354">
        <f t="shared" si="118"/>
        <v>70</v>
      </c>
      <c r="AI101" s="354">
        <f t="shared" si="119"/>
        <v>325</v>
      </c>
      <c r="AK101" s="354">
        <f t="shared" si="120"/>
        <v>285</v>
      </c>
    </row>
    <row r="102" spans="1:39" ht="13.5" customHeight="1" x14ac:dyDescent="0.3">
      <c r="B102" s="364">
        <v>70</v>
      </c>
      <c r="C102" s="365">
        <v>0.125</v>
      </c>
      <c r="D102" s="364">
        <v>75</v>
      </c>
      <c r="E102" s="365">
        <v>0.12295081967213101</v>
      </c>
      <c r="F102" s="364">
        <v>65</v>
      </c>
      <c r="G102" s="365">
        <v>0.118181818181818</v>
      </c>
      <c r="H102" s="364">
        <v>0.1</v>
      </c>
      <c r="I102" s="365">
        <v>0.125</v>
      </c>
      <c r="J102" s="364">
        <v>65</v>
      </c>
      <c r="K102" s="365">
        <v>0.117117117117117</v>
      </c>
      <c r="L102" s="364">
        <v>90</v>
      </c>
      <c r="M102" s="365">
        <v>0.14285714285714299</v>
      </c>
      <c r="O102" s="360">
        <f t="shared" si="109"/>
        <v>83.75</v>
      </c>
      <c r="P102" s="360"/>
      <c r="Q102" s="360">
        <f t="shared" si="110"/>
        <v>82.5</v>
      </c>
      <c r="R102" s="360"/>
      <c r="S102" s="360">
        <f t="shared" si="111"/>
        <v>91.25</v>
      </c>
      <c r="T102" s="360"/>
      <c r="U102" s="360">
        <f t="shared" si="112"/>
        <v>22.5</v>
      </c>
      <c r="V102" s="360"/>
      <c r="W102" s="360">
        <f t="shared" si="113"/>
        <v>77.5</v>
      </c>
      <c r="X102" s="360"/>
      <c r="Y102" s="360">
        <f t="shared" si="114"/>
        <v>71.25</v>
      </c>
      <c r="AA102" s="354">
        <f t="shared" si="115"/>
        <v>335</v>
      </c>
      <c r="AC102" s="354">
        <f t="shared" si="116"/>
        <v>330</v>
      </c>
      <c r="AE102" s="354">
        <f t="shared" si="117"/>
        <v>365</v>
      </c>
      <c r="AG102" s="354">
        <f t="shared" si="118"/>
        <v>90</v>
      </c>
      <c r="AI102" s="354">
        <f t="shared" si="119"/>
        <v>310</v>
      </c>
      <c r="AK102" s="354">
        <f t="shared" si="120"/>
        <v>285</v>
      </c>
    </row>
    <row r="103" spans="1:39" ht="13.5" customHeight="1" x14ac:dyDescent="0.3">
      <c r="B103" s="364">
        <v>65</v>
      </c>
      <c r="C103" s="365">
        <v>0.11607142857142901</v>
      </c>
      <c r="D103" s="364">
        <v>75</v>
      </c>
      <c r="E103" s="365">
        <v>0.12295081967213101</v>
      </c>
      <c r="F103" s="364">
        <v>65</v>
      </c>
      <c r="G103" s="365">
        <v>0.118181818181818</v>
      </c>
      <c r="H103" s="364">
        <v>0.1</v>
      </c>
      <c r="I103" s="365">
        <v>0.125</v>
      </c>
      <c r="J103" s="364">
        <v>65</v>
      </c>
      <c r="K103" s="365">
        <v>0.117117117117117</v>
      </c>
      <c r="L103" s="364">
        <v>90</v>
      </c>
      <c r="M103" s="365">
        <v>0.14285714285714299</v>
      </c>
      <c r="O103" s="360">
        <f t="shared" si="109"/>
        <v>80</v>
      </c>
      <c r="P103" s="360"/>
      <c r="Q103" s="360">
        <f t="shared" si="110"/>
        <v>82.5</v>
      </c>
      <c r="R103" s="360"/>
      <c r="S103" s="360">
        <f t="shared" si="111"/>
        <v>90</v>
      </c>
      <c r="T103" s="360"/>
      <c r="U103" s="360">
        <f t="shared" si="112"/>
        <v>17.5</v>
      </c>
      <c r="V103" s="360"/>
      <c r="W103" s="360">
        <f t="shared" si="113"/>
        <v>77.5</v>
      </c>
      <c r="X103" s="360"/>
      <c r="Y103" s="360">
        <f t="shared" si="114"/>
        <v>66.25</v>
      </c>
      <c r="AA103" s="354">
        <f t="shared" si="115"/>
        <v>320</v>
      </c>
      <c r="AC103" s="354">
        <f t="shared" si="116"/>
        <v>330</v>
      </c>
      <c r="AE103" s="354">
        <f t="shared" si="117"/>
        <v>360</v>
      </c>
      <c r="AG103" s="354">
        <f t="shared" si="118"/>
        <v>70</v>
      </c>
      <c r="AI103" s="354">
        <f t="shared" si="119"/>
        <v>310</v>
      </c>
      <c r="AK103" s="354">
        <f t="shared" si="120"/>
        <v>265</v>
      </c>
    </row>
    <row r="104" spans="1:39" ht="13.5" customHeight="1" x14ac:dyDescent="0.3">
      <c r="B104" s="364">
        <v>65</v>
      </c>
      <c r="C104" s="365">
        <v>0.11607142857142901</v>
      </c>
      <c r="D104" s="364">
        <v>80</v>
      </c>
      <c r="E104" s="365">
        <v>0.13114754098360701</v>
      </c>
      <c r="F104" s="364">
        <v>70</v>
      </c>
      <c r="G104" s="365">
        <v>0.12727272727272701</v>
      </c>
      <c r="H104" s="364">
        <v>0.1</v>
      </c>
      <c r="I104" s="365">
        <v>0.125</v>
      </c>
      <c r="J104" s="364">
        <v>90</v>
      </c>
      <c r="K104" s="365">
        <v>0.162162162162162</v>
      </c>
      <c r="L104" s="364">
        <v>95</v>
      </c>
      <c r="M104" s="365">
        <v>0.15079365079365101</v>
      </c>
      <c r="O104" s="360">
        <f t="shared" si="109"/>
        <v>78.75</v>
      </c>
      <c r="P104" s="360"/>
      <c r="Q104" s="360">
        <f t="shared" si="110"/>
        <v>81.25</v>
      </c>
      <c r="R104" s="360"/>
      <c r="S104" s="360">
        <f t="shared" si="111"/>
        <v>87.5</v>
      </c>
      <c r="T104" s="360"/>
      <c r="U104" s="360">
        <f t="shared" si="112"/>
        <v>42.5</v>
      </c>
      <c r="V104" s="360"/>
      <c r="W104" s="360">
        <f t="shared" si="113"/>
        <v>77.5</v>
      </c>
      <c r="X104" s="360"/>
      <c r="Y104" s="360">
        <f t="shared" si="114"/>
        <v>75</v>
      </c>
      <c r="AA104" s="354">
        <f t="shared" si="115"/>
        <v>315</v>
      </c>
      <c r="AC104" s="354">
        <f t="shared" si="116"/>
        <v>325</v>
      </c>
      <c r="AE104" s="354">
        <f t="shared" si="117"/>
        <v>350</v>
      </c>
      <c r="AG104" s="354">
        <f t="shared" si="118"/>
        <v>170</v>
      </c>
      <c r="AI104" s="354">
        <f t="shared" si="119"/>
        <v>310</v>
      </c>
      <c r="AK104" s="354">
        <f t="shared" si="120"/>
        <v>300</v>
      </c>
    </row>
    <row r="106" spans="1:39" ht="13.5" customHeight="1" x14ac:dyDescent="0.3">
      <c r="A106" s="363" t="s">
        <v>80</v>
      </c>
      <c r="B106" s="364" t="s">
        <v>12</v>
      </c>
      <c r="C106" s="365">
        <v>550</v>
      </c>
      <c r="D106" s="364" t="s">
        <v>13</v>
      </c>
      <c r="E106" s="365">
        <v>755</v>
      </c>
      <c r="F106" s="364" t="s">
        <v>14</v>
      </c>
      <c r="G106" s="365">
        <v>760</v>
      </c>
      <c r="H106" s="364" t="s">
        <v>15</v>
      </c>
      <c r="I106" s="365">
        <v>220</v>
      </c>
      <c r="J106" s="364" t="s">
        <v>16</v>
      </c>
      <c r="K106" s="365">
        <v>615</v>
      </c>
      <c r="L106" s="364" t="s">
        <v>17</v>
      </c>
      <c r="M106" s="365">
        <v>460</v>
      </c>
      <c r="N106" s="358"/>
      <c r="O106" s="360" t="s">
        <v>12</v>
      </c>
      <c r="P106" s="360"/>
      <c r="Q106" s="360" t="s">
        <v>13</v>
      </c>
      <c r="R106" s="360"/>
      <c r="S106" s="360" t="s">
        <v>14</v>
      </c>
      <c r="T106" s="360"/>
      <c r="U106" s="360" t="s">
        <v>15</v>
      </c>
      <c r="V106" s="360"/>
      <c r="W106" s="360" t="s">
        <v>16</v>
      </c>
      <c r="X106" s="360"/>
      <c r="Y106" s="360" t="s">
        <v>17</v>
      </c>
      <c r="AA106" s="354" t="s">
        <v>12</v>
      </c>
      <c r="AC106" s="354" t="s">
        <v>13</v>
      </c>
      <c r="AE106" s="354" t="s">
        <v>14</v>
      </c>
      <c r="AG106" s="354" t="s">
        <v>15</v>
      </c>
      <c r="AI106" s="354" t="s">
        <v>16</v>
      </c>
      <c r="AK106" s="354" t="s">
        <v>17</v>
      </c>
      <c r="AM106" s="10">
        <f>AM116</f>
        <v>4</v>
      </c>
    </row>
    <row r="107" spans="1:39" ht="13.5" customHeight="1" x14ac:dyDescent="0.3">
      <c r="B107" s="364">
        <v>70</v>
      </c>
      <c r="C107" s="365">
        <v>0.12727272727272701</v>
      </c>
      <c r="D107" s="364">
        <v>95</v>
      </c>
      <c r="E107" s="365">
        <v>0.12582781456953601</v>
      </c>
      <c r="F107" s="364">
        <v>95</v>
      </c>
      <c r="G107" s="365">
        <v>0.125</v>
      </c>
      <c r="H107" s="364">
        <v>20</v>
      </c>
      <c r="I107" s="365">
        <v>9.0909090909090898E-2</v>
      </c>
      <c r="J107" s="364">
        <v>80</v>
      </c>
      <c r="K107" s="365">
        <v>0.13008130081300801</v>
      </c>
      <c r="L107" s="364">
        <v>60</v>
      </c>
      <c r="M107" s="365">
        <v>0.13043478260869601</v>
      </c>
      <c r="N107" s="358"/>
      <c r="O107" s="360">
        <f t="shared" ref="O107:O114" si="121">AA107/$AM$166</f>
        <v>87.5</v>
      </c>
      <c r="P107" s="360"/>
      <c r="Q107" s="360">
        <f t="shared" ref="Q107:Q114" si="122">AC107/$AM$166</f>
        <v>80</v>
      </c>
      <c r="R107" s="360"/>
      <c r="S107" s="360">
        <f t="shared" ref="S107:S114" si="123">AE107/$AM$166</f>
        <v>85</v>
      </c>
      <c r="T107" s="360"/>
      <c r="U107" s="360">
        <f t="shared" ref="U107:U114" si="124">AG107/$AM$166</f>
        <v>16.25</v>
      </c>
      <c r="V107" s="360"/>
      <c r="W107" s="360">
        <f t="shared" ref="W107:W114" si="125">AI107/$AM$166</f>
        <v>76.25</v>
      </c>
      <c r="X107" s="360"/>
      <c r="Y107" s="360">
        <f t="shared" ref="Y107:Y114" si="126">AK107/$AM$166</f>
        <v>73.75</v>
      </c>
      <c r="AA107" s="354">
        <f t="shared" ref="AA107:AA114" si="127">(B147+B137+B127+B117)</f>
        <v>350</v>
      </c>
      <c r="AC107" s="354">
        <f t="shared" ref="AC107:AC114" si="128">(D147+D137+D127+D117)</f>
        <v>320</v>
      </c>
      <c r="AE107" s="354">
        <f t="shared" ref="AE107:AE114" si="129">(F147+F137+F127+F117)</f>
        <v>340</v>
      </c>
      <c r="AG107" s="354">
        <f t="shared" ref="AG107:AG114" si="130">(H147+H137+H127+H117)</f>
        <v>65</v>
      </c>
      <c r="AI107" s="354">
        <f t="shared" ref="AI107:AI114" si="131">(J147+J137+J127+J117)</f>
        <v>305</v>
      </c>
      <c r="AK107" s="354">
        <f t="shared" ref="AK107:AK114" si="132">(L147+L137+L127+L117)</f>
        <v>295</v>
      </c>
    </row>
    <row r="108" spans="1:39" ht="13.5" customHeight="1" x14ac:dyDescent="0.3">
      <c r="B108" s="364">
        <v>70</v>
      </c>
      <c r="C108" s="365">
        <v>0.12727272727272701</v>
      </c>
      <c r="D108" s="364">
        <v>95</v>
      </c>
      <c r="E108" s="365">
        <v>0.12582781456953601</v>
      </c>
      <c r="F108" s="364">
        <v>95</v>
      </c>
      <c r="G108" s="365">
        <v>0.125</v>
      </c>
      <c r="H108" s="364">
        <v>20</v>
      </c>
      <c r="I108" s="365">
        <v>9.0909090909090898E-2</v>
      </c>
      <c r="J108" s="364">
        <v>80</v>
      </c>
      <c r="K108" s="365">
        <v>0.13008130081300801</v>
      </c>
      <c r="L108" s="364">
        <v>60</v>
      </c>
      <c r="M108" s="365">
        <v>0.13043478260869601</v>
      </c>
      <c r="N108" s="358"/>
      <c r="O108" s="360">
        <f t="shared" si="121"/>
        <v>86.25</v>
      </c>
      <c r="P108" s="360"/>
      <c r="Q108" s="360">
        <f t="shared" si="122"/>
        <v>85</v>
      </c>
      <c r="R108" s="360"/>
      <c r="S108" s="360">
        <f t="shared" si="123"/>
        <v>88.75</v>
      </c>
      <c r="T108" s="360"/>
      <c r="U108" s="360">
        <f t="shared" si="124"/>
        <v>17.5</v>
      </c>
      <c r="V108" s="360"/>
      <c r="W108" s="360">
        <f t="shared" si="125"/>
        <v>75</v>
      </c>
      <c r="X108" s="360"/>
      <c r="Y108" s="360">
        <f t="shared" si="126"/>
        <v>80</v>
      </c>
      <c r="AA108" s="354">
        <f t="shared" si="127"/>
        <v>345</v>
      </c>
      <c r="AC108" s="354">
        <f t="shared" si="128"/>
        <v>340</v>
      </c>
      <c r="AE108" s="354">
        <f t="shared" si="129"/>
        <v>355</v>
      </c>
      <c r="AG108" s="354">
        <f t="shared" si="130"/>
        <v>70</v>
      </c>
      <c r="AI108" s="354">
        <f t="shared" si="131"/>
        <v>300</v>
      </c>
      <c r="AK108" s="354">
        <f t="shared" si="132"/>
        <v>320</v>
      </c>
    </row>
    <row r="109" spans="1:39" ht="13.5" customHeight="1" x14ac:dyDescent="0.3">
      <c r="B109" s="364">
        <v>70</v>
      </c>
      <c r="C109" s="365">
        <v>0.12727272727272701</v>
      </c>
      <c r="D109" s="364">
        <v>95</v>
      </c>
      <c r="E109" s="365">
        <v>0.12582781456953601</v>
      </c>
      <c r="F109" s="364">
        <v>95</v>
      </c>
      <c r="G109" s="365">
        <v>0.125</v>
      </c>
      <c r="H109" s="364">
        <v>50</v>
      </c>
      <c r="I109" s="365">
        <v>0.22727272727272699</v>
      </c>
      <c r="J109" s="364">
        <v>75</v>
      </c>
      <c r="K109" s="365">
        <v>0.12195121951219499</v>
      </c>
      <c r="L109" s="364">
        <v>50</v>
      </c>
      <c r="M109" s="365">
        <v>0.108695652173913</v>
      </c>
      <c r="N109" s="358"/>
      <c r="O109" s="360">
        <f t="shared" si="121"/>
        <v>85</v>
      </c>
      <c r="P109" s="360"/>
      <c r="Q109" s="360">
        <f t="shared" si="122"/>
        <v>82.5</v>
      </c>
      <c r="R109" s="360"/>
      <c r="S109" s="360">
        <f t="shared" si="123"/>
        <v>88.75</v>
      </c>
      <c r="T109" s="360"/>
      <c r="U109" s="360">
        <f t="shared" si="124"/>
        <v>15</v>
      </c>
      <c r="V109" s="360"/>
      <c r="W109" s="360">
        <f t="shared" si="125"/>
        <v>75</v>
      </c>
      <c r="X109" s="360"/>
      <c r="Y109" s="360">
        <f t="shared" si="126"/>
        <v>82.5</v>
      </c>
      <c r="AA109" s="354">
        <f t="shared" si="127"/>
        <v>340</v>
      </c>
      <c r="AC109" s="354">
        <f t="shared" si="128"/>
        <v>330</v>
      </c>
      <c r="AE109" s="354">
        <f t="shared" si="129"/>
        <v>355</v>
      </c>
      <c r="AG109" s="354">
        <f t="shared" si="130"/>
        <v>60</v>
      </c>
      <c r="AI109" s="354">
        <f t="shared" si="131"/>
        <v>300</v>
      </c>
      <c r="AK109" s="354">
        <f t="shared" si="132"/>
        <v>330</v>
      </c>
    </row>
    <row r="110" spans="1:39" ht="13.5" customHeight="1" x14ac:dyDescent="0.3">
      <c r="B110" s="364">
        <v>70</v>
      </c>
      <c r="C110" s="365">
        <v>0.12727272727272701</v>
      </c>
      <c r="D110" s="364">
        <v>95</v>
      </c>
      <c r="E110" s="365">
        <v>0.12582781456953601</v>
      </c>
      <c r="F110" s="364">
        <v>95</v>
      </c>
      <c r="G110" s="365">
        <v>0.125</v>
      </c>
      <c r="H110" s="364">
        <v>20</v>
      </c>
      <c r="I110" s="365">
        <v>9.0909090909090898E-2</v>
      </c>
      <c r="J110" s="364">
        <v>80</v>
      </c>
      <c r="K110" s="365">
        <v>0.13008130081300801</v>
      </c>
      <c r="L110" s="364">
        <v>60</v>
      </c>
      <c r="M110" s="365">
        <v>0.13043478260869601</v>
      </c>
      <c r="N110" s="358"/>
      <c r="O110" s="360">
        <f t="shared" si="121"/>
        <v>83.75</v>
      </c>
      <c r="P110" s="360"/>
      <c r="Q110" s="360">
        <f t="shared" si="122"/>
        <v>81.25</v>
      </c>
      <c r="R110" s="360"/>
      <c r="S110" s="360">
        <f t="shared" si="123"/>
        <v>82.5</v>
      </c>
      <c r="T110" s="360"/>
      <c r="U110" s="360">
        <f t="shared" si="124"/>
        <v>16.25</v>
      </c>
      <c r="V110" s="360"/>
      <c r="W110" s="360">
        <f t="shared" si="125"/>
        <v>75</v>
      </c>
      <c r="X110" s="360"/>
      <c r="Y110" s="360">
        <f t="shared" si="126"/>
        <v>75</v>
      </c>
      <c r="AA110" s="354">
        <f t="shared" si="127"/>
        <v>335</v>
      </c>
      <c r="AC110" s="354">
        <f t="shared" si="128"/>
        <v>325</v>
      </c>
      <c r="AE110" s="354">
        <f t="shared" si="129"/>
        <v>330</v>
      </c>
      <c r="AG110" s="354">
        <f t="shared" si="130"/>
        <v>65</v>
      </c>
      <c r="AI110" s="354">
        <f t="shared" si="131"/>
        <v>300</v>
      </c>
      <c r="AK110" s="354">
        <f t="shared" si="132"/>
        <v>300</v>
      </c>
    </row>
    <row r="111" spans="1:39" ht="13.5" customHeight="1" x14ac:dyDescent="0.3">
      <c r="B111" s="364">
        <v>70</v>
      </c>
      <c r="C111" s="365">
        <v>0.12727272727272701</v>
      </c>
      <c r="D111" s="364">
        <v>95</v>
      </c>
      <c r="E111" s="365">
        <v>0.12582781456953601</v>
      </c>
      <c r="F111" s="364">
        <v>95</v>
      </c>
      <c r="G111" s="365">
        <v>0.125</v>
      </c>
      <c r="H111" s="364">
        <v>20</v>
      </c>
      <c r="I111" s="365">
        <v>9.0909090909090898E-2</v>
      </c>
      <c r="J111" s="364">
        <v>80</v>
      </c>
      <c r="K111" s="365">
        <v>0.13008130081300801</v>
      </c>
      <c r="L111" s="364">
        <v>60</v>
      </c>
      <c r="M111" s="365">
        <v>0.13043478260869601</v>
      </c>
      <c r="N111" s="358"/>
      <c r="O111" s="360">
        <f t="shared" si="121"/>
        <v>83.75</v>
      </c>
      <c r="P111" s="360"/>
      <c r="Q111" s="360">
        <f t="shared" si="122"/>
        <v>82.5</v>
      </c>
      <c r="R111" s="360"/>
      <c r="S111" s="360">
        <f t="shared" si="123"/>
        <v>83.75</v>
      </c>
      <c r="T111" s="360"/>
      <c r="U111" s="360">
        <f t="shared" si="124"/>
        <v>13</v>
      </c>
      <c r="V111" s="360"/>
      <c r="W111" s="360">
        <f t="shared" si="125"/>
        <v>78.75</v>
      </c>
      <c r="X111" s="360"/>
      <c r="Y111" s="360">
        <f t="shared" si="126"/>
        <v>80</v>
      </c>
      <c r="AA111" s="354">
        <f t="shared" si="127"/>
        <v>335</v>
      </c>
      <c r="AC111" s="354">
        <f t="shared" si="128"/>
        <v>330</v>
      </c>
      <c r="AE111" s="354">
        <f t="shared" si="129"/>
        <v>335</v>
      </c>
      <c r="AG111" s="354">
        <f t="shared" si="130"/>
        <v>52</v>
      </c>
      <c r="AI111" s="354">
        <f t="shared" si="131"/>
        <v>315</v>
      </c>
      <c r="AK111" s="354">
        <f t="shared" si="132"/>
        <v>320</v>
      </c>
    </row>
    <row r="112" spans="1:39" ht="13.5" customHeight="1" x14ac:dyDescent="0.3">
      <c r="B112" s="364">
        <v>70</v>
      </c>
      <c r="C112" s="365">
        <v>0.12727272727272701</v>
      </c>
      <c r="D112" s="364">
        <v>95</v>
      </c>
      <c r="E112" s="365">
        <v>0.12582781456953601</v>
      </c>
      <c r="F112" s="364">
        <v>95</v>
      </c>
      <c r="G112" s="365">
        <v>0.125</v>
      </c>
      <c r="H112" s="364">
        <v>20</v>
      </c>
      <c r="I112" s="365">
        <v>9.0909090909090898E-2</v>
      </c>
      <c r="J112" s="364">
        <v>80</v>
      </c>
      <c r="K112" s="365">
        <v>0.13008130081300801</v>
      </c>
      <c r="L112" s="364">
        <v>60</v>
      </c>
      <c r="M112" s="365">
        <v>0.13043478260869601</v>
      </c>
      <c r="N112" s="358"/>
      <c r="O112" s="360">
        <f t="shared" si="121"/>
        <v>90</v>
      </c>
      <c r="P112" s="360"/>
      <c r="Q112" s="360">
        <f t="shared" si="122"/>
        <v>78.75</v>
      </c>
      <c r="R112" s="360"/>
      <c r="S112" s="360">
        <f t="shared" si="123"/>
        <v>85</v>
      </c>
      <c r="T112" s="360"/>
      <c r="U112" s="360">
        <f t="shared" si="124"/>
        <v>18.75</v>
      </c>
      <c r="V112" s="360"/>
      <c r="W112" s="360">
        <f t="shared" si="125"/>
        <v>75</v>
      </c>
      <c r="X112" s="360"/>
      <c r="Y112" s="360">
        <f t="shared" si="126"/>
        <v>80</v>
      </c>
      <c r="AA112" s="354">
        <f t="shared" si="127"/>
        <v>360</v>
      </c>
      <c r="AC112" s="354">
        <f t="shared" si="128"/>
        <v>315</v>
      </c>
      <c r="AE112" s="354">
        <f t="shared" si="129"/>
        <v>340</v>
      </c>
      <c r="AG112" s="354">
        <f t="shared" si="130"/>
        <v>75</v>
      </c>
      <c r="AI112" s="354">
        <f t="shared" si="131"/>
        <v>300</v>
      </c>
      <c r="AK112" s="354">
        <f t="shared" si="132"/>
        <v>320</v>
      </c>
    </row>
    <row r="113" spans="1:39" ht="13.5" customHeight="1" x14ac:dyDescent="0.3">
      <c r="B113" s="364">
        <v>60</v>
      </c>
      <c r="C113" s="365">
        <v>0.109090909090909</v>
      </c>
      <c r="D113" s="364">
        <v>90</v>
      </c>
      <c r="E113" s="365">
        <v>0.119205298013245</v>
      </c>
      <c r="F113" s="364">
        <v>95</v>
      </c>
      <c r="G113" s="365">
        <v>0.125</v>
      </c>
      <c r="H113" s="364">
        <v>20</v>
      </c>
      <c r="I113" s="365">
        <v>9.0909090909090898E-2</v>
      </c>
      <c r="J113" s="364">
        <v>65</v>
      </c>
      <c r="K113" s="365">
        <v>0.105691056910569</v>
      </c>
      <c r="L113" s="364">
        <v>50</v>
      </c>
      <c r="M113" s="365">
        <v>0.108695652173913</v>
      </c>
      <c r="N113" s="358"/>
      <c r="O113" s="360">
        <f t="shared" si="121"/>
        <v>88.75</v>
      </c>
      <c r="P113" s="360"/>
      <c r="Q113" s="360">
        <f t="shared" si="122"/>
        <v>80</v>
      </c>
      <c r="R113" s="360"/>
      <c r="S113" s="360">
        <f t="shared" si="123"/>
        <v>83.75</v>
      </c>
      <c r="T113" s="360"/>
      <c r="U113" s="360">
        <f t="shared" si="124"/>
        <v>13.75</v>
      </c>
      <c r="V113" s="360"/>
      <c r="W113" s="360">
        <f t="shared" si="125"/>
        <v>78.75</v>
      </c>
      <c r="X113" s="360"/>
      <c r="Y113" s="360">
        <f t="shared" si="126"/>
        <v>77.5</v>
      </c>
      <c r="AA113" s="354">
        <f t="shared" si="127"/>
        <v>355</v>
      </c>
      <c r="AC113" s="354">
        <f t="shared" si="128"/>
        <v>320</v>
      </c>
      <c r="AE113" s="354">
        <f t="shared" si="129"/>
        <v>335</v>
      </c>
      <c r="AG113" s="354">
        <f t="shared" si="130"/>
        <v>55</v>
      </c>
      <c r="AI113" s="354">
        <f t="shared" si="131"/>
        <v>315</v>
      </c>
      <c r="AK113" s="354">
        <f t="shared" si="132"/>
        <v>310</v>
      </c>
    </row>
    <row r="114" spans="1:39" ht="13.5" customHeight="1" x14ac:dyDescent="0.3">
      <c r="B114" s="364">
        <v>70</v>
      </c>
      <c r="C114" s="365">
        <v>0.12727272727272701</v>
      </c>
      <c r="D114" s="364">
        <v>95</v>
      </c>
      <c r="E114" s="365">
        <v>0.12582781456953601</v>
      </c>
      <c r="F114" s="364">
        <v>95</v>
      </c>
      <c r="G114" s="365">
        <v>0.125</v>
      </c>
      <c r="H114" s="364">
        <v>50</v>
      </c>
      <c r="I114" s="365">
        <v>0.22727272727272699</v>
      </c>
      <c r="J114" s="364">
        <v>75</v>
      </c>
      <c r="K114" s="365">
        <v>0.12195121951219499</v>
      </c>
      <c r="L114" s="364">
        <v>60</v>
      </c>
      <c r="M114" s="365">
        <v>0.13043478260869601</v>
      </c>
      <c r="N114" s="358"/>
      <c r="O114" s="360">
        <f t="shared" si="121"/>
        <v>83.75</v>
      </c>
      <c r="P114" s="360"/>
      <c r="Q114" s="360">
        <f t="shared" si="122"/>
        <v>80</v>
      </c>
      <c r="R114" s="360"/>
      <c r="S114" s="360">
        <f t="shared" si="123"/>
        <v>81.25</v>
      </c>
      <c r="T114" s="360"/>
      <c r="U114" s="360">
        <f t="shared" si="124"/>
        <v>31.25</v>
      </c>
      <c r="V114" s="360"/>
      <c r="W114" s="360">
        <f t="shared" si="125"/>
        <v>76.25</v>
      </c>
      <c r="X114" s="360"/>
      <c r="Y114" s="360">
        <f t="shared" si="126"/>
        <v>82.5</v>
      </c>
      <c r="AA114" s="354">
        <f t="shared" si="127"/>
        <v>335</v>
      </c>
      <c r="AC114" s="354">
        <f t="shared" si="128"/>
        <v>320</v>
      </c>
      <c r="AE114" s="354">
        <f t="shared" si="129"/>
        <v>325</v>
      </c>
      <c r="AG114" s="354">
        <f t="shared" si="130"/>
        <v>125</v>
      </c>
      <c r="AI114" s="354">
        <f t="shared" si="131"/>
        <v>305</v>
      </c>
      <c r="AK114" s="354">
        <f t="shared" si="132"/>
        <v>330</v>
      </c>
    </row>
    <row r="116" spans="1:39" ht="13.5" customHeight="1" x14ac:dyDescent="0.3">
      <c r="A116" s="363" t="s">
        <v>81</v>
      </c>
      <c r="B116" s="364" t="s">
        <v>12</v>
      </c>
      <c r="C116" s="365">
        <v>760</v>
      </c>
      <c r="D116" s="364" t="s">
        <v>13</v>
      </c>
      <c r="E116" s="365">
        <v>755</v>
      </c>
      <c r="F116" s="364" t="s">
        <v>14</v>
      </c>
      <c r="G116" s="365">
        <v>725</v>
      </c>
      <c r="H116" s="364" t="s">
        <v>15</v>
      </c>
      <c r="I116" s="365">
        <v>80</v>
      </c>
      <c r="J116" s="364" t="s">
        <v>16</v>
      </c>
      <c r="K116" s="365">
        <v>645</v>
      </c>
      <c r="L116" s="364" t="s">
        <v>17</v>
      </c>
      <c r="M116" s="365">
        <v>675</v>
      </c>
      <c r="N116" s="358"/>
      <c r="O116" s="360" t="s">
        <v>12</v>
      </c>
      <c r="P116" s="360"/>
      <c r="Q116" s="360" t="s">
        <v>13</v>
      </c>
      <c r="R116" s="360"/>
      <c r="S116" s="360" t="s">
        <v>14</v>
      </c>
      <c r="T116" s="360"/>
      <c r="U116" s="360" t="s">
        <v>15</v>
      </c>
      <c r="V116" s="360"/>
      <c r="W116" s="360" t="s">
        <v>16</v>
      </c>
      <c r="X116" s="360"/>
      <c r="Y116" s="360" t="s">
        <v>17</v>
      </c>
      <c r="AA116" s="354" t="s">
        <v>12</v>
      </c>
      <c r="AC116" s="354" t="s">
        <v>13</v>
      </c>
      <c r="AE116" s="354" t="s">
        <v>14</v>
      </c>
      <c r="AG116" s="354" t="s">
        <v>15</v>
      </c>
      <c r="AI116" s="354" t="s">
        <v>16</v>
      </c>
      <c r="AK116" s="354" t="s">
        <v>17</v>
      </c>
      <c r="AM116" s="10">
        <f>AM126</f>
        <v>4</v>
      </c>
    </row>
    <row r="117" spans="1:39" ht="13.5" customHeight="1" x14ac:dyDescent="0.3">
      <c r="B117" s="364">
        <v>95</v>
      </c>
      <c r="C117" s="365">
        <v>0.125</v>
      </c>
      <c r="D117" s="364">
        <v>90</v>
      </c>
      <c r="E117" s="365">
        <v>0.119205298013245</v>
      </c>
      <c r="F117" s="364">
        <v>95</v>
      </c>
      <c r="G117" s="365">
        <v>0.13103448275862101</v>
      </c>
      <c r="H117" s="364">
        <v>10</v>
      </c>
      <c r="I117" s="365">
        <v>0.125</v>
      </c>
      <c r="J117" s="364">
        <v>90</v>
      </c>
      <c r="K117" s="365">
        <v>0.13953488372093001</v>
      </c>
      <c r="L117" s="364">
        <v>75</v>
      </c>
      <c r="M117" s="365">
        <v>0.11111111111111099</v>
      </c>
      <c r="N117" s="358"/>
      <c r="O117" s="360">
        <f t="shared" ref="O117:O124" si="133">AA117/$AM$166</f>
        <v>84.625</v>
      </c>
      <c r="P117" s="360"/>
      <c r="Q117" s="360">
        <f t="shared" ref="Q117:Q124" si="134">AC117/$AM$166</f>
        <v>75.375</v>
      </c>
      <c r="R117" s="360"/>
      <c r="S117" s="360">
        <f t="shared" ref="S117:S124" si="135">AE117/$AM$166</f>
        <v>79.1875</v>
      </c>
      <c r="T117" s="360"/>
      <c r="U117" s="360">
        <f t="shared" ref="U117:U124" si="136">AG117/$AM$166</f>
        <v>26.625</v>
      </c>
      <c r="V117" s="360"/>
      <c r="W117" s="360">
        <f t="shared" ref="W117:W124" si="137">AI117/$AM$166</f>
        <v>70.4375</v>
      </c>
      <c r="X117" s="360"/>
      <c r="Y117" s="360">
        <f t="shared" ref="Y117:Y124" si="138">AK117/$AM$166</f>
        <v>70.125</v>
      </c>
      <c r="AA117" s="354">
        <f t="shared" ref="AA117:AA124" si="139">(B157+B147+B137+B127)</f>
        <v>338.5</v>
      </c>
      <c r="AC117" s="354">
        <f t="shared" ref="AC117:AC124" si="140">(D157+D147+D137+D127)</f>
        <v>301.5</v>
      </c>
      <c r="AE117" s="354">
        <f t="shared" ref="AE117:AE124" si="141">(F157+F147+F137+F127)</f>
        <v>316.75</v>
      </c>
      <c r="AG117" s="354">
        <f t="shared" ref="AG117:AG124" si="142">(H157+H147+H137+H127)</f>
        <v>106.5</v>
      </c>
      <c r="AI117" s="354">
        <f t="shared" ref="AI117:AI124" si="143">(J157+J147+J137+J127)</f>
        <v>281.75</v>
      </c>
      <c r="AK117" s="354">
        <f t="shared" ref="AK117:AK124" si="144">(L157+L147+L137+L127)</f>
        <v>280.5</v>
      </c>
    </row>
    <row r="118" spans="1:39" ht="13.5" customHeight="1" x14ac:dyDescent="0.3">
      <c r="B118" s="364">
        <v>95</v>
      </c>
      <c r="C118" s="365">
        <v>0.125</v>
      </c>
      <c r="D118" s="364">
        <v>95</v>
      </c>
      <c r="E118" s="365">
        <v>0.12582781456953601</v>
      </c>
      <c r="F118" s="364">
        <v>90</v>
      </c>
      <c r="G118" s="365">
        <v>0.12413793103448301</v>
      </c>
      <c r="H118" s="364">
        <v>10</v>
      </c>
      <c r="I118" s="365">
        <v>0.125</v>
      </c>
      <c r="J118" s="364">
        <v>75</v>
      </c>
      <c r="K118" s="365">
        <v>0.116279069767442</v>
      </c>
      <c r="L118" s="364">
        <v>90</v>
      </c>
      <c r="M118" s="365">
        <v>0.133333333333333</v>
      </c>
      <c r="N118" s="358"/>
      <c r="O118" s="360">
        <f t="shared" si="133"/>
        <v>82.25</v>
      </c>
      <c r="P118" s="360"/>
      <c r="Q118" s="360">
        <f t="shared" si="134"/>
        <v>80</v>
      </c>
      <c r="R118" s="360"/>
      <c r="S118" s="360">
        <f t="shared" si="135"/>
        <v>86</v>
      </c>
      <c r="T118" s="360"/>
      <c r="U118" s="360">
        <f t="shared" si="136"/>
        <v>26.1875</v>
      </c>
      <c r="V118" s="360"/>
      <c r="W118" s="360">
        <f t="shared" si="137"/>
        <v>73.9375</v>
      </c>
      <c r="X118" s="360"/>
      <c r="Y118" s="360">
        <f t="shared" si="138"/>
        <v>73.625</v>
      </c>
      <c r="AA118" s="354">
        <f t="shared" si="139"/>
        <v>329</v>
      </c>
      <c r="AC118" s="354">
        <f t="shared" si="140"/>
        <v>320</v>
      </c>
      <c r="AE118" s="354">
        <f t="shared" si="141"/>
        <v>344</v>
      </c>
      <c r="AG118" s="354">
        <f t="shared" si="142"/>
        <v>104.75</v>
      </c>
      <c r="AI118" s="354">
        <f t="shared" si="143"/>
        <v>295.75</v>
      </c>
      <c r="AK118" s="354">
        <f t="shared" si="144"/>
        <v>294.5</v>
      </c>
    </row>
    <row r="119" spans="1:39" ht="13.5" customHeight="1" x14ac:dyDescent="0.3">
      <c r="B119" s="364">
        <v>95</v>
      </c>
      <c r="C119" s="365">
        <v>0.125</v>
      </c>
      <c r="D119" s="364">
        <v>95</v>
      </c>
      <c r="E119" s="365">
        <v>0.12582781456953601</v>
      </c>
      <c r="F119" s="364">
        <v>90</v>
      </c>
      <c r="G119" s="365">
        <v>0.12413793103448301</v>
      </c>
      <c r="H119" s="364">
        <v>10</v>
      </c>
      <c r="I119" s="365">
        <v>0.125</v>
      </c>
      <c r="J119" s="364">
        <v>75</v>
      </c>
      <c r="K119" s="365">
        <v>0.116279069767442</v>
      </c>
      <c r="L119" s="364">
        <v>90</v>
      </c>
      <c r="M119" s="365">
        <v>0.133333333333333</v>
      </c>
      <c r="N119" s="358"/>
      <c r="O119" s="360">
        <f t="shared" si="133"/>
        <v>82.125</v>
      </c>
      <c r="P119" s="360"/>
      <c r="Q119" s="360">
        <f t="shared" si="134"/>
        <v>78.5</v>
      </c>
      <c r="R119" s="360"/>
      <c r="S119" s="360">
        <f t="shared" si="135"/>
        <v>85.1875</v>
      </c>
      <c r="T119" s="360"/>
      <c r="U119" s="360">
        <f t="shared" si="136"/>
        <v>22.875</v>
      </c>
      <c r="V119" s="360"/>
      <c r="W119" s="360">
        <f t="shared" si="137"/>
        <v>72.9375</v>
      </c>
      <c r="X119" s="360"/>
      <c r="Y119" s="360">
        <f t="shared" si="138"/>
        <v>75.125</v>
      </c>
      <c r="AA119" s="354">
        <f t="shared" si="139"/>
        <v>328.5</v>
      </c>
      <c r="AC119" s="354">
        <f t="shared" si="140"/>
        <v>314</v>
      </c>
      <c r="AE119" s="354">
        <f t="shared" si="141"/>
        <v>340.75</v>
      </c>
      <c r="AG119" s="354">
        <f t="shared" si="142"/>
        <v>91.5</v>
      </c>
      <c r="AI119" s="354">
        <f t="shared" si="143"/>
        <v>291.75</v>
      </c>
      <c r="AK119" s="354">
        <f t="shared" si="144"/>
        <v>300.5</v>
      </c>
    </row>
    <row r="120" spans="1:39" ht="13.5" customHeight="1" x14ac:dyDescent="0.3">
      <c r="B120" s="364">
        <v>95</v>
      </c>
      <c r="C120" s="365">
        <v>0.125</v>
      </c>
      <c r="D120" s="364">
        <v>95</v>
      </c>
      <c r="E120" s="365">
        <v>0.12582781456953601</v>
      </c>
      <c r="F120" s="364">
        <v>90</v>
      </c>
      <c r="G120" s="365">
        <v>0.12413793103448301</v>
      </c>
      <c r="H120" s="364">
        <v>10</v>
      </c>
      <c r="I120" s="365">
        <v>0.125</v>
      </c>
      <c r="J120" s="364">
        <v>75</v>
      </c>
      <c r="K120" s="365">
        <v>0.116279069767442</v>
      </c>
      <c r="L120" s="364">
        <v>75</v>
      </c>
      <c r="M120" s="365">
        <v>0.11111111111111099</v>
      </c>
      <c r="N120" s="358"/>
      <c r="O120" s="360">
        <f t="shared" si="133"/>
        <v>80.625</v>
      </c>
      <c r="P120" s="360"/>
      <c r="Q120" s="360">
        <f t="shared" si="134"/>
        <v>76.25</v>
      </c>
      <c r="R120" s="360"/>
      <c r="S120" s="360">
        <f t="shared" si="135"/>
        <v>80.625</v>
      </c>
      <c r="T120" s="360"/>
      <c r="U120" s="360">
        <f t="shared" si="136"/>
        <v>22.625</v>
      </c>
      <c r="V120" s="360"/>
      <c r="W120" s="360">
        <f t="shared" si="137"/>
        <v>71.875</v>
      </c>
      <c r="X120" s="360"/>
      <c r="Y120" s="360">
        <f t="shared" si="138"/>
        <v>71.75</v>
      </c>
      <c r="AA120" s="354">
        <f t="shared" si="139"/>
        <v>322.5</v>
      </c>
      <c r="AC120" s="354">
        <f t="shared" si="140"/>
        <v>305</v>
      </c>
      <c r="AE120" s="354">
        <f t="shared" si="141"/>
        <v>322.5</v>
      </c>
      <c r="AG120" s="354">
        <f t="shared" si="142"/>
        <v>90.5</v>
      </c>
      <c r="AI120" s="354">
        <f t="shared" si="143"/>
        <v>287.5</v>
      </c>
      <c r="AK120" s="354">
        <f t="shared" si="144"/>
        <v>287</v>
      </c>
    </row>
    <row r="121" spans="1:39" ht="13.5" customHeight="1" x14ac:dyDescent="0.3">
      <c r="B121" s="364">
        <v>95</v>
      </c>
      <c r="C121" s="365">
        <v>0.125</v>
      </c>
      <c r="D121" s="364">
        <v>95</v>
      </c>
      <c r="E121" s="365">
        <v>0.12582781456953601</v>
      </c>
      <c r="F121" s="364">
        <v>95</v>
      </c>
      <c r="G121" s="365">
        <v>0.13103448275862101</v>
      </c>
      <c r="H121" s="364">
        <v>10</v>
      </c>
      <c r="I121" s="365">
        <v>0.125</v>
      </c>
      <c r="J121" s="364">
        <v>90</v>
      </c>
      <c r="K121" s="365">
        <v>0.13953488372093001</v>
      </c>
      <c r="L121" s="364">
        <v>90</v>
      </c>
      <c r="M121" s="365">
        <v>0.133333333333333</v>
      </c>
      <c r="N121" s="358"/>
      <c r="O121" s="360">
        <f t="shared" si="133"/>
        <v>82.3125</v>
      </c>
      <c r="P121" s="360"/>
      <c r="Q121" s="360">
        <f t="shared" si="134"/>
        <v>79.375</v>
      </c>
      <c r="R121" s="360"/>
      <c r="S121" s="360">
        <f t="shared" si="135"/>
        <v>78.875</v>
      </c>
      <c r="T121" s="360"/>
      <c r="U121" s="360">
        <f t="shared" si="136"/>
        <v>18.25</v>
      </c>
      <c r="V121" s="360"/>
      <c r="W121" s="360">
        <f t="shared" si="137"/>
        <v>74.0625</v>
      </c>
      <c r="X121" s="360"/>
      <c r="Y121" s="360">
        <f t="shared" si="138"/>
        <v>72.375</v>
      </c>
      <c r="AA121" s="354">
        <f t="shared" si="139"/>
        <v>329.25</v>
      </c>
      <c r="AC121" s="354">
        <f t="shared" si="140"/>
        <v>317.5</v>
      </c>
      <c r="AE121" s="354">
        <f t="shared" si="141"/>
        <v>315.5</v>
      </c>
      <c r="AG121" s="354">
        <f t="shared" si="142"/>
        <v>73</v>
      </c>
      <c r="AI121" s="354">
        <f t="shared" si="143"/>
        <v>296.25</v>
      </c>
      <c r="AK121" s="354">
        <f t="shared" si="144"/>
        <v>289.5</v>
      </c>
    </row>
    <row r="122" spans="1:39" ht="13.5" customHeight="1" x14ac:dyDescent="0.3">
      <c r="B122" s="364">
        <v>95</v>
      </c>
      <c r="C122" s="365">
        <v>0.125</v>
      </c>
      <c r="D122" s="364">
        <v>95</v>
      </c>
      <c r="E122" s="365">
        <v>0.12582781456953601</v>
      </c>
      <c r="F122" s="364">
        <v>90</v>
      </c>
      <c r="G122" s="365">
        <v>0.12413793103448301</v>
      </c>
      <c r="H122" s="364">
        <v>10</v>
      </c>
      <c r="I122" s="365">
        <v>0.125</v>
      </c>
      <c r="J122" s="364">
        <v>75</v>
      </c>
      <c r="K122" s="365">
        <v>0.116279069767442</v>
      </c>
      <c r="L122" s="364">
        <v>90</v>
      </c>
      <c r="M122" s="365">
        <v>0.133333333333333</v>
      </c>
      <c r="N122" s="358"/>
      <c r="O122" s="360">
        <f t="shared" si="133"/>
        <v>86.875</v>
      </c>
      <c r="P122" s="360"/>
      <c r="Q122" s="360">
        <f t="shared" si="134"/>
        <v>74.8125</v>
      </c>
      <c r="R122" s="360"/>
      <c r="S122" s="360">
        <f t="shared" si="135"/>
        <v>81.25</v>
      </c>
      <c r="T122" s="360"/>
      <c r="U122" s="360">
        <f t="shared" si="136"/>
        <v>28.1875</v>
      </c>
      <c r="V122" s="360"/>
      <c r="W122" s="360">
        <f t="shared" si="137"/>
        <v>76.625</v>
      </c>
      <c r="X122" s="360"/>
      <c r="Y122" s="360">
        <f t="shared" si="138"/>
        <v>73.625</v>
      </c>
      <c r="AA122" s="354">
        <f t="shared" si="139"/>
        <v>347.5</v>
      </c>
      <c r="AC122" s="354">
        <f t="shared" si="140"/>
        <v>299.25</v>
      </c>
      <c r="AE122" s="354">
        <f t="shared" si="141"/>
        <v>325</v>
      </c>
      <c r="AG122" s="354">
        <f t="shared" si="142"/>
        <v>112.75</v>
      </c>
      <c r="AI122" s="354">
        <f t="shared" si="143"/>
        <v>306.5</v>
      </c>
      <c r="AK122" s="354">
        <f t="shared" si="144"/>
        <v>294.5</v>
      </c>
    </row>
    <row r="123" spans="1:39" ht="13.5" customHeight="1" x14ac:dyDescent="0.3">
      <c r="B123" s="364">
        <v>95</v>
      </c>
      <c r="C123" s="365">
        <v>0.125</v>
      </c>
      <c r="D123" s="364">
        <v>95</v>
      </c>
      <c r="E123" s="365">
        <v>0.12582781456953601</v>
      </c>
      <c r="F123" s="364">
        <v>95</v>
      </c>
      <c r="G123" s="365">
        <v>0.13103448275862101</v>
      </c>
      <c r="H123" s="364">
        <v>10</v>
      </c>
      <c r="I123" s="365">
        <v>0.125</v>
      </c>
      <c r="J123" s="364">
        <v>90</v>
      </c>
      <c r="K123" s="365">
        <v>0.13953488372093001</v>
      </c>
      <c r="L123" s="364">
        <v>75</v>
      </c>
      <c r="M123" s="365">
        <v>0.11111111111111099</v>
      </c>
      <c r="N123" s="358"/>
      <c r="O123" s="360">
        <f t="shared" si="133"/>
        <v>85.625</v>
      </c>
      <c r="P123" s="360"/>
      <c r="Q123" s="360">
        <f t="shared" si="134"/>
        <v>76.0625</v>
      </c>
      <c r="R123" s="360"/>
      <c r="S123" s="360">
        <f t="shared" si="135"/>
        <v>78.75</v>
      </c>
      <c r="T123" s="360"/>
      <c r="U123" s="360">
        <f t="shared" si="136"/>
        <v>23.1875</v>
      </c>
      <c r="V123" s="360"/>
      <c r="W123" s="360">
        <f t="shared" si="137"/>
        <v>76.625</v>
      </c>
      <c r="X123" s="360"/>
      <c r="Y123" s="360">
        <f t="shared" si="138"/>
        <v>74.875</v>
      </c>
      <c r="AA123" s="354">
        <f t="shared" si="139"/>
        <v>342.5</v>
      </c>
      <c r="AC123" s="354">
        <f t="shared" si="140"/>
        <v>304.25</v>
      </c>
      <c r="AE123" s="354">
        <f t="shared" si="141"/>
        <v>315</v>
      </c>
      <c r="AG123" s="354">
        <f t="shared" si="142"/>
        <v>92.75</v>
      </c>
      <c r="AI123" s="354">
        <f t="shared" si="143"/>
        <v>306.5</v>
      </c>
      <c r="AK123" s="354">
        <f t="shared" si="144"/>
        <v>299.5</v>
      </c>
    </row>
    <row r="124" spans="1:39" ht="13.5" customHeight="1" x14ac:dyDescent="0.3">
      <c r="B124" s="364">
        <v>95</v>
      </c>
      <c r="C124" s="365">
        <v>0.125</v>
      </c>
      <c r="D124" s="364">
        <v>95</v>
      </c>
      <c r="E124" s="365">
        <v>0.12582781456953601</v>
      </c>
      <c r="F124" s="364">
        <v>80</v>
      </c>
      <c r="G124" s="365">
        <v>0.11034482758620701</v>
      </c>
      <c r="H124" s="364">
        <v>10</v>
      </c>
      <c r="I124" s="365">
        <v>0.125</v>
      </c>
      <c r="J124" s="364">
        <v>75</v>
      </c>
      <c r="K124" s="365">
        <v>0.116279069767442</v>
      </c>
      <c r="L124" s="364">
        <v>90</v>
      </c>
      <c r="M124" s="365">
        <v>0.133333333333333</v>
      </c>
      <c r="N124" s="358"/>
      <c r="O124" s="360">
        <f t="shared" si="133"/>
        <v>80.75</v>
      </c>
      <c r="P124" s="360"/>
      <c r="Q124" s="360">
        <f t="shared" si="134"/>
        <v>76</v>
      </c>
      <c r="R124" s="360"/>
      <c r="S124" s="360">
        <f t="shared" si="135"/>
        <v>80</v>
      </c>
      <c r="T124" s="360"/>
      <c r="U124" s="360">
        <f t="shared" si="136"/>
        <v>40</v>
      </c>
      <c r="V124" s="360"/>
      <c r="W124" s="360">
        <f t="shared" si="137"/>
        <v>74</v>
      </c>
      <c r="X124" s="360"/>
      <c r="Y124" s="360">
        <f t="shared" si="138"/>
        <v>75</v>
      </c>
      <c r="AA124" s="354">
        <f t="shared" si="139"/>
        <v>323</v>
      </c>
      <c r="AC124" s="354">
        <f t="shared" si="140"/>
        <v>304</v>
      </c>
      <c r="AE124" s="354">
        <f t="shared" si="141"/>
        <v>320</v>
      </c>
      <c r="AG124" s="354">
        <f t="shared" si="142"/>
        <v>160</v>
      </c>
      <c r="AI124" s="354">
        <f t="shared" si="143"/>
        <v>296</v>
      </c>
      <c r="AK124" s="354">
        <f t="shared" si="144"/>
        <v>300</v>
      </c>
    </row>
    <row r="126" spans="1:39" ht="13.5" customHeight="1" x14ac:dyDescent="0.3">
      <c r="A126" s="363" t="s">
        <v>82</v>
      </c>
      <c r="B126" s="364" t="s">
        <v>12</v>
      </c>
      <c r="C126" s="365">
        <v>665</v>
      </c>
      <c r="D126" s="364" t="s">
        <v>13</v>
      </c>
      <c r="E126" s="365">
        <v>550</v>
      </c>
      <c r="F126" s="364" t="s">
        <v>14</v>
      </c>
      <c r="G126" s="365">
        <v>680</v>
      </c>
      <c r="H126" s="364" t="s">
        <v>15</v>
      </c>
      <c r="I126" s="365">
        <v>260</v>
      </c>
      <c r="J126" s="364" t="s">
        <v>16</v>
      </c>
      <c r="K126" s="365">
        <v>495</v>
      </c>
      <c r="L126" s="364" t="s">
        <v>17</v>
      </c>
      <c r="M126" s="365">
        <v>675</v>
      </c>
      <c r="N126" s="358"/>
      <c r="O126" s="360" t="s">
        <v>12</v>
      </c>
      <c r="P126" s="360"/>
      <c r="Q126" s="360" t="s">
        <v>13</v>
      </c>
      <c r="R126" s="360"/>
      <c r="S126" s="360" t="s">
        <v>14</v>
      </c>
      <c r="T126" s="360"/>
      <c r="U126" s="360" t="s">
        <v>15</v>
      </c>
      <c r="V126" s="360"/>
      <c r="W126" s="360" t="s">
        <v>16</v>
      </c>
      <c r="X126" s="360"/>
      <c r="Y126" s="360" t="s">
        <v>17</v>
      </c>
      <c r="AA126" s="354" t="s">
        <v>12</v>
      </c>
      <c r="AC126" s="354" t="s">
        <v>13</v>
      </c>
      <c r="AE126" s="354" t="s">
        <v>14</v>
      </c>
      <c r="AG126" s="354" t="s">
        <v>15</v>
      </c>
      <c r="AI126" s="354" t="s">
        <v>16</v>
      </c>
      <c r="AK126" s="354" t="s">
        <v>17</v>
      </c>
      <c r="AM126" s="10">
        <f>AM136</f>
        <v>4</v>
      </c>
    </row>
    <row r="127" spans="1:39" ht="13.5" customHeight="1" x14ac:dyDescent="0.3">
      <c r="B127" s="364">
        <v>90</v>
      </c>
      <c r="C127" s="365">
        <v>0.13533834586466201</v>
      </c>
      <c r="D127" s="364">
        <v>70</v>
      </c>
      <c r="E127" s="365">
        <v>0.12727272727272701</v>
      </c>
      <c r="F127" s="364">
        <v>80</v>
      </c>
      <c r="G127" s="365">
        <v>0.11764705882352899</v>
      </c>
      <c r="H127" s="364">
        <v>30</v>
      </c>
      <c r="I127" s="365">
        <v>0.115384615384615</v>
      </c>
      <c r="J127" s="364">
        <v>60</v>
      </c>
      <c r="K127" s="365">
        <v>0.12121212121212099</v>
      </c>
      <c r="L127" s="364">
        <v>80</v>
      </c>
      <c r="M127" s="365">
        <v>0.11851851851851899</v>
      </c>
      <c r="N127" s="358"/>
      <c r="O127" s="360">
        <f t="shared" ref="O127:O134" si="145">AA127/$AM$166</f>
        <v>83</v>
      </c>
      <c r="P127" s="360"/>
      <c r="Q127" s="360">
        <f t="shared" ref="Q127:Q134" si="146">AC127/$AM$166</f>
        <v>75.75</v>
      </c>
      <c r="R127" s="360"/>
      <c r="S127" s="360">
        <f t="shared" ref="S127:S134" si="147">AE127/$AM$166</f>
        <v>77.125</v>
      </c>
      <c r="T127" s="360"/>
      <c r="U127" s="360">
        <f t="shared" ref="U127:U134" si="148">AG127/$AM$166</f>
        <v>32</v>
      </c>
      <c r="V127" s="360"/>
      <c r="W127" s="360">
        <f t="shared" ref="W127:W134" si="149">AI127/$AM$166</f>
        <v>72.125</v>
      </c>
      <c r="X127" s="360"/>
      <c r="Y127" s="360">
        <f t="shared" ref="Y127:Y134" si="150">AK127/$AM$166</f>
        <v>65.25</v>
      </c>
      <c r="AA127" s="354">
        <f t="shared" ref="AA127:AA134" si="151">(B167+B157+B147+B137)</f>
        <v>332</v>
      </c>
      <c r="AC127" s="354">
        <f t="shared" ref="AC127:AC134" si="152">(D167+D157+D147+D137)</f>
        <v>303</v>
      </c>
      <c r="AE127" s="354">
        <f t="shared" ref="AE127:AE134" si="153">(F167+F157+F147+F137)</f>
        <v>308.5</v>
      </c>
      <c r="AG127" s="354">
        <f t="shared" ref="AG127:AG134" si="154">(H167+H157+H147+H137)</f>
        <v>128</v>
      </c>
      <c r="AI127" s="354">
        <f t="shared" ref="AI127:AI134" si="155">(J167+J157+J147+J137)</f>
        <v>288.5</v>
      </c>
      <c r="AK127" s="354">
        <f t="shared" ref="AK127:AK134" si="156">(L167+L157+L147+L137)</f>
        <v>261</v>
      </c>
    </row>
    <row r="128" spans="1:39" ht="13.5" customHeight="1" x14ac:dyDescent="0.3">
      <c r="B128" s="364">
        <v>80</v>
      </c>
      <c r="C128" s="365">
        <v>0.12030075187969901</v>
      </c>
      <c r="D128" s="364">
        <v>70</v>
      </c>
      <c r="E128" s="365">
        <v>0.12727272727272701</v>
      </c>
      <c r="F128" s="364">
        <v>90</v>
      </c>
      <c r="G128" s="365">
        <v>0.13235294117647101</v>
      </c>
      <c r="H128" s="364">
        <v>20</v>
      </c>
      <c r="I128" s="365">
        <v>7.69230769230769E-2</v>
      </c>
      <c r="J128" s="364">
        <v>60</v>
      </c>
      <c r="K128" s="365">
        <v>0.12121212121212099</v>
      </c>
      <c r="L128" s="364">
        <v>90</v>
      </c>
      <c r="M128" s="365">
        <v>0.133333333333333</v>
      </c>
      <c r="N128" s="358"/>
      <c r="O128" s="360">
        <f t="shared" si="145"/>
        <v>82</v>
      </c>
      <c r="P128" s="360"/>
      <c r="Q128" s="360">
        <f t="shared" si="146"/>
        <v>81.25</v>
      </c>
      <c r="R128" s="360"/>
      <c r="S128" s="360">
        <f t="shared" si="147"/>
        <v>83.25</v>
      </c>
      <c r="T128" s="360"/>
      <c r="U128" s="360">
        <f t="shared" si="148"/>
        <v>32.375</v>
      </c>
      <c r="V128" s="360"/>
      <c r="W128" s="360">
        <f t="shared" si="149"/>
        <v>76.625</v>
      </c>
      <c r="X128" s="360"/>
      <c r="Y128" s="360">
        <f t="shared" si="150"/>
        <v>67.25</v>
      </c>
      <c r="AA128" s="354">
        <f t="shared" si="151"/>
        <v>328</v>
      </c>
      <c r="AC128" s="354">
        <f t="shared" si="152"/>
        <v>325</v>
      </c>
      <c r="AE128" s="354">
        <f t="shared" si="153"/>
        <v>333</v>
      </c>
      <c r="AG128" s="354">
        <f t="shared" si="154"/>
        <v>129.5</v>
      </c>
      <c r="AI128" s="354">
        <f t="shared" si="155"/>
        <v>306.5</v>
      </c>
      <c r="AK128" s="354">
        <f t="shared" si="156"/>
        <v>269</v>
      </c>
    </row>
    <row r="129" spans="1:39" ht="13.5" customHeight="1" x14ac:dyDescent="0.3">
      <c r="B129" s="364">
        <v>75</v>
      </c>
      <c r="C129" s="365">
        <v>0.112781954887218</v>
      </c>
      <c r="D129" s="364">
        <v>70</v>
      </c>
      <c r="E129" s="365">
        <v>0.12727272727272701</v>
      </c>
      <c r="F129" s="364">
        <v>90</v>
      </c>
      <c r="G129" s="365">
        <v>0.13235294117647101</v>
      </c>
      <c r="H129" s="364">
        <v>20</v>
      </c>
      <c r="I129" s="365">
        <v>7.69230769230769E-2</v>
      </c>
      <c r="J129" s="364">
        <v>60</v>
      </c>
      <c r="K129" s="365">
        <v>0.12121212121212099</v>
      </c>
      <c r="L129" s="364">
        <v>95</v>
      </c>
      <c r="M129" s="365">
        <v>0.140740740740741</v>
      </c>
      <c r="N129" s="358"/>
      <c r="O129" s="360">
        <f t="shared" si="145"/>
        <v>84.25</v>
      </c>
      <c r="P129" s="360"/>
      <c r="Q129" s="360">
        <f t="shared" si="146"/>
        <v>80.75</v>
      </c>
      <c r="R129" s="360"/>
      <c r="S129" s="360">
        <f t="shared" si="147"/>
        <v>81.625</v>
      </c>
      <c r="T129" s="360"/>
      <c r="U129" s="360">
        <f t="shared" si="148"/>
        <v>28.25</v>
      </c>
      <c r="V129" s="360"/>
      <c r="W129" s="360">
        <f t="shared" si="149"/>
        <v>74.625</v>
      </c>
      <c r="X129" s="360"/>
      <c r="Y129" s="360">
        <f t="shared" si="150"/>
        <v>66.5</v>
      </c>
      <c r="AA129" s="354">
        <f t="shared" si="151"/>
        <v>337</v>
      </c>
      <c r="AC129" s="354">
        <f t="shared" si="152"/>
        <v>323</v>
      </c>
      <c r="AE129" s="354">
        <f t="shared" si="153"/>
        <v>326.5</v>
      </c>
      <c r="AG129" s="354">
        <f t="shared" si="154"/>
        <v>113</v>
      </c>
      <c r="AI129" s="354">
        <f t="shared" si="155"/>
        <v>298.5</v>
      </c>
      <c r="AK129" s="354">
        <f t="shared" si="156"/>
        <v>266</v>
      </c>
    </row>
    <row r="130" spans="1:39" ht="13.5" customHeight="1" x14ac:dyDescent="0.3">
      <c r="B130" s="364">
        <v>80</v>
      </c>
      <c r="C130" s="365">
        <v>0.12030075187969901</v>
      </c>
      <c r="D130" s="364">
        <v>70</v>
      </c>
      <c r="E130" s="365">
        <v>0.12727272727272701</v>
      </c>
      <c r="F130" s="364">
        <v>80</v>
      </c>
      <c r="G130" s="365">
        <v>0.11764705882352899</v>
      </c>
      <c r="H130" s="364">
        <v>30</v>
      </c>
      <c r="I130" s="365">
        <v>0.115384615384615</v>
      </c>
      <c r="J130" s="364">
        <v>60</v>
      </c>
      <c r="K130" s="365">
        <v>0.12121212121212099</v>
      </c>
      <c r="L130" s="364">
        <v>80</v>
      </c>
      <c r="M130" s="365">
        <v>0.11851851851851899</v>
      </c>
      <c r="N130" s="358"/>
      <c r="O130" s="360">
        <f t="shared" si="145"/>
        <v>81.25</v>
      </c>
      <c r="P130" s="360"/>
      <c r="Q130" s="360">
        <f t="shared" si="146"/>
        <v>77.5</v>
      </c>
      <c r="R130" s="360"/>
      <c r="S130" s="360">
        <f t="shared" si="147"/>
        <v>81.25</v>
      </c>
      <c r="T130" s="360"/>
      <c r="U130" s="360">
        <f t="shared" si="148"/>
        <v>24</v>
      </c>
      <c r="V130" s="360"/>
      <c r="W130" s="360">
        <f t="shared" si="149"/>
        <v>72.5</v>
      </c>
      <c r="X130" s="360"/>
      <c r="Y130" s="360">
        <f t="shared" si="150"/>
        <v>67.25</v>
      </c>
      <c r="AA130" s="354">
        <f t="shared" si="151"/>
        <v>325</v>
      </c>
      <c r="AC130" s="354">
        <f t="shared" si="152"/>
        <v>310</v>
      </c>
      <c r="AE130" s="354">
        <f t="shared" si="153"/>
        <v>325</v>
      </c>
      <c r="AG130" s="354">
        <f t="shared" si="154"/>
        <v>96</v>
      </c>
      <c r="AI130" s="354">
        <f t="shared" si="155"/>
        <v>290</v>
      </c>
      <c r="AK130" s="354">
        <f t="shared" si="156"/>
        <v>269</v>
      </c>
    </row>
    <row r="131" spans="1:39" ht="13.5" customHeight="1" x14ac:dyDescent="0.3">
      <c r="B131" s="364">
        <v>70</v>
      </c>
      <c r="C131" s="365">
        <v>0.105263157894737</v>
      </c>
      <c r="D131" s="364">
        <v>70</v>
      </c>
      <c r="E131" s="365">
        <v>0.12727272727272701</v>
      </c>
      <c r="F131" s="364">
        <v>75</v>
      </c>
      <c r="G131" s="365">
        <v>0.110294117647059</v>
      </c>
      <c r="H131" s="364">
        <v>20</v>
      </c>
      <c r="I131" s="365">
        <v>7.69230769230769E-2</v>
      </c>
      <c r="J131" s="364">
        <v>60</v>
      </c>
      <c r="K131" s="365">
        <v>0.12121212121212099</v>
      </c>
      <c r="L131" s="364">
        <v>75</v>
      </c>
      <c r="M131" s="365">
        <v>0.11111111111111099</v>
      </c>
      <c r="N131" s="358"/>
      <c r="O131" s="360">
        <f t="shared" si="145"/>
        <v>87.125</v>
      </c>
      <c r="P131" s="360"/>
      <c r="Q131" s="360">
        <f t="shared" si="146"/>
        <v>82.5</v>
      </c>
      <c r="R131" s="360"/>
      <c r="S131" s="360">
        <f t="shared" si="147"/>
        <v>79</v>
      </c>
      <c r="T131" s="360"/>
      <c r="U131" s="360">
        <f t="shared" si="148"/>
        <v>21</v>
      </c>
      <c r="V131" s="360"/>
      <c r="W131" s="360">
        <f t="shared" si="149"/>
        <v>76.875</v>
      </c>
      <c r="X131" s="360"/>
      <c r="Y131" s="360">
        <f t="shared" si="150"/>
        <v>68.5</v>
      </c>
      <c r="AA131" s="354">
        <f t="shared" si="151"/>
        <v>348.5</v>
      </c>
      <c r="AC131" s="354">
        <f t="shared" si="152"/>
        <v>330</v>
      </c>
      <c r="AE131" s="354">
        <f t="shared" si="153"/>
        <v>316</v>
      </c>
      <c r="AG131" s="354">
        <f t="shared" si="154"/>
        <v>84</v>
      </c>
      <c r="AI131" s="354">
        <f t="shared" si="155"/>
        <v>307.5</v>
      </c>
      <c r="AK131" s="354">
        <f t="shared" si="156"/>
        <v>274</v>
      </c>
    </row>
    <row r="132" spans="1:39" ht="13.5" customHeight="1" x14ac:dyDescent="0.3">
      <c r="B132" s="364">
        <v>95</v>
      </c>
      <c r="C132" s="365">
        <v>0.14285714285714299</v>
      </c>
      <c r="D132" s="364">
        <v>70</v>
      </c>
      <c r="E132" s="365">
        <v>0.12727272727272701</v>
      </c>
      <c r="F132" s="364">
        <v>90</v>
      </c>
      <c r="G132" s="365">
        <v>0.13235294117647101</v>
      </c>
      <c r="H132" s="364">
        <v>30</v>
      </c>
      <c r="I132" s="365">
        <v>0.115384615384615</v>
      </c>
      <c r="J132" s="364">
        <v>65</v>
      </c>
      <c r="K132" s="365">
        <v>0.13131313131313099</v>
      </c>
      <c r="L132" s="364">
        <v>75</v>
      </c>
      <c r="M132" s="365">
        <v>0.11111111111111099</v>
      </c>
      <c r="N132" s="358"/>
      <c r="O132" s="360">
        <f t="shared" si="145"/>
        <v>83.75</v>
      </c>
      <c r="P132" s="360"/>
      <c r="Q132" s="360">
        <f t="shared" si="146"/>
        <v>77.125</v>
      </c>
      <c r="R132" s="360"/>
      <c r="S132" s="360">
        <f t="shared" si="147"/>
        <v>77.5</v>
      </c>
      <c r="T132" s="360"/>
      <c r="U132" s="360">
        <f t="shared" si="148"/>
        <v>32.625</v>
      </c>
      <c r="V132" s="360"/>
      <c r="W132" s="360">
        <f t="shared" si="149"/>
        <v>80.75</v>
      </c>
      <c r="X132" s="360"/>
      <c r="Y132" s="360">
        <f t="shared" si="150"/>
        <v>71</v>
      </c>
      <c r="AA132" s="354">
        <f t="shared" si="151"/>
        <v>335</v>
      </c>
      <c r="AC132" s="354">
        <f t="shared" si="152"/>
        <v>308.5</v>
      </c>
      <c r="AE132" s="354">
        <f t="shared" si="153"/>
        <v>310</v>
      </c>
      <c r="AG132" s="354">
        <f t="shared" si="154"/>
        <v>130.5</v>
      </c>
      <c r="AI132" s="354">
        <f t="shared" si="155"/>
        <v>323</v>
      </c>
      <c r="AK132" s="354">
        <f t="shared" si="156"/>
        <v>284</v>
      </c>
    </row>
    <row r="133" spans="1:39" ht="13.5" customHeight="1" x14ac:dyDescent="0.3">
      <c r="B133" s="364">
        <v>95</v>
      </c>
      <c r="C133" s="365">
        <v>0.14285714285714299</v>
      </c>
      <c r="D133" s="364">
        <v>70</v>
      </c>
      <c r="E133" s="365">
        <v>0.12727272727272701</v>
      </c>
      <c r="F133" s="364">
        <v>80</v>
      </c>
      <c r="G133" s="365">
        <v>0.11764705882352899</v>
      </c>
      <c r="H133" s="364">
        <v>20</v>
      </c>
      <c r="I133" s="365">
        <v>7.69230769230769E-2</v>
      </c>
      <c r="J133" s="364">
        <v>60</v>
      </c>
      <c r="K133" s="365">
        <v>0.12121212121212099</v>
      </c>
      <c r="L133" s="364">
        <v>90</v>
      </c>
      <c r="M133" s="365">
        <v>0.133333333333333</v>
      </c>
      <c r="N133" s="358"/>
      <c r="O133" s="360">
        <f t="shared" si="145"/>
        <v>82.5</v>
      </c>
      <c r="P133" s="360"/>
      <c r="Q133" s="360">
        <f t="shared" si="146"/>
        <v>78.375</v>
      </c>
      <c r="R133" s="360"/>
      <c r="S133" s="360">
        <f t="shared" si="147"/>
        <v>77.5</v>
      </c>
      <c r="T133" s="360"/>
      <c r="U133" s="360">
        <f t="shared" si="148"/>
        <v>30.125</v>
      </c>
      <c r="V133" s="360"/>
      <c r="W133" s="360">
        <f t="shared" si="149"/>
        <v>82</v>
      </c>
      <c r="X133" s="360"/>
      <c r="Y133" s="360">
        <f t="shared" si="150"/>
        <v>68.5</v>
      </c>
      <c r="AA133" s="354">
        <f t="shared" si="151"/>
        <v>330</v>
      </c>
      <c r="AC133" s="354">
        <f t="shared" si="152"/>
        <v>313.5</v>
      </c>
      <c r="AE133" s="354">
        <f t="shared" si="153"/>
        <v>310</v>
      </c>
      <c r="AG133" s="354">
        <f t="shared" si="154"/>
        <v>120.5</v>
      </c>
      <c r="AI133" s="354">
        <f t="shared" si="155"/>
        <v>328</v>
      </c>
      <c r="AK133" s="354">
        <f t="shared" si="156"/>
        <v>274</v>
      </c>
    </row>
    <row r="134" spans="1:39" ht="13.5" customHeight="1" x14ac:dyDescent="0.3">
      <c r="B134" s="364">
        <v>80</v>
      </c>
      <c r="C134" s="365">
        <v>0.12030075187969901</v>
      </c>
      <c r="D134" s="364">
        <v>60</v>
      </c>
      <c r="E134" s="365">
        <v>0.109090909090909</v>
      </c>
      <c r="F134" s="364">
        <v>95</v>
      </c>
      <c r="G134" s="365">
        <v>0.13970588235294101</v>
      </c>
      <c r="H134" s="364">
        <v>90</v>
      </c>
      <c r="I134" s="365">
        <v>0.34615384615384598</v>
      </c>
      <c r="J134" s="364">
        <v>70</v>
      </c>
      <c r="K134" s="365">
        <v>0.14141414141414099</v>
      </c>
      <c r="L134" s="364">
        <v>90</v>
      </c>
      <c r="M134" s="365">
        <v>0.133333333333333</v>
      </c>
      <c r="N134" s="358"/>
      <c r="O134" s="360">
        <f t="shared" si="145"/>
        <v>81.5</v>
      </c>
      <c r="P134" s="360"/>
      <c r="Q134" s="360">
        <f t="shared" si="146"/>
        <v>80.75</v>
      </c>
      <c r="R134" s="360"/>
      <c r="S134" s="360">
        <f t="shared" si="147"/>
        <v>75</v>
      </c>
      <c r="T134" s="360"/>
      <c r="U134" s="360">
        <f t="shared" si="148"/>
        <v>28.75</v>
      </c>
      <c r="V134" s="360"/>
      <c r="W134" s="360">
        <f t="shared" si="149"/>
        <v>73</v>
      </c>
      <c r="X134" s="360"/>
      <c r="Y134" s="360">
        <f t="shared" si="150"/>
        <v>67.5</v>
      </c>
      <c r="AA134" s="354">
        <f t="shared" si="151"/>
        <v>326</v>
      </c>
      <c r="AC134" s="354">
        <f t="shared" si="152"/>
        <v>323</v>
      </c>
      <c r="AE134" s="354">
        <f t="shared" si="153"/>
        <v>300</v>
      </c>
      <c r="AG134" s="354">
        <f t="shared" si="154"/>
        <v>115</v>
      </c>
      <c r="AI134" s="354">
        <f t="shared" si="155"/>
        <v>292</v>
      </c>
      <c r="AK134" s="354">
        <f t="shared" si="156"/>
        <v>270</v>
      </c>
    </row>
    <row r="136" spans="1:39" ht="13.5" customHeight="1" x14ac:dyDescent="0.3">
      <c r="A136" s="363" t="s">
        <v>83</v>
      </c>
      <c r="B136" s="364" t="s">
        <v>12</v>
      </c>
      <c r="C136" s="365">
        <v>565</v>
      </c>
      <c r="D136" s="364" t="s">
        <v>13</v>
      </c>
      <c r="E136" s="365">
        <v>610</v>
      </c>
      <c r="F136" s="364" t="s">
        <v>14</v>
      </c>
      <c r="G136" s="365">
        <v>725</v>
      </c>
      <c r="H136" s="364" t="s">
        <v>15</v>
      </c>
      <c r="I136" s="365">
        <v>170</v>
      </c>
      <c r="J136" s="364" t="s">
        <v>16</v>
      </c>
      <c r="K136" s="365">
        <v>745</v>
      </c>
      <c r="L136" s="364" t="s">
        <v>17</v>
      </c>
      <c r="M136" s="365">
        <v>430</v>
      </c>
      <c r="N136" s="358"/>
      <c r="O136" s="360" t="s">
        <v>12</v>
      </c>
      <c r="P136" s="360"/>
      <c r="Q136" s="360" t="s">
        <v>13</v>
      </c>
      <c r="R136" s="360"/>
      <c r="S136" s="360" t="s">
        <v>14</v>
      </c>
      <c r="T136" s="360"/>
      <c r="U136" s="360" t="s">
        <v>15</v>
      </c>
      <c r="V136" s="360"/>
      <c r="W136" s="360" t="s">
        <v>16</v>
      </c>
      <c r="X136" s="360"/>
      <c r="Y136" s="360" t="s">
        <v>17</v>
      </c>
      <c r="AA136" s="354" t="s">
        <v>12</v>
      </c>
      <c r="AC136" s="354" t="s">
        <v>13</v>
      </c>
      <c r="AE136" s="354" t="s">
        <v>14</v>
      </c>
      <c r="AG136" s="354" t="s">
        <v>15</v>
      </c>
      <c r="AI136" s="354" t="s">
        <v>16</v>
      </c>
      <c r="AK136" s="354" t="s">
        <v>17</v>
      </c>
      <c r="AM136" s="10">
        <f>AM146</f>
        <v>4</v>
      </c>
    </row>
    <row r="137" spans="1:39" ht="13.5" customHeight="1" x14ac:dyDescent="0.3">
      <c r="B137" s="364">
        <v>70</v>
      </c>
      <c r="C137" s="365">
        <v>0.123893805309735</v>
      </c>
      <c r="D137" s="364">
        <v>80</v>
      </c>
      <c r="E137" s="365">
        <v>0.13114754098360701</v>
      </c>
      <c r="F137" s="364">
        <v>95</v>
      </c>
      <c r="G137" s="365">
        <v>0.13103448275862101</v>
      </c>
      <c r="H137" s="364">
        <v>20</v>
      </c>
      <c r="I137" s="365">
        <v>0.11764705882352899</v>
      </c>
      <c r="J137" s="364">
        <v>90</v>
      </c>
      <c r="K137" s="365">
        <v>0.12080536912751701</v>
      </c>
      <c r="L137" s="364">
        <v>50</v>
      </c>
      <c r="M137" s="365">
        <v>0.116279069767442</v>
      </c>
      <c r="N137" s="358"/>
      <c r="O137" s="360">
        <f t="shared" ref="O137:O144" si="157">AA137/$AM$166</f>
        <v>89.25</v>
      </c>
      <c r="P137" s="360"/>
      <c r="Q137" s="360">
        <f t="shared" ref="Q137:Q144" si="158">AC137/$AM$166</f>
        <v>74.5</v>
      </c>
      <c r="R137" s="360"/>
      <c r="S137" s="360">
        <f t="shared" ref="S137:S144" si="159">AE137/$AM$166</f>
        <v>70.875</v>
      </c>
      <c r="T137" s="360"/>
      <c r="U137" s="360">
        <f t="shared" ref="U137:U144" si="160">AG137/$AM$166</f>
        <v>42</v>
      </c>
      <c r="V137" s="360"/>
      <c r="W137" s="360">
        <f t="shared" ref="W137:W144" si="161">AI137/$AM$166</f>
        <v>64.625</v>
      </c>
      <c r="X137" s="360"/>
      <c r="Y137" s="360">
        <f t="shared" ref="Y137:Y144" si="162">AK137/$AM$166</f>
        <v>70.25</v>
      </c>
      <c r="AA137" s="354">
        <f t="shared" ref="AA137:AA144" si="163">(B177+B167+B157+B147)</f>
        <v>357</v>
      </c>
      <c r="AC137" s="354">
        <f t="shared" ref="AC137:AC144" si="164">(D177+D167+D157+D147)</f>
        <v>298</v>
      </c>
      <c r="AE137" s="354">
        <f t="shared" ref="AE137:AE144" si="165">(F177+F167+F157+F147)</f>
        <v>283.5</v>
      </c>
      <c r="AG137" s="354">
        <f t="shared" ref="AG137:AG144" si="166">(H177+H167+H157+H147)</f>
        <v>168</v>
      </c>
      <c r="AI137" s="354">
        <f t="shared" ref="AI137:AI144" si="167">(J177+J167+J157+J147)</f>
        <v>258.5</v>
      </c>
      <c r="AK137" s="354">
        <f t="shared" ref="AK137:AK144" si="168">(L177+L167+L157+L147)</f>
        <v>281</v>
      </c>
    </row>
    <row r="138" spans="1:39" ht="13.5" customHeight="1" x14ac:dyDescent="0.3">
      <c r="B138" s="364">
        <v>70</v>
      </c>
      <c r="C138" s="365">
        <v>0.123893805309735</v>
      </c>
      <c r="D138" s="364">
        <v>80</v>
      </c>
      <c r="E138" s="365">
        <v>0.13114754098360701</v>
      </c>
      <c r="F138" s="364">
        <v>95</v>
      </c>
      <c r="G138" s="365">
        <v>0.13103448275862101</v>
      </c>
      <c r="H138" s="364">
        <v>20</v>
      </c>
      <c r="I138" s="365">
        <v>0.11764705882352899</v>
      </c>
      <c r="J138" s="364">
        <v>95</v>
      </c>
      <c r="K138" s="365">
        <v>0.12751677852349</v>
      </c>
      <c r="L138" s="364">
        <v>50</v>
      </c>
      <c r="M138" s="365">
        <v>0.116279069767442</v>
      </c>
      <c r="N138" s="358"/>
      <c r="O138" s="360">
        <f t="shared" si="157"/>
        <v>87</v>
      </c>
      <c r="P138" s="360"/>
      <c r="Q138" s="360">
        <f t="shared" si="158"/>
        <v>81.25</v>
      </c>
      <c r="R138" s="360"/>
      <c r="S138" s="360">
        <f t="shared" si="159"/>
        <v>77</v>
      </c>
      <c r="T138" s="360"/>
      <c r="U138" s="360">
        <f t="shared" si="160"/>
        <v>34.875</v>
      </c>
      <c r="V138" s="360"/>
      <c r="W138" s="360">
        <f t="shared" si="161"/>
        <v>67.875</v>
      </c>
      <c r="X138" s="360"/>
      <c r="Y138" s="360">
        <f t="shared" si="162"/>
        <v>72.25</v>
      </c>
      <c r="AA138" s="354">
        <f t="shared" si="163"/>
        <v>348</v>
      </c>
      <c r="AC138" s="354">
        <f t="shared" si="164"/>
        <v>325</v>
      </c>
      <c r="AE138" s="354">
        <f t="shared" si="165"/>
        <v>308</v>
      </c>
      <c r="AG138" s="354">
        <f t="shared" si="166"/>
        <v>139.5</v>
      </c>
      <c r="AI138" s="354">
        <f t="shared" si="167"/>
        <v>271.5</v>
      </c>
      <c r="AK138" s="354">
        <f t="shared" si="168"/>
        <v>289</v>
      </c>
    </row>
    <row r="139" spans="1:39" ht="13.5" customHeight="1" x14ac:dyDescent="0.3">
      <c r="B139" s="364">
        <v>70</v>
      </c>
      <c r="C139" s="365">
        <v>0.123893805309735</v>
      </c>
      <c r="D139" s="364">
        <v>75</v>
      </c>
      <c r="E139" s="365">
        <v>0.12295081967213101</v>
      </c>
      <c r="F139" s="364">
        <v>95</v>
      </c>
      <c r="G139" s="365">
        <v>0.13103448275862101</v>
      </c>
      <c r="H139" s="364">
        <v>20</v>
      </c>
      <c r="I139" s="365">
        <v>0.11764705882352899</v>
      </c>
      <c r="J139" s="364">
        <v>95</v>
      </c>
      <c r="K139" s="365">
        <v>0.12751677852349</v>
      </c>
      <c r="L139" s="364">
        <v>50</v>
      </c>
      <c r="M139" s="365">
        <v>0.116279069767442</v>
      </c>
      <c r="N139" s="358"/>
      <c r="O139" s="360">
        <f t="shared" si="157"/>
        <v>89.25</v>
      </c>
      <c r="P139" s="360"/>
      <c r="Q139" s="360">
        <f t="shared" si="158"/>
        <v>82</v>
      </c>
      <c r="R139" s="360"/>
      <c r="S139" s="360">
        <f t="shared" si="159"/>
        <v>75.375</v>
      </c>
      <c r="T139" s="360"/>
      <c r="U139" s="360">
        <f t="shared" si="160"/>
        <v>35.75</v>
      </c>
      <c r="V139" s="360"/>
      <c r="W139" s="360">
        <f t="shared" si="161"/>
        <v>65.875</v>
      </c>
      <c r="X139" s="360"/>
      <c r="Y139" s="360">
        <f t="shared" si="162"/>
        <v>71.5</v>
      </c>
      <c r="AA139" s="354">
        <f t="shared" si="163"/>
        <v>357</v>
      </c>
      <c r="AC139" s="354">
        <f t="shared" si="164"/>
        <v>328</v>
      </c>
      <c r="AE139" s="354">
        <f t="shared" si="165"/>
        <v>301.5</v>
      </c>
      <c r="AG139" s="354">
        <f t="shared" si="166"/>
        <v>143</v>
      </c>
      <c r="AI139" s="354">
        <f t="shared" si="167"/>
        <v>263.5</v>
      </c>
      <c r="AK139" s="354">
        <f t="shared" si="168"/>
        <v>286</v>
      </c>
    </row>
    <row r="140" spans="1:39" ht="13.5" customHeight="1" x14ac:dyDescent="0.3">
      <c r="B140" s="364">
        <v>70</v>
      </c>
      <c r="C140" s="365">
        <v>0.123893805309735</v>
      </c>
      <c r="D140" s="364">
        <v>80</v>
      </c>
      <c r="E140" s="365">
        <v>0.13114754098360701</v>
      </c>
      <c r="F140" s="364">
        <v>90</v>
      </c>
      <c r="G140" s="365">
        <v>0.12413793103448301</v>
      </c>
      <c r="H140" s="364">
        <v>20</v>
      </c>
      <c r="I140" s="365">
        <v>0.11764705882352899</v>
      </c>
      <c r="J140" s="364">
        <v>95</v>
      </c>
      <c r="K140" s="365">
        <v>0.12751677852349</v>
      </c>
      <c r="L140" s="364">
        <v>50</v>
      </c>
      <c r="M140" s="365">
        <v>0.116279069767442</v>
      </c>
      <c r="N140" s="358"/>
      <c r="O140" s="360">
        <f t="shared" si="157"/>
        <v>86.25</v>
      </c>
      <c r="P140" s="360"/>
      <c r="Q140" s="360">
        <f t="shared" si="158"/>
        <v>77.5</v>
      </c>
      <c r="R140" s="360"/>
      <c r="S140" s="360">
        <f t="shared" si="159"/>
        <v>76.25</v>
      </c>
      <c r="T140" s="360"/>
      <c r="U140" s="360">
        <f t="shared" si="160"/>
        <v>31.5</v>
      </c>
      <c r="V140" s="360"/>
      <c r="W140" s="360">
        <f t="shared" si="161"/>
        <v>63.75</v>
      </c>
      <c r="X140" s="360"/>
      <c r="Y140" s="360">
        <f t="shared" si="162"/>
        <v>72.25</v>
      </c>
      <c r="AA140" s="354">
        <f t="shared" si="163"/>
        <v>345</v>
      </c>
      <c r="AC140" s="354">
        <f t="shared" si="164"/>
        <v>310</v>
      </c>
      <c r="AE140" s="354">
        <f t="shared" si="165"/>
        <v>305</v>
      </c>
      <c r="AG140" s="354">
        <f t="shared" si="166"/>
        <v>126</v>
      </c>
      <c r="AI140" s="354">
        <f t="shared" si="167"/>
        <v>255</v>
      </c>
      <c r="AK140" s="354">
        <f t="shared" si="168"/>
        <v>289</v>
      </c>
    </row>
    <row r="141" spans="1:39" ht="13.5" customHeight="1" x14ac:dyDescent="0.3">
      <c r="B141" s="364">
        <v>70</v>
      </c>
      <c r="C141" s="365">
        <v>0.123893805309735</v>
      </c>
      <c r="D141" s="364">
        <v>75</v>
      </c>
      <c r="E141" s="365">
        <v>0.12295081967213101</v>
      </c>
      <c r="F141" s="364">
        <v>90</v>
      </c>
      <c r="G141" s="365">
        <v>0.12413793103448301</v>
      </c>
      <c r="H141" s="364">
        <v>20</v>
      </c>
      <c r="I141" s="365">
        <v>0.11764705882352899</v>
      </c>
      <c r="J141" s="364">
        <v>95</v>
      </c>
      <c r="K141" s="365">
        <v>0.12751677852349</v>
      </c>
      <c r="L141" s="364">
        <v>60</v>
      </c>
      <c r="M141" s="365">
        <v>0.13953488372093001</v>
      </c>
      <c r="N141" s="358"/>
      <c r="O141" s="360">
        <f t="shared" si="157"/>
        <v>93.375</v>
      </c>
      <c r="P141" s="360"/>
      <c r="Q141" s="360">
        <f t="shared" si="158"/>
        <v>82.5</v>
      </c>
      <c r="R141" s="360"/>
      <c r="S141" s="360">
        <f t="shared" si="159"/>
        <v>74</v>
      </c>
      <c r="T141" s="360"/>
      <c r="U141" s="360">
        <f t="shared" si="160"/>
        <v>23.5</v>
      </c>
      <c r="V141" s="360"/>
      <c r="W141" s="360">
        <f t="shared" si="161"/>
        <v>68.125</v>
      </c>
      <c r="X141" s="360"/>
      <c r="Y141" s="360">
        <f t="shared" si="162"/>
        <v>71</v>
      </c>
      <c r="AA141" s="354">
        <f t="shared" si="163"/>
        <v>373.5</v>
      </c>
      <c r="AC141" s="354">
        <f t="shared" si="164"/>
        <v>330</v>
      </c>
      <c r="AE141" s="354">
        <f t="shared" si="165"/>
        <v>296</v>
      </c>
      <c r="AG141" s="354">
        <f t="shared" si="166"/>
        <v>94</v>
      </c>
      <c r="AI141" s="354">
        <f t="shared" si="167"/>
        <v>272.5</v>
      </c>
      <c r="AK141" s="354">
        <f t="shared" si="168"/>
        <v>284</v>
      </c>
    </row>
    <row r="142" spans="1:39" ht="13.5" customHeight="1" x14ac:dyDescent="0.3">
      <c r="B142" s="364">
        <v>75</v>
      </c>
      <c r="C142" s="365">
        <v>0.132743362831858</v>
      </c>
      <c r="D142" s="364">
        <v>70</v>
      </c>
      <c r="E142" s="365">
        <v>0.114754098360656</v>
      </c>
      <c r="F142" s="364">
        <v>90</v>
      </c>
      <c r="G142" s="365">
        <v>0.12413793103448301</v>
      </c>
      <c r="H142" s="364">
        <v>30</v>
      </c>
      <c r="I142" s="365">
        <v>0.17647058823529399</v>
      </c>
      <c r="J142" s="364">
        <v>90</v>
      </c>
      <c r="K142" s="365">
        <v>0.12080536912751701</v>
      </c>
      <c r="L142" s="364">
        <v>60</v>
      </c>
      <c r="M142" s="365">
        <v>0.13953488372093001</v>
      </c>
      <c r="N142" s="358"/>
      <c r="O142" s="360">
        <f t="shared" si="157"/>
        <v>88.75</v>
      </c>
      <c r="P142" s="360"/>
      <c r="Q142" s="360">
        <f t="shared" si="158"/>
        <v>82.125</v>
      </c>
      <c r="R142" s="360"/>
      <c r="S142" s="360">
        <f t="shared" si="159"/>
        <v>72.5</v>
      </c>
      <c r="T142" s="360"/>
      <c r="U142" s="360">
        <f t="shared" si="160"/>
        <v>32.625</v>
      </c>
      <c r="V142" s="360"/>
      <c r="W142" s="360">
        <f t="shared" si="161"/>
        <v>73.25</v>
      </c>
      <c r="X142" s="360"/>
      <c r="Y142" s="360">
        <f t="shared" si="162"/>
        <v>73.5</v>
      </c>
      <c r="AA142" s="354">
        <f t="shared" si="163"/>
        <v>355</v>
      </c>
      <c r="AC142" s="354">
        <f t="shared" si="164"/>
        <v>328.5</v>
      </c>
      <c r="AE142" s="354">
        <f t="shared" si="165"/>
        <v>290</v>
      </c>
      <c r="AG142" s="354">
        <f t="shared" si="166"/>
        <v>130.5</v>
      </c>
      <c r="AI142" s="354">
        <f t="shared" si="167"/>
        <v>293</v>
      </c>
      <c r="AK142" s="354">
        <f t="shared" si="168"/>
        <v>294</v>
      </c>
    </row>
    <row r="143" spans="1:39" ht="13.5" customHeight="1" x14ac:dyDescent="0.3">
      <c r="B143" s="364">
        <v>70</v>
      </c>
      <c r="C143" s="365">
        <v>0.123893805309735</v>
      </c>
      <c r="D143" s="364">
        <v>75</v>
      </c>
      <c r="E143" s="365">
        <v>0.12295081967213101</v>
      </c>
      <c r="F143" s="364">
        <v>90</v>
      </c>
      <c r="G143" s="365">
        <v>0.12413793103448301</v>
      </c>
      <c r="H143" s="364">
        <v>20</v>
      </c>
      <c r="I143" s="365">
        <v>0.11764705882352899</v>
      </c>
      <c r="J143" s="364">
        <v>95</v>
      </c>
      <c r="K143" s="365">
        <v>0.12751677852349</v>
      </c>
      <c r="L143" s="364">
        <v>50</v>
      </c>
      <c r="M143" s="365">
        <v>0.116279069767442</v>
      </c>
      <c r="N143" s="358"/>
      <c r="O143" s="360">
        <f t="shared" si="157"/>
        <v>88.75</v>
      </c>
      <c r="P143" s="360"/>
      <c r="Q143" s="360">
        <f t="shared" si="158"/>
        <v>79.625</v>
      </c>
      <c r="R143" s="360"/>
      <c r="S143" s="360">
        <f t="shared" si="159"/>
        <v>72.5</v>
      </c>
      <c r="T143" s="360"/>
      <c r="U143" s="360">
        <f t="shared" si="160"/>
        <v>41.375</v>
      </c>
      <c r="V143" s="360"/>
      <c r="W143" s="360">
        <f t="shared" si="161"/>
        <v>73.25</v>
      </c>
      <c r="X143" s="360"/>
      <c r="Y143" s="360">
        <f t="shared" si="162"/>
        <v>73.5</v>
      </c>
      <c r="AA143" s="354">
        <f t="shared" si="163"/>
        <v>355</v>
      </c>
      <c r="AC143" s="354">
        <f t="shared" si="164"/>
        <v>318.5</v>
      </c>
      <c r="AE143" s="354">
        <f t="shared" si="165"/>
        <v>290</v>
      </c>
      <c r="AG143" s="354">
        <f t="shared" si="166"/>
        <v>165.5</v>
      </c>
      <c r="AI143" s="354">
        <f t="shared" si="167"/>
        <v>293</v>
      </c>
      <c r="AK143" s="354">
        <f t="shared" si="168"/>
        <v>294</v>
      </c>
    </row>
    <row r="144" spans="1:39" ht="13.5" customHeight="1" x14ac:dyDescent="0.3">
      <c r="B144" s="364">
        <v>70</v>
      </c>
      <c r="C144" s="365">
        <v>0.123893805309735</v>
      </c>
      <c r="D144" s="364">
        <v>75</v>
      </c>
      <c r="E144" s="365">
        <v>0.12295081967213101</v>
      </c>
      <c r="F144" s="364">
        <v>80</v>
      </c>
      <c r="G144" s="365">
        <v>0.11034482758620701</v>
      </c>
      <c r="H144" s="364">
        <v>20</v>
      </c>
      <c r="I144" s="365">
        <v>0.11764705882352899</v>
      </c>
      <c r="J144" s="364">
        <v>90</v>
      </c>
      <c r="K144" s="365">
        <v>0.12080536912751701</v>
      </c>
      <c r="L144" s="364">
        <v>60</v>
      </c>
      <c r="M144" s="365">
        <v>0.13953488372093001</v>
      </c>
      <c r="N144" s="358"/>
      <c r="O144" s="360">
        <f t="shared" si="157"/>
        <v>87.75</v>
      </c>
      <c r="P144" s="360"/>
      <c r="Q144" s="360">
        <f t="shared" si="158"/>
        <v>84.5</v>
      </c>
      <c r="R144" s="360"/>
      <c r="S144" s="360">
        <f t="shared" si="159"/>
        <v>72.5</v>
      </c>
      <c r="T144" s="360"/>
      <c r="U144" s="360">
        <f t="shared" si="160"/>
        <v>42.5</v>
      </c>
      <c r="V144" s="360"/>
      <c r="W144" s="360">
        <f t="shared" si="161"/>
        <v>66.75</v>
      </c>
      <c r="X144" s="360"/>
      <c r="Y144" s="360">
        <f t="shared" si="162"/>
        <v>70</v>
      </c>
      <c r="AA144" s="354">
        <f t="shared" si="163"/>
        <v>351</v>
      </c>
      <c r="AC144" s="354">
        <f t="shared" si="164"/>
        <v>338</v>
      </c>
      <c r="AE144" s="354">
        <f t="shared" si="165"/>
        <v>290</v>
      </c>
      <c r="AG144" s="354">
        <f t="shared" si="166"/>
        <v>170</v>
      </c>
      <c r="AI144" s="354">
        <f t="shared" si="167"/>
        <v>267</v>
      </c>
      <c r="AK144" s="354">
        <f t="shared" si="168"/>
        <v>280</v>
      </c>
    </row>
    <row r="146" spans="1:39" ht="13.5" customHeight="1" x14ac:dyDescent="0.3">
      <c r="A146" s="363" t="s">
        <v>84</v>
      </c>
      <c r="B146" s="364" t="s">
        <v>12</v>
      </c>
      <c r="C146" s="365">
        <v>765</v>
      </c>
      <c r="D146" s="364" t="s">
        <v>13</v>
      </c>
      <c r="E146" s="365">
        <v>685</v>
      </c>
      <c r="F146" s="364" t="s">
        <v>14</v>
      </c>
      <c r="G146" s="365">
        <v>585</v>
      </c>
      <c r="H146" s="364" t="s">
        <v>15</v>
      </c>
      <c r="I146" s="365">
        <v>57</v>
      </c>
      <c r="J146" s="364" t="s">
        <v>16</v>
      </c>
      <c r="K146" s="365">
        <v>555</v>
      </c>
      <c r="L146" s="364" t="s">
        <v>17</v>
      </c>
      <c r="M146" s="365">
        <v>745</v>
      </c>
      <c r="N146" s="358"/>
      <c r="O146" s="360" t="s">
        <v>12</v>
      </c>
      <c r="P146" s="360"/>
      <c r="Q146" s="360" t="s">
        <v>13</v>
      </c>
      <c r="R146" s="360"/>
      <c r="S146" s="360" t="s">
        <v>14</v>
      </c>
      <c r="T146" s="360"/>
      <c r="U146" s="360" t="s">
        <v>15</v>
      </c>
      <c r="V146" s="360"/>
      <c r="W146" s="360" t="s">
        <v>16</v>
      </c>
      <c r="X146" s="360"/>
      <c r="Y146" s="360" t="s">
        <v>17</v>
      </c>
      <c r="AA146" s="354" t="s">
        <v>12</v>
      </c>
      <c r="AC146" s="354" t="s">
        <v>13</v>
      </c>
      <c r="AE146" s="354" t="s">
        <v>14</v>
      </c>
      <c r="AG146" s="354" t="s">
        <v>15</v>
      </c>
      <c r="AI146" s="354" t="s">
        <v>16</v>
      </c>
      <c r="AK146" s="354" t="s">
        <v>17</v>
      </c>
      <c r="AM146" s="10">
        <f>AM156</f>
        <v>4</v>
      </c>
    </row>
    <row r="147" spans="1:39" ht="13.5" customHeight="1" x14ac:dyDescent="0.3">
      <c r="A147" s="363"/>
      <c r="B147" s="364">
        <v>95</v>
      </c>
      <c r="C147" s="365">
        <v>0.12418300653594801</v>
      </c>
      <c r="D147" s="364">
        <v>80</v>
      </c>
      <c r="E147" s="365">
        <v>0.116788321167883</v>
      </c>
      <c r="F147" s="364">
        <v>70</v>
      </c>
      <c r="G147" s="365">
        <v>0.11965811965812</v>
      </c>
      <c r="H147" s="364">
        <v>5</v>
      </c>
      <c r="I147" s="365">
        <v>8.7719298245614002E-2</v>
      </c>
      <c r="J147" s="364">
        <v>65</v>
      </c>
      <c r="K147" s="365">
        <v>0.117117117117117</v>
      </c>
      <c r="L147" s="364">
        <v>90</v>
      </c>
      <c r="M147" s="365">
        <v>0.12080536912751701</v>
      </c>
      <c r="N147" s="358"/>
      <c r="O147" s="360">
        <f t="shared" ref="O147:O154" si="169">AA147/$AM$166</f>
        <v>83</v>
      </c>
      <c r="P147" s="360"/>
      <c r="Q147" s="360">
        <f t="shared" ref="Q147:Q154" si="170">AC147/$AM$166</f>
        <v>75.25</v>
      </c>
      <c r="R147" s="360"/>
      <c r="S147" s="360">
        <f t="shared" ref="S147:S154" si="171">AE147/$AM$166</f>
        <v>70.875</v>
      </c>
      <c r="T147" s="360"/>
      <c r="U147" s="360">
        <f t="shared" ref="U147:U154" si="172">AG147/$AM$166</f>
        <v>47</v>
      </c>
      <c r="V147" s="360"/>
      <c r="W147" s="360">
        <f t="shared" ref="W147:W154" si="173">AI147/$AM$166</f>
        <v>65.875</v>
      </c>
      <c r="X147" s="360"/>
      <c r="Y147" s="360">
        <f t="shared" ref="Y147:Y154" si="174">AK147/$AM$166</f>
        <v>72</v>
      </c>
      <c r="AA147" s="354">
        <f t="shared" ref="AA147:AA154" si="175">(B187+B177+B167+B157)</f>
        <v>332</v>
      </c>
      <c r="AC147" s="354">
        <f t="shared" ref="AC147:AC154" si="176">(D187+D177+D167+D157)</f>
        <v>301</v>
      </c>
      <c r="AE147" s="354">
        <f t="shared" ref="AE147:AE154" si="177">(F187+F177+F167+F157)</f>
        <v>283.5</v>
      </c>
      <c r="AG147" s="354">
        <f t="shared" ref="AG147:AG154" si="178">(H187+H177+H167+H157)</f>
        <v>188</v>
      </c>
      <c r="AI147" s="354">
        <f t="shared" ref="AI147:AI154" si="179">(J187+J177+J167+J157)</f>
        <v>263.5</v>
      </c>
      <c r="AK147" s="354">
        <f t="shared" ref="AK147:AK154" si="180">(L187+L177+L167+L157)</f>
        <v>288</v>
      </c>
    </row>
    <row r="148" spans="1:39" ht="13.5" customHeight="1" x14ac:dyDescent="0.3">
      <c r="A148" s="363"/>
      <c r="B148" s="364">
        <v>100</v>
      </c>
      <c r="C148" s="365">
        <v>0.13071895424836599</v>
      </c>
      <c r="D148" s="364">
        <v>95</v>
      </c>
      <c r="E148" s="365">
        <v>0.13868613138686101</v>
      </c>
      <c r="F148" s="364">
        <v>80</v>
      </c>
      <c r="G148" s="365">
        <v>0.13675213675213699</v>
      </c>
      <c r="H148" s="364">
        <v>20</v>
      </c>
      <c r="I148" s="365">
        <v>0.35087719298245601</v>
      </c>
      <c r="J148" s="364">
        <v>70</v>
      </c>
      <c r="K148" s="365">
        <v>0.126126126126126</v>
      </c>
      <c r="L148" s="364">
        <v>90</v>
      </c>
      <c r="M148" s="365">
        <v>0.12080536912751701</v>
      </c>
      <c r="N148" s="358"/>
      <c r="O148" s="360">
        <f t="shared" si="169"/>
        <v>78.5</v>
      </c>
      <c r="P148" s="360"/>
      <c r="Q148" s="360">
        <f t="shared" si="170"/>
        <v>78.25</v>
      </c>
      <c r="R148" s="360"/>
      <c r="S148" s="360">
        <f t="shared" si="171"/>
        <v>77.75</v>
      </c>
      <c r="T148" s="360"/>
      <c r="U148" s="360">
        <f t="shared" si="172"/>
        <v>36.125</v>
      </c>
      <c r="V148" s="360"/>
      <c r="W148" s="360">
        <f t="shared" si="173"/>
        <v>67.875</v>
      </c>
      <c r="X148" s="360"/>
      <c r="Y148" s="360">
        <f t="shared" si="174"/>
        <v>74</v>
      </c>
      <c r="AA148" s="354">
        <f t="shared" si="175"/>
        <v>314</v>
      </c>
      <c r="AC148" s="354">
        <f t="shared" si="176"/>
        <v>313</v>
      </c>
      <c r="AE148" s="354">
        <f t="shared" si="177"/>
        <v>311</v>
      </c>
      <c r="AG148" s="354">
        <f t="shared" si="178"/>
        <v>144.5</v>
      </c>
      <c r="AI148" s="354">
        <f t="shared" si="179"/>
        <v>271.5</v>
      </c>
      <c r="AK148" s="354">
        <f t="shared" si="180"/>
        <v>296</v>
      </c>
    </row>
    <row r="149" spans="1:39" ht="13.5" customHeight="1" x14ac:dyDescent="0.3">
      <c r="A149" s="363"/>
      <c r="B149" s="364">
        <v>100</v>
      </c>
      <c r="C149" s="365">
        <v>0.13071895424836599</v>
      </c>
      <c r="D149" s="364">
        <v>90</v>
      </c>
      <c r="E149" s="365">
        <v>0.13138686131386901</v>
      </c>
      <c r="F149" s="364">
        <v>80</v>
      </c>
      <c r="G149" s="365">
        <v>0.13675213675213699</v>
      </c>
      <c r="H149" s="364">
        <v>10</v>
      </c>
      <c r="I149" s="365">
        <v>0.175438596491228</v>
      </c>
      <c r="J149" s="364">
        <v>70</v>
      </c>
      <c r="K149" s="365">
        <v>0.126126126126126</v>
      </c>
      <c r="L149" s="364">
        <v>95</v>
      </c>
      <c r="M149" s="365">
        <v>0.12751677852349</v>
      </c>
      <c r="N149" s="358"/>
      <c r="O149" s="360">
        <f t="shared" si="169"/>
        <v>81.75</v>
      </c>
      <c r="P149" s="360"/>
      <c r="Q149" s="360">
        <f t="shared" si="170"/>
        <v>83.75</v>
      </c>
      <c r="R149" s="360"/>
      <c r="S149" s="360">
        <f t="shared" si="171"/>
        <v>72.875</v>
      </c>
      <c r="T149" s="360"/>
      <c r="U149" s="360">
        <f t="shared" si="172"/>
        <v>50.75</v>
      </c>
      <c r="V149" s="360"/>
      <c r="W149" s="360">
        <f t="shared" si="173"/>
        <v>65.875</v>
      </c>
      <c r="X149" s="360"/>
      <c r="Y149" s="360">
        <f t="shared" si="174"/>
        <v>72</v>
      </c>
      <c r="AA149" s="354">
        <f t="shared" si="175"/>
        <v>327</v>
      </c>
      <c r="AC149" s="354">
        <f t="shared" si="176"/>
        <v>335</v>
      </c>
      <c r="AE149" s="354">
        <f t="shared" si="177"/>
        <v>291.5</v>
      </c>
      <c r="AG149" s="354">
        <f t="shared" si="178"/>
        <v>203</v>
      </c>
      <c r="AI149" s="354">
        <f t="shared" si="179"/>
        <v>263.5</v>
      </c>
      <c r="AK149" s="354">
        <f t="shared" si="180"/>
        <v>288</v>
      </c>
    </row>
    <row r="150" spans="1:39" ht="13.5" customHeight="1" x14ac:dyDescent="0.3">
      <c r="A150" s="363"/>
      <c r="B150" s="364">
        <v>90</v>
      </c>
      <c r="C150" s="365">
        <v>0.11764705882352899</v>
      </c>
      <c r="D150" s="364">
        <v>80</v>
      </c>
      <c r="E150" s="365">
        <v>0.116788321167883</v>
      </c>
      <c r="F150" s="364">
        <v>70</v>
      </c>
      <c r="G150" s="365">
        <v>0.11965811965812</v>
      </c>
      <c r="H150" s="364">
        <v>5</v>
      </c>
      <c r="I150" s="365">
        <v>8.7719298245614002E-2</v>
      </c>
      <c r="J150" s="364">
        <v>70</v>
      </c>
      <c r="K150" s="365">
        <v>0.126126126126126</v>
      </c>
      <c r="L150" s="364">
        <v>95</v>
      </c>
      <c r="M150" s="365">
        <v>0.12751677852349</v>
      </c>
      <c r="N150" s="358"/>
      <c r="O150" s="360">
        <f t="shared" si="169"/>
        <v>80.25</v>
      </c>
      <c r="P150" s="360"/>
      <c r="Q150" s="360">
        <f t="shared" si="170"/>
        <v>75</v>
      </c>
      <c r="R150" s="360"/>
      <c r="S150" s="360">
        <f t="shared" si="171"/>
        <v>83</v>
      </c>
      <c r="T150" s="360"/>
      <c r="U150" s="360">
        <f t="shared" si="172"/>
        <v>30.5</v>
      </c>
      <c r="V150" s="360"/>
      <c r="W150" s="360">
        <f t="shared" si="173"/>
        <v>62.75</v>
      </c>
      <c r="X150" s="360"/>
      <c r="Y150" s="360">
        <f t="shared" si="174"/>
        <v>69.25</v>
      </c>
      <c r="AA150" s="354">
        <f t="shared" si="175"/>
        <v>321</v>
      </c>
      <c r="AC150" s="354">
        <f t="shared" si="176"/>
        <v>300</v>
      </c>
      <c r="AE150" s="354">
        <f t="shared" si="177"/>
        <v>332</v>
      </c>
      <c r="AG150" s="354">
        <f t="shared" si="178"/>
        <v>122</v>
      </c>
      <c r="AI150" s="354">
        <f t="shared" si="179"/>
        <v>251</v>
      </c>
      <c r="AK150" s="354">
        <f t="shared" si="180"/>
        <v>277</v>
      </c>
    </row>
    <row r="151" spans="1:39" ht="13.5" customHeight="1" x14ac:dyDescent="0.3">
      <c r="A151" s="363"/>
      <c r="B151" s="364">
        <v>100</v>
      </c>
      <c r="C151" s="365">
        <v>0.13071895424836599</v>
      </c>
      <c r="D151" s="364">
        <v>90</v>
      </c>
      <c r="E151" s="365">
        <v>0.13138686131386901</v>
      </c>
      <c r="F151" s="364">
        <v>75</v>
      </c>
      <c r="G151" s="365">
        <v>0.128205128205128</v>
      </c>
      <c r="H151" s="364">
        <v>2</v>
      </c>
      <c r="I151" s="365">
        <v>3.5087719298245598E-2</v>
      </c>
      <c r="J151" s="364">
        <v>70</v>
      </c>
      <c r="K151" s="365">
        <v>0.126126126126126</v>
      </c>
      <c r="L151" s="364">
        <v>95</v>
      </c>
      <c r="M151" s="365">
        <v>0.12751677852349</v>
      </c>
      <c r="N151" s="358"/>
      <c r="O151" s="360">
        <f t="shared" si="169"/>
        <v>84.875</v>
      </c>
      <c r="P151" s="360"/>
      <c r="Q151" s="360">
        <f t="shared" si="170"/>
        <v>84.25</v>
      </c>
      <c r="R151" s="360"/>
      <c r="S151" s="360">
        <f t="shared" si="171"/>
        <v>76</v>
      </c>
      <c r="T151" s="360"/>
      <c r="U151" s="360">
        <f t="shared" si="172"/>
        <v>29.25</v>
      </c>
      <c r="V151" s="360"/>
      <c r="W151" s="360">
        <f t="shared" si="173"/>
        <v>71.375</v>
      </c>
      <c r="X151" s="360"/>
      <c r="Y151" s="360">
        <f t="shared" si="174"/>
        <v>71.5</v>
      </c>
      <c r="AA151" s="354">
        <f t="shared" si="175"/>
        <v>339.5</v>
      </c>
      <c r="AC151" s="354">
        <f t="shared" si="176"/>
        <v>337</v>
      </c>
      <c r="AE151" s="354">
        <f t="shared" si="177"/>
        <v>304</v>
      </c>
      <c r="AG151" s="354">
        <f t="shared" si="178"/>
        <v>117</v>
      </c>
      <c r="AI151" s="354">
        <f t="shared" si="179"/>
        <v>285.5</v>
      </c>
      <c r="AK151" s="354">
        <f t="shared" si="180"/>
        <v>286</v>
      </c>
    </row>
    <row r="152" spans="1:39" ht="13.5" customHeight="1" x14ac:dyDescent="0.3">
      <c r="A152" s="363"/>
      <c r="B152" s="364">
        <v>95</v>
      </c>
      <c r="C152" s="365">
        <v>0.12418300653594801</v>
      </c>
      <c r="D152" s="364">
        <v>80</v>
      </c>
      <c r="E152" s="365">
        <v>0.116788321167883</v>
      </c>
      <c r="F152" s="364">
        <v>70</v>
      </c>
      <c r="G152" s="365">
        <v>0.11965811965812</v>
      </c>
      <c r="H152" s="364">
        <v>5</v>
      </c>
      <c r="I152" s="365">
        <v>8.7719298245614002E-2</v>
      </c>
      <c r="J152" s="364">
        <v>70</v>
      </c>
      <c r="K152" s="365">
        <v>0.126126126126126</v>
      </c>
      <c r="L152" s="364">
        <v>95</v>
      </c>
      <c r="M152" s="365">
        <v>0.12751677852349</v>
      </c>
      <c r="N152" s="358"/>
      <c r="O152" s="360">
        <f t="shared" si="169"/>
        <v>81.5</v>
      </c>
      <c r="P152" s="360"/>
      <c r="Q152" s="360">
        <f t="shared" si="170"/>
        <v>87.125</v>
      </c>
      <c r="R152" s="360"/>
      <c r="S152" s="360">
        <f t="shared" si="171"/>
        <v>75.75</v>
      </c>
      <c r="T152" s="360"/>
      <c r="U152" s="360">
        <f t="shared" si="172"/>
        <v>40.625</v>
      </c>
      <c r="V152" s="360"/>
      <c r="W152" s="360">
        <f t="shared" si="173"/>
        <v>80</v>
      </c>
      <c r="X152" s="360"/>
      <c r="Y152" s="360">
        <f t="shared" si="174"/>
        <v>74</v>
      </c>
      <c r="AA152" s="354">
        <f t="shared" si="175"/>
        <v>326</v>
      </c>
      <c r="AC152" s="354">
        <f t="shared" si="176"/>
        <v>348.5</v>
      </c>
      <c r="AE152" s="354">
        <f t="shared" si="177"/>
        <v>303</v>
      </c>
      <c r="AG152" s="354">
        <f t="shared" si="178"/>
        <v>162.5</v>
      </c>
      <c r="AI152" s="354">
        <f t="shared" si="179"/>
        <v>320</v>
      </c>
      <c r="AK152" s="354">
        <f t="shared" si="180"/>
        <v>296</v>
      </c>
    </row>
    <row r="153" spans="1:39" ht="13.5" customHeight="1" x14ac:dyDescent="0.3">
      <c r="A153" s="363"/>
      <c r="B153" s="364">
        <v>95</v>
      </c>
      <c r="C153" s="365">
        <v>0.12418300653594801</v>
      </c>
      <c r="D153" s="364">
        <v>80</v>
      </c>
      <c r="E153" s="365">
        <v>0.116788321167883</v>
      </c>
      <c r="F153" s="364">
        <v>70</v>
      </c>
      <c r="G153" s="365">
        <v>0.11965811965812</v>
      </c>
      <c r="H153" s="364">
        <v>5</v>
      </c>
      <c r="I153" s="365">
        <v>8.7719298245614002E-2</v>
      </c>
      <c r="J153" s="364">
        <v>70</v>
      </c>
      <c r="K153" s="365">
        <v>0.126126126126126</v>
      </c>
      <c r="L153" s="364">
        <v>95</v>
      </c>
      <c r="M153" s="365">
        <v>0.12751677852349</v>
      </c>
      <c r="N153" s="358"/>
      <c r="O153" s="360">
        <f t="shared" si="169"/>
        <v>85.625</v>
      </c>
      <c r="P153" s="360"/>
      <c r="Q153" s="360">
        <f t="shared" si="170"/>
        <v>79.4375</v>
      </c>
      <c r="R153" s="360"/>
      <c r="S153" s="360">
        <f t="shared" si="171"/>
        <v>73.75</v>
      </c>
      <c r="T153" s="360"/>
      <c r="U153" s="360">
        <f t="shared" si="172"/>
        <v>52.0625</v>
      </c>
      <c r="V153" s="360"/>
      <c r="W153" s="360">
        <f t="shared" si="173"/>
        <v>76.125</v>
      </c>
      <c r="X153" s="360"/>
      <c r="Y153" s="360">
        <f t="shared" si="174"/>
        <v>65.875</v>
      </c>
      <c r="AA153" s="354">
        <f t="shared" si="175"/>
        <v>342.5</v>
      </c>
      <c r="AC153" s="354">
        <f t="shared" si="176"/>
        <v>317.75</v>
      </c>
      <c r="AE153" s="354">
        <f t="shared" si="177"/>
        <v>295</v>
      </c>
      <c r="AG153" s="354">
        <f t="shared" si="178"/>
        <v>208.25</v>
      </c>
      <c r="AI153" s="354">
        <f t="shared" si="179"/>
        <v>304.5</v>
      </c>
      <c r="AK153" s="354">
        <f t="shared" si="180"/>
        <v>263.5</v>
      </c>
    </row>
    <row r="154" spans="1:39" ht="13.5" customHeight="1" x14ac:dyDescent="0.3">
      <c r="A154" s="363"/>
      <c r="B154" s="364">
        <v>90</v>
      </c>
      <c r="C154" s="365">
        <v>0.11764705882352899</v>
      </c>
      <c r="D154" s="364">
        <v>90</v>
      </c>
      <c r="E154" s="365">
        <v>0.13138686131386901</v>
      </c>
      <c r="F154" s="364">
        <v>70</v>
      </c>
      <c r="G154" s="365">
        <v>0.11965811965812</v>
      </c>
      <c r="H154" s="364">
        <v>5</v>
      </c>
      <c r="I154" s="365">
        <v>8.7719298245614002E-2</v>
      </c>
      <c r="J154" s="364">
        <v>70</v>
      </c>
      <c r="K154" s="365">
        <v>0.126126126126126</v>
      </c>
      <c r="L154" s="364">
        <v>90</v>
      </c>
      <c r="M154" s="365">
        <v>0.12080536912751701</v>
      </c>
      <c r="N154" s="358"/>
      <c r="O154" s="360">
        <f t="shared" si="169"/>
        <v>86</v>
      </c>
      <c r="P154" s="360"/>
      <c r="Q154" s="360">
        <f t="shared" si="170"/>
        <v>81.75</v>
      </c>
      <c r="R154" s="360"/>
      <c r="S154" s="360">
        <f t="shared" si="171"/>
        <v>73.75</v>
      </c>
      <c r="T154" s="360"/>
      <c r="U154" s="360">
        <f t="shared" si="172"/>
        <v>52.5</v>
      </c>
      <c r="V154" s="360"/>
      <c r="W154" s="360">
        <f t="shared" si="173"/>
        <v>65.75</v>
      </c>
      <c r="X154" s="360"/>
      <c r="Y154" s="360">
        <f t="shared" si="174"/>
        <v>62.5</v>
      </c>
      <c r="AA154" s="354">
        <f t="shared" si="175"/>
        <v>344</v>
      </c>
      <c r="AC154" s="354">
        <f t="shared" si="176"/>
        <v>327</v>
      </c>
      <c r="AE154" s="354">
        <f t="shared" si="177"/>
        <v>295</v>
      </c>
      <c r="AG154" s="354">
        <f t="shared" si="178"/>
        <v>210</v>
      </c>
      <c r="AI154" s="354">
        <f t="shared" si="179"/>
        <v>263</v>
      </c>
      <c r="AK154" s="354">
        <f t="shared" si="180"/>
        <v>250</v>
      </c>
    </row>
    <row r="156" spans="1:39" ht="13.5" customHeight="1" x14ac:dyDescent="0.3">
      <c r="A156" s="352" t="s">
        <v>85</v>
      </c>
      <c r="B156" s="364" t="s">
        <v>12</v>
      </c>
      <c r="C156" s="365">
        <v>665.75</v>
      </c>
      <c r="D156" s="364" t="s">
        <v>13</v>
      </c>
      <c r="E156" s="365">
        <v>620.5</v>
      </c>
      <c r="F156" s="364" t="s">
        <v>14</v>
      </c>
      <c r="G156" s="365">
        <v>609.5</v>
      </c>
      <c r="H156" s="364" t="s">
        <v>15</v>
      </c>
      <c r="I156" s="365">
        <v>344.75</v>
      </c>
      <c r="J156" s="364" t="s">
        <v>16</v>
      </c>
      <c r="K156" s="365">
        <v>567</v>
      </c>
      <c r="L156" s="364" t="s">
        <v>17</v>
      </c>
      <c r="M156" s="365">
        <v>496</v>
      </c>
      <c r="N156" s="358"/>
      <c r="O156" s="360" t="s">
        <v>12</v>
      </c>
      <c r="P156" s="360"/>
      <c r="Q156" s="360" t="s">
        <v>13</v>
      </c>
      <c r="R156" s="360"/>
      <c r="S156" s="360" t="s">
        <v>14</v>
      </c>
      <c r="T156" s="360"/>
      <c r="U156" s="360" t="s">
        <v>15</v>
      </c>
      <c r="V156" s="360"/>
      <c r="W156" s="360" t="s">
        <v>16</v>
      </c>
      <c r="X156" s="360"/>
      <c r="Y156" s="360" t="s">
        <v>17</v>
      </c>
      <c r="AA156" s="354" t="s">
        <v>12</v>
      </c>
      <c r="AC156" s="354" t="s">
        <v>13</v>
      </c>
      <c r="AE156" s="354" t="s">
        <v>14</v>
      </c>
      <c r="AG156" s="354" t="s">
        <v>15</v>
      </c>
      <c r="AI156" s="354" t="s">
        <v>16</v>
      </c>
      <c r="AK156" s="354" t="s">
        <v>17</v>
      </c>
      <c r="AM156" s="10">
        <f>AM166</f>
        <v>4</v>
      </c>
    </row>
    <row r="157" spans="1:39" ht="13.5" customHeight="1" x14ac:dyDescent="0.3">
      <c r="B157" s="364">
        <v>83.5</v>
      </c>
      <c r="C157" s="365">
        <v>0.12542245587683101</v>
      </c>
      <c r="D157" s="364">
        <v>71.5</v>
      </c>
      <c r="E157" s="365">
        <v>0.11522965350523801</v>
      </c>
      <c r="F157" s="364">
        <v>71.75</v>
      </c>
      <c r="G157" s="365">
        <v>0.11771944216570999</v>
      </c>
      <c r="H157" s="364">
        <v>51.5</v>
      </c>
      <c r="I157" s="365">
        <v>0.14938361131254499</v>
      </c>
      <c r="J157" s="364">
        <v>66.75</v>
      </c>
      <c r="K157" s="365">
        <v>0.117724867724868</v>
      </c>
      <c r="L157" s="364">
        <v>60.5</v>
      </c>
      <c r="M157" s="365">
        <v>0.121975806451613</v>
      </c>
      <c r="N157" s="358"/>
      <c r="O157" s="360">
        <f t="shared" ref="O157:O164" si="181">AA157/$AM$166</f>
        <v>86.375</v>
      </c>
      <c r="P157" s="360"/>
      <c r="Q157" s="360">
        <f t="shared" ref="Q157:Q164" si="182">AC157/$AM$166</f>
        <v>74.875</v>
      </c>
      <c r="R157" s="360"/>
      <c r="S157" s="360">
        <f t="shared" ref="S157:S164" si="183">AE157/$AM$166</f>
        <v>70.4375</v>
      </c>
      <c r="T157" s="360"/>
      <c r="U157" s="360">
        <f t="shared" ref="U157:U164" si="184">AG157/$AM$166</f>
        <v>58.375</v>
      </c>
      <c r="V157" s="360"/>
      <c r="W157" s="360">
        <f t="shared" ref="W157:W164" si="185">AI157/$AM$166</f>
        <v>61.6875</v>
      </c>
      <c r="X157" s="360"/>
      <c r="Y157" s="360">
        <f t="shared" ref="Y157:Y164" si="186">AK157/$AM$166</f>
        <v>69.375</v>
      </c>
      <c r="AA157" s="354">
        <f t="shared" ref="AA157:AA164" si="187">(B197+B187+B177+B167)</f>
        <v>345.5</v>
      </c>
      <c r="AC157" s="354">
        <f t="shared" ref="AC157:AC164" si="188">(D197+D187+D177+D167)</f>
        <v>299.5</v>
      </c>
      <c r="AE157" s="354">
        <f t="shared" ref="AE157:AE164" si="189">(F197+F187+F177+F167)</f>
        <v>281.75</v>
      </c>
      <c r="AG157" s="354">
        <f t="shared" ref="AG157:AG164" si="190">(H197+H187+H177+H167)</f>
        <v>233.5</v>
      </c>
      <c r="AI157" s="354">
        <f t="shared" ref="AI157:AI164" si="191">(J197+J187+J177+J167)</f>
        <v>246.75</v>
      </c>
      <c r="AK157" s="354">
        <f t="shared" ref="AK157:AK164" si="192">(L197+L187+L177+L167)</f>
        <v>277.5</v>
      </c>
    </row>
    <row r="158" spans="1:39" ht="13.5" customHeight="1" x14ac:dyDescent="0.3">
      <c r="B158" s="364">
        <v>79</v>
      </c>
      <c r="C158" s="365">
        <v>0.11866316184754</v>
      </c>
      <c r="D158" s="364">
        <v>75</v>
      </c>
      <c r="E158" s="365">
        <v>0.120870265914585</v>
      </c>
      <c r="F158" s="364">
        <v>79</v>
      </c>
      <c r="G158" s="365">
        <v>0.12961443806398701</v>
      </c>
      <c r="H158" s="364">
        <v>44.75</v>
      </c>
      <c r="I158" s="365">
        <v>0.12980420594633801</v>
      </c>
      <c r="J158" s="364">
        <v>70.75</v>
      </c>
      <c r="K158" s="365">
        <v>0.12477954144620799</v>
      </c>
      <c r="L158" s="364">
        <v>64.5</v>
      </c>
      <c r="M158" s="365">
        <v>0.13004032258064499</v>
      </c>
      <c r="N158" s="358"/>
      <c r="O158" s="360">
        <f t="shared" si="181"/>
        <v>79.5</v>
      </c>
      <c r="P158" s="360"/>
      <c r="Q158" s="360">
        <f t="shared" si="182"/>
        <v>77</v>
      </c>
      <c r="R158" s="360"/>
      <c r="S158" s="360">
        <f t="shared" si="183"/>
        <v>75.5</v>
      </c>
      <c r="T158" s="360"/>
      <c r="U158" s="360">
        <f t="shared" si="184"/>
        <v>45.6875</v>
      </c>
      <c r="V158" s="360"/>
      <c r="W158" s="360">
        <f t="shared" si="185"/>
        <v>66.6875</v>
      </c>
      <c r="X158" s="360"/>
      <c r="Y158" s="360">
        <f t="shared" si="186"/>
        <v>74.375</v>
      </c>
      <c r="AA158" s="354">
        <f t="shared" si="187"/>
        <v>318</v>
      </c>
      <c r="AC158" s="354">
        <f t="shared" si="188"/>
        <v>308</v>
      </c>
      <c r="AE158" s="354">
        <f t="shared" si="189"/>
        <v>302</v>
      </c>
      <c r="AG158" s="354">
        <f t="shared" si="190"/>
        <v>182.75</v>
      </c>
      <c r="AI158" s="354">
        <f t="shared" si="191"/>
        <v>266.75</v>
      </c>
      <c r="AK158" s="354">
        <f t="shared" si="192"/>
        <v>297.5</v>
      </c>
    </row>
    <row r="159" spans="1:39" ht="13.5" customHeight="1" x14ac:dyDescent="0.3">
      <c r="B159" s="364">
        <v>83.5</v>
      </c>
      <c r="C159" s="365">
        <v>0.12542245587683101</v>
      </c>
      <c r="D159" s="364">
        <v>79</v>
      </c>
      <c r="E159" s="365">
        <v>0.127316680096696</v>
      </c>
      <c r="F159" s="364">
        <v>75.75</v>
      </c>
      <c r="G159" s="365">
        <v>0.12428219852338</v>
      </c>
      <c r="H159" s="364">
        <v>41.5</v>
      </c>
      <c r="I159" s="365">
        <v>0.12037708484409</v>
      </c>
      <c r="J159" s="364">
        <v>66.75</v>
      </c>
      <c r="K159" s="365">
        <v>0.117724867724868</v>
      </c>
      <c r="L159" s="364">
        <v>60.5</v>
      </c>
      <c r="M159" s="365">
        <v>0.121975806451613</v>
      </c>
      <c r="N159" s="358"/>
      <c r="O159" s="360">
        <f t="shared" si="181"/>
        <v>85.125</v>
      </c>
      <c r="P159" s="360"/>
      <c r="Q159" s="360">
        <f t="shared" si="182"/>
        <v>81.5</v>
      </c>
      <c r="R159" s="360"/>
      <c r="S159" s="360">
        <f t="shared" si="183"/>
        <v>71.4375</v>
      </c>
      <c r="T159" s="360"/>
      <c r="U159" s="360">
        <f t="shared" si="184"/>
        <v>46.625</v>
      </c>
      <c r="V159" s="360"/>
      <c r="W159" s="360">
        <f t="shared" si="185"/>
        <v>61.6875</v>
      </c>
      <c r="X159" s="360"/>
      <c r="Y159" s="360">
        <f t="shared" si="186"/>
        <v>69.375</v>
      </c>
      <c r="AA159" s="354">
        <f t="shared" si="187"/>
        <v>340.5</v>
      </c>
      <c r="AC159" s="354">
        <f t="shared" si="188"/>
        <v>326</v>
      </c>
      <c r="AE159" s="354">
        <f t="shared" si="189"/>
        <v>285.75</v>
      </c>
      <c r="AG159" s="354">
        <f t="shared" si="190"/>
        <v>186.5</v>
      </c>
      <c r="AI159" s="354">
        <f t="shared" si="191"/>
        <v>246.75</v>
      </c>
      <c r="AK159" s="354">
        <f t="shared" si="192"/>
        <v>277.5</v>
      </c>
    </row>
    <row r="160" spans="1:39" ht="13.5" customHeight="1" x14ac:dyDescent="0.3">
      <c r="B160" s="364">
        <v>82.5</v>
      </c>
      <c r="C160" s="365">
        <v>0.123920390536988</v>
      </c>
      <c r="D160" s="364">
        <v>75</v>
      </c>
      <c r="E160" s="365">
        <v>0.120870265914585</v>
      </c>
      <c r="F160" s="364">
        <v>82.5</v>
      </c>
      <c r="G160" s="365">
        <v>0.13535684987694799</v>
      </c>
      <c r="H160" s="364">
        <v>35.5</v>
      </c>
      <c r="I160" s="365">
        <v>0.102973168963017</v>
      </c>
      <c r="J160" s="364">
        <v>62.5</v>
      </c>
      <c r="K160" s="365">
        <v>0.110229276895944</v>
      </c>
      <c r="L160" s="364">
        <v>62</v>
      </c>
      <c r="M160" s="365">
        <v>0.125</v>
      </c>
      <c r="N160" s="358"/>
      <c r="O160" s="360">
        <f t="shared" si="181"/>
        <v>83.875</v>
      </c>
      <c r="P160" s="360"/>
      <c r="Q160" s="360">
        <f t="shared" si="182"/>
        <v>80.5</v>
      </c>
      <c r="R160" s="360"/>
      <c r="S160" s="360">
        <f t="shared" si="183"/>
        <v>79.875</v>
      </c>
      <c r="T160" s="360"/>
      <c r="U160" s="360">
        <f t="shared" si="184"/>
        <v>39.125</v>
      </c>
      <c r="V160" s="360"/>
      <c r="W160" s="360">
        <f t="shared" si="185"/>
        <v>56.375</v>
      </c>
      <c r="X160" s="360"/>
      <c r="Y160" s="360">
        <f t="shared" si="186"/>
        <v>71.25</v>
      </c>
      <c r="AA160" s="354">
        <f t="shared" si="187"/>
        <v>335.5</v>
      </c>
      <c r="AC160" s="354">
        <f t="shared" si="188"/>
        <v>322</v>
      </c>
      <c r="AE160" s="354">
        <f t="shared" si="189"/>
        <v>319.5</v>
      </c>
      <c r="AG160" s="354">
        <f t="shared" si="190"/>
        <v>156.5</v>
      </c>
      <c r="AI160" s="354">
        <f t="shared" si="191"/>
        <v>225.5</v>
      </c>
      <c r="AK160" s="354">
        <f t="shared" si="192"/>
        <v>285</v>
      </c>
    </row>
    <row r="161" spans="1:39" ht="13.5" customHeight="1" x14ac:dyDescent="0.3">
      <c r="B161" s="364">
        <v>89.25</v>
      </c>
      <c r="C161" s="365">
        <v>0.13405933158092401</v>
      </c>
      <c r="D161" s="364">
        <v>82.5</v>
      </c>
      <c r="E161" s="365">
        <v>0.13295729250604399</v>
      </c>
      <c r="F161" s="364">
        <v>75.5</v>
      </c>
      <c r="G161" s="365">
        <v>0.123872026251025</v>
      </c>
      <c r="H161" s="364">
        <v>31</v>
      </c>
      <c r="I161" s="365">
        <v>8.9920232052211793E-2</v>
      </c>
      <c r="J161" s="364">
        <v>71.25</v>
      </c>
      <c r="K161" s="365">
        <v>0.125661375661376</v>
      </c>
      <c r="L161" s="364">
        <v>59.5</v>
      </c>
      <c r="M161" s="365">
        <v>0.119959677419355</v>
      </c>
      <c r="N161" s="358"/>
      <c r="O161" s="360">
        <f t="shared" si="181"/>
        <v>86.8125</v>
      </c>
      <c r="P161" s="360"/>
      <c r="Q161" s="360">
        <f t="shared" si="182"/>
        <v>81.125</v>
      </c>
      <c r="R161" s="360"/>
      <c r="S161" s="360">
        <f t="shared" si="183"/>
        <v>74.625</v>
      </c>
      <c r="T161" s="360"/>
      <c r="U161" s="360">
        <f t="shared" si="184"/>
        <v>45.75</v>
      </c>
      <c r="V161" s="360"/>
      <c r="W161" s="360">
        <f t="shared" si="185"/>
        <v>70.0625</v>
      </c>
      <c r="X161" s="360"/>
      <c r="Y161" s="360">
        <f t="shared" si="186"/>
        <v>73.125</v>
      </c>
      <c r="AA161" s="354">
        <f t="shared" si="187"/>
        <v>347.25</v>
      </c>
      <c r="AC161" s="354">
        <f t="shared" si="188"/>
        <v>324.5</v>
      </c>
      <c r="AE161" s="354">
        <f t="shared" si="189"/>
        <v>298.5</v>
      </c>
      <c r="AG161" s="354">
        <f t="shared" si="190"/>
        <v>183</v>
      </c>
      <c r="AI161" s="354">
        <f t="shared" si="191"/>
        <v>280.25</v>
      </c>
      <c r="AK161" s="354">
        <f t="shared" si="192"/>
        <v>292.5</v>
      </c>
    </row>
    <row r="162" spans="1:39" ht="13.5" customHeight="1" x14ac:dyDescent="0.3">
      <c r="B162" s="364">
        <v>82.5</v>
      </c>
      <c r="C162" s="365">
        <v>0.123920390536988</v>
      </c>
      <c r="D162" s="364">
        <v>79.25</v>
      </c>
      <c r="E162" s="365">
        <v>0.12771958098307801</v>
      </c>
      <c r="F162" s="364">
        <v>75</v>
      </c>
      <c r="G162" s="365">
        <v>0.123051681706317</v>
      </c>
      <c r="H162" s="364">
        <v>47.75</v>
      </c>
      <c r="I162" s="365">
        <v>0.13850616388687501</v>
      </c>
      <c r="J162" s="364">
        <v>81.5</v>
      </c>
      <c r="K162" s="365">
        <v>0.14373897707231001</v>
      </c>
      <c r="L162" s="364">
        <v>64.5</v>
      </c>
      <c r="M162" s="365">
        <v>0.13004032258064499</v>
      </c>
      <c r="N162" s="358"/>
      <c r="O162" s="360">
        <f t="shared" si="181"/>
        <v>85.125</v>
      </c>
      <c r="P162" s="360"/>
      <c r="Q162" s="360">
        <f t="shared" si="182"/>
        <v>84.8125</v>
      </c>
      <c r="R162" s="360"/>
      <c r="S162" s="360">
        <f t="shared" si="183"/>
        <v>74.5</v>
      </c>
      <c r="T162" s="360"/>
      <c r="U162" s="360">
        <f t="shared" si="184"/>
        <v>49.4375</v>
      </c>
      <c r="V162" s="360"/>
      <c r="W162" s="360">
        <f t="shared" si="185"/>
        <v>76.125</v>
      </c>
      <c r="X162" s="360"/>
      <c r="Y162" s="360">
        <f t="shared" si="186"/>
        <v>74.375</v>
      </c>
      <c r="AA162" s="354">
        <f t="shared" si="187"/>
        <v>340.5</v>
      </c>
      <c r="AC162" s="354">
        <f t="shared" si="188"/>
        <v>339.25</v>
      </c>
      <c r="AE162" s="354">
        <f t="shared" si="189"/>
        <v>298</v>
      </c>
      <c r="AG162" s="354">
        <f t="shared" si="190"/>
        <v>197.75</v>
      </c>
      <c r="AI162" s="354">
        <f t="shared" si="191"/>
        <v>304.5</v>
      </c>
      <c r="AK162" s="354">
        <f t="shared" si="192"/>
        <v>297.5</v>
      </c>
    </row>
    <row r="163" spans="1:39" ht="13.5" customHeight="1" x14ac:dyDescent="0.3">
      <c r="B163" s="364">
        <v>82.5</v>
      </c>
      <c r="C163" s="365">
        <v>0.123920390536988</v>
      </c>
      <c r="D163" s="364">
        <v>79.25</v>
      </c>
      <c r="E163" s="365">
        <v>0.12771958098307801</v>
      </c>
      <c r="F163" s="364">
        <v>75</v>
      </c>
      <c r="G163" s="365">
        <v>0.123051681706317</v>
      </c>
      <c r="H163" s="364">
        <v>47.75</v>
      </c>
      <c r="I163" s="365">
        <v>0.13850616388687501</v>
      </c>
      <c r="J163" s="364">
        <v>81.5</v>
      </c>
      <c r="K163" s="365">
        <v>0.14373897707231001</v>
      </c>
      <c r="L163" s="364">
        <v>64.5</v>
      </c>
      <c r="M163" s="365">
        <v>0.13004032258064499</v>
      </c>
      <c r="N163" s="358"/>
      <c r="O163" s="360">
        <f t="shared" si="181"/>
        <v>89.25</v>
      </c>
      <c r="P163" s="360"/>
      <c r="Q163" s="360">
        <f t="shared" si="182"/>
        <v>77.125</v>
      </c>
      <c r="R163" s="360"/>
      <c r="S163" s="360">
        <f t="shared" si="183"/>
        <v>72.5</v>
      </c>
      <c r="T163" s="360"/>
      <c r="U163" s="360">
        <f t="shared" si="184"/>
        <v>64.375</v>
      </c>
      <c r="V163" s="360"/>
      <c r="W163" s="360">
        <f t="shared" si="185"/>
        <v>72.25</v>
      </c>
      <c r="X163" s="360"/>
      <c r="Y163" s="360">
        <f t="shared" si="186"/>
        <v>66.25</v>
      </c>
      <c r="AA163" s="354">
        <f t="shared" si="187"/>
        <v>357</v>
      </c>
      <c r="AC163" s="354">
        <f t="shared" si="188"/>
        <v>308.5</v>
      </c>
      <c r="AE163" s="354">
        <f t="shared" si="189"/>
        <v>290</v>
      </c>
      <c r="AG163" s="354">
        <f t="shared" si="190"/>
        <v>257.5</v>
      </c>
      <c r="AI163" s="354">
        <f t="shared" si="191"/>
        <v>289</v>
      </c>
      <c r="AK163" s="354">
        <f t="shared" si="192"/>
        <v>265</v>
      </c>
    </row>
    <row r="164" spans="1:39" ht="13.5" customHeight="1" x14ac:dyDescent="0.3">
      <c r="B164" s="364">
        <v>83</v>
      </c>
      <c r="C164" s="365">
        <v>0.12467142320691001</v>
      </c>
      <c r="D164" s="364">
        <v>79</v>
      </c>
      <c r="E164" s="365">
        <v>0.127316680096696</v>
      </c>
      <c r="F164" s="364">
        <v>75</v>
      </c>
      <c r="G164" s="365">
        <v>0.123051681706317</v>
      </c>
      <c r="H164" s="364">
        <v>45</v>
      </c>
      <c r="I164" s="365">
        <v>0.13052936910804899</v>
      </c>
      <c r="J164" s="364">
        <v>66</v>
      </c>
      <c r="K164" s="365">
        <v>0.11640211640211599</v>
      </c>
      <c r="L164" s="364">
        <v>60</v>
      </c>
      <c r="M164" s="365">
        <v>0.120967741935484</v>
      </c>
      <c r="N164" s="358"/>
      <c r="O164" s="360">
        <f t="shared" si="181"/>
        <v>89.5</v>
      </c>
      <c r="P164" s="360"/>
      <c r="Q164" s="360">
        <f t="shared" si="182"/>
        <v>79.5</v>
      </c>
      <c r="R164" s="360"/>
      <c r="S164" s="360">
        <f t="shared" si="183"/>
        <v>72.5</v>
      </c>
      <c r="T164" s="360"/>
      <c r="U164" s="360">
        <f t="shared" si="184"/>
        <v>62</v>
      </c>
      <c r="V164" s="360"/>
      <c r="W164" s="360">
        <f t="shared" si="185"/>
        <v>65.75</v>
      </c>
      <c r="X164" s="360"/>
      <c r="Y164" s="360">
        <f t="shared" si="186"/>
        <v>64</v>
      </c>
      <c r="AA164" s="354">
        <f t="shared" si="187"/>
        <v>358</v>
      </c>
      <c r="AC164" s="354">
        <f t="shared" si="188"/>
        <v>318</v>
      </c>
      <c r="AE164" s="354">
        <f t="shared" si="189"/>
        <v>290</v>
      </c>
      <c r="AG164" s="354">
        <f t="shared" si="190"/>
        <v>248</v>
      </c>
      <c r="AI164" s="354">
        <f t="shared" si="191"/>
        <v>263</v>
      </c>
      <c r="AK164" s="354">
        <f t="shared" si="192"/>
        <v>256</v>
      </c>
    </row>
    <row r="166" spans="1:39" ht="13.5" customHeight="1" x14ac:dyDescent="0.3">
      <c r="A166" s="352" t="s">
        <v>86</v>
      </c>
      <c r="B166" s="364" t="s">
        <v>12</v>
      </c>
      <c r="C166" s="365">
        <v>665.75</v>
      </c>
      <c r="D166" s="364" t="s">
        <v>13</v>
      </c>
      <c r="E166" s="365">
        <v>620.5</v>
      </c>
      <c r="F166" s="364" t="s">
        <v>14</v>
      </c>
      <c r="G166" s="365">
        <v>609.5</v>
      </c>
      <c r="H166" s="364" t="s">
        <v>15</v>
      </c>
      <c r="I166" s="365">
        <v>344.75</v>
      </c>
      <c r="J166" s="364" t="s">
        <v>16</v>
      </c>
      <c r="K166" s="365">
        <v>567</v>
      </c>
      <c r="L166" s="364" t="s">
        <v>17</v>
      </c>
      <c r="M166" s="365">
        <v>496</v>
      </c>
      <c r="N166" s="358"/>
      <c r="O166" s="360" t="s">
        <v>12</v>
      </c>
      <c r="P166" s="360"/>
      <c r="Q166" s="360" t="s">
        <v>13</v>
      </c>
      <c r="R166" s="360"/>
      <c r="S166" s="360" t="s">
        <v>14</v>
      </c>
      <c r="T166" s="360"/>
      <c r="U166" s="360" t="s">
        <v>15</v>
      </c>
      <c r="V166" s="360"/>
      <c r="W166" s="360" t="s">
        <v>16</v>
      </c>
      <c r="X166" s="360"/>
      <c r="Y166" s="360" t="s">
        <v>17</v>
      </c>
      <c r="AA166" s="354" t="s">
        <v>12</v>
      </c>
      <c r="AC166" s="354" t="s">
        <v>13</v>
      </c>
      <c r="AE166" s="354" t="s">
        <v>14</v>
      </c>
      <c r="AG166" s="354" t="s">
        <v>15</v>
      </c>
      <c r="AI166" s="354" t="s">
        <v>16</v>
      </c>
      <c r="AK166" s="354" t="s">
        <v>17</v>
      </c>
      <c r="AM166" s="10">
        <f>AM176</f>
        <v>4</v>
      </c>
    </row>
    <row r="167" spans="1:39" ht="13.5" customHeight="1" x14ac:dyDescent="0.3">
      <c r="B167" s="364">
        <v>83.5</v>
      </c>
      <c r="C167" s="365">
        <v>0.12542245587683101</v>
      </c>
      <c r="D167" s="364">
        <v>71.5</v>
      </c>
      <c r="E167" s="365">
        <v>0.11522965350523801</v>
      </c>
      <c r="F167" s="364">
        <v>71.75</v>
      </c>
      <c r="G167" s="365">
        <v>0.11771944216570999</v>
      </c>
      <c r="H167" s="364">
        <v>51.5</v>
      </c>
      <c r="I167" s="365">
        <v>0.14938361131254499</v>
      </c>
      <c r="J167" s="364">
        <v>66.75</v>
      </c>
      <c r="K167" s="365">
        <v>0.117724867724868</v>
      </c>
      <c r="L167" s="364">
        <v>60.5</v>
      </c>
      <c r="M167" s="365">
        <v>0.121975806451613</v>
      </c>
      <c r="N167" s="358"/>
      <c r="O167" s="360">
        <f t="shared" ref="O167:O174" si="193">AA167/$AM$166</f>
        <v>89.75</v>
      </c>
      <c r="P167" s="360"/>
      <c r="Q167" s="360">
        <f t="shared" ref="Q167:Q174" si="194">AC167/$AM$166</f>
        <v>77.75</v>
      </c>
      <c r="R167" s="360"/>
      <c r="S167" s="360">
        <f t="shared" ref="S167:S174" si="195">AE167/$AM$166</f>
        <v>76.75</v>
      </c>
      <c r="T167" s="360"/>
      <c r="U167" s="360">
        <f t="shared" ref="U167:U174" si="196">AG167/$AM$166</f>
        <v>66.25</v>
      </c>
      <c r="V167" s="360"/>
      <c r="W167" s="360">
        <f t="shared" ref="W167:W174" si="197">AI167/$AM$166</f>
        <v>69.25</v>
      </c>
      <c r="X167" s="360"/>
      <c r="Y167" s="360">
        <f t="shared" ref="Y167:Y174" si="198">AK167/$AM$166</f>
        <v>71.75</v>
      </c>
      <c r="AA167" s="354">
        <f t="shared" ref="AA167:AA174" si="199">(B207+B197+B187+B177)</f>
        <v>359</v>
      </c>
      <c r="AC167" s="354">
        <f t="shared" ref="AC167:AC174" si="200">(D207+D197+D187+D177)</f>
        <v>311</v>
      </c>
      <c r="AE167" s="354">
        <f t="shared" ref="AE167:AE174" si="201">(F207+F197+F187+F177)</f>
        <v>307</v>
      </c>
      <c r="AG167" s="354">
        <f t="shared" ref="AG167:AG174" si="202">(H207+H197+H187+H177)</f>
        <v>265</v>
      </c>
      <c r="AI167" s="354">
        <f t="shared" ref="AI167:AI174" si="203">(J207+J197+J187+J177)</f>
        <v>277</v>
      </c>
      <c r="AK167" s="354">
        <f t="shared" ref="AK167:AK174" si="204">(L207+L197+L187+L177)</f>
        <v>287</v>
      </c>
    </row>
    <row r="168" spans="1:39" ht="13.5" customHeight="1" x14ac:dyDescent="0.3">
      <c r="B168" s="364">
        <v>79</v>
      </c>
      <c r="C168" s="365">
        <v>0.11866316184754</v>
      </c>
      <c r="D168" s="364">
        <v>75</v>
      </c>
      <c r="E168" s="365">
        <v>0.120870265914585</v>
      </c>
      <c r="F168" s="364">
        <v>79</v>
      </c>
      <c r="G168" s="365">
        <v>0.12961443806398701</v>
      </c>
      <c r="H168" s="364">
        <v>44.75</v>
      </c>
      <c r="I168" s="365">
        <v>0.12980420594633801</v>
      </c>
      <c r="J168" s="364">
        <v>70.75</v>
      </c>
      <c r="K168" s="365">
        <v>0.12477954144620799</v>
      </c>
      <c r="L168" s="364">
        <v>64.5</v>
      </c>
      <c r="M168" s="365">
        <v>0.13004032258064499</v>
      </c>
      <c r="N168" s="358"/>
      <c r="O168" s="360">
        <f t="shared" si="193"/>
        <v>84</v>
      </c>
      <c r="P168" s="360"/>
      <c r="Q168" s="360">
        <f t="shared" si="194"/>
        <v>82.5</v>
      </c>
      <c r="R168" s="360"/>
      <c r="S168" s="360">
        <f t="shared" si="195"/>
        <v>80</v>
      </c>
      <c r="T168" s="360"/>
      <c r="U168" s="360">
        <f t="shared" si="196"/>
        <v>52</v>
      </c>
      <c r="V168" s="360"/>
      <c r="W168" s="360">
        <f t="shared" si="197"/>
        <v>73.25</v>
      </c>
      <c r="X168" s="360"/>
      <c r="Y168" s="360">
        <f t="shared" si="198"/>
        <v>75.75</v>
      </c>
      <c r="AA168" s="354">
        <f t="shared" si="199"/>
        <v>336</v>
      </c>
      <c r="AC168" s="354">
        <f t="shared" si="200"/>
        <v>330</v>
      </c>
      <c r="AE168" s="354">
        <f t="shared" si="201"/>
        <v>320</v>
      </c>
      <c r="AG168" s="354">
        <f t="shared" si="202"/>
        <v>208</v>
      </c>
      <c r="AI168" s="354">
        <f t="shared" si="203"/>
        <v>293</v>
      </c>
      <c r="AK168" s="354">
        <f t="shared" si="204"/>
        <v>303</v>
      </c>
    </row>
    <row r="169" spans="1:39" ht="13.5" customHeight="1" x14ac:dyDescent="0.3">
      <c r="B169" s="364">
        <v>83.5</v>
      </c>
      <c r="C169" s="365">
        <v>0.12542245587683101</v>
      </c>
      <c r="D169" s="364">
        <v>79</v>
      </c>
      <c r="E169" s="365">
        <v>0.127316680096696</v>
      </c>
      <c r="F169" s="364">
        <v>75.75</v>
      </c>
      <c r="G169" s="365">
        <v>0.12428219852338</v>
      </c>
      <c r="H169" s="364">
        <v>41.5</v>
      </c>
      <c r="I169" s="365">
        <v>0.12037708484409</v>
      </c>
      <c r="J169" s="364">
        <v>66.75</v>
      </c>
      <c r="K169" s="365">
        <v>0.117724867724868</v>
      </c>
      <c r="L169" s="364">
        <v>60.5</v>
      </c>
      <c r="M169" s="365">
        <v>0.121975806451613</v>
      </c>
      <c r="N169" s="358"/>
      <c r="O169" s="360">
        <f t="shared" si="193"/>
        <v>88.5</v>
      </c>
      <c r="P169" s="360"/>
      <c r="Q169" s="360">
        <f t="shared" si="194"/>
        <v>82.5</v>
      </c>
      <c r="R169" s="360"/>
      <c r="S169" s="360">
        <f t="shared" si="195"/>
        <v>76.75</v>
      </c>
      <c r="T169" s="360"/>
      <c r="U169" s="360">
        <f t="shared" si="196"/>
        <v>53.75</v>
      </c>
      <c r="V169" s="360"/>
      <c r="W169" s="360">
        <f t="shared" si="197"/>
        <v>69.25</v>
      </c>
      <c r="X169" s="360"/>
      <c r="Y169" s="360">
        <f t="shared" si="198"/>
        <v>71.75</v>
      </c>
      <c r="AA169" s="354">
        <f t="shared" si="199"/>
        <v>354</v>
      </c>
      <c r="AC169" s="354">
        <f t="shared" si="200"/>
        <v>330</v>
      </c>
      <c r="AE169" s="354">
        <f t="shared" si="201"/>
        <v>307</v>
      </c>
      <c r="AG169" s="354">
        <f t="shared" si="202"/>
        <v>215</v>
      </c>
      <c r="AI169" s="354">
        <f t="shared" si="203"/>
        <v>277</v>
      </c>
      <c r="AK169" s="354">
        <f t="shared" si="204"/>
        <v>287</v>
      </c>
    </row>
    <row r="170" spans="1:39" ht="13.5" customHeight="1" x14ac:dyDescent="0.3">
      <c r="B170" s="364">
        <v>82.5</v>
      </c>
      <c r="C170" s="365">
        <v>0.123920390536988</v>
      </c>
      <c r="D170" s="364">
        <v>75</v>
      </c>
      <c r="E170" s="365">
        <v>0.120870265914585</v>
      </c>
      <c r="F170" s="364">
        <v>82.5</v>
      </c>
      <c r="G170" s="365">
        <v>0.13535684987694799</v>
      </c>
      <c r="H170" s="364">
        <v>35.5</v>
      </c>
      <c r="I170" s="365">
        <v>0.102973168963017</v>
      </c>
      <c r="J170" s="364">
        <v>62.5</v>
      </c>
      <c r="K170" s="365">
        <v>0.110229276895944</v>
      </c>
      <c r="L170" s="364">
        <v>62</v>
      </c>
      <c r="M170" s="365">
        <v>0.125</v>
      </c>
      <c r="N170" s="358"/>
      <c r="O170" s="360">
        <f t="shared" si="193"/>
        <v>87.5</v>
      </c>
      <c r="P170" s="360"/>
      <c r="Q170" s="360">
        <f t="shared" si="194"/>
        <v>82.5</v>
      </c>
      <c r="R170" s="360"/>
      <c r="S170" s="360">
        <f t="shared" si="195"/>
        <v>83.5</v>
      </c>
      <c r="T170" s="360"/>
      <c r="U170" s="360">
        <f t="shared" si="196"/>
        <v>47.75</v>
      </c>
      <c r="V170" s="360"/>
      <c r="W170" s="360">
        <f t="shared" si="197"/>
        <v>65</v>
      </c>
      <c r="X170" s="360"/>
      <c r="Y170" s="360">
        <f t="shared" si="198"/>
        <v>73.25</v>
      </c>
      <c r="AA170" s="354">
        <f t="shared" si="199"/>
        <v>350</v>
      </c>
      <c r="AC170" s="354">
        <f t="shared" si="200"/>
        <v>330</v>
      </c>
      <c r="AE170" s="354">
        <f t="shared" si="201"/>
        <v>334</v>
      </c>
      <c r="AG170" s="354">
        <f t="shared" si="202"/>
        <v>191</v>
      </c>
      <c r="AI170" s="354">
        <f t="shared" si="203"/>
        <v>260</v>
      </c>
      <c r="AK170" s="354">
        <f t="shared" si="204"/>
        <v>293</v>
      </c>
    </row>
    <row r="171" spans="1:39" ht="13.5" customHeight="1" x14ac:dyDescent="0.3">
      <c r="B171" s="364">
        <v>89.25</v>
      </c>
      <c r="C171" s="365">
        <v>0.13405933158092401</v>
      </c>
      <c r="D171" s="364">
        <v>82.5</v>
      </c>
      <c r="E171" s="365">
        <v>0.13295729250604399</v>
      </c>
      <c r="F171" s="364">
        <v>75.5</v>
      </c>
      <c r="G171" s="365">
        <v>0.123872026251025</v>
      </c>
      <c r="H171" s="364">
        <v>31</v>
      </c>
      <c r="I171" s="365">
        <v>8.9920232052211793E-2</v>
      </c>
      <c r="J171" s="364">
        <v>71.25</v>
      </c>
      <c r="K171" s="365">
        <v>0.125661375661376</v>
      </c>
      <c r="L171" s="364">
        <v>59.5</v>
      </c>
      <c r="M171" s="365">
        <v>0.119959677419355</v>
      </c>
      <c r="N171" s="358"/>
      <c r="O171" s="360">
        <f t="shared" si="193"/>
        <v>88.75</v>
      </c>
      <c r="P171" s="360"/>
      <c r="Q171" s="360">
        <f t="shared" si="194"/>
        <v>84.75</v>
      </c>
      <c r="R171" s="360"/>
      <c r="S171" s="360">
        <f t="shared" si="195"/>
        <v>76.5</v>
      </c>
      <c r="T171" s="360"/>
      <c r="U171" s="360">
        <f t="shared" si="196"/>
        <v>38.25</v>
      </c>
      <c r="V171" s="360"/>
      <c r="W171" s="360">
        <f t="shared" si="197"/>
        <v>69.75</v>
      </c>
      <c r="X171" s="360"/>
      <c r="Y171" s="360">
        <f t="shared" si="198"/>
        <v>70.75</v>
      </c>
      <c r="AA171" s="354">
        <f t="shared" si="199"/>
        <v>355</v>
      </c>
      <c r="AC171" s="354">
        <f t="shared" si="200"/>
        <v>339</v>
      </c>
      <c r="AE171" s="354">
        <f t="shared" si="201"/>
        <v>306</v>
      </c>
      <c r="AG171" s="354">
        <f t="shared" si="202"/>
        <v>153</v>
      </c>
      <c r="AI171" s="354">
        <f t="shared" si="203"/>
        <v>279</v>
      </c>
      <c r="AK171" s="354">
        <f t="shared" si="204"/>
        <v>283</v>
      </c>
    </row>
    <row r="172" spans="1:39" ht="13.5" customHeight="1" x14ac:dyDescent="0.3">
      <c r="B172" s="364">
        <v>82.5</v>
      </c>
      <c r="C172" s="365">
        <v>0.123920390536988</v>
      </c>
      <c r="D172" s="364">
        <v>79.25</v>
      </c>
      <c r="E172" s="365">
        <v>0.12771958098307801</v>
      </c>
      <c r="F172" s="364">
        <v>75</v>
      </c>
      <c r="G172" s="365">
        <v>0.123051681706317</v>
      </c>
      <c r="H172" s="364">
        <v>47.75</v>
      </c>
      <c r="I172" s="365">
        <v>0.13850616388687501</v>
      </c>
      <c r="J172" s="364">
        <v>81.5</v>
      </c>
      <c r="K172" s="365">
        <v>0.14373897707231001</v>
      </c>
      <c r="L172" s="364">
        <v>64.5</v>
      </c>
      <c r="M172" s="365">
        <v>0.13004032258064499</v>
      </c>
      <c r="N172" s="358"/>
      <c r="O172" s="360">
        <f t="shared" si="193"/>
        <v>88.75</v>
      </c>
      <c r="P172" s="360"/>
      <c r="Q172" s="360">
        <f t="shared" si="194"/>
        <v>89.25</v>
      </c>
      <c r="R172" s="360"/>
      <c r="S172" s="360">
        <f t="shared" si="195"/>
        <v>80</v>
      </c>
      <c r="T172" s="360"/>
      <c r="U172" s="360">
        <f t="shared" si="196"/>
        <v>55</v>
      </c>
      <c r="V172" s="360"/>
      <c r="W172" s="360">
        <f t="shared" si="197"/>
        <v>80</v>
      </c>
      <c r="X172" s="360"/>
      <c r="Y172" s="360">
        <f t="shared" si="198"/>
        <v>75.75</v>
      </c>
      <c r="AA172" s="354">
        <f t="shared" si="199"/>
        <v>355</v>
      </c>
      <c r="AC172" s="354">
        <f t="shared" si="200"/>
        <v>357</v>
      </c>
      <c r="AE172" s="354">
        <f t="shared" si="201"/>
        <v>320</v>
      </c>
      <c r="AG172" s="354">
        <f t="shared" si="202"/>
        <v>220</v>
      </c>
      <c r="AI172" s="354">
        <f t="shared" si="203"/>
        <v>320</v>
      </c>
      <c r="AK172" s="354">
        <f t="shared" si="204"/>
        <v>303</v>
      </c>
    </row>
    <row r="173" spans="1:39" ht="13.5" customHeight="1" x14ac:dyDescent="0.3">
      <c r="B173" s="364">
        <v>82.5</v>
      </c>
      <c r="C173" s="365">
        <v>0.123920390536988</v>
      </c>
      <c r="D173" s="364">
        <v>79.25</v>
      </c>
      <c r="E173" s="365">
        <v>0.12771958098307801</v>
      </c>
      <c r="F173" s="364">
        <v>75</v>
      </c>
      <c r="G173" s="365">
        <v>0.123051681706317</v>
      </c>
      <c r="H173" s="364">
        <v>47.75</v>
      </c>
      <c r="I173" s="365">
        <v>0.13850616388687501</v>
      </c>
      <c r="J173" s="364">
        <v>81.5</v>
      </c>
      <c r="K173" s="365">
        <v>0.14373897707231001</v>
      </c>
      <c r="L173" s="364">
        <v>64.5</v>
      </c>
      <c r="M173" s="365">
        <v>0.13004032258064499</v>
      </c>
      <c r="N173" s="358"/>
      <c r="O173" s="360">
        <f t="shared" si="193"/>
        <v>92.875</v>
      </c>
      <c r="P173" s="360"/>
      <c r="Q173" s="360">
        <f t="shared" si="194"/>
        <v>81.5625</v>
      </c>
      <c r="R173" s="360"/>
      <c r="S173" s="360">
        <f t="shared" si="195"/>
        <v>74.5</v>
      </c>
      <c r="T173" s="360"/>
      <c r="U173" s="360">
        <f t="shared" si="196"/>
        <v>52.6875</v>
      </c>
      <c r="V173" s="360"/>
      <c r="W173" s="360">
        <f t="shared" si="197"/>
        <v>69.375</v>
      </c>
      <c r="X173" s="360"/>
      <c r="Y173" s="360">
        <f t="shared" si="198"/>
        <v>62.625</v>
      </c>
      <c r="AA173" s="354">
        <f t="shared" si="199"/>
        <v>371.5</v>
      </c>
      <c r="AC173" s="354">
        <f t="shared" si="200"/>
        <v>326.25</v>
      </c>
      <c r="AE173" s="354">
        <f t="shared" si="201"/>
        <v>298</v>
      </c>
      <c r="AG173" s="354">
        <f t="shared" si="202"/>
        <v>210.75</v>
      </c>
      <c r="AI173" s="354">
        <f t="shared" si="203"/>
        <v>277.5</v>
      </c>
      <c r="AK173" s="354">
        <f t="shared" si="204"/>
        <v>250.5</v>
      </c>
    </row>
    <row r="174" spans="1:39" ht="13.5" customHeight="1" x14ac:dyDescent="0.3">
      <c r="B174" s="364">
        <v>83</v>
      </c>
      <c r="C174" s="365">
        <v>0.12467142320691001</v>
      </c>
      <c r="D174" s="364">
        <v>79</v>
      </c>
      <c r="E174" s="365">
        <v>0.127316680096696</v>
      </c>
      <c r="F174" s="364">
        <v>75</v>
      </c>
      <c r="G174" s="365">
        <v>0.123051681706317</v>
      </c>
      <c r="H174" s="364">
        <v>45</v>
      </c>
      <c r="I174" s="365">
        <v>0.13052936910804899</v>
      </c>
      <c r="J174" s="364">
        <v>66</v>
      </c>
      <c r="K174" s="365">
        <v>0.11640211640211599</v>
      </c>
      <c r="L174" s="364">
        <v>60</v>
      </c>
      <c r="M174" s="365">
        <v>0.120967741935484</v>
      </c>
      <c r="N174" s="358"/>
      <c r="O174" s="360">
        <f t="shared" si="193"/>
        <v>93</v>
      </c>
      <c r="P174" s="360"/>
      <c r="Q174" s="360">
        <f t="shared" si="194"/>
        <v>84</v>
      </c>
      <c r="R174" s="360"/>
      <c r="S174" s="360">
        <f t="shared" si="195"/>
        <v>78</v>
      </c>
      <c r="T174" s="360"/>
      <c r="U174" s="360">
        <f t="shared" si="196"/>
        <v>68.25</v>
      </c>
      <c r="V174" s="360"/>
      <c r="W174" s="360">
        <f t="shared" si="197"/>
        <v>73.5</v>
      </c>
      <c r="X174" s="360"/>
      <c r="Y174" s="360">
        <f t="shared" si="198"/>
        <v>66.5</v>
      </c>
      <c r="AA174" s="354">
        <f t="shared" si="199"/>
        <v>372</v>
      </c>
      <c r="AC174" s="354">
        <f t="shared" si="200"/>
        <v>336</v>
      </c>
      <c r="AE174" s="354">
        <f t="shared" si="201"/>
        <v>312</v>
      </c>
      <c r="AG174" s="354">
        <f t="shared" si="202"/>
        <v>273</v>
      </c>
      <c r="AI174" s="354">
        <f t="shared" si="203"/>
        <v>294</v>
      </c>
      <c r="AK174" s="354">
        <f t="shared" si="204"/>
        <v>266</v>
      </c>
    </row>
    <row r="176" spans="1:39" ht="14.4" x14ac:dyDescent="0.3">
      <c r="A176" s="363" t="s">
        <v>87</v>
      </c>
      <c r="B176" s="364" t="s">
        <v>12</v>
      </c>
      <c r="C176" s="365">
        <v>745</v>
      </c>
      <c r="D176" s="364" t="s">
        <v>13</v>
      </c>
      <c r="E176" s="365">
        <v>650</v>
      </c>
      <c r="F176" s="364" t="s">
        <v>14</v>
      </c>
      <c r="G176" s="365">
        <v>560</v>
      </c>
      <c r="H176" s="364" t="s">
        <v>15</v>
      </c>
      <c r="I176" s="365">
        <v>390</v>
      </c>
      <c r="J176" s="364" t="s">
        <v>16</v>
      </c>
      <c r="K176" s="365">
        <v>485</v>
      </c>
      <c r="L176" s="364" t="s">
        <v>17</v>
      </c>
      <c r="M176" s="365">
        <v>496</v>
      </c>
      <c r="N176" s="358"/>
      <c r="O176" s="360" t="s">
        <v>12</v>
      </c>
      <c r="P176" s="360"/>
      <c r="Q176" s="360" t="s">
        <v>13</v>
      </c>
      <c r="R176" s="360"/>
      <c r="S176" s="360" t="s">
        <v>14</v>
      </c>
      <c r="T176" s="360"/>
      <c r="U176" s="360" t="s">
        <v>15</v>
      </c>
      <c r="V176" s="360"/>
      <c r="W176" s="360" t="s">
        <v>16</v>
      </c>
      <c r="X176" s="360"/>
      <c r="Y176" s="360" t="s">
        <v>17</v>
      </c>
      <c r="Z176" s="358"/>
      <c r="AA176" s="359" t="s">
        <v>12</v>
      </c>
      <c r="AB176" s="359"/>
      <c r="AC176" s="359" t="s">
        <v>13</v>
      </c>
      <c r="AD176" s="359"/>
      <c r="AE176" s="359" t="s">
        <v>14</v>
      </c>
      <c r="AF176" s="359"/>
      <c r="AG176" s="359" t="s">
        <v>15</v>
      </c>
      <c r="AH176" s="359"/>
      <c r="AI176" s="359" t="s">
        <v>16</v>
      </c>
      <c r="AJ176" s="359"/>
      <c r="AK176" s="359" t="s">
        <v>17</v>
      </c>
      <c r="AL176" s="358"/>
      <c r="AM176" s="358">
        <f>AM186</f>
        <v>4</v>
      </c>
    </row>
    <row r="177" spans="1:39" ht="14.4" x14ac:dyDescent="0.3">
      <c r="A177" s="363"/>
      <c r="B177" s="364">
        <v>95</v>
      </c>
      <c r="C177" s="365">
        <v>0.12751677852349</v>
      </c>
      <c r="D177" s="364">
        <v>75</v>
      </c>
      <c r="E177" s="365">
        <v>0.115384615384615</v>
      </c>
      <c r="F177" s="364">
        <v>70</v>
      </c>
      <c r="G177" s="365">
        <v>0.125</v>
      </c>
      <c r="H177" s="364">
        <v>60</v>
      </c>
      <c r="I177" s="365">
        <v>0.15384615384615399</v>
      </c>
      <c r="J177" s="364">
        <v>60</v>
      </c>
      <c r="K177" s="365">
        <v>0.123711340206186</v>
      </c>
      <c r="L177" s="364">
        <v>70</v>
      </c>
      <c r="M177" s="365">
        <v>0.121975806451613</v>
      </c>
      <c r="N177" s="358"/>
      <c r="O177" s="360">
        <f t="shared" ref="O177:O184" si="205">AA177/$AM$176</f>
        <v>83.5</v>
      </c>
      <c r="P177" s="360"/>
      <c r="Q177" s="360">
        <f t="shared" ref="Q177:Q184" si="206">AC177/$AM$176</f>
        <v>71.5</v>
      </c>
      <c r="R177" s="360"/>
      <c r="S177" s="360">
        <f t="shared" ref="S177:S184" si="207">AE177/$AM$176</f>
        <v>71.75</v>
      </c>
      <c r="T177" s="360"/>
      <c r="U177" s="360">
        <f t="shared" ref="U177:U184" si="208">AG177/$AM$176</f>
        <v>51.5</v>
      </c>
      <c r="V177" s="360"/>
      <c r="W177" s="360">
        <f t="shared" ref="W177:W184" si="209">AI177/$AM$176</f>
        <v>66.75</v>
      </c>
      <c r="X177" s="360"/>
      <c r="Y177" s="360">
        <f t="shared" ref="Y177:Y184" si="210">AK177/$AM$176</f>
        <v>60.5</v>
      </c>
      <c r="Z177" s="358"/>
      <c r="AA177" s="359">
        <f t="shared" ref="AA177:AA184" si="211">(B217+B207+B197+B187)</f>
        <v>334</v>
      </c>
      <c r="AB177" s="359"/>
      <c r="AC177" s="359">
        <f t="shared" ref="AC177:AC184" si="212">(D217+D207+D197+D187)</f>
        <v>286</v>
      </c>
      <c r="AD177" s="359"/>
      <c r="AE177" s="359">
        <f t="shared" ref="AE177:AE184" si="213">(F217+F207+F197+F187)</f>
        <v>287</v>
      </c>
      <c r="AF177" s="359"/>
      <c r="AG177" s="359">
        <f t="shared" ref="AG177:AG184" si="214">(H217+H207+H197+H187)</f>
        <v>206</v>
      </c>
      <c r="AH177" s="359"/>
      <c r="AI177" s="359">
        <f t="shared" ref="AI177:AI184" si="215">(J217+J207+J197+J187)</f>
        <v>267</v>
      </c>
      <c r="AJ177" s="359"/>
      <c r="AK177" s="359">
        <f t="shared" ref="AK177:AK184" si="216">(L217+L207+L197+L187)</f>
        <v>242</v>
      </c>
      <c r="AL177" s="358"/>
      <c r="AM177" s="366"/>
    </row>
    <row r="178" spans="1:39" ht="14.4" x14ac:dyDescent="0.3">
      <c r="A178" s="363"/>
      <c r="B178" s="364">
        <v>90</v>
      </c>
      <c r="C178" s="365">
        <v>0.12080536912751701</v>
      </c>
      <c r="D178" s="364">
        <v>80</v>
      </c>
      <c r="E178" s="365">
        <v>0.123076923076923</v>
      </c>
      <c r="F178" s="364">
        <v>70</v>
      </c>
      <c r="G178" s="365">
        <v>0.125</v>
      </c>
      <c r="H178" s="364">
        <v>30</v>
      </c>
      <c r="I178" s="365">
        <v>7.69230769230769E-2</v>
      </c>
      <c r="J178" s="364">
        <v>60</v>
      </c>
      <c r="K178" s="365">
        <v>0.123711340206186</v>
      </c>
      <c r="L178" s="364">
        <v>70</v>
      </c>
      <c r="M178" s="365">
        <v>0.13004032258064499</v>
      </c>
      <c r="N178" s="358"/>
      <c r="O178" s="360">
        <f t="shared" si="205"/>
        <v>79</v>
      </c>
      <c r="P178" s="360"/>
      <c r="Q178" s="360">
        <f t="shared" si="206"/>
        <v>75</v>
      </c>
      <c r="R178" s="360"/>
      <c r="S178" s="360">
        <f t="shared" si="207"/>
        <v>79</v>
      </c>
      <c r="T178" s="360"/>
      <c r="U178" s="360">
        <f t="shared" si="208"/>
        <v>44.75</v>
      </c>
      <c r="V178" s="360"/>
      <c r="W178" s="360">
        <f t="shared" si="209"/>
        <v>70.75</v>
      </c>
      <c r="X178" s="360"/>
      <c r="Y178" s="360">
        <f t="shared" si="210"/>
        <v>64.5</v>
      </c>
      <c r="Z178" s="358"/>
      <c r="AA178" s="359">
        <f t="shared" si="211"/>
        <v>316</v>
      </c>
      <c r="AB178" s="359"/>
      <c r="AC178" s="359">
        <f t="shared" si="212"/>
        <v>300</v>
      </c>
      <c r="AD178" s="359"/>
      <c r="AE178" s="359">
        <f t="shared" si="213"/>
        <v>316</v>
      </c>
      <c r="AF178" s="359"/>
      <c r="AG178" s="359">
        <f t="shared" si="214"/>
        <v>179</v>
      </c>
      <c r="AH178" s="359"/>
      <c r="AI178" s="359">
        <f t="shared" si="215"/>
        <v>283</v>
      </c>
      <c r="AJ178" s="359"/>
      <c r="AK178" s="359">
        <f t="shared" si="216"/>
        <v>258</v>
      </c>
      <c r="AL178" s="358"/>
      <c r="AM178" s="366"/>
    </row>
    <row r="179" spans="1:39" ht="14.4" x14ac:dyDescent="0.3">
      <c r="A179" s="363"/>
      <c r="B179" s="364">
        <v>90</v>
      </c>
      <c r="C179" s="365">
        <v>0.12080536912751701</v>
      </c>
      <c r="D179" s="364">
        <v>80</v>
      </c>
      <c r="E179" s="365">
        <v>0.123076923076923</v>
      </c>
      <c r="F179" s="364">
        <v>70</v>
      </c>
      <c r="G179" s="365">
        <v>0.125</v>
      </c>
      <c r="H179" s="364">
        <v>50</v>
      </c>
      <c r="I179" s="365">
        <v>0.128205128205128</v>
      </c>
      <c r="J179" s="364">
        <v>60</v>
      </c>
      <c r="K179" s="365">
        <v>0.123711340206186</v>
      </c>
      <c r="L179" s="364">
        <v>70</v>
      </c>
      <c r="M179" s="365">
        <v>0.121975806451613</v>
      </c>
      <c r="N179" s="358"/>
      <c r="O179" s="360">
        <f t="shared" si="205"/>
        <v>83.5</v>
      </c>
      <c r="P179" s="360"/>
      <c r="Q179" s="360">
        <f t="shared" si="206"/>
        <v>79</v>
      </c>
      <c r="R179" s="360"/>
      <c r="S179" s="360">
        <f t="shared" si="207"/>
        <v>75.75</v>
      </c>
      <c r="T179" s="360"/>
      <c r="U179" s="360">
        <f t="shared" si="208"/>
        <v>41.5</v>
      </c>
      <c r="V179" s="360"/>
      <c r="W179" s="360">
        <f t="shared" si="209"/>
        <v>66.75</v>
      </c>
      <c r="X179" s="360"/>
      <c r="Y179" s="360">
        <f t="shared" si="210"/>
        <v>60.5</v>
      </c>
      <c r="Z179" s="358"/>
      <c r="AA179" s="359">
        <f t="shared" si="211"/>
        <v>334</v>
      </c>
      <c r="AB179" s="359"/>
      <c r="AC179" s="359">
        <f t="shared" si="212"/>
        <v>316</v>
      </c>
      <c r="AD179" s="359"/>
      <c r="AE179" s="359">
        <f t="shared" si="213"/>
        <v>303</v>
      </c>
      <c r="AF179" s="359"/>
      <c r="AG179" s="359">
        <f t="shared" si="214"/>
        <v>166</v>
      </c>
      <c r="AH179" s="359"/>
      <c r="AI179" s="359">
        <f t="shared" si="215"/>
        <v>267</v>
      </c>
      <c r="AJ179" s="359"/>
      <c r="AK179" s="359">
        <f t="shared" si="216"/>
        <v>242</v>
      </c>
      <c r="AL179" s="358"/>
      <c r="AM179" s="366"/>
    </row>
    <row r="180" spans="1:39" ht="14.4" x14ac:dyDescent="0.3">
      <c r="A180" s="363"/>
      <c r="B180" s="364">
        <v>90</v>
      </c>
      <c r="C180" s="365">
        <v>0.12080536912751701</v>
      </c>
      <c r="D180" s="364">
        <v>80</v>
      </c>
      <c r="E180" s="365">
        <v>0.123076923076923</v>
      </c>
      <c r="F180" s="364">
        <v>70</v>
      </c>
      <c r="G180" s="365">
        <v>0.125</v>
      </c>
      <c r="H180" s="364">
        <v>50</v>
      </c>
      <c r="I180" s="365">
        <v>0.128205128205128</v>
      </c>
      <c r="J180" s="364">
        <v>60</v>
      </c>
      <c r="K180" s="365">
        <v>0.123711340206186</v>
      </c>
      <c r="L180" s="364">
        <v>70</v>
      </c>
      <c r="M180" s="365">
        <v>0.125</v>
      </c>
      <c r="N180" s="358"/>
      <c r="O180" s="360">
        <f t="shared" si="205"/>
        <v>82.5</v>
      </c>
      <c r="P180" s="360"/>
      <c r="Q180" s="360">
        <f t="shared" si="206"/>
        <v>75</v>
      </c>
      <c r="R180" s="360"/>
      <c r="S180" s="360">
        <f t="shared" si="207"/>
        <v>82.5</v>
      </c>
      <c r="T180" s="360"/>
      <c r="U180" s="360">
        <f t="shared" si="208"/>
        <v>35.5</v>
      </c>
      <c r="V180" s="360"/>
      <c r="W180" s="360">
        <f t="shared" si="209"/>
        <v>62.5</v>
      </c>
      <c r="X180" s="360"/>
      <c r="Y180" s="360">
        <f t="shared" si="210"/>
        <v>62</v>
      </c>
      <c r="Z180" s="358"/>
      <c r="AA180" s="359">
        <f t="shared" si="211"/>
        <v>330</v>
      </c>
      <c r="AB180" s="359"/>
      <c r="AC180" s="359">
        <f t="shared" si="212"/>
        <v>300</v>
      </c>
      <c r="AD180" s="359"/>
      <c r="AE180" s="359">
        <f t="shared" si="213"/>
        <v>330</v>
      </c>
      <c r="AF180" s="359"/>
      <c r="AG180" s="359">
        <f t="shared" si="214"/>
        <v>142</v>
      </c>
      <c r="AH180" s="359"/>
      <c r="AI180" s="359">
        <f t="shared" si="215"/>
        <v>250</v>
      </c>
      <c r="AJ180" s="359"/>
      <c r="AK180" s="359">
        <f t="shared" si="216"/>
        <v>248</v>
      </c>
      <c r="AL180" s="358"/>
      <c r="AM180" s="366"/>
    </row>
    <row r="181" spans="1:39" ht="14.4" x14ac:dyDescent="0.3">
      <c r="A181" s="363"/>
      <c r="B181" s="364">
        <v>95</v>
      </c>
      <c r="C181" s="365">
        <v>0.12751677852349</v>
      </c>
      <c r="D181" s="364">
        <v>75</v>
      </c>
      <c r="E181" s="365">
        <v>0.115384615384615</v>
      </c>
      <c r="F181" s="364">
        <v>70</v>
      </c>
      <c r="G181" s="365">
        <v>0.125</v>
      </c>
      <c r="H181" s="364">
        <v>30</v>
      </c>
      <c r="I181" s="365">
        <v>7.69230769230769E-2</v>
      </c>
      <c r="J181" s="364">
        <v>60</v>
      </c>
      <c r="K181" s="365">
        <v>0.123711340206186</v>
      </c>
      <c r="L181" s="364">
        <v>70</v>
      </c>
      <c r="M181" s="365">
        <v>0.119959677419355</v>
      </c>
      <c r="N181" s="358"/>
      <c r="O181" s="360">
        <f t="shared" si="205"/>
        <v>89.25</v>
      </c>
      <c r="P181" s="360"/>
      <c r="Q181" s="360">
        <f t="shared" si="206"/>
        <v>82.5</v>
      </c>
      <c r="R181" s="360"/>
      <c r="S181" s="360">
        <f t="shared" si="207"/>
        <v>75.5</v>
      </c>
      <c r="T181" s="360"/>
      <c r="U181" s="360">
        <f t="shared" si="208"/>
        <v>31</v>
      </c>
      <c r="V181" s="360"/>
      <c r="W181" s="360">
        <f t="shared" si="209"/>
        <v>71.25</v>
      </c>
      <c r="X181" s="360"/>
      <c r="Y181" s="360">
        <f t="shared" si="210"/>
        <v>59.5</v>
      </c>
      <c r="Z181" s="358"/>
      <c r="AA181" s="359">
        <f t="shared" si="211"/>
        <v>357</v>
      </c>
      <c r="AB181" s="359"/>
      <c r="AC181" s="359">
        <f t="shared" si="212"/>
        <v>330</v>
      </c>
      <c r="AD181" s="359"/>
      <c r="AE181" s="359">
        <f t="shared" si="213"/>
        <v>302</v>
      </c>
      <c r="AF181" s="359"/>
      <c r="AG181" s="359">
        <f t="shared" si="214"/>
        <v>124</v>
      </c>
      <c r="AH181" s="359"/>
      <c r="AI181" s="359">
        <f t="shared" si="215"/>
        <v>285</v>
      </c>
      <c r="AJ181" s="359"/>
      <c r="AK181" s="359">
        <f t="shared" si="216"/>
        <v>238</v>
      </c>
      <c r="AL181" s="358"/>
      <c r="AM181" s="366"/>
    </row>
    <row r="182" spans="1:39" ht="14.4" x14ac:dyDescent="0.3">
      <c r="A182" s="363"/>
      <c r="B182" s="364">
        <v>95</v>
      </c>
      <c r="C182" s="365">
        <v>0.12751677852349</v>
      </c>
      <c r="D182" s="364">
        <v>90</v>
      </c>
      <c r="E182" s="365">
        <v>0.138461538461538</v>
      </c>
      <c r="F182" s="364">
        <v>70</v>
      </c>
      <c r="G182" s="365">
        <v>0.125</v>
      </c>
      <c r="H182" s="364">
        <v>30</v>
      </c>
      <c r="I182" s="365">
        <v>7.69230769230769E-2</v>
      </c>
      <c r="J182" s="364">
        <v>60</v>
      </c>
      <c r="K182" s="365">
        <v>0.123711340206186</v>
      </c>
      <c r="L182" s="364">
        <v>70</v>
      </c>
      <c r="M182" s="365">
        <v>0.13004032258064499</v>
      </c>
      <c r="N182" s="358"/>
      <c r="O182" s="360">
        <f t="shared" si="205"/>
        <v>82.5</v>
      </c>
      <c r="P182" s="360"/>
      <c r="Q182" s="360">
        <f t="shared" si="206"/>
        <v>79.25</v>
      </c>
      <c r="R182" s="360"/>
      <c r="S182" s="360">
        <f t="shared" si="207"/>
        <v>75</v>
      </c>
      <c r="T182" s="360"/>
      <c r="U182" s="360">
        <f t="shared" si="208"/>
        <v>47.75</v>
      </c>
      <c r="V182" s="360"/>
      <c r="W182" s="360">
        <f t="shared" si="209"/>
        <v>81.5</v>
      </c>
      <c r="X182" s="360"/>
      <c r="Y182" s="360">
        <f t="shared" si="210"/>
        <v>64.5</v>
      </c>
      <c r="Z182" s="358"/>
      <c r="AA182" s="359">
        <f t="shared" si="211"/>
        <v>330</v>
      </c>
      <c r="AB182" s="359"/>
      <c r="AC182" s="359">
        <f t="shared" si="212"/>
        <v>317</v>
      </c>
      <c r="AD182" s="359"/>
      <c r="AE182" s="359">
        <f t="shared" si="213"/>
        <v>300</v>
      </c>
      <c r="AF182" s="359"/>
      <c r="AG182" s="359">
        <f t="shared" si="214"/>
        <v>191</v>
      </c>
      <c r="AH182" s="359"/>
      <c r="AI182" s="359">
        <f t="shared" si="215"/>
        <v>326</v>
      </c>
      <c r="AJ182" s="359"/>
      <c r="AK182" s="359">
        <f t="shared" si="216"/>
        <v>258</v>
      </c>
      <c r="AL182" s="358"/>
      <c r="AM182" s="366"/>
    </row>
    <row r="183" spans="1:39" ht="14.4" x14ac:dyDescent="0.3">
      <c r="A183" s="363"/>
      <c r="B183" s="364">
        <v>95</v>
      </c>
      <c r="C183" s="365">
        <v>0.12751677852349</v>
      </c>
      <c r="D183" s="364">
        <v>80</v>
      </c>
      <c r="E183" s="365">
        <v>0.123076923076923</v>
      </c>
      <c r="F183" s="364">
        <v>70</v>
      </c>
      <c r="G183" s="365">
        <v>0.125</v>
      </c>
      <c r="H183" s="364">
        <v>65</v>
      </c>
      <c r="I183" s="365">
        <v>0.16666666666666699</v>
      </c>
      <c r="J183" s="364">
        <v>60</v>
      </c>
      <c r="K183" s="365">
        <v>0.123711340206186</v>
      </c>
      <c r="L183" s="364">
        <v>70</v>
      </c>
      <c r="M183" s="365">
        <v>0.13004032258064499</v>
      </c>
      <c r="N183" s="358"/>
      <c r="O183" s="360">
        <f t="shared" si="205"/>
        <v>93.375</v>
      </c>
      <c r="P183" s="360"/>
      <c r="Q183" s="360">
        <f t="shared" si="206"/>
        <v>78.0625</v>
      </c>
      <c r="R183" s="360"/>
      <c r="S183" s="360">
        <f t="shared" si="207"/>
        <v>73.5</v>
      </c>
      <c r="T183" s="360"/>
      <c r="U183" s="360">
        <f t="shared" si="208"/>
        <v>36.6875</v>
      </c>
      <c r="V183" s="360"/>
      <c r="W183" s="360">
        <f t="shared" si="209"/>
        <v>70.875</v>
      </c>
      <c r="X183" s="360"/>
      <c r="Y183" s="360">
        <f t="shared" si="210"/>
        <v>51.375</v>
      </c>
      <c r="Z183" s="358"/>
      <c r="AA183" s="359">
        <f t="shared" si="211"/>
        <v>373.5</v>
      </c>
      <c r="AB183" s="359"/>
      <c r="AC183" s="359">
        <f t="shared" si="212"/>
        <v>312.25</v>
      </c>
      <c r="AD183" s="359"/>
      <c r="AE183" s="359">
        <f t="shared" si="213"/>
        <v>294</v>
      </c>
      <c r="AF183" s="359"/>
      <c r="AG183" s="359">
        <f t="shared" si="214"/>
        <v>146.75</v>
      </c>
      <c r="AH183" s="359"/>
      <c r="AI183" s="359">
        <f t="shared" si="215"/>
        <v>283.5</v>
      </c>
      <c r="AJ183" s="359"/>
      <c r="AK183" s="359">
        <f t="shared" si="216"/>
        <v>205.5</v>
      </c>
      <c r="AL183" s="358"/>
      <c r="AM183" s="366"/>
    </row>
    <row r="184" spans="1:39" ht="13.5" customHeight="1" x14ac:dyDescent="0.3">
      <c r="A184" s="363"/>
      <c r="B184" s="364">
        <v>95</v>
      </c>
      <c r="C184" s="365">
        <v>0.12751677852349</v>
      </c>
      <c r="D184" s="364">
        <v>90</v>
      </c>
      <c r="E184" s="365">
        <v>0.138461538461538</v>
      </c>
      <c r="F184" s="364">
        <v>70</v>
      </c>
      <c r="G184" s="365">
        <v>0.125</v>
      </c>
      <c r="H184" s="364">
        <v>75</v>
      </c>
      <c r="I184" s="365">
        <v>0.19230769230769201</v>
      </c>
      <c r="J184" s="364">
        <v>65</v>
      </c>
      <c r="K184" s="365">
        <v>0.134020618556701</v>
      </c>
      <c r="L184" s="364">
        <v>70</v>
      </c>
      <c r="M184" s="365">
        <v>0.120967741935484</v>
      </c>
      <c r="N184" s="358"/>
      <c r="O184" s="360">
        <f t="shared" si="205"/>
        <v>86.75</v>
      </c>
      <c r="P184" s="360"/>
      <c r="Q184" s="360">
        <f t="shared" si="206"/>
        <v>74</v>
      </c>
      <c r="R184" s="360"/>
      <c r="S184" s="360">
        <f t="shared" si="207"/>
        <v>73</v>
      </c>
      <c r="T184" s="360"/>
      <c r="U184" s="360">
        <f t="shared" si="208"/>
        <v>49.75</v>
      </c>
      <c r="V184" s="360"/>
      <c r="W184" s="360">
        <f t="shared" si="209"/>
        <v>73.75</v>
      </c>
      <c r="X184" s="360"/>
      <c r="Y184" s="360">
        <f t="shared" si="210"/>
        <v>55.25</v>
      </c>
      <c r="Z184" s="358"/>
      <c r="AA184" s="359">
        <f t="shared" si="211"/>
        <v>347</v>
      </c>
      <c r="AB184" s="359"/>
      <c r="AC184" s="359">
        <f t="shared" si="212"/>
        <v>296</v>
      </c>
      <c r="AD184" s="359"/>
      <c r="AE184" s="359">
        <f t="shared" si="213"/>
        <v>292</v>
      </c>
      <c r="AF184" s="359"/>
      <c r="AG184" s="359">
        <f t="shared" si="214"/>
        <v>199</v>
      </c>
      <c r="AH184" s="359"/>
      <c r="AI184" s="359">
        <f t="shared" si="215"/>
        <v>295</v>
      </c>
      <c r="AJ184" s="359"/>
      <c r="AK184" s="359">
        <f t="shared" si="216"/>
        <v>221</v>
      </c>
      <c r="AL184" s="358"/>
      <c r="AM184" s="366"/>
    </row>
    <row r="186" spans="1:39" ht="14.4" x14ac:dyDescent="0.3">
      <c r="A186" s="363" t="s">
        <v>88</v>
      </c>
      <c r="B186" s="364" t="s">
        <v>12</v>
      </c>
      <c r="C186" s="365">
        <v>404</v>
      </c>
      <c r="D186" s="364" t="s">
        <v>13</v>
      </c>
      <c r="E186" s="365">
        <v>530</v>
      </c>
      <c r="F186" s="364" t="s">
        <v>14</v>
      </c>
      <c r="G186" s="365">
        <v>486</v>
      </c>
      <c r="H186" s="364" t="s">
        <v>15</v>
      </c>
      <c r="I186" s="365">
        <v>183</v>
      </c>
      <c r="J186" s="364" t="s">
        <v>16</v>
      </c>
      <c r="K186" s="365">
        <v>456</v>
      </c>
      <c r="L186" s="364" t="s">
        <v>17</v>
      </c>
      <c r="M186" s="365">
        <v>568</v>
      </c>
      <c r="N186" s="358"/>
      <c r="O186" s="360" t="s">
        <v>12</v>
      </c>
      <c r="P186" s="360"/>
      <c r="Q186" s="360" t="s">
        <v>13</v>
      </c>
      <c r="R186" s="360"/>
      <c r="S186" s="360" t="s">
        <v>14</v>
      </c>
      <c r="T186" s="360"/>
      <c r="U186" s="360" t="s">
        <v>15</v>
      </c>
      <c r="V186" s="360"/>
      <c r="W186" s="360" t="s">
        <v>16</v>
      </c>
      <c r="X186" s="360"/>
      <c r="Y186" s="360" t="s">
        <v>17</v>
      </c>
      <c r="Z186" s="358"/>
      <c r="AA186" s="359" t="s">
        <v>12</v>
      </c>
      <c r="AB186" s="359"/>
      <c r="AC186" s="359" t="s">
        <v>13</v>
      </c>
      <c r="AD186" s="359"/>
      <c r="AE186" s="359" t="s">
        <v>14</v>
      </c>
      <c r="AF186" s="359"/>
      <c r="AG186" s="359" t="s">
        <v>15</v>
      </c>
      <c r="AH186" s="359"/>
      <c r="AI186" s="359" t="s">
        <v>16</v>
      </c>
      <c r="AJ186" s="359"/>
      <c r="AK186" s="359" t="s">
        <v>17</v>
      </c>
      <c r="AL186" s="358"/>
      <c r="AM186" s="358">
        <v>4</v>
      </c>
    </row>
    <row r="187" spans="1:39" ht="14.4" x14ac:dyDescent="0.3">
      <c r="A187" s="363"/>
      <c r="B187" s="364">
        <v>70</v>
      </c>
      <c r="C187" s="365">
        <v>0.173267326732673</v>
      </c>
      <c r="D187" s="364">
        <v>83</v>
      </c>
      <c r="E187" s="365">
        <v>0.15660377358490599</v>
      </c>
      <c r="F187" s="364">
        <v>70</v>
      </c>
      <c r="G187" s="365">
        <v>0.14403292181069999</v>
      </c>
      <c r="H187" s="364">
        <v>25</v>
      </c>
      <c r="I187" s="365">
        <v>0.13661202185792401</v>
      </c>
      <c r="J187" s="364">
        <v>70</v>
      </c>
      <c r="K187" s="365">
        <v>0.15350877192982501</v>
      </c>
      <c r="L187" s="364">
        <v>97</v>
      </c>
      <c r="M187" s="365">
        <v>0.17077464788732399</v>
      </c>
      <c r="N187" s="358"/>
      <c r="O187" s="360">
        <f t="shared" ref="O187:O194" si="217">AA187/$AM$186</f>
        <v>86.75</v>
      </c>
      <c r="P187" s="360"/>
      <c r="Q187" s="360">
        <f t="shared" ref="Q187:Q194" si="218">AC187/$AM$186</f>
        <v>75</v>
      </c>
      <c r="R187" s="360"/>
      <c r="S187" s="360">
        <f t="shared" ref="S187:S194" si="219">AE187/$AM$186</f>
        <v>78.5</v>
      </c>
      <c r="T187" s="360"/>
      <c r="U187" s="360">
        <f t="shared" ref="U187:U194" si="220">AG187/$AM$186</f>
        <v>54.5</v>
      </c>
      <c r="V187" s="360"/>
      <c r="W187" s="360">
        <f t="shared" ref="W187:W194" si="221">AI187/$AM$186</f>
        <v>73.5</v>
      </c>
      <c r="X187" s="360"/>
      <c r="Y187" s="360">
        <f t="shared" ref="Y187:Y194" si="222">AK187/$AM$186</f>
        <v>57</v>
      </c>
      <c r="Z187" s="358"/>
      <c r="AA187" s="359">
        <f t="shared" ref="AA187:AA194" si="223">(B227+B217+B207+B197)</f>
        <v>347</v>
      </c>
      <c r="AB187" s="359"/>
      <c r="AC187" s="359">
        <f t="shared" ref="AC187:AC194" si="224">(D227+D217+D207+D197)</f>
        <v>300</v>
      </c>
      <c r="AD187" s="359"/>
      <c r="AE187" s="359">
        <f t="shared" ref="AE187:AE194" si="225">(F227+F217+F207+F197)</f>
        <v>314</v>
      </c>
      <c r="AF187" s="359"/>
      <c r="AG187" s="359">
        <f t="shared" ref="AG187:AG194" si="226">(H227+H217+H207+H197)</f>
        <v>218</v>
      </c>
      <c r="AH187" s="359"/>
      <c r="AI187" s="359">
        <f t="shared" ref="AI187:AI194" si="227">(J227+J217+J207+J197)</f>
        <v>294</v>
      </c>
      <c r="AJ187" s="359"/>
      <c r="AK187" s="359">
        <f t="shared" ref="AK187:AK194" si="228">(L227+L217+L207+L197)</f>
        <v>228</v>
      </c>
      <c r="AL187" s="358"/>
      <c r="AM187" s="366"/>
    </row>
    <row r="188" spans="1:39" ht="14.4" x14ac:dyDescent="0.3">
      <c r="A188" s="363"/>
      <c r="B188" s="364">
        <v>66</v>
      </c>
      <c r="C188" s="365">
        <v>0.16336633663366301</v>
      </c>
      <c r="D188" s="364">
        <v>83</v>
      </c>
      <c r="E188" s="365">
        <v>0.15660377358490599</v>
      </c>
      <c r="F188" s="364">
        <v>83</v>
      </c>
      <c r="G188" s="365">
        <v>0.170781893004115</v>
      </c>
      <c r="H188" s="364">
        <v>25</v>
      </c>
      <c r="I188" s="365">
        <v>0.13661202185792401</v>
      </c>
      <c r="J188" s="364">
        <v>70</v>
      </c>
      <c r="K188" s="365">
        <v>0.15350877192982501</v>
      </c>
      <c r="L188" s="364">
        <v>97</v>
      </c>
      <c r="M188" s="365">
        <v>0.17077464788732399</v>
      </c>
      <c r="N188" s="358"/>
      <c r="O188" s="360">
        <f t="shared" si="217"/>
        <v>86.75</v>
      </c>
      <c r="P188" s="360"/>
      <c r="Q188" s="360">
        <f t="shared" si="218"/>
        <v>75</v>
      </c>
      <c r="R188" s="360"/>
      <c r="S188" s="360">
        <f t="shared" si="219"/>
        <v>82.5</v>
      </c>
      <c r="T188" s="360"/>
      <c r="U188" s="360">
        <f t="shared" si="220"/>
        <v>51</v>
      </c>
      <c r="V188" s="360"/>
      <c r="W188" s="360">
        <f t="shared" si="221"/>
        <v>77.5</v>
      </c>
      <c r="X188" s="360"/>
      <c r="Y188" s="360">
        <f t="shared" si="222"/>
        <v>61</v>
      </c>
      <c r="Z188" s="358"/>
      <c r="AA188" s="359">
        <f t="shared" si="223"/>
        <v>347</v>
      </c>
      <c r="AB188" s="359"/>
      <c r="AC188" s="359">
        <f t="shared" si="224"/>
        <v>300</v>
      </c>
      <c r="AD188" s="359"/>
      <c r="AE188" s="359">
        <f t="shared" si="225"/>
        <v>330</v>
      </c>
      <c r="AF188" s="359"/>
      <c r="AG188" s="359">
        <f t="shared" si="226"/>
        <v>204</v>
      </c>
      <c r="AH188" s="359"/>
      <c r="AI188" s="359">
        <f t="shared" si="227"/>
        <v>310</v>
      </c>
      <c r="AJ188" s="359"/>
      <c r="AK188" s="359">
        <f t="shared" si="228"/>
        <v>244</v>
      </c>
      <c r="AL188" s="358"/>
      <c r="AM188" s="366"/>
    </row>
    <row r="189" spans="1:39" ht="14.4" x14ac:dyDescent="0.3">
      <c r="A189" s="363"/>
      <c r="B189" s="364">
        <v>70</v>
      </c>
      <c r="C189" s="365">
        <v>0.173267326732673</v>
      </c>
      <c r="D189" s="364">
        <v>97</v>
      </c>
      <c r="E189" s="365">
        <v>0.18301886792452801</v>
      </c>
      <c r="F189" s="364">
        <v>70</v>
      </c>
      <c r="G189" s="365">
        <v>0.14403292181069999</v>
      </c>
      <c r="H189" s="364">
        <v>70</v>
      </c>
      <c r="I189" s="365">
        <v>0.38251366120218599</v>
      </c>
      <c r="J189" s="364">
        <v>70</v>
      </c>
      <c r="K189" s="365">
        <v>0.15350877192982501</v>
      </c>
      <c r="L189" s="364">
        <v>97</v>
      </c>
      <c r="M189" s="365">
        <v>0.17077464788732399</v>
      </c>
      <c r="N189" s="358"/>
      <c r="O189" s="360">
        <f t="shared" si="217"/>
        <v>90.25</v>
      </c>
      <c r="P189" s="360"/>
      <c r="Q189" s="360">
        <f t="shared" si="218"/>
        <v>75.5</v>
      </c>
      <c r="R189" s="360"/>
      <c r="S189" s="360">
        <f t="shared" si="219"/>
        <v>82.5</v>
      </c>
      <c r="T189" s="360"/>
      <c r="U189" s="360">
        <f t="shared" si="220"/>
        <v>33.25</v>
      </c>
      <c r="V189" s="360"/>
      <c r="W189" s="360">
        <f t="shared" si="221"/>
        <v>73.5</v>
      </c>
      <c r="X189" s="360"/>
      <c r="Y189" s="360">
        <f t="shared" si="222"/>
        <v>57</v>
      </c>
      <c r="Z189" s="358"/>
      <c r="AA189" s="359">
        <f t="shared" si="223"/>
        <v>361</v>
      </c>
      <c r="AB189" s="359"/>
      <c r="AC189" s="359">
        <f t="shared" si="224"/>
        <v>302</v>
      </c>
      <c r="AD189" s="359"/>
      <c r="AE189" s="359">
        <f t="shared" si="225"/>
        <v>330</v>
      </c>
      <c r="AF189" s="359"/>
      <c r="AG189" s="359">
        <f t="shared" si="226"/>
        <v>133</v>
      </c>
      <c r="AH189" s="359"/>
      <c r="AI189" s="359">
        <f t="shared" si="227"/>
        <v>294</v>
      </c>
      <c r="AJ189" s="359"/>
      <c r="AK189" s="359">
        <f t="shared" si="228"/>
        <v>228</v>
      </c>
      <c r="AL189" s="358"/>
      <c r="AM189" s="366"/>
    </row>
    <row r="190" spans="1:39" ht="14.4" x14ac:dyDescent="0.3">
      <c r="A190" s="363"/>
      <c r="B190" s="364">
        <v>66</v>
      </c>
      <c r="C190" s="365">
        <v>0.16336633663366301</v>
      </c>
      <c r="D190" s="364">
        <v>70</v>
      </c>
      <c r="E190" s="365">
        <v>0.13207547169811301</v>
      </c>
      <c r="F190" s="364">
        <v>97</v>
      </c>
      <c r="G190" s="365">
        <v>0.19958847736625501</v>
      </c>
      <c r="H190" s="364">
        <v>1</v>
      </c>
      <c r="I190" s="365">
        <v>5.4644808743169399E-3</v>
      </c>
      <c r="J190" s="364">
        <v>66</v>
      </c>
      <c r="K190" s="365">
        <v>0.144736842105263</v>
      </c>
      <c r="L190" s="364">
        <v>83</v>
      </c>
      <c r="M190" s="365">
        <v>0.14612676056338</v>
      </c>
      <c r="N190" s="358"/>
      <c r="O190" s="360">
        <f t="shared" si="217"/>
        <v>90.25</v>
      </c>
      <c r="P190" s="360"/>
      <c r="Q190" s="360">
        <f t="shared" si="218"/>
        <v>78.25</v>
      </c>
      <c r="R190" s="360"/>
      <c r="S190" s="360">
        <f t="shared" si="219"/>
        <v>82.5</v>
      </c>
      <c r="T190" s="360"/>
      <c r="U190" s="360">
        <f t="shared" si="220"/>
        <v>44.5</v>
      </c>
      <c r="V190" s="360"/>
      <c r="W190" s="360">
        <f t="shared" si="221"/>
        <v>70.25</v>
      </c>
      <c r="X190" s="360"/>
      <c r="Y190" s="360">
        <f t="shared" si="222"/>
        <v>62</v>
      </c>
      <c r="Z190" s="358"/>
      <c r="AA190" s="359">
        <f t="shared" si="223"/>
        <v>361</v>
      </c>
      <c r="AB190" s="359"/>
      <c r="AC190" s="359">
        <f t="shared" si="224"/>
        <v>313</v>
      </c>
      <c r="AD190" s="359"/>
      <c r="AE190" s="359">
        <f t="shared" si="225"/>
        <v>330</v>
      </c>
      <c r="AF190" s="359"/>
      <c r="AG190" s="359">
        <f t="shared" si="226"/>
        <v>178</v>
      </c>
      <c r="AH190" s="359"/>
      <c r="AI190" s="359">
        <f t="shared" si="227"/>
        <v>281</v>
      </c>
      <c r="AJ190" s="359"/>
      <c r="AK190" s="359">
        <f t="shared" si="228"/>
        <v>248</v>
      </c>
      <c r="AL190" s="358"/>
      <c r="AM190" s="366"/>
    </row>
    <row r="191" spans="1:39" ht="14.4" x14ac:dyDescent="0.3">
      <c r="A191" s="363"/>
      <c r="B191" s="364">
        <v>66</v>
      </c>
      <c r="C191" s="365">
        <v>0.16336633663366301</v>
      </c>
      <c r="D191" s="364">
        <v>97</v>
      </c>
      <c r="E191" s="365">
        <v>0.18301886792452801</v>
      </c>
      <c r="F191" s="364">
        <v>83</v>
      </c>
      <c r="G191" s="365">
        <v>0.170781893004115</v>
      </c>
      <c r="H191" s="364">
        <v>25</v>
      </c>
      <c r="I191" s="365">
        <v>0.13661202185792401</v>
      </c>
      <c r="J191" s="364">
        <v>83</v>
      </c>
      <c r="K191" s="365">
        <v>0.18201754385964899</v>
      </c>
      <c r="L191" s="364">
        <v>97</v>
      </c>
      <c r="M191" s="365">
        <v>0.17077464788732399</v>
      </c>
      <c r="N191" s="358"/>
      <c r="O191" s="360">
        <f t="shared" si="217"/>
        <v>97</v>
      </c>
      <c r="P191" s="360"/>
      <c r="Q191" s="360">
        <f t="shared" si="218"/>
        <v>79</v>
      </c>
      <c r="R191" s="360"/>
      <c r="S191" s="360">
        <f t="shared" si="219"/>
        <v>79</v>
      </c>
      <c r="T191" s="360"/>
      <c r="U191" s="360">
        <f t="shared" si="220"/>
        <v>34</v>
      </c>
      <c r="V191" s="360"/>
      <c r="W191" s="360">
        <f t="shared" si="221"/>
        <v>74.75</v>
      </c>
      <c r="X191" s="360"/>
      <c r="Y191" s="360">
        <f t="shared" si="222"/>
        <v>56</v>
      </c>
      <c r="Z191" s="358"/>
      <c r="AA191" s="359">
        <f t="shared" si="223"/>
        <v>388</v>
      </c>
      <c r="AB191" s="359"/>
      <c r="AC191" s="359">
        <f t="shared" si="224"/>
        <v>316</v>
      </c>
      <c r="AD191" s="359"/>
      <c r="AE191" s="359">
        <f t="shared" si="225"/>
        <v>316</v>
      </c>
      <c r="AF191" s="359"/>
      <c r="AG191" s="359">
        <f t="shared" si="226"/>
        <v>136</v>
      </c>
      <c r="AH191" s="359"/>
      <c r="AI191" s="359">
        <f t="shared" si="227"/>
        <v>299</v>
      </c>
      <c r="AJ191" s="359"/>
      <c r="AK191" s="359">
        <f t="shared" si="228"/>
        <v>224</v>
      </c>
      <c r="AL191" s="358"/>
      <c r="AM191" s="366"/>
    </row>
    <row r="192" spans="1:39" ht="14.4" x14ac:dyDescent="0.3">
      <c r="A192" s="363"/>
      <c r="B192" s="364">
        <v>66</v>
      </c>
      <c r="C192" s="365">
        <v>0.16336633663366301</v>
      </c>
      <c r="D192" s="364">
        <v>100</v>
      </c>
      <c r="E192" s="365">
        <v>0.18867924528301899</v>
      </c>
      <c r="F192" s="364">
        <v>83</v>
      </c>
      <c r="G192" s="365">
        <v>0.170781893004115</v>
      </c>
      <c r="H192" s="364">
        <v>37</v>
      </c>
      <c r="I192" s="365">
        <v>0.202185792349727</v>
      </c>
      <c r="J192" s="364">
        <v>97</v>
      </c>
      <c r="K192" s="365">
        <v>0.212719298245614</v>
      </c>
      <c r="L192" s="364">
        <v>97</v>
      </c>
      <c r="M192" s="365">
        <v>0.17077464788732399</v>
      </c>
      <c r="N192" s="358"/>
      <c r="O192" s="360">
        <f t="shared" si="217"/>
        <v>86.75</v>
      </c>
      <c r="P192" s="360"/>
      <c r="Q192" s="360">
        <f t="shared" si="218"/>
        <v>75</v>
      </c>
      <c r="R192" s="360"/>
      <c r="S192" s="360">
        <f t="shared" si="219"/>
        <v>78.5</v>
      </c>
      <c r="T192" s="360"/>
      <c r="U192" s="360">
        <f t="shared" si="220"/>
        <v>47.75</v>
      </c>
      <c r="V192" s="360"/>
      <c r="W192" s="360">
        <f t="shared" si="221"/>
        <v>81.5</v>
      </c>
      <c r="X192" s="360"/>
      <c r="Y192" s="360">
        <f t="shared" si="222"/>
        <v>61</v>
      </c>
      <c r="Z192" s="358"/>
      <c r="AA192" s="359">
        <f t="shared" si="223"/>
        <v>347</v>
      </c>
      <c r="AB192" s="359"/>
      <c r="AC192" s="359">
        <f t="shared" si="224"/>
        <v>300</v>
      </c>
      <c r="AD192" s="359"/>
      <c r="AE192" s="359">
        <f t="shared" si="225"/>
        <v>314</v>
      </c>
      <c r="AF192" s="359"/>
      <c r="AG192" s="359">
        <f t="shared" si="226"/>
        <v>191</v>
      </c>
      <c r="AH192" s="359"/>
      <c r="AI192" s="359">
        <f t="shared" si="227"/>
        <v>326</v>
      </c>
      <c r="AJ192" s="359"/>
      <c r="AK192" s="359">
        <f t="shared" si="228"/>
        <v>244</v>
      </c>
      <c r="AL192" s="358"/>
      <c r="AM192" s="366"/>
    </row>
    <row r="193" spans="1:39" ht="14.4" x14ac:dyDescent="0.3">
      <c r="A193" s="363"/>
      <c r="B193" s="364">
        <v>82.5</v>
      </c>
      <c r="C193" s="365">
        <v>0.123920390536988</v>
      </c>
      <c r="D193" s="364">
        <v>79.25</v>
      </c>
      <c r="E193" s="365">
        <v>0.12771958098307801</v>
      </c>
      <c r="F193" s="364">
        <v>75</v>
      </c>
      <c r="G193" s="365">
        <v>0.123051681706317</v>
      </c>
      <c r="H193" s="364">
        <v>47.75</v>
      </c>
      <c r="I193" s="365">
        <v>0.13850616388687501</v>
      </c>
      <c r="J193" s="364">
        <v>81.5</v>
      </c>
      <c r="K193" s="365">
        <v>0.14373897707231001</v>
      </c>
      <c r="L193" s="364">
        <v>64.5</v>
      </c>
      <c r="M193" s="365">
        <v>0.13004032258064499</v>
      </c>
      <c r="N193" s="358"/>
      <c r="O193" s="360">
        <f t="shared" si="217"/>
        <v>97</v>
      </c>
      <c r="P193" s="360"/>
      <c r="Q193" s="360">
        <f t="shared" si="218"/>
        <v>79</v>
      </c>
      <c r="R193" s="360"/>
      <c r="S193" s="360">
        <f t="shared" si="219"/>
        <v>79</v>
      </c>
      <c r="T193" s="360"/>
      <c r="U193" s="360">
        <f t="shared" si="220"/>
        <v>34</v>
      </c>
      <c r="V193" s="360"/>
      <c r="W193" s="360">
        <f t="shared" si="221"/>
        <v>74.75</v>
      </c>
      <c r="X193" s="360"/>
      <c r="Y193" s="360">
        <f t="shared" si="222"/>
        <v>56</v>
      </c>
      <c r="Z193" s="358"/>
      <c r="AA193" s="359">
        <f t="shared" si="223"/>
        <v>388</v>
      </c>
      <c r="AB193" s="359"/>
      <c r="AC193" s="359">
        <f t="shared" si="224"/>
        <v>316</v>
      </c>
      <c r="AD193" s="359"/>
      <c r="AE193" s="359">
        <f t="shared" si="225"/>
        <v>316</v>
      </c>
      <c r="AF193" s="359"/>
      <c r="AG193" s="359">
        <f t="shared" si="226"/>
        <v>136</v>
      </c>
      <c r="AH193" s="359"/>
      <c r="AI193" s="359">
        <f t="shared" si="227"/>
        <v>299</v>
      </c>
      <c r="AJ193" s="359"/>
      <c r="AK193" s="359">
        <f t="shared" si="228"/>
        <v>224</v>
      </c>
      <c r="AL193" s="358"/>
      <c r="AM193" s="366"/>
    </row>
    <row r="194" spans="1:39" ht="13.5" customHeight="1" x14ac:dyDescent="0.3">
      <c r="B194" s="364">
        <v>83</v>
      </c>
      <c r="C194" s="365">
        <v>0.12467142320691001</v>
      </c>
      <c r="D194" s="364">
        <v>79</v>
      </c>
      <c r="E194" s="365">
        <v>0.127316680096696</v>
      </c>
      <c r="F194" s="364">
        <v>75</v>
      </c>
      <c r="G194" s="365">
        <v>0.123051681706317</v>
      </c>
      <c r="H194" s="364">
        <v>45</v>
      </c>
      <c r="I194" s="365">
        <v>0.13052936910804899</v>
      </c>
      <c r="J194" s="364">
        <v>66</v>
      </c>
      <c r="K194" s="365">
        <v>0.11640211640211599</v>
      </c>
      <c r="L194" s="364">
        <v>60</v>
      </c>
      <c r="M194" s="365">
        <v>0.120967741935484</v>
      </c>
      <c r="N194" s="358"/>
      <c r="O194" s="360">
        <f t="shared" si="217"/>
        <v>86.75</v>
      </c>
      <c r="P194" s="360"/>
      <c r="Q194" s="360">
        <f t="shared" si="218"/>
        <v>75</v>
      </c>
      <c r="R194" s="360"/>
      <c r="S194" s="360">
        <f t="shared" si="219"/>
        <v>78.5</v>
      </c>
      <c r="T194" s="360"/>
      <c r="U194" s="360">
        <f t="shared" si="220"/>
        <v>47.75</v>
      </c>
      <c r="V194" s="360"/>
      <c r="W194" s="360">
        <f t="shared" si="221"/>
        <v>81.5</v>
      </c>
      <c r="X194" s="360"/>
      <c r="Y194" s="360">
        <f t="shared" si="222"/>
        <v>61</v>
      </c>
      <c r="Z194" s="358"/>
      <c r="AA194" s="359">
        <f t="shared" si="223"/>
        <v>347</v>
      </c>
      <c r="AB194" s="359"/>
      <c r="AC194" s="359">
        <f t="shared" si="224"/>
        <v>300</v>
      </c>
      <c r="AD194" s="359"/>
      <c r="AE194" s="359">
        <f t="shared" si="225"/>
        <v>314</v>
      </c>
      <c r="AF194" s="359"/>
      <c r="AG194" s="359">
        <f t="shared" si="226"/>
        <v>191</v>
      </c>
      <c r="AH194" s="359"/>
      <c r="AI194" s="359">
        <f t="shared" si="227"/>
        <v>326</v>
      </c>
      <c r="AJ194" s="359"/>
      <c r="AK194" s="359">
        <f t="shared" si="228"/>
        <v>244</v>
      </c>
    </row>
    <row r="196" spans="1:39" ht="14.4" x14ac:dyDescent="0.3">
      <c r="A196" s="363" t="s">
        <v>89</v>
      </c>
      <c r="B196" s="364" t="s">
        <v>12</v>
      </c>
      <c r="C196" s="365">
        <v>568</v>
      </c>
      <c r="D196" s="364" t="s">
        <v>13</v>
      </c>
      <c r="E196" s="365">
        <v>447</v>
      </c>
      <c r="F196" s="364" t="s">
        <v>14</v>
      </c>
      <c r="G196" s="365">
        <v>420</v>
      </c>
      <c r="H196" s="364" t="s">
        <v>15</v>
      </c>
      <c r="I196" s="365">
        <v>455</v>
      </c>
      <c r="J196" s="364" t="s">
        <v>16</v>
      </c>
      <c r="K196" s="365">
        <v>335</v>
      </c>
      <c r="L196" s="364" t="s">
        <v>17</v>
      </c>
      <c r="M196" s="365">
        <v>368</v>
      </c>
      <c r="N196" s="358"/>
      <c r="O196" s="360" t="s">
        <v>12</v>
      </c>
      <c r="P196" s="360"/>
      <c r="Q196" s="360" t="s">
        <v>13</v>
      </c>
      <c r="R196" s="360"/>
      <c r="S196" s="360" t="s">
        <v>14</v>
      </c>
      <c r="T196" s="360"/>
      <c r="U196" s="360" t="s">
        <v>15</v>
      </c>
      <c r="V196" s="360"/>
      <c r="W196" s="360" t="s">
        <v>16</v>
      </c>
      <c r="X196" s="360"/>
      <c r="Y196" s="360" t="s">
        <v>17</v>
      </c>
      <c r="Z196" s="358"/>
      <c r="AA196" s="359" t="s">
        <v>12</v>
      </c>
      <c r="AB196" s="359"/>
      <c r="AC196" s="359" t="s">
        <v>13</v>
      </c>
      <c r="AD196" s="359"/>
      <c r="AE196" s="359" t="s">
        <v>14</v>
      </c>
      <c r="AF196" s="359"/>
      <c r="AG196" s="359" t="s">
        <v>15</v>
      </c>
      <c r="AH196" s="359"/>
      <c r="AI196" s="359" t="s">
        <v>16</v>
      </c>
      <c r="AJ196" s="359"/>
      <c r="AK196" s="359" t="s">
        <v>17</v>
      </c>
      <c r="AL196" s="358"/>
      <c r="AM196" s="358">
        <f>AM206+1</f>
        <v>3</v>
      </c>
    </row>
    <row r="197" spans="1:39" ht="14.4" x14ac:dyDescent="0.3">
      <c r="A197" s="363"/>
      <c r="B197" s="364">
        <v>97</v>
      </c>
      <c r="C197" s="365">
        <v>0.17077464788732399</v>
      </c>
      <c r="D197" s="364">
        <v>70</v>
      </c>
      <c r="E197" s="365">
        <v>0.156599552572707</v>
      </c>
      <c r="F197" s="364">
        <v>70</v>
      </c>
      <c r="G197" s="365">
        <v>0.16666666666666699</v>
      </c>
      <c r="H197" s="364">
        <v>97</v>
      </c>
      <c r="I197" s="365">
        <v>0.21318681318681301</v>
      </c>
      <c r="J197" s="364">
        <v>50</v>
      </c>
      <c r="K197" s="365">
        <v>0.14925373134328401</v>
      </c>
      <c r="L197" s="364">
        <v>50</v>
      </c>
      <c r="M197" s="365">
        <v>0.13586956521739099</v>
      </c>
      <c r="N197" s="358"/>
      <c r="O197" s="360">
        <f t="shared" ref="O197:O204" si="229">AA197/$AM$196</f>
        <v>83.333333333333329</v>
      </c>
      <c r="P197" s="360"/>
      <c r="Q197" s="360">
        <f t="shared" ref="Q197:Q204" si="230">AC197/$AM$196</f>
        <v>76.666666666666671</v>
      </c>
      <c r="R197" s="360"/>
      <c r="S197" s="360">
        <f t="shared" ref="S197:S204" si="231">AE197/$AM$196</f>
        <v>81.333333333333329</v>
      </c>
      <c r="T197" s="360"/>
      <c r="U197" s="360">
        <f t="shared" ref="U197:U204" si="232">AG197/$AM$196</f>
        <v>40.333333333333336</v>
      </c>
      <c r="V197" s="360"/>
      <c r="W197" s="360">
        <f t="shared" ref="W197:W204" si="233">AI197/$AM$196</f>
        <v>81.333333333333329</v>
      </c>
      <c r="X197" s="360"/>
      <c r="Y197" s="360">
        <f t="shared" ref="Y197:Y204" si="234">AK197/$AM$196</f>
        <v>59.333333333333336</v>
      </c>
      <c r="Z197" s="358"/>
      <c r="AA197" s="359">
        <f t="shared" ref="AA197:AA204" si="235">(B227+B217+B207)</f>
        <v>250</v>
      </c>
      <c r="AB197" s="359"/>
      <c r="AC197" s="359">
        <f t="shared" ref="AC197:AC204" si="236">(D227+D217+D207)</f>
        <v>230</v>
      </c>
      <c r="AD197" s="359"/>
      <c r="AE197" s="359">
        <f t="shared" ref="AE197:AE204" si="237">(F227+F217+F207)</f>
        <v>244</v>
      </c>
      <c r="AF197" s="359"/>
      <c r="AG197" s="359">
        <f t="shared" ref="AG197:AG204" si="238">(H227+H217+H207)</f>
        <v>121</v>
      </c>
      <c r="AH197" s="359"/>
      <c r="AI197" s="359">
        <f t="shared" ref="AI197:AI204" si="239">(J227+J217+J207)</f>
        <v>244</v>
      </c>
      <c r="AJ197" s="359"/>
      <c r="AK197" s="359">
        <f t="shared" ref="AK197:AK204" si="240">(L227+L217+L207)</f>
        <v>178</v>
      </c>
      <c r="AL197" s="358"/>
      <c r="AM197" s="366"/>
    </row>
    <row r="198" spans="1:39" ht="14.4" x14ac:dyDescent="0.3">
      <c r="A198" s="363"/>
      <c r="B198" s="364">
        <v>83</v>
      </c>
      <c r="C198" s="365">
        <v>0.14612676056338</v>
      </c>
      <c r="D198" s="364">
        <v>70</v>
      </c>
      <c r="E198" s="365">
        <v>0.156599552572707</v>
      </c>
      <c r="F198" s="364">
        <v>70</v>
      </c>
      <c r="G198" s="365">
        <v>0.16666666666666699</v>
      </c>
      <c r="H198" s="364">
        <v>83</v>
      </c>
      <c r="I198" s="365">
        <v>0.18241758241758199</v>
      </c>
      <c r="J198" s="364">
        <v>66</v>
      </c>
      <c r="K198" s="365">
        <v>0.197014925373134</v>
      </c>
      <c r="L198" s="364">
        <v>66</v>
      </c>
      <c r="M198" s="365">
        <v>0.17934782608695701</v>
      </c>
      <c r="N198" s="358"/>
      <c r="O198" s="360">
        <f t="shared" si="229"/>
        <v>88</v>
      </c>
      <c r="P198" s="360"/>
      <c r="Q198" s="360">
        <f t="shared" si="230"/>
        <v>76.666666666666671</v>
      </c>
      <c r="R198" s="360"/>
      <c r="S198" s="360">
        <f t="shared" si="231"/>
        <v>86.666666666666671</v>
      </c>
      <c r="T198" s="360"/>
      <c r="U198" s="360">
        <f t="shared" si="232"/>
        <v>40.333333333333336</v>
      </c>
      <c r="V198" s="360"/>
      <c r="W198" s="360">
        <f t="shared" si="233"/>
        <v>81.333333333333329</v>
      </c>
      <c r="X198" s="360"/>
      <c r="Y198" s="360">
        <f t="shared" si="234"/>
        <v>59.333333333333336</v>
      </c>
      <c r="Z198" s="358"/>
      <c r="AA198" s="359">
        <f t="shared" si="235"/>
        <v>264</v>
      </c>
      <c r="AB198" s="359"/>
      <c r="AC198" s="359">
        <f t="shared" si="236"/>
        <v>230</v>
      </c>
      <c r="AD198" s="359"/>
      <c r="AE198" s="359">
        <f t="shared" si="237"/>
        <v>260</v>
      </c>
      <c r="AF198" s="359"/>
      <c r="AG198" s="359">
        <f t="shared" si="238"/>
        <v>121</v>
      </c>
      <c r="AH198" s="359"/>
      <c r="AI198" s="359">
        <f t="shared" si="239"/>
        <v>244</v>
      </c>
      <c r="AJ198" s="359"/>
      <c r="AK198" s="359">
        <f t="shared" si="240"/>
        <v>178</v>
      </c>
      <c r="AL198" s="358"/>
      <c r="AM198" s="366"/>
    </row>
    <row r="199" spans="1:39" ht="14.4" x14ac:dyDescent="0.3">
      <c r="A199" s="363"/>
      <c r="B199" s="364">
        <v>97</v>
      </c>
      <c r="C199" s="365">
        <v>0.17077464788732399</v>
      </c>
      <c r="D199" s="364">
        <v>70</v>
      </c>
      <c r="E199" s="365">
        <v>0.156599552572707</v>
      </c>
      <c r="F199" s="364">
        <v>70</v>
      </c>
      <c r="G199" s="365">
        <v>0.16666666666666699</v>
      </c>
      <c r="H199" s="364">
        <v>25</v>
      </c>
      <c r="I199" s="365">
        <v>5.4945054945054903E-2</v>
      </c>
      <c r="J199" s="364">
        <v>50</v>
      </c>
      <c r="K199" s="365">
        <v>0.14925373134328401</v>
      </c>
      <c r="L199" s="364">
        <v>50</v>
      </c>
      <c r="M199" s="365">
        <v>0.13586956521739099</v>
      </c>
      <c r="N199" s="358"/>
      <c r="O199" s="360">
        <f t="shared" si="229"/>
        <v>88</v>
      </c>
      <c r="P199" s="360"/>
      <c r="Q199" s="360">
        <f t="shared" si="230"/>
        <v>77.333333333333329</v>
      </c>
      <c r="R199" s="360"/>
      <c r="S199" s="360">
        <f t="shared" si="231"/>
        <v>86.666666666666671</v>
      </c>
      <c r="T199" s="360"/>
      <c r="U199" s="360">
        <f t="shared" si="232"/>
        <v>36</v>
      </c>
      <c r="V199" s="360"/>
      <c r="W199" s="360">
        <f t="shared" si="233"/>
        <v>81.333333333333329</v>
      </c>
      <c r="X199" s="360"/>
      <c r="Y199" s="360">
        <f t="shared" si="234"/>
        <v>59.333333333333336</v>
      </c>
      <c r="Z199" s="358"/>
      <c r="AA199" s="359">
        <f t="shared" si="235"/>
        <v>264</v>
      </c>
      <c r="AB199" s="359"/>
      <c r="AC199" s="359">
        <f t="shared" si="236"/>
        <v>232</v>
      </c>
      <c r="AD199" s="359"/>
      <c r="AE199" s="359">
        <f t="shared" si="237"/>
        <v>260</v>
      </c>
      <c r="AF199" s="359"/>
      <c r="AG199" s="359">
        <f t="shared" si="238"/>
        <v>108</v>
      </c>
      <c r="AH199" s="359"/>
      <c r="AI199" s="359">
        <f t="shared" si="239"/>
        <v>244</v>
      </c>
      <c r="AJ199" s="359"/>
      <c r="AK199" s="359">
        <f t="shared" si="240"/>
        <v>178</v>
      </c>
      <c r="AL199" s="358"/>
      <c r="AM199" s="366"/>
    </row>
    <row r="200" spans="1:39" ht="14.4" x14ac:dyDescent="0.3">
      <c r="A200" s="363"/>
      <c r="B200" s="364">
        <v>97</v>
      </c>
      <c r="C200" s="365">
        <v>0.17077464788732399</v>
      </c>
      <c r="D200" s="364">
        <v>97</v>
      </c>
      <c r="E200" s="365">
        <v>0.21700223713646499</v>
      </c>
      <c r="F200" s="364">
        <v>70</v>
      </c>
      <c r="G200" s="365">
        <v>0.16666666666666699</v>
      </c>
      <c r="H200" s="364">
        <v>70</v>
      </c>
      <c r="I200" s="365">
        <v>0.15384615384615399</v>
      </c>
      <c r="J200" s="364">
        <v>37</v>
      </c>
      <c r="K200" s="365">
        <v>0.11044776119403001</v>
      </c>
      <c r="L200" s="364">
        <v>70</v>
      </c>
      <c r="M200" s="365">
        <v>0.190217391304348</v>
      </c>
      <c r="N200" s="358"/>
      <c r="O200" s="360">
        <f t="shared" si="229"/>
        <v>88</v>
      </c>
      <c r="P200" s="360"/>
      <c r="Q200" s="360">
        <f t="shared" si="230"/>
        <v>72</v>
      </c>
      <c r="R200" s="360"/>
      <c r="S200" s="360">
        <f t="shared" si="231"/>
        <v>86.666666666666671</v>
      </c>
      <c r="T200" s="360"/>
      <c r="U200" s="360">
        <f t="shared" si="232"/>
        <v>36</v>
      </c>
      <c r="V200" s="360"/>
      <c r="W200" s="360">
        <f t="shared" si="233"/>
        <v>81.333333333333329</v>
      </c>
      <c r="X200" s="360"/>
      <c r="Y200" s="360">
        <f t="shared" si="234"/>
        <v>59.333333333333336</v>
      </c>
      <c r="Z200" s="358"/>
      <c r="AA200" s="359">
        <f t="shared" si="235"/>
        <v>264</v>
      </c>
      <c r="AB200" s="359"/>
      <c r="AC200" s="359">
        <f t="shared" si="236"/>
        <v>216</v>
      </c>
      <c r="AD200" s="359"/>
      <c r="AE200" s="359">
        <f t="shared" si="237"/>
        <v>260</v>
      </c>
      <c r="AF200" s="359"/>
      <c r="AG200" s="359">
        <f t="shared" si="238"/>
        <v>108</v>
      </c>
      <c r="AH200" s="359"/>
      <c r="AI200" s="359">
        <f t="shared" si="239"/>
        <v>244</v>
      </c>
      <c r="AJ200" s="359"/>
      <c r="AK200" s="359">
        <f t="shared" si="240"/>
        <v>178</v>
      </c>
      <c r="AL200" s="358"/>
      <c r="AM200" s="366"/>
    </row>
    <row r="201" spans="1:39" ht="14.4" x14ac:dyDescent="0.3">
      <c r="A201" s="363"/>
      <c r="B201" s="364">
        <v>97</v>
      </c>
      <c r="C201" s="365">
        <v>0.17077464788732399</v>
      </c>
      <c r="D201" s="364">
        <v>70</v>
      </c>
      <c r="E201" s="365">
        <v>0.156599552572707</v>
      </c>
      <c r="F201" s="364">
        <v>70</v>
      </c>
      <c r="G201" s="365">
        <v>0.16666666666666699</v>
      </c>
      <c r="H201" s="364">
        <v>97</v>
      </c>
      <c r="I201" s="365">
        <v>0.21318681318681301</v>
      </c>
      <c r="J201" s="364">
        <v>66</v>
      </c>
      <c r="K201" s="365">
        <v>0.197014925373134</v>
      </c>
      <c r="L201" s="364">
        <v>66</v>
      </c>
      <c r="M201" s="365">
        <v>0.17934782608695701</v>
      </c>
      <c r="N201" s="358"/>
      <c r="O201" s="360">
        <f t="shared" si="229"/>
        <v>97</v>
      </c>
      <c r="P201" s="360"/>
      <c r="Q201" s="360">
        <f t="shared" si="230"/>
        <v>82</v>
      </c>
      <c r="R201" s="360"/>
      <c r="S201" s="360">
        <f t="shared" si="231"/>
        <v>82</v>
      </c>
      <c r="T201" s="360"/>
      <c r="U201" s="360">
        <f t="shared" si="232"/>
        <v>13</v>
      </c>
      <c r="V201" s="360"/>
      <c r="W201" s="360">
        <f t="shared" si="233"/>
        <v>77.666666666666671</v>
      </c>
      <c r="X201" s="360"/>
      <c r="Y201" s="360">
        <f t="shared" si="234"/>
        <v>52.666666666666664</v>
      </c>
      <c r="Z201" s="358"/>
      <c r="AA201" s="359">
        <f t="shared" si="235"/>
        <v>291</v>
      </c>
      <c r="AB201" s="359"/>
      <c r="AC201" s="359">
        <f t="shared" si="236"/>
        <v>246</v>
      </c>
      <c r="AD201" s="359"/>
      <c r="AE201" s="359">
        <f t="shared" si="237"/>
        <v>246</v>
      </c>
      <c r="AF201" s="359"/>
      <c r="AG201" s="359">
        <f t="shared" si="238"/>
        <v>39</v>
      </c>
      <c r="AH201" s="359"/>
      <c r="AI201" s="359">
        <f t="shared" si="239"/>
        <v>233</v>
      </c>
      <c r="AJ201" s="359"/>
      <c r="AK201" s="359">
        <f t="shared" si="240"/>
        <v>158</v>
      </c>
      <c r="AL201" s="358"/>
      <c r="AM201" s="366"/>
    </row>
    <row r="202" spans="1:39" ht="14.4" x14ac:dyDescent="0.3">
      <c r="A202" s="363"/>
      <c r="B202" s="364">
        <v>97</v>
      </c>
      <c r="C202" s="365">
        <v>0.17077464788732399</v>
      </c>
      <c r="D202" s="364">
        <v>70</v>
      </c>
      <c r="E202" s="365">
        <v>0.156599552572707</v>
      </c>
      <c r="F202" s="364">
        <v>70</v>
      </c>
      <c r="G202" s="365">
        <v>0.16666666666666699</v>
      </c>
      <c r="H202" s="364">
        <v>83</v>
      </c>
      <c r="I202" s="365">
        <v>0.18241758241758199</v>
      </c>
      <c r="J202" s="364">
        <v>66</v>
      </c>
      <c r="K202" s="365">
        <v>0.197014925373134</v>
      </c>
      <c r="L202" s="364">
        <v>66</v>
      </c>
      <c r="M202" s="365">
        <v>0.17934782608695701</v>
      </c>
      <c r="N202" s="358"/>
      <c r="O202" s="360">
        <f t="shared" si="229"/>
        <v>83.333333333333329</v>
      </c>
      <c r="P202" s="360"/>
      <c r="Q202" s="360">
        <f t="shared" si="230"/>
        <v>76.666666666666671</v>
      </c>
      <c r="R202" s="360"/>
      <c r="S202" s="360">
        <f t="shared" si="231"/>
        <v>81.333333333333329</v>
      </c>
      <c r="T202" s="360"/>
      <c r="U202" s="360">
        <f t="shared" si="232"/>
        <v>36</v>
      </c>
      <c r="V202" s="360"/>
      <c r="W202" s="360">
        <f t="shared" si="233"/>
        <v>86.666666666666671</v>
      </c>
      <c r="X202" s="360"/>
      <c r="Y202" s="360">
        <f t="shared" si="234"/>
        <v>59.333333333333336</v>
      </c>
      <c r="Z202" s="358"/>
      <c r="AA202" s="359">
        <f t="shared" si="235"/>
        <v>250</v>
      </c>
      <c r="AB202" s="359"/>
      <c r="AC202" s="359">
        <f t="shared" si="236"/>
        <v>230</v>
      </c>
      <c r="AD202" s="359"/>
      <c r="AE202" s="359">
        <f t="shared" si="237"/>
        <v>244</v>
      </c>
      <c r="AF202" s="359"/>
      <c r="AG202" s="359">
        <f t="shared" si="238"/>
        <v>108</v>
      </c>
      <c r="AH202" s="359"/>
      <c r="AI202" s="359">
        <f t="shared" si="239"/>
        <v>260</v>
      </c>
      <c r="AJ202" s="359"/>
      <c r="AK202" s="359">
        <f t="shared" si="240"/>
        <v>178</v>
      </c>
      <c r="AL202" s="358"/>
      <c r="AM202" s="366"/>
    </row>
    <row r="203" spans="1:39" ht="14.4" x14ac:dyDescent="0.3">
      <c r="A203" s="363"/>
      <c r="B203" s="364">
        <v>97</v>
      </c>
      <c r="C203" s="365">
        <v>0.17077464788732399</v>
      </c>
      <c r="D203" s="364">
        <v>70</v>
      </c>
      <c r="E203" s="365">
        <v>0.156599552572707</v>
      </c>
      <c r="F203" s="364">
        <v>70</v>
      </c>
      <c r="G203" s="365">
        <v>0.16666666666666699</v>
      </c>
      <c r="H203" s="364">
        <v>97</v>
      </c>
      <c r="I203" s="365">
        <v>0.21318681318681301</v>
      </c>
      <c r="J203" s="364">
        <v>66</v>
      </c>
      <c r="K203" s="365">
        <v>0.197014925373134</v>
      </c>
      <c r="L203" s="364">
        <v>66</v>
      </c>
      <c r="M203" s="365">
        <v>0.17934782608695701</v>
      </c>
      <c r="N203" s="358"/>
      <c r="O203" s="360">
        <f t="shared" si="229"/>
        <v>97</v>
      </c>
      <c r="P203" s="360"/>
      <c r="Q203" s="360">
        <f t="shared" si="230"/>
        <v>82</v>
      </c>
      <c r="R203" s="360"/>
      <c r="S203" s="360">
        <f t="shared" si="231"/>
        <v>82</v>
      </c>
      <c r="T203" s="360"/>
      <c r="U203" s="360">
        <f t="shared" si="232"/>
        <v>13</v>
      </c>
      <c r="V203" s="360"/>
      <c r="W203" s="360">
        <f t="shared" si="233"/>
        <v>77.666666666666671</v>
      </c>
      <c r="X203" s="360"/>
      <c r="Y203" s="360">
        <f t="shared" si="234"/>
        <v>52.666666666666664</v>
      </c>
      <c r="Z203" s="358"/>
      <c r="AA203" s="359">
        <f t="shared" si="235"/>
        <v>291</v>
      </c>
      <c r="AB203" s="359"/>
      <c r="AC203" s="359">
        <f t="shared" si="236"/>
        <v>246</v>
      </c>
      <c r="AD203" s="359"/>
      <c r="AE203" s="359">
        <f t="shared" si="237"/>
        <v>246</v>
      </c>
      <c r="AF203" s="359"/>
      <c r="AG203" s="359">
        <f t="shared" si="238"/>
        <v>39</v>
      </c>
      <c r="AH203" s="359"/>
      <c r="AI203" s="359">
        <f t="shared" si="239"/>
        <v>233</v>
      </c>
      <c r="AJ203" s="359"/>
      <c r="AK203" s="359">
        <f t="shared" si="240"/>
        <v>158</v>
      </c>
      <c r="AL203" s="358"/>
      <c r="AM203" s="366"/>
    </row>
    <row r="204" spans="1:39" ht="13.5" customHeight="1" x14ac:dyDescent="0.3">
      <c r="A204" s="363"/>
      <c r="B204" s="364">
        <v>97</v>
      </c>
      <c r="C204" s="365">
        <v>0.17077464788732399</v>
      </c>
      <c r="D204" s="364">
        <v>70</v>
      </c>
      <c r="E204" s="365">
        <v>0.156599552572707</v>
      </c>
      <c r="F204" s="364">
        <v>70</v>
      </c>
      <c r="G204" s="365">
        <v>0.16666666666666699</v>
      </c>
      <c r="H204" s="364">
        <v>83</v>
      </c>
      <c r="I204" s="365">
        <v>0.18241758241758199</v>
      </c>
      <c r="J204" s="364">
        <v>66</v>
      </c>
      <c r="K204" s="365">
        <v>0.197014925373134</v>
      </c>
      <c r="L204" s="364">
        <v>66</v>
      </c>
      <c r="M204" s="365">
        <v>0.17934782608695701</v>
      </c>
      <c r="N204" s="358"/>
      <c r="O204" s="360">
        <f t="shared" si="229"/>
        <v>83.333333333333329</v>
      </c>
      <c r="P204" s="360"/>
      <c r="Q204" s="360">
        <f t="shared" si="230"/>
        <v>76.666666666666671</v>
      </c>
      <c r="R204" s="360"/>
      <c r="S204" s="360">
        <f t="shared" si="231"/>
        <v>81.333333333333329</v>
      </c>
      <c r="T204" s="360"/>
      <c r="U204" s="360">
        <f t="shared" si="232"/>
        <v>36</v>
      </c>
      <c r="V204" s="360"/>
      <c r="W204" s="360">
        <f t="shared" si="233"/>
        <v>86.666666666666671</v>
      </c>
      <c r="X204" s="360"/>
      <c r="Y204" s="360">
        <f t="shared" si="234"/>
        <v>59.333333333333336</v>
      </c>
      <c r="Z204" s="358"/>
      <c r="AA204" s="359">
        <f t="shared" si="235"/>
        <v>250</v>
      </c>
      <c r="AB204" s="359"/>
      <c r="AC204" s="359">
        <f t="shared" si="236"/>
        <v>230</v>
      </c>
      <c r="AD204" s="359"/>
      <c r="AE204" s="359">
        <f t="shared" si="237"/>
        <v>244</v>
      </c>
      <c r="AF204" s="359"/>
      <c r="AG204" s="359">
        <f t="shared" si="238"/>
        <v>108</v>
      </c>
      <c r="AH204" s="359"/>
      <c r="AI204" s="359">
        <f t="shared" si="239"/>
        <v>260</v>
      </c>
      <c r="AJ204" s="359"/>
      <c r="AK204" s="359">
        <f t="shared" si="240"/>
        <v>178</v>
      </c>
      <c r="AL204" s="358"/>
      <c r="AM204" s="366"/>
    </row>
    <row r="206" spans="1:39" ht="14.4" x14ac:dyDescent="0.3">
      <c r="A206" s="363" t="s">
        <v>90</v>
      </c>
      <c r="B206" s="364" t="s">
        <v>12</v>
      </c>
      <c r="C206" s="365">
        <v>582</v>
      </c>
      <c r="D206" s="364" t="s">
        <v>13</v>
      </c>
      <c r="E206" s="365">
        <v>540</v>
      </c>
      <c r="F206" s="364" t="s">
        <v>14</v>
      </c>
      <c r="G206" s="365">
        <v>568</v>
      </c>
      <c r="H206" s="364" t="s">
        <v>15</v>
      </c>
      <c r="I206" s="365">
        <v>364</v>
      </c>
      <c r="J206" s="364" t="s">
        <v>16</v>
      </c>
      <c r="K206" s="365">
        <v>555</v>
      </c>
      <c r="L206" s="364" t="s">
        <v>17</v>
      </c>
      <c r="M206" s="365">
        <v>400</v>
      </c>
      <c r="N206" s="358"/>
      <c r="O206" s="360" t="s">
        <v>12</v>
      </c>
      <c r="P206" s="360"/>
      <c r="Q206" s="360" t="s">
        <v>13</v>
      </c>
      <c r="R206" s="360"/>
      <c r="S206" s="360" t="s">
        <v>14</v>
      </c>
      <c r="T206" s="360"/>
      <c r="U206" s="360" t="s">
        <v>15</v>
      </c>
      <c r="V206" s="360"/>
      <c r="W206" s="360" t="s">
        <v>16</v>
      </c>
      <c r="X206" s="360"/>
      <c r="Y206" s="360" t="s">
        <v>17</v>
      </c>
      <c r="Z206" s="358"/>
      <c r="AA206" s="359" t="s">
        <v>12</v>
      </c>
      <c r="AB206" s="359"/>
      <c r="AC206" s="359" t="s">
        <v>13</v>
      </c>
      <c r="AD206" s="359"/>
      <c r="AE206" s="359" t="s">
        <v>14</v>
      </c>
      <c r="AF206" s="359"/>
      <c r="AG206" s="359" t="s">
        <v>15</v>
      </c>
      <c r="AH206" s="359"/>
      <c r="AI206" s="359" t="s">
        <v>16</v>
      </c>
      <c r="AJ206" s="359"/>
      <c r="AK206" s="359" t="s">
        <v>17</v>
      </c>
      <c r="AL206" s="358"/>
      <c r="AM206" s="358">
        <f>AM216+1</f>
        <v>2</v>
      </c>
    </row>
    <row r="207" spans="1:39" ht="14.4" x14ac:dyDescent="0.3">
      <c r="A207" s="363"/>
      <c r="B207" s="364">
        <v>97</v>
      </c>
      <c r="C207" s="365">
        <v>0.16666666666666699</v>
      </c>
      <c r="D207" s="364">
        <v>83</v>
      </c>
      <c r="E207" s="365">
        <v>0.15370370370370401</v>
      </c>
      <c r="F207" s="364">
        <v>97</v>
      </c>
      <c r="G207" s="365">
        <v>0.17077464788732399</v>
      </c>
      <c r="H207" s="364">
        <v>83</v>
      </c>
      <c r="I207" s="365">
        <v>0.22802197802197799</v>
      </c>
      <c r="J207" s="364">
        <v>97</v>
      </c>
      <c r="K207" s="365">
        <v>0.17477477477477499</v>
      </c>
      <c r="L207" s="364">
        <v>70</v>
      </c>
      <c r="M207" s="365">
        <v>0.17499999999999999</v>
      </c>
      <c r="N207" s="358"/>
      <c r="O207" s="360">
        <f t="shared" ref="O207:O214" si="241">AA207/$AM$206</f>
        <v>76.5</v>
      </c>
      <c r="P207" s="360"/>
      <c r="Q207" s="360">
        <f t="shared" ref="Q207:Q214" si="242">AC207/$AM$206</f>
        <v>73.5</v>
      </c>
      <c r="R207" s="360"/>
      <c r="S207" s="360">
        <f t="shared" ref="S207:S214" si="243">AE207/$AM$206</f>
        <v>73.5</v>
      </c>
      <c r="T207" s="360"/>
      <c r="U207" s="360">
        <f t="shared" ref="U207:U214" si="244">AG207/$AM$206</f>
        <v>19</v>
      </c>
      <c r="V207" s="360"/>
      <c r="W207" s="360">
        <f t="shared" ref="W207:W214" si="245">AI207/$AM$206</f>
        <v>73.5</v>
      </c>
      <c r="X207" s="360"/>
      <c r="Y207" s="360">
        <f t="shared" ref="Y207:Y214" si="246">AK207/$AM$206</f>
        <v>54</v>
      </c>
      <c r="Z207" s="358"/>
      <c r="AA207" s="359">
        <f t="shared" ref="AA207:AA214" si="247">(B227+B217)</f>
        <v>153</v>
      </c>
      <c r="AB207" s="359"/>
      <c r="AC207" s="359">
        <f t="shared" ref="AC207:AC214" si="248">(D227+D217)</f>
        <v>147</v>
      </c>
      <c r="AD207" s="359"/>
      <c r="AE207" s="359">
        <f t="shared" ref="AE207:AE214" si="249">(F227+F217)</f>
        <v>147</v>
      </c>
      <c r="AF207" s="359"/>
      <c r="AG207" s="359">
        <f t="shared" ref="AG207:AG214" si="250">(H227+H217)</f>
        <v>38</v>
      </c>
      <c r="AH207" s="359"/>
      <c r="AI207" s="359">
        <f t="shared" ref="AI207:AI214" si="251">(J227+J217)</f>
        <v>147</v>
      </c>
      <c r="AJ207" s="359"/>
      <c r="AK207" s="359">
        <f t="shared" ref="AK207:AK214" si="252">(L227+L217)</f>
        <v>108</v>
      </c>
      <c r="AL207" s="358"/>
      <c r="AM207" s="366"/>
    </row>
    <row r="208" spans="1:39" ht="14.4" x14ac:dyDescent="0.3">
      <c r="A208" s="363"/>
      <c r="B208" s="364">
        <v>97</v>
      </c>
      <c r="C208" s="365">
        <v>0.16666666666666699</v>
      </c>
      <c r="D208" s="364">
        <v>97</v>
      </c>
      <c r="E208" s="365">
        <v>0.17962962962963</v>
      </c>
      <c r="F208" s="364">
        <v>97</v>
      </c>
      <c r="G208" s="365">
        <v>0.17077464788732399</v>
      </c>
      <c r="H208" s="364">
        <v>70</v>
      </c>
      <c r="I208" s="365">
        <v>0.19230769230769201</v>
      </c>
      <c r="J208" s="364">
        <v>97</v>
      </c>
      <c r="K208" s="365">
        <v>0.17477477477477499</v>
      </c>
      <c r="L208" s="364">
        <v>70</v>
      </c>
      <c r="M208" s="365">
        <v>0.17499999999999999</v>
      </c>
      <c r="N208" s="358"/>
      <c r="O208" s="360">
        <f t="shared" si="241"/>
        <v>83.5</v>
      </c>
      <c r="P208" s="360"/>
      <c r="Q208" s="360">
        <f t="shared" si="242"/>
        <v>66.5</v>
      </c>
      <c r="R208" s="360"/>
      <c r="S208" s="360">
        <f t="shared" si="243"/>
        <v>81.5</v>
      </c>
      <c r="T208" s="360"/>
      <c r="U208" s="360">
        <f t="shared" si="244"/>
        <v>25.5</v>
      </c>
      <c r="V208" s="360"/>
      <c r="W208" s="360">
        <f t="shared" si="245"/>
        <v>73.5</v>
      </c>
      <c r="X208" s="360"/>
      <c r="Y208" s="360">
        <f t="shared" si="246"/>
        <v>54</v>
      </c>
      <c r="Z208" s="358"/>
      <c r="AA208" s="359">
        <f t="shared" si="247"/>
        <v>167</v>
      </c>
      <c r="AB208" s="359"/>
      <c r="AC208" s="359">
        <f t="shared" si="248"/>
        <v>133</v>
      </c>
      <c r="AD208" s="359"/>
      <c r="AE208" s="359">
        <f t="shared" si="249"/>
        <v>163</v>
      </c>
      <c r="AF208" s="359"/>
      <c r="AG208" s="359">
        <f t="shared" si="250"/>
        <v>51</v>
      </c>
      <c r="AH208" s="359"/>
      <c r="AI208" s="359">
        <f t="shared" si="251"/>
        <v>147</v>
      </c>
      <c r="AJ208" s="359"/>
      <c r="AK208" s="359">
        <f t="shared" si="252"/>
        <v>108</v>
      </c>
      <c r="AL208" s="358"/>
      <c r="AM208" s="366"/>
    </row>
    <row r="209" spans="1:39" ht="14.4" x14ac:dyDescent="0.3">
      <c r="A209" s="363"/>
      <c r="B209" s="364">
        <v>97</v>
      </c>
      <c r="C209" s="365">
        <v>0.16666666666666699</v>
      </c>
      <c r="D209" s="364">
        <v>83</v>
      </c>
      <c r="E209" s="365">
        <v>0.15370370370370401</v>
      </c>
      <c r="F209" s="364">
        <v>97</v>
      </c>
      <c r="G209" s="365">
        <v>0.17077464788732399</v>
      </c>
      <c r="H209" s="364">
        <v>70</v>
      </c>
      <c r="I209" s="365">
        <v>0.19230769230769201</v>
      </c>
      <c r="J209" s="364">
        <v>97</v>
      </c>
      <c r="K209" s="365">
        <v>0.17477477477477499</v>
      </c>
      <c r="L209" s="364">
        <v>70</v>
      </c>
      <c r="M209" s="365">
        <v>0.17499999999999999</v>
      </c>
      <c r="N209" s="358"/>
      <c r="O209" s="360">
        <f t="shared" si="241"/>
        <v>83.5</v>
      </c>
      <c r="P209" s="360"/>
      <c r="Q209" s="360">
        <f t="shared" si="242"/>
        <v>74.5</v>
      </c>
      <c r="R209" s="360"/>
      <c r="S209" s="360">
        <f t="shared" si="243"/>
        <v>81.5</v>
      </c>
      <c r="T209" s="360"/>
      <c r="U209" s="360">
        <f t="shared" si="244"/>
        <v>19</v>
      </c>
      <c r="V209" s="360"/>
      <c r="W209" s="360">
        <f t="shared" si="245"/>
        <v>73.5</v>
      </c>
      <c r="X209" s="360"/>
      <c r="Y209" s="360">
        <f t="shared" si="246"/>
        <v>54</v>
      </c>
      <c r="Z209" s="358"/>
      <c r="AA209" s="359">
        <f t="shared" si="247"/>
        <v>167</v>
      </c>
      <c r="AB209" s="359"/>
      <c r="AC209" s="359">
        <f t="shared" si="248"/>
        <v>149</v>
      </c>
      <c r="AD209" s="359"/>
      <c r="AE209" s="359">
        <f t="shared" si="249"/>
        <v>163</v>
      </c>
      <c r="AF209" s="359"/>
      <c r="AG209" s="359">
        <f t="shared" si="250"/>
        <v>38</v>
      </c>
      <c r="AH209" s="359"/>
      <c r="AI209" s="359">
        <f t="shared" si="251"/>
        <v>147</v>
      </c>
      <c r="AJ209" s="359"/>
      <c r="AK209" s="359">
        <f t="shared" si="252"/>
        <v>108</v>
      </c>
      <c r="AL209" s="358"/>
      <c r="AM209" s="366"/>
    </row>
    <row r="210" spans="1:39" ht="14.4" x14ac:dyDescent="0.3">
      <c r="A210" s="363"/>
      <c r="B210" s="364">
        <v>97</v>
      </c>
      <c r="C210" s="365">
        <v>0.16666666666666699</v>
      </c>
      <c r="D210" s="364">
        <v>83</v>
      </c>
      <c r="E210" s="365">
        <v>0.15370370370370401</v>
      </c>
      <c r="F210" s="364">
        <v>97</v>
      </c>
      <c r="G210" s="365">
        <v>0.17077464788732399</v>
      </c>
      <c r="H210" s="364">
        <v>70</v>
      </c>
      <c r="I210" s="365">
        <v>0.19230769230769201</v>
      </c>
      <c r="J210" s="364">
        <v>97</v>
      </c>
      <c r="K210" s="365">
        <v>0.17477477477477499</v>
      </c>
      <c r="L210" s="364">
        <v>70</v>
      </c>
      <c r="M210" s="365">
        <v>0.17499999999999999</v>
      </c>
      <c r="N210" s="358"/>
      <c r="O210" s="360">
        <f t="shared" si="241"/>
        <v>83.5</v>
      </c>
      <c r="P210" s="360"/>
      <c r="Q210" s="360">
        <f t="shared" si="242"/>
        <v>66.5</v>
      </c>
      <c r="R210" s="360"/>
      <c r="S210" s="360">
        <f t="shared" si="243"/>
        <v>81.5</v>
      </c>
      <c r="T210" s="360"/>
      <c r="U210" s="360">
        <f t="shared" si="244"/>
        <v>19</v>
      </c>
      <c r="V210" s="360"/>
      <c r="W210" s="360">
        <f t="shared" si="245"/>
        <v>73.5</v>
      </c>
      <c r="X210" s="360"/>
      <c r="Y210" s="360">
        <f t="shared" si="246"/>
        <v>54</v>
      </c>
      <c r="Z210" s="358"/>
      <c r="AA210" s="359">
        <f t="shared" si="247"/>
        <v>167</v>
      </c>
      <c r="AB210" s="359"/>
      <c r="AC210" s="359">
        <f t="shared" si="248"/>
        <v>133</v>
      </c>
      <c r="AD210" s="359"/>
      <c r="AE210" s="359">
        <f t="shared" si="249"/>
        <v>163</v>
      </c>
      <c r="AF210" s="359"/>
      <c r="AG210" s="359">
        <f t="shared" si="250"/>
        <v>38</v>
      </c>
      <c r="AH210" s="359"/>
      <c r="AI210" s="359">
        <f t="shared" si="251"/>
        <v>147</v>
      </c>
      <c r="AJ210" s="359"/>
      <c r="AK210" s="359">
        <f t="shared" si="252"/>
        <v>108</v>
      </c>
      <c r="AL210" s="358"/>
      <c r="AM210" s="366"/>
    </row>
    <row r="211" spans="1:39" ht="14.4" x14ac:dyDescent="0.3">
      <c r="A211" s="363"/>
      <c r="B211" s="364">
        <v>97</v>
      </c>
      <c r="C211" s="365">
        <v>0.16666666666666699</v>
      </c>
      <c r="D211" s="364">
        <v>97</v>
      </c>
      <c r="E211" s="365">
        <v>0.17962962962963</v>
      </c>
      <c r="F211" s="364">
        <v>83</v>
      </c>
      <c r="G211" s="365">
        <v>0.14612676056338</v>
      </c>
      <c r="H211" s="364">
        <v>1</v>
      </c>
      <c r="I211" s="365">
        <v>2.7472527472527501E-3</v>
      </c>
      <c r="J211" s="364">
        <v>70</v>
      </c>
      <c r="K211" s="365">
        <v>0.126126126126126</v>
      </c>
      <c r="L211" s="364">
        <v>50</v>
      </c>
      <c r="M211" s="365">
        <v>0.125</v>
      </c>
      <c r="N211" s="358"/>
      <c r="O211" s="360">
        <f t="shared" si="241"/>
        <v>97</v>
      </c>
      <c r="P211" s="360"/>
      <c r="Q211" s="360">
        <f t="shared" si="242"/>
        <v>74.5</v>
      </c>
      <c r="R211" s="360"/>
      <c r="S211" s="360">
        <f t="shared" si="243"/>
        <v>81.5</v>
      </c>
      <c r="T211" s="360"/>
      <c r="U211" s="360">
        <f t="shared" si="244"/>
        <v>19</v>
      </c>
      <c r="V211" s="360"/>
      <c r="W211" s="360">
        <f t="shared" si="245"/>
        <v>81.5</v>
      </c>
      <c r="X211" s="360"/>
      <c r="Y211" s="360">
        <f t="shared" si="246"/>
        <v>54</v>
      </c>
      <c r="Z211" s="358"/>
      <c r="AA211" s="359">
        <f t="shared" si="247"/>
        <v>194</v>
      </c>
      <c r="AB211" s="359"/>
      <c r="AC211" s="359">
        <f t="shared" si="248"/>
        <v>149</v>
      </c>
      <c r="AD211" s="359"/>
      <c r="AE211" s="359">
        <f t="shared" si="249"/>
        <v>163</v>
      </c>
      <c r="AF211" s="359"/>
      <c r="AG211" s="359">
        <f t="shared" si="250"/>
        <v>38</v>
      </c>
      <c r="AH211" s="359"/>
      <c r="AI211" s="359">
        <f t="shared" si="251"/>
        <v>163</v>
      </c>
      <c r="AJ211" s="359"/>
      <c r="AK211" s="359">
        <f t="shared" si="252"/>
        <v>108</v>
      </c>
      <c r="AL211" s="358"/>
      <c r="AM211" s="366"/>
    </row>
    <row r="212" spans="1:39" ht="14.4" x14ac:dyDescent="0.3">
      <c r="A212" s="363"/>
      <c r="B212" s="364">
        <v>97</v>
      </c>
      <c r="C212" s="365">
        <v>0.16666666666666699</v>
      </c>
      <c r="D212" s="364">
        <v>97</v>
      </c>
      <c r="E212" s="365">
        <v>0.17962962962963</v>
      </c>
      <c r="F212" s="364">
        <v>97</v>
      </c>
      <c r="G212" s="365">
        <v>0.17077464788732399</v>
      </c>
      <c r="H212" s="364">
        <v>70</v>
      </c>
      <c r="I212" s="365">
        <v>0.19230769230769201</v>
      </c>
      <c r="J212" s="364">
        <v>97</v>
      </c>
      <c r="K212" s="365">
        <v>0.17477477477477499</v>
      </c>
      <c r="L212" s="364">
        <v>70</v>
      </c>
      <c r="M212" s="365">
        <v>0.17499999999999999</v>
      </c>
      <c r="N212" s="358"/>
      <c r="O212" s="360">
        <f t="shared" si="241"/>
        <v>76.5</v>
      </c>
      <c r="P212" s="360"/>
      <c r="Q212" s="360">
        <f t="shared" si="242"/>
        <v>66.5</v>
      </c>
      <c r="R212" s="360"/>
      <c r="S212" s="360">
        <f t="shared" si="243"/>
        <v>73.5</v>
      </c>
      <c r="T212" s="360"/>
      <c r="U212" s="360">
        <f t="shared" si="244"/>
        <v>19</v>
      </c>
      <c r="V212" s="360"/>
      <c r="W212" s="360">
        <f t="shared" si="245"/>
        <v>81.5</v>
      </c>
      <c r="X212" s="360"/>
      <c r="Y212" s="360">
        <f t="shared" si="246"/>
        <v>54</v>
      </c>
      <c r="Z212" s="358"/>
      <c r="AA212" s="359">
        <f t="shared" si="247"/>
        <v>153</v>
      </c>
      <c r="AB212" s="359"/>
      <c r="AC212" s="359">
        <f t="shared" si="248"/>
        <v>133</v>
      </c>
      <c r="AD212" s="359"/>
      <c r="AE212" s="359">
        <f t="shared" si="249"/>
        <v>147</v>
      </c>
      <c r="AF212" s="359"/>
      <c r="AG212" s="359">
        <f t="shared" si="250"/>
        <v>38</v>
      </c>
      <c r="AH212" s="359"/>
      <c r="AI212" s="359">
        <f t="shared" si="251"/>
        <v>163</v>
      </c>
      <c r="AJ212" s="359"/>
      <c r="AK212" s="359">
        <f t="shared" si="252"/>
        <v>108</v>
      </c>
      <c r="AL212" s="358"/>
      <c r="AM212" s="366"/>
    </row>
    <row r="213" spans="1:39" ht="14.4" x14ac:dyDescent="0.3">
      <c r="A213" s="363"/>
      <c r="B213" s="364">
        <v>97</v>
      </c>
      <c r="C213" s="365">
        <v>0.16666666666666699</v>
      </c>
      <c r="D213" s="364">
        <v>97</v>
      </c>
      <c r="E213" s="365">
        <v>0.17962962962963</v>
      </c>
      <c r="F213" s="364">
        <v>83</v>
      </c>
      <c r="G213" s="365">
        <v>0.14612676056338</v>
      </c>
      <c r="H213" s="364">
        <v>1</v>
      </c>
      <c r="I213" s="365">
        <v>2.7472527472527501E-3</v>
      </c>
      <c r="J213" s="364">
        <v>70</v>
      </c>
      <c r="K213" s="365">
        <v>0.126126126126126</v>
      </c>
      <c r="L213" s="364">
        <v>50</v>
      </c>
      <c r="M213" s="365">
        <v>0.125</v>
      </c>
      <c r="N213" s="358"/>
      <c r="O213" s="360">
        <f t="shared" si="241"/>
        <v>97</v>
      </c>
      <c r="P213" s="360"/>
      <c r="Q213" s="360">
        <f t="shared" si="242"/>
        <v>74.5</v>
      </c>
      <c r="R213" s="360"/>
      <c r="S213" s="360">
        <f t="shared" si="243"/>
        <v>81.5</v>
      </c>
      <c r="T213" s="360"/>
      <c r="U213" s="360">
        <f t="shared" si="244"/>
        <v>19</v>
      </c>
      <c r="V213" s="360"/>
      <c r="W213" s="360">
        <f t="shared" si="245"/>
        <v>81.5</v>
      </c>
      <c r="X213" s="360"/>
      <c r="Y213" s="360">
        <f t="shared" si="246"/>
        <v>54</v>
      </c>
      <c r="Z213" s="358"/>
      <c r="AA213" s="359">
        <f t="shared" si="247"/>
        <v>194</v>
      </c>
      <c r="AB213" s="359"/>
      <c r="AC213" s="359">
        <f t="shared" si="248"/>
        <v>149</v>
      </c>
      <c r="AD213" s="359"/>
      <c r="AE213" s="359">
        <f t="shared" si="249"/>
        <v>163</v>
      </c>
      <c r="AF213" s="359"/>
      <c r="AG213" s="359">
        <f t="shared" si="250"/>
        <v>38</v>
      </c>
      <c r="AH213" s="359"/>
      <c r="AI213" s="359">
        <f t="shared" si="251"/>
        <v>163</v>
      </c>
      <c r="AJ213" s="359"/>
      <c r="AK213" s="359">
        <f t="shared" si="252"/>
        <v>108</v>
      </c>
      <c r="AL213" s="358"/>
      <c r="AM213" s="366"/>
    </row>
    <row r="214" spans="1:39" ht="13.5" customHeight="1" x14ac:dyDescent="0.3">
      <c r="A214" s="363"/>
      <c r="B214" s="364">
        <v>97</v>
      </c>
      <c r="C214" s="365">
        <v>0.16666666666666699</v>
      </c>
      <c r="D214" s="364">
        <v>97</v>
      </c>
      <c r="E214" s="365">
        <v>0.17962962962963</v>
      </c>
      <c r="F214" s="364">
        <v>97</v>
      </c>
      <c r="G214" s="365">
        <v>0.17077464788732399</v>
      </c>
      <c r="H214" s="364">
        <v>70</v>
      </c>
      <c r="I214" s="365">
        <v>0.19230769230769201</v>
      </c>
      <c r="J214" s="364">
        <v>97</v>
      </c>
      <c r="K214" s="365">
        <v>0.17477477477477499</v>
      </c>
      <c r="L214" s="364">
        <v>70</v>
      </c>
      <c r="M214" s="365">
        <v>0.17499999999999999</v>
      </c>
      <c r="N214" s="358"/>
      <c r="O214" s="360">
        <f t="shared" si="241"/>
        <v>76.5</v>
      </c>
      <c r="P214" s="360"/>
      <c r="Q214" s="360">
        <f t="shared" si="242"/>
        <v>66.5</v>
      </c>
      <c r="R214" s="360"/>
      <c r="S214" s="360">
        <f t="shared" si="243"/>
        <v>73.5</v>
      </c>
      <c r="T214" s="360"/>
      <c r="U214" s="360">
        <f t="shared" si="244"/>
        <v>19</v>
      </c>
      <c r="V214" s="360"/>
      <c r="W214" s="360">
        <f t="shared" si="245"/>
        <v>81.5</v>
      </c>
      <c r="X214" s="360"/>
      <c r="Y214" s="360">
        <f t="shared" si="246"/>
        <v>54</v>
      </c>
      <c r="Z214" s="358"/>
      <c r="AA214" s="359">
        <f t="shared" si="247"/>
        <v>153</v>
      </c>
      <c r="AB214" s="359"/>
      <c r="AC214" s="359">
        <f t="shared" si="248"/>
        <v>133</v>
      </c>
      <c r="AD214" s="359"/>
      <c r="AE214" s="359">
        <f t="shared" si="249"/>
        <v>147</v>
      </c>
      <c r="AF214" s="359"/>
      <c r="AG214" s="359">
        <f t="shared" si="250"/>
        <v>38</v>
      </c>
      <c r="AH214" s="359"/>
      <c r="AI214" s="359">
        <f t="shared" si="251"/>
        <v>163</v>
      </c>
      <c r="AJ214" s="359"/>
      <c r="AK214" s="359">
        <f t="shared" si="252"/>
        <v>108</v>
      </c>
      <c r="AL214" s="358"/>
      <c r="AM214" s="366"/>
    </row>
    <row r="216" spans="1:39" ht="14.4" x14ac:dyDescent="0.3">
      <c r="A216" s="363" t="s">
        <v>91</v>
      </c>
      <c r="B216" s="364" t="s">
        <v>12</v>
      </c>
      <c r="C216" s="365">
        <v>447</v>
      </c>
      <c r="D216" s="364" t="s">
        <v>13</v>
      </c>
      <c r="E216" s="365">
        <v>332</v>
      </c>
      <c r="F216" s="364" t="s">
        <v>14</v>
      </c>
      <c r="G216" s="365">
        <v>364</v>
      </c>
      <c r="H216" s="364" t="s">
        <v>15</v>
      </c>
      <c r="I216" s="365">
        <v>6</v>
      </c>
      <c r="J216" s="364" t="s">
        <v>16</v>
      </c>
      <c r="K216" s="365">
        <v>332</v>
      </c>
      <c r="L216" s="364" t="s">
        <v>17</v>
      </c>
      <c r="M216" s="365">
        <v>150</v>
      </c>
      <c r="N216" s="358"/>
      <c r="O216" s="360" t="s">
        <v>12</v>
      </c>
      <c r="P216" s="360"/>
      <c r="Q216" s="360" t="s">
        <v>13</v>
      </c>
      <c r="R216" s="360"/>
      <c r="S216" s="360" t="s">
        <v>14</v>
      </c>
      <c r="T216" s="360"/>
      <c r="U216" s="360" t="s">
        <v>15</v>
      </c>
      <c r="V216" s="360"/>
      <c r="W216" s="360" t="s">
        <v>16</v>
      </c>
      <c r="X216" s="360"/>
      <c r="Y216" s="360" t="s">
        <v>17</v>
      </c>
      <c r="Z216" s="358"/>
      <c r="AA216" s="359" t="s">
        <v>12</v>
      </c>
      <c r="AB216" s="359"/>
      <c r="AC216" s="359" t="s">
        <v>13</v>
      </c>
      <c r="AD216" s="359"/>
      <c r="AE216" s="359" t="s">
        <v>14</v>
      </c>
      <c r="AF216" s="359"/>
      <c r="AG216" s="359" t="s">
        <v>15</v>
      </c>
      <c r="AH216" s="359"/>
      <c r="AI216" s="359" t="s">
        <v>16</v>
      </c>
      <c r="AJ216" s="359"/>
      <c r="AK216" s="359" t="s">
        <v>17</v>
      </c>
      <c r="AL216" s="358"/>
      <c r="AM216" s="358">
        <v>1</v>
      </c>
    </row>
    <row r="217" spans="1:39" ht="14.4" x14ac:dyDescent="0.3">
      <c r="A217" s="363"/>
      <c r="B217" s="364">
        <v>70</v>
      </c>
      <c r="C217" s="365">
        <v>0.156599552572707</v>
      </c>
      <c r="D217" s="364">
        <v>50</v>
      </c>
      <c r="E217" s="365">
        <v>0.15060240963855401</v>
      </c>
      <c r="F217" s="364">
        <v>50</v>
      </c>
      <c r="G217" s="365">
        <v>0.13736263736263701</v>
      </c>
      <c r="H217" s="364">
        <v>1</v>
      </c>
      <c r="I217" s="365">
        <v>0.16666666666666699</v>
      </c>
      <c r="J217" s="364">
        <v>50</v>
      </c>
      <c r="K217" s="365">
        <v>0.15060240963855401</v>
      </c>
      <c r="L217" s="364">
        <v>25</v>
      </c>
      <c r="M217" s="365">
        <v>0.16666666666666699</v>
      </c>
      <c r="N217" s="358"/>
      <c r="O217" s="360">
        <f t="shared" ref="O217:O224" si="253">AA217/$AM$216</f>
        <v>83</v>
      </c>
      <c r="P217" s="360"/>
      <c r="Q217" s="360">
        <f t="shared" ref="Q217:Q224" si="254">AC217/$AM$216</f>
        <v>97</v>
      </c>
      <c r="R217" s="360"/>
      <c r="S217" s="360">
        <f t="shared" ref="S217:S224" si="255">AE217/$AM$216</f>
        <v>97</v>
      </c>
      <c r="T217" s="360"/>
      <c r="U217" s="360">
        <f t="shared" ref="U217:U224" si="256">AG217/$AM$216</f>
        <v>37</v>
      </c>
      <c r="V217" s="360"/>
      <c r="W217" s="360">
        <f t="shared" ref="W217:W224" si="257">AI217/$AM$216</f>
        <v>97</v>
      </c>
      <c r="X217" s="360"/>
      <c r="Y217" s="360">
        <f t="shared" ref="Y217:Y224" si="258">AK217/$AM$216</f>
        <v>83</v>
      </c>
      <c r="Z217" s="358"/>
      <c r="AA217" s="359">
        <f t="shared" ref="AA217:AA224" si="259">(B227)</f>
        <v>83</v>
      </c>
      <c r="AB217" s="359"/>
      <c r="AC217" s="359">
        <f t="shared" ref="AC217:AC224" si="260">(D227)</f>
        <v>97</v>
      </c>
      <c r="AD217" s="359"/>
      <c r="AE217" s="359">
        <f t="shared" ref="AE217:AE224" si="261">(F227)</f>
        <v>97</v>
      </c>
      <c r="AF217" s="359"/>
      <c r="AG217" s="359">
        <f t="shared" ref="AG217:AG224" si="262">(H227)</f>
        <v>37</v>
      </c>
      <c r="AH217" s="359"/>
      <c r="AI217" s="359">
        <f t="shared" ref="AI217:AI224" si="263">(J227)</f>
        <v>97</v>
      </c>
      <c r="AJ217" s="359"/>
      <c r="AK217" s="359">
        <f t="shared" ref="AK217:AK224" si="264">(L227)</f>
        <v>83</v>
      </c>
      <c r="AL217" s="358"/>
      <c r="AM217" s="366"/>
    </row>
    <row r="218" spans="1:39" ht="14.4" x14ac:dyDescent="0.3">
      <c r="A218" s="363"/>
      <c r="B218" s="364">
        <v>70</v>
      </c>
      <c r="C218" s="365">
        <v>0.156599552572707</v>
      </c>
      <c r="D218" s="364">
        <v>50</v>
      </c>
      <c r="E218" s="365">
        <v>0.15060240963855401</v>
      </c>
      <c r="F218" s="364">
        <v>66</v>
      </c>
      <c r="G218" s="365">
        <v>0.18131868131868101</v>
      </c>
      <c r="H218" s="364">
        <v>1</v>
      </c>
      <c r="I218" s="365">
        <v>0.16666666666666699</v>
      </c>
      <c r="J218" s="364">
        <v>50</v>
      </c>
      <c r="K218" s="365">
        <v>0.15060240963855401</v>
      </c>
      <c r="L218" s="364">
        <v>25</v>
      </c>
      <c r="M218" s="365">
        <v>0.16666666666666699</v>
      </c>
      <c r="N218" s="358"/>
      <c r="O218" s="360">
        <f t="shared" si="253"/>
        <v>97</v>
      </c>
      <c r="P218" s="360"/>
      <c r="Q218" s="360">
        <f t="shared" si="254"/>
        <v>83</v>
      </c>
      <c r="R218" s="360"/>
      <c r="S218" s="360">
        <f t="shared" si="255"/>
        <v>97</v>
      </c>
      <c r="T218" s="360"/>
      <c r="U218" s="360">
        <f t="shared" si="256"/>
        <v>50</v>
      </c>
      <c r="V218" s="360"/>
      <c r="W218" s="360">
        <f t="shared" si="257"/>
        <v>97</v>
      </c>
      <c r="X218" s="360"/>
      <c r="Y218" s="360">
        <f t="shared" si="258"/>
        <v>83</v>
      </c>
      <c r="Z218" s="358"/>
      <c r="AA218" s="359">
        <f t="shared" si="259"/>
        <v>97</v>
      </c>
      <c r="AB218" s="359"/>
      <c r="AC218" s="359">
        <f t="shared" si="260"/>
        <v>83</v>
      </c>
      <c r="AD218" s="359"/>
      <c r="AE218" s="359">
        <f t="shared" si="261"/>
        <v>97</v>
      </c>
      <c r="AF218" s="359"/>
      <c r="AG218" s="359">
        <f t="shared" si="262"/>
        <v>50</v>
      </c>
      <c r="AH218" s="359"/>
      <c r="AI218" s="359">
        <f t="shared" si="263"/>
        <v>97</v>
      </c>
      <c r="AJ218" s="359"/>
      <c r="AK218" s="359">
        <f t="shared" si="264"/>
        <v>83</v>
      </c>
      <c r="AL218" s="358"/>
      <c r="AM218" s="366"/>
    </row>
    <row r="219" spans="1:39" ht="14.4" x14ac:dyDescent="0.3">
      <c r="A219" s="363"/>
      <c r="B219" s="364">
        <v>70</v>
      </c>
      <c r="C219" s="365">
        <v>0.156599552572707</v>
      </c>
      <c r="D219" s="364">
        <v>66</v>
      </c>
      <c r="E219" s="365">
        <v>0.19879518072289201</v>
      </c>
      <c r="F219" s="364">
        <v>66</v>
      </c>
      <c r="G219" s="365">
        <v>0.18131868131868101</v>
      </c>
      <c r="H219" s="364">
        <v>1</v>
      </c>
      <c r="I219" s="365">
        <v>0.16666666666666699</v>
      </c>
      <c r="J219" s="364">
        <v>50</v>
      </c>
      <c r="K219" s="365">
        <v>0.15060240963855401</v>
      </c>
      <c r="L219" s="364">
        <v>25</v>
      </c>
      <c r="M219" s="365">
        <v>0.16666666666666699</v>
      </c>
      <c r="N219" s="358"/>
      <c r="O219" s="360">
        <f t="shared" si="253"/>
        <v>97</v>
      </c>
      <c r="P219" s="360"/>
      <c r="Q219" s="360">
        <f t="shared" si="254"/>
        <v>83</v>
      </c>
      <c r="R219" s="360"/>
      <c r="S219" s="360">
        <f t="shared" si="255"/>
        <v>97</v>
      </c>
      <c r="T219" s="360"/>
      <c r="U219" s="360">
        <f t="shared" si="256"/>
        <v>37</v>
      </c>
      <c r="V219" s="360"/>
      <c r="W219" s="360">
        <f t="shared" si="257"/>
        <v>97</v>
      </c>
      <c r="X219" s="360"/>
      <c r="Y219" s="360">
        <f t="shared" si="258"/>
        <v>83</v>
      </c>
      <c r="Z219" s="358"/>
      <c r="AA219" s="359">
        <f t="shared" si="259"/>
        <v>97</v>
      </c>
      <c r="AB219" s="359"/>
      <c r="AC219" s="359">
        <f t="shared" si="260"/>
        <v>83</v>
      </c>
      <c r="AD219" s="359"/>
      <c r="AE219" s="359">
        <f t="shared" si="261"/>
        <v>97</v>
      </c>
      <c r="AF219" s="359"/>
      <c r="AG219" s="359">
        <f t="shared" si="262"/>
        <v>37</v>
      </c>
      <c r="AH219" s="359"/>
      <c r="AI219" s="359">
        <f t="shared" si="263"/>
        <v>97</v>
      </c>
      <c r="AJ219" s="359"/>
      <c r="AK219" s="359">
        <f t="shared" si="264"/>
        <v>83</v>
      </c>
      <c r="AL219" s="358"/>
      <c r="AM219" s="366"/>
    </row>
    <row r="220" spans="1:39" ht="14.4" x14ac:dyDescent="0.3">
      <c r="A220" s="363"/>
      <c r="B220" s="364">
        <v>70</v>
      </c>
      <c r="C220" s="365">
        <v>0.156599552572707</v>
      </c>
      <c r="D220" s="364">
        <v>50</v>
      </c>
      <c r="E220" s="365">
        <v>0.15060240963855401</v>
      </c>
      <c r="F220" s="364">
        <v>66</v>
      </c>
      <c r="G220" s="365">
        <v>0.18131868131868101</v>
      </c>
      <c r="H220" s="364">
        <v>1</v>
      </c>
      <c r="I220" s="365">
        <v>0.16666666666666699</v>
      </c>
      <c r="J220" s="364">
        <v>50</v>
      </c>
      <c r="K220" s="365">
        <v>0.15060240963855401</v>
      </c>
      <c r="L220" s="364">
        <v>25</v>
      </c>
      <c r="M220" s="365">
        <v>0.16666666666666699</v>
      </c>
      <c r="N220" s="358"/>
      <c r="O220" s="360">
        <f t="shared" si="253"/>
        <v>97</v>
      </c>
      <c r="P220" s="360"/>
      <c r="Q220" s="360">
        <f t="shared" si="254"/>
        <v>83</v>
      </c>
      <c r="R220" s="360"/>
      <c r="S220" s="360">
        <f t="shared" si="255"/>
        <v>97</v>
      </c>
      <c r="T220" s="360"/>
      <c r="U220" s="360">
        <f t="shared" si="256"/>
        <v>37</v>
      </c>
      <c r="V220" s="360"/>
      <c r="W220" s="360">
        <f t="shared" si="257"/>
        <v>97</v>
      </c>
      <c r="X220" s="360"/>
      <c r="Y220" s="360">
        <f t="shared" si="258"/>
        <v>83</v>
      </c>
      <c r="Z220" s="358"/>
      <c r="AA220" s="359">
        <f t="shared" si="259"/>
        <v>97</v>
      </c>
      <c r="AB220" s="359"/>
      <c r="AC220" s="359">
        <f t="shared" si="260"/>
        <v>83</v>
      </c>
      <c r="AD220" s="359"/>
      <c r="AE220" s="359">
        <f t="shared" si="261"/>
        <v>97</v>
      </c>
      <c r="AF220" s="359"/>
      <c r="AG220" s="359">
        <f t="shared" si="262"/>
        <v>37</v>
      </c>
      <c r="AH220" s="359"/>
      <c r="AI220" s="359">
        <f t="shared" si="263"/>
        <v>97</v>
      </c>
      <c r="AJ220" s="359"/>
      <c r="AK220" s="359">
        <f t="shared" si="264"/>
        <v>83</v>
      </c>
      <c r="AL220" s="358"/>
      <c r="AM220" s="366"/>
    </row>
    <row r="221" spans="1:39" ht="14.4" x14ac:dyDescent="0.3">
      <c r="A221" s="363"/>
      <c r="B221" s="364">
        <v>97</v>
      </c>
      <c r="C221" s="365">
        <v>0.21700223713646499</v>
      </c>
      <c r="D221" s="364">
        <v>66</v>
      </c>
      <c r="E221" s="365">
        <v>0.19879518072289201</v>
      </c>
      <c r="F221" s="364">
        <v>66</v>
      </c>
      <c r="G221" s="365">
        <v>0.18131868131868101</v>
      </c>
      <c r="H221" s="364">
        <v>1</v>
      </c>
      <c r="I221" s="365">
        <v>0.16666666666666699</v>
      </c>
      <c r="J221" s="364">
        <v>66</v>
      </c>
      <c r="K221" s="365">
        <v>0.19879518072289201</v>
      </c>
      <c r="L221" s="364">
        <v>25</v>
      </c>
      <c r="M221" s="365">
        <v>0.16666666666666699</v>
      </c>
      <c r="N221" s="358"/>
      <c r="O221" s="360">
        <f t="shared" si="253"/>
        <v>97</v>
      </c>
      <c r="P221" s="360"/>
      <c r="Q221" s="360">
        <f t="shared" si="254"/>
        <v>83</v>
      </c>
      <c r="R221" s="360"/>
      <c r="S221" s="360">
        <f t="shared" si="255"/>
        <v>97</v>
      </c>
      <c r="T221" s="360"/>
      <c r="U221" s="360">
        <f t="shared" si="256"/>
        <v>37</v>
      </c>
      <c r="V221" s="360"/>
      <c r="W221" s="360">
        <f t="shared" si="257"/>
        <v>97</v>
      </c>
      <c r="X221" s="360"/>
      <c r="Y221" s="360">
        <f t="shared" si="258"/>
        <v>83</v>
      </c>
      <c r="Z221" s="358"/>
      <c r="AA221" s="359">
        <f t="shared" si="259"/>
        <v>97</v>
      </c>
      <c r="AB221" s="359"/>
      <c r="AC221" s="359">
        <f t="shared" si="260"/>
        <v>83</v>
      </c>
      <c r="AD221" s="359"/>
      <c r="AE221" s="359">
        <f t="shared" si="261"/>
        <v>97</v>
      </c>
      <c r="AF221" s="359"/>
      <c r="AG221" s="359">
        <f t="shared" si="262"/>
        <v>37</v>
      </c>
      <c r="AH221" s="359"/>
      <c r="AI221" s="359">
        <f t="shared" si="263"/>
        <v>97</v>
      </c>
      <c r="AJ221" s="359"/>
      <c r="AK221" s="359">
        <f t="shared" si="264"/>
        <v>83</v>
      </c>
      <c r="AL221" s="358"/>
      <c r="AM221" s="366"/>
    </row>
    <row r="222" spans="1:39" ht="14.4" x14ac:dyDescent="0.3">
      <c r="A222" s="363"/>
      <c r="B222" s="364">
        <v>70</v>
      </c>
      <c r="C222" s="365">
        <v>0.156599552572707</v>
      </c>
      <c r="D222" s="364">
        <v>50</v>
      </c>
      <c r="E222" s="365">
        <v>0.15060240963855401</v>
      </c>
      <c r="F222" s="364">
        <v>50</v>
      </c>
      <c r="G222" s="365">
        <v>0.13736263736263701</v>
      </c>
      <c r="H222" s="364">
        <v>1</v>
      </c>
      <c r="I222" s="365">
        <v>0.16666666666666699</v>
      </c>
      <c r="J222" s="364">
        <v>66</v>
      </c>
      <c r="K222" s="365">
        <v>0.19879518072289201</v>
      </c>
      <c r="L222" s="364">
        <v>25</v>
      </c>
      <c r="M222" s="365">
        <v>0.16666666666666699</v>
      </c>
      <c r="N222" s="358"/>
      <c r="O222" s="360">
        <f t="shared" si="253"/>
        <v>83</v>
      </c>
      <c r="P222" s="360"/>
      <c r="Q222" s="360">
        <f t="shared" si="254"/>
        <v>83</v>
      </c>
      <c r="R222" s="360"/>
      <c r="S222" s="360">
        <f t="shared" si="255"/>
        <v>97</v>
      </c>
      <c r="T222" s="360"/>
      <c r="U222" s="360">
        <f t="shared" si="256"/>
        <v>37</v>
      </c>
      <c r="V222" s="360"/>
      <c r="W222" s="360">
        <f t="shared" si="257"/>
        <v>97</v>
      </c>
      <c r="X222" s="360"/>
      <c r="Y222" s="360">
        <f t="shared" si="258"/>
        <v>83</v>
      </c>
      <c r="Z222" s="358"/>
      <c r="AA222" s="359">
        <f t="shared" si="259"/>
        <v>83</v>
      </c>
      <c r="AB222" s="359"/>
      <c r="AC222" s="359">
        <f t="shared" si="260"/>
        <v>83</v>
      </c>
      <c r="AD222" s="359"/>
      <c r="AE222" s="359">
        <f t="shared" si="261"/>
        <v>97</v>
      </c>
      <c r="AF222" s="359"/>
      <c r="AG222" s="359">
        <f t="shared" si="262"/>
        <v>37</v>
      </c>
      <c r="AH222" s="359"/>
      <c r="AI222" s="359">
        <f t="shared" si="263"/>
        <v>97</v>
      </c>
      <c r="AJ222" s="359"/>
      <c r="AK222" s="359">
        <f t="shared" si="264"/>
        <v>83</v>
      </c>
      <c r="AL222" s="358"/>
      <c r="AM222" s="366"/>
    </row>
    <row r="223" spans="1:39" ht="14.4" x14ac:dyDescent="0.3">
      <c r="A223" s="363"/>
      <c r="B223" s="364">
        <v>97</v>
      </c>
      <c r="C223" s="365">
        <v>0.21700223713646499</v>
      </c>
      <c r="D223" s="364">
        <v>66</v>
      </c>
      <c r="E223" s="365">
        <v>0.19879518072289201</v>
      </c>
      <c r="F223" s="364">
        <v>66</v>
      </c>
      <c r="G223" s="365">
        <v>0.18131868131868101</v>
      </c>
      <c r="H223" s="364">
        <v>1</v>
      </c>
      <c r="I223" s="365">
        <v>0.16666666666666699</v>
      </c>
      <c r="J223" s="364">
        <v>66</v>
      </c>
      <c r="K223" s="365">
        <v>0.19879518072289201</v>
      </c>
      <c r="L223" s="364">
        <v>25</v>
      </c>
      <c r="M223" s="365">
        <v>0.16666666666666699</v>
      </c>
      <c r="N223" s="358"/>
      <c r="O223" s="360">
        <f t="shared" si="253"/>
        <v>97</v>
      </c>
      <c r="P223" s="360"/>
      <c r="Q223" s="360">
        <f t="shared" si="254"/>
        <v>83</v>
      </c>
      <c r="R223" s="360"/>
      <c r="S223" s="360">
        <f t="shared" si="255"/>
        <v>97</v>
      </c>
      <c r="T223" s="360"/>
      <c r="U223" s="360">
        <f t="shared" si="256"/>
        <v>37</v>
      </c>
      <c r="V223" s="360"/>
      <c r="W223" s="360">
        <f t="shared" si="257"/>
        <v>97</v>
      </c>
      <c r="X223" s="360"/>
      <c r="Y223" s="360">
        <f t="shared" si="258"/>
        <v>83</v>
      </c>
      <c r="Z223" s="358"/>
      <c r="AA223" s="359">
        <f t="shared" si="259"/>
        <v>97</v>
      </c>
      <c r="AB223" s="359"/>
      <c r="AC223" s="359">
        <f t="shared" si="260"/>
        <v>83</v>
      </c>
      <c r="AD223" s="359"/>
      <c r="AE223" s="359">
        <f t="shared" si="261"/>
        <v>97</v>
      </c>
      <c r="AF223" s="359"/>
      <c r="AG223" s="359">
        <f t="shared" si="262"/>
        <v>37</v>
      </c>
      <c r="AH223" s="359"/>
      <c r="AI223" s="359">
        <f t="shared" si="263"/>
        <v>97</v>
      </c>
      <c r="AJ223" s="359"/>
      <c r="AK223" s="359">
        <f t="shared" si="264"/>
        <v>83</v>
      </c>
      <c r="AL223" s="358"/>
      <c r="AM223" s="366"/>
    </row>
    <row r="224" spans="1:39" ht="13.5" customHeight="1" x14ac:dyDescent="0.3">
      <c r="A224" s="363"/>
      <c r="B224" s="364">
        <v>70</v>
      </c>
      <c r="C224" s="365">
        <v>0.156599552572707</v>
      </c>
      <c r="D224" s="364">
        <v>50</v>
      </c>
      <c r="E224" s="365">
        <v>0.15060240963855401</v>
      </c>
      <c r="F224" s="364">
        <v>50</v>
      </c>
      <c r="G224" s="365">
        <v>0.13736263736263701</v>
      </c>
      <c r="H224" s="364">
        <v>1</v>
      </c>
      <c r="I224" s="365">
        <v>0.16666666666666699</v>
      </c>
      <c r="J224" s="364">
        <v>66</v>
      </c>
      <c r="K224" s="365">
        <v>0.19879518072289201</v>
      </c>
      <c r="L224" s="364">
        <v>25</v>
      </c>
      <c r="M224" s="365">
        <v>0.16666666666666699</v>
      </c>
      <c r="N224" s="358"/>
      <c r="O224" s="360">
        <f t="shared" si="253"/>
        <v>83</v>
      </c>
      <c r="P224" s="360"/>
      <c r="Q224" s="360">
        <f t="shared" si="254"/>
        <v>83</v>
      </c>
      <c r="R224" s="360"/>
      <c r="S224" s="360">
        <f t="shared" si="255"/>
        <v>97</v>
      </c>
      <c r="T224" s="360"/>
      <c r="U224" s="360">
        <f t="shared" si="256"/>
        <v>37</v>
      </c>
      <c r="V224" s="360"/>
      <c r="W224" s="360">
        <f t="shared" si="257"/>
        <v>97</v>
      </c>
      <c r="X224" s="360"/>
      <c r="Y224" s="360">
        <f t="shared" si="258"/>
        <v>83</v>
      </c>
      <c r="Z224" s="358"/>
      <c r="AA224" s="359">
        <f t="shared" si="259"/>
        <v>83</v>
      </c>
      <c r="AB224" s="359"/>
      <c r="AC224" s="359">
        <f t="shared" si="260"/>
        <v>83</v>
      </c>
      <c r="AD224" s="359"/>
      <c r="AE224" s="359">
        <f t="shared" si="261"/>
        <v>97</v>
      </c>
      <c r="AF224" s="359"/>
      <c r="AG224" s="359">
        <f t="shared" si="262"/>
        <v>37</v>
      </c>
      <c r="AH224" s="359"/>
      <c r="AI224" s="359">
        <f t="shared" si="263"/>
        <v>97</v>
      </c>
      <c r="AJ224" s="359"/>
      <c r="AK224" s="359">
        <f t="shared" si="264"/>
        <v>83</v>
      </c>
      <c r="AL224" s="358"/>
      <c r="AM224" s="366"/>
    </row>
    <row r="225" spans="1:39" ht="13.5" customHeight="1" x14ac:dyDescent="0.3">
      <c r="B225" s="358"/>
      <c r="C225" s="367"/>
      <c r="D225" s="358"/>
      <c r="E225" s="367"/>
      <c r="F225" s="358"/>
      <c r="G225" s="367"/>
      <c r="H225" s="358"/>
      <c r="I225" s="367"/>
      <c r="J225" s="358"/>
      <c r="K225" s="367"/>
      <c r="L225" s="358"/>
      <c r="M225" s="367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</row>
    <row r="226" spans="1:39" ht="13.5" customHeight="1" x14ac:dyDescent="0.3">
      <c r="A226" s="363" t="s">
        <v>92</v>
      </c>
      <c r="B226" s="364" t="s">
        <v>12</v>
      </c>
      <c r="C226" s="365">
        <v>554</v>
      </c>
      <c r="D226" s="364" t="s">
        <v>13</v>
      </c>
      <c r="E226" s="365">
        <v>512</v>
      </c>
      <c r="F226" s="364" t="s">
        <v>14</v>
      </c>
      <c r="G226" s="365">
        <v>582</v>
      </c>
      <c r="H226" s="364" t="s">
        <v>15</v>
      </c>
      <c r="I226" s="365">
        <v>235</v>
      </c>
      <c r="J226" s="364" t="s">
        <v>16</v>
      </c>
      <c r="K226" s="365">
        <v>582</v>
      </c>
      <c r="L226" s="364" t="s">
        <v>17</v>
      </c>
      <c r="M226" s="365">
        <v>498</v>
      </c>
      <c r="N226" s="358"/>
      <c r="O226" s="360" t="s">
        <v>12</v>
      </c>
      <c r="P226" s="360"/>
      <c r="Q226" s="360" t="s">
        <v>13</v>
      </c>
      <c r="R226" s="360"/>
      <c r="S226" s="360" t="s">
        <v>14</v>
      </c>
      <c r="T226" s="360"/>
      <c r="U226" s="360" t="s">
        <v>15</v>
      </c>
      <c r="V226" s="360"/>
      <c r="W226" s="360" t="s">
        <v>16</v>
      </c>
      <c r="X226" s="360"/>
      <c r="Y226" s="360" t="s">
        <v>17</v>
      </c>
      <c r="Z226" s="358"/>
      <c r="AA226" s="359" t="s">
        <v>12</v>
      </c>
      <c r="AB226" s="359"/>
      <c r="AC226" s="359" t="s">
        <v>13</v>
      </c>
      <c r="AD226" s="359"/>
      <c r="AE226" s="359" t="s">
        <v>14</v>
      </c>
      <c r="AF226" s="359"/>
      <c r="AG226" s="359" t="s">
        <v>15</v>
      </c>
      <c r="AH226" s="359"/>
      <c r="AI226" s="359" t="s">
        <v>16</v>
      </c>
      <c r="AJ226" s="359"/>
      <c r="AK226" s="359" t="s">
        <v>17</v>
      </c>
      <c r="AL226" s="358"/>
      <c r="AM226" s="358">
        <v>1</v>
      </c>
    </row>
    <row r="227" spans="1:39" ht="13.5" customHeight="1" x14ac:dyDescent="0.3">
      <c r="A227" s="363"/>
      <c r="B227" s="364">
        <v>83</v>
      </c>
      <c r="C227" s="365">
        <v>0.14981949458483801</v>
      </c>
      <c r="D227" s="364">
        <v>97</v>
      </c>
      <c r="E227" s="365">
        <v>0.189453125</v>
      </c>
      <c r="F227" s="364">
        <v>97</v>
      </c>
      <c r="G227" s="365">
        <v>0.16666666666666699</v>
      </c>
      <c r="H227" s="364">
        <v>37</v>
      </c>
      <c r="I227" s="365">
        <v>0.157446808510638</v>
      </c>
      <c r="J227" s="364">
        <v>97</v>
      </c>
      <c r="K227" s="365">
        <v>0.16666666666666699</v>
      </c>
      <c r="L227" s="364">
        <v>83</v>
      </c>
      <c r="M227" s="365">
        <v>0.16666666666666699</v>
      </c>
      <c r="N227" s="358"/>
      <c r="O227" s="360">
        <f t="shared" ref="O227:O234" si="265">AA227/$AM$226</f>
        <v>83</v>
      </c>
      <c r="P227" s="360"/>
      <c r="Q227" s="360">
        <f t="shared" ref="Q227:Q234" si="266">AC227/$AM$226</f>
        <v>97</v>
      </c>
      <c r="R227" s="360"/>
      <c r="S227" s="360">
        <f t="shared" ref="S227:S234" si="267">AE227/$AM$226</f>
        <v>97</v>
      </c>
      <c r="T227" s="360"/>
      <c r="U227" s="360">
        <f t="shared" ref="U227:U234" si="268">AG227/$AM$226</f>
        <v>37</v>
      </c>
      <c r="V227" s="360"/>
      <c r="W227" s="360">
        <f t="shared" ref="W227:W234" si="269">AI227/$AM$226</f>
        <v>97</v>
      </c>
      <c r="X227" s="360"/>
      <c r="Y227" s="360">
        <f t="shared" ref="Y227:Y234" si="270">AK227/$AM$226</f>
        <v>83</v>
      </c>
      <c r="Z227" s="358"/>
      <c r="AA227" s="359">
        <f t="shared" ref="AA227:AA234" si="271">(B227)</f>
        <v>83</v>
      </c>
      <c r="AB227" s="359"/>
      <c r="AC227" s="359">
        <f t="shared" ref="AC227:AC234" si="272">(D227)</f>
        <v>97</v>
      </c>
      <c r="AD227" s="359"/>
      <c r="AE227" s="359">
        <f t="shared" ref="AE227:AE234" si="273">(F227)</f>
        <v>97</v>
      </c>
      <c r="AF227" s="359"/>
      <c r="AG227" s="359">
        <f t="shared" ref="AG227:AG234" si="274">(H227)</f>
        <v>37</v>
      </c>
      <c r="AH227" s="359"/>
      <c r="AI227" s="359">
        <f t="shared" ref="AI227:AI234" si="275">(J227)</f>
        <v>97</v>
      </c>
      <c r="AJ227" s="359"/>
      <c r="AK227" s="359">
        <f t="shared" ref="AK227:AK234" si="276">(L227)</f>
        <v>83</v>
      </c>
      <c r="AL227" s="358"/>
      <c r="AM227" s="366"/>
    </row>
    <row r="228" spans="1:39" ht="13.5" customHeight="1" x14ac:dyDescent="0.3">
      <c r="A228" s="363"/>
      <c r="B228" s="364">
        <v>97</v>
      </c>
      <c r="C228" s="365">
        <v>0.175090252707581</v>
      </c>
      <c r="D228" s="364">
        <v>83</v>
      </c>
      <c r="E228" s="365">
        <v>0.162109375</v>
      </c>
      <c r="F228" s="364">
        <v>97</v>
      </c>
      <c r="G228" s="365">
        <v>0.16666666666666699</v>
      </c>
      <c r="H228" s="364">
        <v>50</v>
      </c>
      <c r="I228" s="365">
        <v>0.21276595744680901</v>
      </c>
      <c r="J228" s="364">
        <v>97</v>
      </c>
      <c r="K228" s="365">
        <v>0.16666666666666699</v>
      </c>
      <c r="L228" s="364">
        <v>83</v>
      </c>
      <c r="M228" s="365">
        <v>0.16666666666666699</v>
      </c>
      <c r="N228" s="358"/>
      <c r="O228" s="360">
        <f t="shared" si="265"/>
        <v>97</v>
      </c>
      <c r="P228" s="360"/>
      <c r="Q228" s="360">
        <f t="shared" si="266"/>
        <v>83</v>
      </c>
      <c r="R228" s="360"/>
      <c r="S228" s="360">
        <f t="shared" si="267"/>
        <v>97</v>
      </c>
      <c r="T228" s="360"/>
      <c r="U228" s="360">
        <f t="shared" si="268"/>
        <v>50</v>
      </c>
      <c r="V228" s="360"/>
      <c r="W228" s="360">
        <f t="shared" si="269"/>
        <v>97</v>
      </c>
      <c r="X228" s="360"/>
      <c r="Y228" s="360">
        <f t="shared" si="270"/>
        <v>83</v>
      </c>
      <c r="Z228" s="358"/>
      <c r="AA228" s="359">
        <f t="shared" si="271"/>
        <v>97</v>
      </c>
      <c r="AB228" s="359"/>
      <c r="AC228" s="359">
        <f t="shared" si="272"/>
        <v>83</v>
      </c>
      <c r="AD228" s="359"/>
      <c r="AE228" s="359">
        <f t="shared" si="273"/>
        <v>97</v>
      </c>
      <c r="AF228" s="359"/>
      <c r="AG228" s="359">
        <f t="shared" si="274"/>
        <v>50</v>
      </c>
      <c r="AH228" s="359"/>
      <c r="AI228" s="359">
        <f t="shared" si="275"/>
        <v>97</v>
      </c>
      <c r="AJ228" s="359"/>
      <c r="AK228" s="359">
        <f t="shared" si="276"/>
        <v>83</v>
      </c>
      <c r="AL228" s="358"/>
      <c r="AM228" s="366"/>
    </row>
    <row r="229" spans="1:39" ht="13.5" customHeight="1" x14ac:dyDescent="0.3">
      <c r="A229" s="363"/>
      <c r="B229" s="364">
        <v>97</v>
      </c>
      <c r="C229" s="365">
        <v>0.175090252707581</v>
      </c>
      <c r="D229" s="364">
        <v>83</v>
      </c>
      <c r="E229" s="365">
        <v>0.162109375</v>
      </c>
      <c r="F229" s="364">
        <v>97</v>
      </c>
      <c r="G229" s="365">
        <v>0.16666666666666699</v>
      </c>
      <c r="H229" s="364">
        <v>37</v>
      </c>
      <c r="I229" s="365">
        <v>0.157446808510638</v>
      </c>
      <c r="J229" s="364">
        <v>97</v>
      </c>
      <c r="K229" s="365">
        <v>0.16666666666666699</v>
      </c>
      <c r="L229" s="364">
        <v>83</v>
      </c>
      <c r="M229" s="365">
        <v>0.16666666666666699</v>
      </c>
      <c r="N229" s="358"/>
      <c r="O229" s="360">
        <f t="shared" si="265"/>
        <v>97</v>
      </c>
      <c r="P229" s="360"/>
      <c r="Q229" s="360">
        <f t="shared" si="266"/>
        <v>83</v>
      </c>
      <c r="R229" s="360"/>
      <c r="S229" s="360">
        <f t="shared" si="267"/>
        <v>97</v>
      </c>
      <c r="T229" s="360"/>
      <c r="U229" s="360">
        <f t="shared" si="268"/>
        <v>37</v>
      </c>
      <c r="V229" s="360"/>
      <c r="W229" s="360">
        <f t="shared" si="269"/>
        <v>97</v>
      </c>
      <c r="X229" s="360"/>
      <c r="Y229" s="360">
        <f t="shared" si="270"/>
        <v>83</v>
      </c>
      <c r="Z229" s="358"/>
      <c r="AA229" s="359">
        <f t="shared" si="271"/>
        <v>97</v>
      </c>
      <c r="AB229" s="359"/>
      <c r="AC229" s="359">
        <f t="shared" si="272"/>
        <v>83</v>
      </c>
      <c r="AD229" s="359"/>
      <c r="AE229" s="359">
        <f t="shared" si="273"/>
        <v>97</v>
      </c>
      <c r="AF229" s="359"/>
      <c r="AG229" s="359">
        <f t="shared" si="274"/>
        <v>37</v>
      </c>
      <c r="AH229" s="359"/>
      <c r="AI229" s="359">
        <f t="shared" si="275"/>
        <v>97</v>
      </c>
      <c r="AJ229" s="359"/>
      <c r="AK229" s="359">
        <f t="shared" si="276"/>
        <v>83</v>
      </c>
      <c r="AL229" s="358"/>
      <c r="AM229" s="366"/>
    </row>
    <row r="230" spans="1:39" ht="13.5" customHeight="1" x14ac:dyDescent="0.3">
      <c r="A230" s="363"/>
      <c r="B230" s="364">
        <v>97</v>
      </c>
      <c r="C230" s="365">
        <v>0.175090252707581</v>
      </c>
      <c r="D230" s="364">
        <v>83</v>
      </c>
      <c r="E230" s="365">
        <v>0.162109375</v>
      </c>
      <c r="F230" s="364">
        <v>97</v>
      </c>
      <c r="G230" s="365">
        <v>0.16666666666666699</v>
      </c>
      <c r="H230" s="364">
        <v>37</v>
      </c>
      <c r="I230" s="365">
        <v>0.157446808510638</v>
      </c>
      <c r="J230" s="364">
        <v>97</v>
      </c>
      <c r="K230" s="365">
        <v>0.16666666666666699</v>
      </c>
      <c r="L230" s="364">
        <v>83</v>
      </c>
      <c r="M230" s="365">
        <v>0.16666666666666699</v>
      </c>
      <c r="N230" s="358"/>
      <c r="O230" s="360">
        <f t="shared" si="265"/>
        <v>97</v>
      </c>
      <c r="P230" s="360"/>
      <c r="Q230" s="360">
        <f t="shared" si="266"/>
        <v>83</v>
      </c>
      <c r="R230" s="360"/>
      <c r="S230" s="360">
        <f t="shared" si="267"/>
        <v>97</v>
      </c>
      <c r="T230" s="360"/>
      <c r="U230" s="360">
        <f t="shared" si="268"/>
        <v>37</v>
      </c>
      <c r="V230" s="360"/>
      <c r="W230" s="360">
        <f t="shared" si="269"/>
        <v>97</v>
      </c>
      <c r="X230" s="360"/>
      <c r="Y230" s="360">
        <f t="shared" si="270"/>
        <v>83</v>
      </c>
      <c r="Z230" s="358"/>
      <c r="AA230" s="359">
        <f t="shared" si="271"/>
        <v>97</v>
      </c>
      <c r="AB230" s="359"/>
      <c r="AC230" s="359">
        <f t="shared" si="272"/>
        <v>83</v>
      </c>
      <c r="AD230" s="359"/>
      <c r="AE230" s="359">
        <f t="shared" si="273"/>
        <v>97</v>
      </c>
      <c r="AF230" s="359"/>
      <c r="AG230" s="359">
        <f t="shared" si="274"/>
        <v>37</v>
      </c>
      <c r="AH230" s="359"/>
      <c r="AI230" s="359">
        <f t="shared" si="275"/>
        <v>97</v>
      </c>
      <c r="AJ230" s="359"/>
      <c r="AK230" s="359">
        <f t="shared" si="276"/>
        <v>83</v>
      </c>
      <c r="AL230" s="358"/>
      <c r="AM230" s="366"/>
    </row>
    <row r="231" spans="1:39" ht="13.5" customHeight="1" x14ac:dyDescent="0.3">
      <c r="A231" s="363"/>
      <c r="B231" s="364">
        <v>97</v>
      </c>
      <c r="C231" s="365">
        <v>0.175090252707581</v>
      </c>
      <c r="D231" s="364">
        <v>83</v>
      </c>
      <c r="E231" s="365">
        <v>0.162109375</v>
      </c>
      <c r="F231" s="364">
        <v>97</v>
      </c>
      <c r="G231" s="365">
        <v>0.16666666666666699</v>
      </c>
      <c r="H231" s="364">
        <v>37</v>
      </c>
      <c r="I231" s="365">
        <v>0.157446808510638</v>
      </c>
      <c r="J231" s="364">
        <v>97</v>
      </c>
      <c r="K231" s="365">
        <v>0.16666666666666699</v>
      </c>
      <c r="L231" s="364">
        <v>83</v>
      </c>
      <c r="M231" s="365">
        <v>0.16666666666666699</v>
      </c>
      <c r="N231" s="358"/>
      <c r="O231" s="360">
        <f t="shared" si="265"/>
        <v>97</v>
      </c>
      <c r="P231" s="360"/>
      <c r="Q231" s="360">
        <f t="shared" si="266"/>
        <v>83</v>
      </c>
      <c r="R231" s="360"/>
      <c r="S231" s="360">
        <f t="shared" si="267"/>
        <v>97</v>
      </c>
      <c r="T231" s="360"/>
      <c r="U231" s="360">
        <f t="shared" si="268"/>
        <v>37</v>
      </c>
      <c r="V231" s="360"/>
      <c r="W231" s="360">
        <f t="shared" si="269"/>
        <v>97</v>
      </c>
      <c r="X231" s="360"/>
      <c r="Y231" s="360">
        <f t="shared" si="270"/>
        <v>83</v>
      </c>
      <c r="Z231" s="358"/>
      <c r="AA231" s="359">
        <f t="shared" si="271"/>
        <v>97</v>
      </c>
      <c r="AB231" s="359"/>
      <c r="AC231" s="359">
        <f t="shared" si="272"/>
        <v>83</v>
      </c>
      <c r="AD231" s="359"/>
      <c r="AE231" s="359">
        <f t="shared" si="273"/>
        <v>97</v>
      </c>
      <c r="AF231" s="359"/>
      <c r="AG231" s="359">
        <f t="shared" si="274"/>
        <v>37</v>
      </c>
      <c r="AH231" s="359"/>
      <c r="AI231" s="359">
        <f t="shared" si="275"/>
        <v>97</v>
      </c>
      <c r="AJ231" s="359"/>
      <c r="AK231" s="359">
        <f t="shared" si="276"/>
        <v>83</v>
      </c>
      <c r="AL231" s="358"/>
      <c r="AM231" s="366"/>
    </row>
    <row r="232" spans="1:39" ht="13.5" customHeight="1" x14ac:dyDescent="0.3">
      <c r="A232" s="363"/>
      <c r="B232" s="364">
        <v>83</v>
      </c>
      <c r="C232" s="365">
        <v>0.14981949458483801</v>
      </c>
      <c r="D232" s="364">
        <v>83</v>
      </c>
      <c r="E232" s="365">
        <v>0.162109375</v>
      </c>
      <c r="F232" s="364">
        <v>97</v>
      </c>
      <c r="G232" s="365">
        <v>0.16666666666666699</v>
      </c>
      <c r="H232" s="364">
        <v>37</v>
      </c>
      <c r="I232" s="365">
        <v>0.157446808510638</v>
      </c>
      <c r="J232" s="364">
        <v>97</v>
      </c>
      <c r="K232" s="365">
        <v>0.16666666666666699</v>
      </c>
      <c r="L232" s="364">
        <v>83</v>
      </c>
      <c r="M232" s="365">
        <v>0.16666666666666699</v>
      </c>
      <c r="N232" s="358"/>
      <c r="O232" s="360">
        <f t="shared" si="265"/>
        <v>83</v>
      </c>
      <c r="P232" s="360"/>
      <c r="Q232" s="360">
        <f t="shared" si="266"/>
        <v>83</v>
      </c>
      <c r="R232" s="360"/>
      <c r="S232" s="360">
        <f t="shared" si="267"/>
        <v>97</v>
      </c>
      <c r="T232" s="360"/>
      <c r="U232" s="360">
        <f t="shared" si="268"/>
        <v>37</v>
      </c>
      <c r="V232" s="360"/>
      <c r="W232" s="360">
        <f t="shared" si="269"/>
        <v>97</v>
      </c>
      <c r="X232" s="360"/>
      <c r="Y232" s="360">
        <f t="shared" si="270"/>
        <v>83</v>
      </c>
      <c r="Z232" s="358"/>
      <c r="AA232" s="359">
        <f t="shared" si="271"/>
        <v>83</v>
      </c>
      <c r="AB232" s="359"/>
      <c r="AC232" s="359">
        <f t="shared" si="272"/>
        <v>83</v>
      </c>
      <c r="AD232" s="359"/>
      <c r="AE232" s="359">
        <f t="shared" si="273"/>
        <v>97</v>
      </c>
      <c r="AF232" s="359"/>
      <c r="AG232" s="359">
        <f t="shared" si="274"/>
        <v>37</v>
      </c>
      <c r="AH232" s="359"/>
      <c r="AI232" s="359">
        <f t="shared" si="275"/>
        <v>97</v>
      </c>
      <c r="AJ232" s="359"/>
      <c r="AK232" s="359">
        <f t="shared" si="276"/>
        <v>83</v>
      </c>
      <c r="AL232" s="358"/>
      <c r="AM232" s="366"/>
    </row>
    <row r="233" spans="1:39" ht="13.5" customHeight="1" x14ac:dyDescent="0.3">
      <c r="A233" s="363"/>
      <c r="B233" s="364">
        <v>97</v>
      </c>
      <c r="C233" s="365">
        <v>0.175090252707581</v>
      </c>
      <c r="D233" s="364">
        <v>83</v>
      </c>
      <c r="E233" s="365">
        <v>0.162109375</v>
      </c>
      <c r="F233" s="364">
        <v>97</v>
      </c>
      <c r="G233" s="365">
        <v>0.16666666666666699</v>
      </c>
      <c r="H233" s="364">
        <v>37</v>
      </c>
      <c r="I233" s="365">
        <v>0.157446808510638</v>
      </c>
      <c r="J233" s="364">
        <v>97</v>
      </c>
      <c r="K233" s="365">
        <v>0.16666666666666699</v>
      </c>
      <c r="L233" s="364">
        <v>83</v>
      </c>
      <c r="M233" s="365">
        <v>0.16666666666666699</v>
      </c>
      <c r="N233" s="358"/>
      <c r="O233" s="360">
        <f t="shared" si="265"/>
        <v>97</v>
      </c>
      <c r="P233" s="360"/>
      <c r="Q233" s="360">
        <f t="shared" si="266"/>
        <v>83</v>
      </c>
      <c r="R233" s="360"/>
      <c r="S233" s="360">
        <f t="shared" si="267"/>
        <v>97</v>
      </c>
      <c r="T233" s="360"/>
      <c r="U233" s="360">
        <f t="shared" si="268"/>
        <v>37</v>
      </c>
      <c r="V233" s="360"/>
      <c r="W233" s="360">
        <f t="shared" si="269"/>
        <v>97</v>
      </c>
      <c r="X233" s="360"/>
      <c r="Y233" s="360">
        <f t="shared" si="270"/>
        <v>83</v>
      </c>
      <c r="Z233" s="358"/>
      <c r="AA233" s="359">
        <f t="shared" si="271"/>
        <v>97</v>
      </c>
      <c r="AB233" s="359"/>
      <c r="AC233" s="359">
        <f t="shared" si="272"/>
        <v>83</v>
      </c>
      <c r="AD233" s="359"/>
      <c r="AE233" s="359">
        <f t="shared" si="273"/>
        <v>97</v>
      </c>
      <c r="AF233" s="359"/>
      <c r="AG233" s="359">
        <f t="shared" si="274"/>
        <v>37</v>
      </c>
      <c r="AH233" s="359"/>
      <c r="AI233" s="359">
        <f t="shared" si="275"/>
        <v>97</v>
      </c>
      <c r="AJ233" s="359"/>
      <c r="AK233" s="359">
        <f t="shared" si="276"/>
        <v>83</v>
      </c>
      <c r="AL233" s="358"/>
      <c r="AM233" s="366"/>
    </row>
    <row r="234" spans="1:39" ht="13.5" customHeight="1" x14ac:dyDescent="0.3">
      <c r="A234" s="363"/>
      <c r="B234" s="364">
        <v>83</v>
      </c>
      <c r="C234" s="365">
        <v>0.14981949458483801</v>
      </c>
      <c r="D234" s="364">
        <v>83</v>
      </c>
      <c r="E234" s="365">
        <v>0.162109375</v>
      </c>
      <c r="F234" s="364">
        <v>97</v>
      </c>
      <c r="G234" s="365">
        <v>0.16666666666666699</v>
      </c>
      <c r="H234" s="364">
        <v>37</v>
      </c>
      <c r="I234" s="365">
        <v>0.157446808510638</v>
      </c>
      <c r="J234" s="364">
        <v>97</v>
      </c>
      <c r="K234" s="365">
        <v>0.16666666666666699</v>
      </c>
      <c r="L234" s="364">
        <v>83</v>
      </c>
      <c r="M234" s="365">
        <v>0.16666666666666699</v>
      </c>
      <c r="N234" s="358"/>
      <c r="O234" s="360">
        <f t="shared" si="265"/>
        <v>83</v>
      </c>
      <c r="P234" s="360"/>
      <c r="Q234" s="360">
        <f t="shared" si="266"/>
        <v>83</v>
      </c>
      <c r="R234" s="360"/>
      <c r="S234" s="360">
        <f t="shared" si="267"/>
        <v>97</v>
      </c>
      <c r="T234" s="360"/>
      <c r="U234" s="360">
        <f t="shared" si="268"/>
        <v>37</v>
      </c>
      <c r="V234" s="360"/>
      <c r="W234" s="360">
        <f t="shared" si="269"/>
        <v>97</v>
      </c>
      <c r="X234" s="360"/>
      <c r="Y234" s="360">
        <f t="shared" si="270"/>
        <v>83</v>
      </c>
      <c r="Z234" s="358"/>
      <c r="AA234" s="359">
        <f t="shared" si="271"/>
        <v>83</v>
      </c>
      <c r="AB234" s="359"/>
      <c r="AC234" s="359">
        <f t="shared" si="272"/>
        <v>83</v>
      </c>
      <c r="AD234" s="359"/>
      <c r="AE234" s="359">
        <f t="shared" si="273"/>
        <v>97</v>
      </c>
      <c r="AF234" s="359"/>
      <c r="AG234" s="359">
        <f t="shared" si="274"/>
        <v>37</v>
      </c>
      <c r="AH234" s="359"/>
      <c r="AI234" s="359">
        <f t="shared" si="275"/>
        <v>97</v>
      </c>
      <c r="AJ234" s="359"/>
      <c r="AK234" s="359">
        <f t="shared" si="276"/>
        <v>83</v>
      </c>
      <c r="AL234" s="358"/>
      <c r="AM234" s="366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48"/>
  <sheetViews>
    <sheetView zoomScale="140" zoomScaleNormal="140" workbookViewId="0">
      <selection activeCell="N11" sqref="N11"/>
    </sheetView>
  </sheetViews>
  <sheetFormatPr defaultColWidth="8.77734375" defaultRowHeight="14.25" customHeight="1" x14ac:dyDescent="0.3"/>
  <cols>
    <col min="1" max="1" width="7.33203125" style="4" customWidth="1"/>
    <col min="2" max="10" width="8.44140625" style="4" customWidth="1"/>
    <col min="11" max="11" width="9.33203125" style="4" customWidth="1"/>
    <col min="12" max="12" width="3.218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6.77734375" style="5" customWidth="1"/>
    <col min="25" max="25" width="3.33203125" style="4" hidden="1" customWidth="1"/>
    <col min="26" max="26" width="3.21875" style="4" customWidth="1"/>
    <col min="27" max="27" width="7.109375" style="6" customWidth="1"/>
    <col min="28" max="28" width="7.109375" style="7" customWidth="1"/>
    <col min="29" max="30" width="3.5546875" style="6" customWidth="1"/>
    <col min="31" max="31" width="3.5546875" style="4" customWidth="1"/>
    <col min="32" max="32" width="6" style="8" customWidth="1"/>
    <col min="33" max="37" width="7.21875" style="8" customWidth="1"/>
    <col min="38" max="38" width="7.21875" style="9" customWidth="1"/>
    <col min="39" max="40" width="7.21875" style="8" customWidth="1"/>
    <col min="41" max="41" width="6.21875" style="8" customWidth="1"/>
    <col min="42" max="42" width="7.44140625" customWidth="1"/>
    <col min="43" max="46" width="7.44140625" style="10" customWidth="1"/>
    <col min="47" max="50" width="7.44140625" customWidth="1"/>
    <col min="51" max="51" width="7.6640625" customWidth="1"/>
    <col min="57" max="57" width="9.77734375" style="11" customWidth="1"/>
    <col min="58" max="61" width="9.77734375" style="9" customWidth="1"/>
    <col min="62" max="63" width="9.77734375" customWidth="1"/>
    <col min="64" max="64" width="9.77734375" style="12" customWidth="1"/>
    <col min="65" max="65" width="9.77734375" style="13" customWidth="1"/>
    <col min="66" max="66" width="8.77734375" style="14"/>
    <col min="16371" max="16384" width="13.44140625" customWidth="1"/>
  </cols>
  <sheetData>
    <row r="1" spans="1:56" ht="14.4" x14ac:dyDescent="0.3">
      <c r="A1" s="2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368" t="s">
        <v>8</v>
      </c>
      <c r="J1" s="6" t="s">
        <v>9</v>
      </c>
      <c r="K1" s="18" t="s">
        <v>93</v>
      </c>
      <c r="M1" s="19" t="s">
        <v>11</v>
      </c>
      <c r="N1" s="20" t="s">
        <v>12</v>
      </c>
      <c r="O1" s="21">
        <f>SUM(N2:N9)</f>
        <v>796.00979192166449</v>
      </c>
      <c r="P1" s="22" t="s">
        <v>13</v>
      </c>
      <c r="Q1" s="23">
        <f>SUM(P2:P9)</f>
        <v>798.54072373799454</v>
      </c>
      <c r="R1" s="24" t="s">
        <v>14</v>
      </c>
      <c r="S1" s="23">
        <f>SUM(R2:R9)</f>
        <v>793.67307714573508</v>
      </c>
      <c r="T1" s="24" t="s">
        <v>15</v>
      </c>
      <c r="U1" s="23">
        <f>SUM(T2:T9)</f>
        <v>726.29649030906228</v>
      </c>
      <c r="V1" s="25" t="s">
        <v>16</v>
      </c>
      <c r="W1" s="26">
        <f>SUM(V2:V9)</f>
        <v>789.1673921256222</v>
      </c>
      <c r="X1" s="27" t="s">
        <v>17</v>
      </c>
      <c r="Y1" s="28">
        <f>SUM(X2:X9)</f>
        <v>792.88683951923804</v>
      </c>
      <c r="Z1" s="29"/>
      <c r="AA1" s="30" t="s">
        <v>18</v>
      </c>
      <c r="AB1" s="31" t="s">
        <v>19</v>
      </c>
      <c r="AG1" s="1314" t="s">
        <v>20</v>
      </c>
      <c r="AH1" s="1314"/>
      <c r="AJ1" s="4"/>
      <c r="AK1" s="1314" t="s">
        <v>21</v>
      </c>
      <c r="AL1" s="1314"/>
      <c r="AN1" s="32" t="s">
        <v>22</v>
      </c>
      <c r="AO1" s="9">
        <v>2</v>
      </c>
      <c r="AP1" s="33" t="str">
        <f>K11</f>
        <v xml:space="preserve">+3-day </v>
      </c>
      <c r="AQ1" s="34" t="s">
        <v>23</v>
      </c>
      <c r="AR1" s="34" t="s">
        <v>24</v>
      </c>
      <c r="AS1" s="34" t="s">
        <v>25</v>
      </c>
      <c r="AT1" s="9"/>
      <c r="AU1" s="9"/>
      <c r="AV1" s="9"/>
      <c r="AW1" s="9"/>
      <c r="AX1" s="9"/>
      <c r="AY1" s="9"/>
      <c r="AZ1" s="9"/>
      <c r="BA1" s="9"/>
    </row>
    <row r="2" spans="1:56" ht="14.4" x14ac:dyDescent="0.3">
      <c r="A2" s="35" t="s">
        <v>12</v>
      </c>
      <c r="B2" s="36">
        <v>4.07</v>
      </c>
      <c r="C2" s="37">
        <v>4.0549999999999997</v>
      </c>
      <c r="D2" s="37">
        <v>4.05</v>
      </c>
      <c r="E2" s="37">
        <v>4.04</v>
      </c>
      <c r="F2" s="37">
        <v>4.08</v>
      </c>
      <c r="G2" s="37">
        <v>4.0880000000000001</v>
      </c>
      <c r="H2" s="38">
        <v>4.0599999999999996</v>
      </c>
      <c r="I2" s="369">
        <v>4.08</v>
      </c>
      <c r="J2" s="370">
        <v>4.048</v>
      </c>
      <c r="M2" s="371" t="str">
        <f>B1</f>
        <v>O 5.2</v>
      </c>
      <c r="N2" s="372">
        <f>100-ABS((($K12-B2)/($K12)))*100</f>
        <v>99.632802937576514</v>
      </c>
      <c r="O2" s="373">
        <f t="shared" ref="O2:O9" si="0">N2/$O$1</f>
        <v>0.12516529815173605</v>
      </c>
      <c r="P2" s="374">
        <f>100-ABS((($K13-B3)/($K13)))*100</f>
        <v>99.826643187024857</v>
      </c>
      <c r="Q2" s="375">
        <f t="shared" ref="Q2:Q9" si="1">P2/$Q$1</f>
        <v>0.12501133657871968</v>
      </c>
      <c r="R2" s="375">
        <f>100-ABS((($K14-B4)/($K14)))*100</f>
        <v>99.312253239009365</v>
      </c>
      <c r="S2" s="375">
        <f t="shared" ref="S2:S9" si="2">R2/$S$1</f>
        <v>0.12512992578274587</v>
      </c>
      <c r="T2" s="375">
        <f>100-ABS((($K15-B5)/($K15)))*100</f>
        <v>93.609219486642232</v>
      </c>
      <c r="U2" s="375">
        <f t="shared" ref="U2:U9" si="3">T2/$U$1</f>
        <v>0.12888568337540574</v>
      </c>
      <c r="V2" s="376">
        <f>100-ABS((($K16-B6)/($K16)))*100</f>
        <v>98.88635206386229</v>
      </c>
      <c r="W2" s="377">
        <f t="shared" ref="W2:W9" si="4">V2/$W$1</f>
        <v>0.12530466039342036</v>
      </c>
      <c r="X2" s="378">
        <f>100-ABS((($K17-B7)/($K17)))*100</f>
        <v>98.148008163882395</v>
      </c>
      <c r="Y2" s="48">
        <f t="shared" ref="Y2:Y9" si="5">X2/$Y$1</f>
        <v>0.12378564414487422</v>
      </c>
      <c r="Z2" s="29"/>
      <c r="AA2" s="49">
        <f t="shared" ref="AA2:AA9" si="6">(P2+R2+T2+V2)/4</f>
        <v>97.90861699413469</v>
      </c>
      <c r="AB2" s="50">
        <f t="shared" ref="AB2:AB9" si="7">(N2+P2+R2+T2+V2+X2)/6</f>
        <v>98.235879846332935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4" t="s">
        <v>42</v>
      </c>
      <c r="AH2" s="55">
        <f>MAX(N2:N9)</f>
        <v>99.926560587515297</v>
      </c>
      <c r="AJ2" s="53" t="str">
        <f t="shared" ref="AJ2:AJ7" si="8">AF2</f>
        <v>TNX</v>
      </c>
      <c r="AK2" s="56">
        <v>4.25</v>
      </c>
      <c r="AL2" s="57">
        <f t="shared" ref="AL2:AL7" si="9">100-ABS(($K12-AK2)/($K12))*100</f>
        <v>95.960832313341498</v>
      </c>
      <c r="AN2" s="9"/>
      <c r="AO2" s="33" t="s">
        <v>27</v>
      </c>
      <c r="AP2" s="33" t="s">
        <v>28</v>
      </c>
      <c r="AQ2" s="58" t="s">
        <v>29</v>
      </c>
      <c r="AR2" s="34" t="str">
        <f>AQ2</f>
        <v>∆</v>
      </c>
      <c r="AS2" s="34" t="str">
        <f>AR2</f>
        <v>∆</v>
      </c>
      <c r="AT2" s="59" t="s">
        <v>30</v>
      </c>
      <c r="AU2" s="9"/>
      <c r="AV2" s="9"/>
      <c r="AW2" s="9"/>
      <c r="AX2" s="9"/>
      <c r="AY2" s="9"/>
      <c r="AZ2" s="9"/>
      <c r="BA2" s="9"/>
    </row>
    <row r="3" spans="1:56" ht="14.4" x14ac:dyDescent="0.3">
      <c r="A3" s="60" t="s">
        <v>13</v>
      </c>
      <c r="B3" s="61">
        <v>49712</v>
      </c>
      <c r="C3" s="62">
        <v>49690</v>
      </c>
      <c r="D3" s="62">
        <v>49690</v>
      </c>
      <c r="E3" s="62">
        <v>49720</v>
      </c>
      <c r="F3" s="62">
        <v>49650</v>
      </c>
      <c r="G3" s="62">
        <v>49718</v>
      </c>
      <c r="H3" s="62">
        <v>49750</v>
      </c>
      <c r="I3" s="379">
        <v>49450</v>
      </c>
      <c r="J3" s="380">
        <v>49540</v>
      </c>
      <c r="K3" s="64" t="s">
        <v>94</v>
      </c>
      <c r="M3" s="381" t="str">
        <f>C1</f>
        <v>Grok 4.1</v>
      </c>
      <c r="N3" s="382">
        <f>100-ABS((($K12-C2)/($K12)))*100</f>
        <v>99.265605875153</v>
      </c>
      <c r="O3" s="383">
        <f t="shared" si="0"/>
        <v>0.12470400098410064</v>
      </c>
      <c r="P3" s="384">
        <f>100-ABS((($K13-C3)/($K13)))*100</f>
        <v>99.870974814195066</v>
      </c>
      <c r="Q3" s="385">
        <f t="shared" si="1"/>
        <v>0.12506685237879397</v>
      </c>
      <c r="R3" s="385">
        <f>100-ABS((($K14-C4)/($K14)))*100</f>
        <v>99.355671595132506</v>
      </c>
      <c r="S3" s="385">
        <f t="shared" si="2"/>
        <v>0.12518463137548097</v>
      </c>
      <c r="T3" s="385">
        <f>100-ABS((($K15-C5)/($K15)))*100</f>
        <v>93.923520167627032</v>
      </c>
      <c r="U3" s="385">
        <f t="shared" si="3"/>
        <v>0.12931842769563651</v>
      </c>
      <c r="V3" s="386">
        <f>100-ABS((($K16-C6)/($K16)))*100</f>
        <v>98.881424418127182</v>
      </c>
      <c r="W3" s="387">
        <f t="shared" si="4"/>
        <v>0.12529841628629648</v>
      </c>
      <c r="X3" s="388">
        <f>100-ABS((($K17-C7)/($K17)))*100</f>
        <v>99.085342807468436</v>
      </c>
      <c r="Y3" s="48">
        <f t="shared" si="5"/>
        <v>0.12496782374083572</v>
      </c>
      <c r="Z3" s="29"/>
      <c r="AA3" s="73">
        <f t="shared" si="6"/>
        <v>98.007897748770432</v>
      </c>
      <c r="AB3" s="74">
        <f t="shared" si="7"/>
        <v>98.39708994628387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75" t="s">
        <v>42</v>
      </c>
      <c r="AH3" s="76">
        <f>MAX(P2:P9)</f>
        <v>99.951577772686363</v>
      </c>
      <c r="AJ3" s="60" t="str">
        <f t="shared" si="8"/>
        <v>DJI</v>
      </c>
      <c r="AK3" s="77">
        <v>48833</v>
      </c>
      <c r="AL3" s="78">
        <f t="shared" si="9"/>
        <v>98.402106800129047</v>
      </c>
      <c r="AN3" s="9"/>
      <c r="AO3" s="79" t="str">
        <f t="shared" ref="AO3:AO8" si="10">AF2</f>
        <v>TNX</v>
      </c>
      <c r="AP3" s="80">
        <f t="shared" ref="AP3:AP8" si="11">K12</f>
        <v>4.085</v>
      </c>
      <c r="AQ3" s="80">
        <f>ABS(C30-AP3)</f>
        <v>8.4999999999999964E-2</v>
      </c>
      <c r="AR3" s="80">
        <f>ABS(E30-K12)</f>
        <v>7.5000000000000178E-2</v>
      </c>
      <c r="AS3" s="80">
        <f>ABS(AP3-G30)</f>
        <v>4.9999999999998934E-3</v>
      </c>
      <c r="AT3" s="81" t="s">
        <v>33</v>
      </c>
      <c r="AU3" s="9"/>
      <c r="AV3" s="9"/>
      <c r="AW3" s="9"/>
      <c r="AX3" s="9"/>
      <c r="AY3" s="9"/>
      <c r="AZ3" s="9"/>
      <c r="BA3" s="9"/>
    </row>
    <row r="4" spans="1:56" ht="14.4" x14ac:dyDescent="0.3">
      <c r="A4" s="82" t="s">
        <v>14</v>
      </c>
      <c r="B4" s="83">
        <v>6862</v>
      </c>
      <c r="C4" s="84">
        <v>6865</v>
      </c>
      <c r="D4" s="84">
        <v>6858</v>
      </c>
      <c r="E4" s="84">
        <v>6873</v>
      </c>
      <c r="F4" s="84">
        <v>6850</v>
      </c>
      <c r="G4" s="84">
        <v>6853</v>
      </c>
      <c r="H4" s="84">
        <v>6843</v>
      </c>
      <c r="I4" s="389">
        <v>6835</v>
      </c>
      <c r="J4" s="390">
        <v>6825</v>
      </c>
      <c r="M4" s="381" t="str">
        <f>D1</f>
        <v>Gemini Pro 3</v>
      </c>
      <c r="N4" s="382">
        <f>100-ABS((($K12-D2)/($K12)))*100</f>
        <v>99.143206854345166</v>
      </c>
      <c r="O4" s="383">
        <f t="shared" si="0"/>
        <v>0.12455023526155552</v>
      </c>
      <c r="P4" s="384">
        <f>100-ABS((($K13-D3)/($K13)))*100</f>
        <v>99.870974814195066</v>
      </c>
      <c r="Q4" s="385">
        <f t="shared" si="1"/>
        <v>0.12506685237879397</v>
      </c>
      <c r="R4" s="385">
        <f>100-ABS((($K14-D4)/($K14)))*100</f>
        <v>99.25436209751183</v>
      </c>
      <c r="S4" s="385">
        <f t="shared" si="2"/>
        <v>0.1250569849924324</v>
      </c>
      <c r="T4" s="385">
        <f>100-ABS((($K15-D5)/($K15)))*100</f>
        <v>71.660555264536413</v>
      </c>
      <c r="U4" s="385">
        <f t="shared" si="3"/>
        <v>9.8665705012621729E-2</v>
      </c>
      <c r="V4" s="386">
        <f>100-ABS((($K16-D6)/($K16)))*100</f>
        <v>98.799296989208472</v>
      </c>
      <c r="W4" s="387">
        <f t="shared" si="4"/>
        <v>0.12519434783423145</v>
      </c>
      <c r="X4" s="388">
        <f>100-ABS((($K17-D7)/($K17)))*100</f>
        <v>99.652279083830976</v>
      </c>
      <c r="Y4" s="48">
        <f t="shared" si="5"/>
        <v>0.12568285172226407</v>
      </c>
      <c r="Z4" s="29"/>
      <c r="AA4" s="73">
        <f t="shared" si="6"/>
        <v>92.396297291362941</v>
      </c>
      <c r="AB4" s="74">
        <f t="shared" si="7"/>
        <v>94.730112517271323</v>
      </c>
      <c r="AC4" s="51" t="str">
        <f>IF($AA4=MAX(AA2:AA9),"TOP","")</f>
        <v/>
      </c>
      <c r="AD4" s="51" t="str">
        <f>IF($AB4=MAX(AB2:AB9),"TOP","")</f>
        <v/>
      </c>
      <c r="AE4" s="52"/>
      <c r="AF4" s="82" t="s">
        <v>14</v>
      </c>
      <c r="AG4" s="86" t="s">
        <v>37</v>
      </c>
      <c r="AH4" s="87">
        <f>MAX(R2:R9)</f>
        <v>99.471453878127562</v>
      </c>
      <c r="AJ4" s="82" t="str">
        <f t="shared" si="8"/>
        <v>SPX</v>
      </c>
      <c r="AK4" s="88">
        <v>6810</v>
      </c>
      <c r="AL4" s="89">
        <f t="shared" si="9"/>
        <v>98.559668399541493</v>
      </c>
      <c r="AN4" s="9"/>
      <c r="AO4" s="79" t="str">
        <f t="shared" si="10"/>
        <v>DJI</v>
      </c>
      <c r="AP4" s="90">
        <f t="shared" si="11"/>
        <v>49625.97</v>
      </c>
      <c r="AQ4" s="91">
        <f>ABS(C13-AP4)</f>
        <v>175.97000000000116</v>
      </c>
      <c r="AR4" s="91">
        <f>ABS(E13-AP4)</f>
        <v>140.97000000000116</v>
      </c>
      <c r="AS4" s="91">
        <f>ABS(AP4-G13)</f>
        <v>3.9700000000011642</v>
      </c>
      <c r="AT4" s="92" t="s">
        <v>35</v>
      </c>
      <c r="AU4" s="9"/>
      <c r="AV4" s="9"/>
      <c r="BA4" s="9"/>
    </row>
    <row r="5" spans="1:56" ht="14.4" x14ac:dyDescent="0.3">
      <c r="A5" s="82" t="s">
        <v>15</v>
      </c>
      <c r="B5" s="93">
        <v>20.309999999999999</v>
      </c>
      <c r="C5" s="94">
        <v>20.25</v>
      </c>
      <c r="D5" s="94">
        <v>24.5</v>
      </c>
      <c r="E5" s="94">
        <v>19.75</v>
      </c>
      <c r="F5" s="94">
        <v>20.399999999999999</v>
      </c>
      <c r="G5" s="94">
        <v>20.38</v>
      </c>
      <c r="H5" s="95">
        <v>19.7</v>
      </c>
      <c r="I5" s="391">
        <v>21.5</v>
      </c>
      <c r="J5" s="392">
        <v>20.399999999999999</v>
      </c>
      <c r="K5" s="2" t="s">
        <v>36</v>
      </c>
      <c r="M5" s="381" t="str">
        <f>E1</f>
        <v>Claude</v>
      </c>
      <c r="N5" s="382">
        <f>100-ABS((($K12-E2)/($K12)))*100</f>
        <v>98.8984088127295</v>
      </c>
      <c r="O5" s="383">
        <f t="shared" si="0"/>
        <v>0.12424270381646525</v>
      </c>
      <c r="P5" s="384">
        <f>100-ABS((($K13-E3)/($K13)))*100</f>
        <v>99.810522595326603</v>
      </c>
      <c r="Q5" s="385">
        <f t="shared" si="1"/>
        <v>0.12499114901505633</v>
      </c>
      <c r="R5" s="385">
        <f>100-ABS((($K14-E4)/($K14)))*100</f>
        <v>99.471453878127562</v>
      </c>
      <c r="S5" s="385">
        <f t="shared" si="2"/>
        <v>0.12533051295610789</v>
      </c>
      <c r="T5" s="385">
        <f>100-ABS((($K15-E5)/($K15)))*100</f>
        <v>96.542692509167097</v>
      </c>
      <c r="U5" s="385">
        <f t="shared" si="3"/>
        <v>0.13292463036422647</v>
      </c>
      <c r="V5" s="386">
        <f>100-ABS((($K16-E6)/($K16)))*100</f>
        <v>98.552914702452341</v>
      </c>
      <c r="W5" s="387">
        <f t="shared" si="4"/>
        <v>0.12488214247803636</v>
      </c>
      <c r="X5" s="388">
        <f>100-ABS((($K17-E7)/($K17)))*100</f>
        <v>99.402827122231471</v>
      </c>
      <c r="Y5" s="48">
        <f t="shared" si="5"/>
        <v>0.12536823941043559</v>
      </c>
      <c r="Z5" s="29"/>
      <c r="AA5" s="73">
        <f t="shared" si="6"/>
        <v>98.594395921268386</v>
      </c>
      <c r="AB5" s="74">
        <f t="shared" si="7"/>
        <v>98.779803270005743</v>
      </c>
      <c r="AC5" s="51" t="str">
        <f>IF($AA5=MAX(AA2:AA9),"TOP","")</f>
        <v>TOP</v>
      </c>
      <c r="AD5" s="51" t="str">
        <f>IF($AB5=MAX(AB2:AB9),"TOP","")</f>
        <v/>
      </c>
      <c r="AE5" s="52"/>
      <c r="AF5" s="82" t="s">
        <v>15</v>
      </c>
      <c r="AG5" s="97" t="s">
        <v>95</v>
      </c>
      <c r="AH5" s="87">
        <f>MAX(T2:T9)</f>
        <v>96.804609743321109</v>
      </c>
      <c r="AJ5" s="82" t="str">
        <f t="shared" si="8"/>
        <v>VIX</v>
      </c>
      <c r="AK5" s="98">
        <v>19.100000000000001</v>
      </c>
      <c r="AL5" s="89">
        <f t="shared" si="9"/>
        <v>99.947616553169183</v>
      </c>
      <c r="AN5" s="9"/>
      <c r="AO5" s="79" t="str">
        <f t="shared" si="10"/>
        <v>SPX</v>
      </c>
      <c r="AP5" s="90">
        <f t="shared" si="11"/>
        <v>6909.52</v>
      </c>
      <c r="AQ5" s="91">
        <f>ABS(C14-AP5)</f>
        <v>106.52000000000044</v>
      </c>
      <c r="AR5" s="91">
        <f>ABS(E14-AP5)</f>
        <v>119.52000000000044</v>
      </c>
      <c r="AS5" s="91">
        <f>ABS(AP5-G14)</f>
        <v>59.520000000000437</v>
      </c>
      <c r="AT5" s="92" t="s">
        <v>38</v>
      </c>
      <c r="AU5" s="9"/>
      <c r="AV5" s="9"/>
      <c r="BA5" s="9"/>
    </row>
    <row r="6" spans="1:56" ht="14.4" x14ac:dyDescent="0.3">
      <c r="A6" s="99" t="s">
        <v>16</v>
      </c>
      <c r="B6" s="100">
        <v>602.03</v>
      </c>
      <c r="C6" s="101">
        <v>602</v>
      </c>
      <c r="D6" s="101">
        <v>601.5</v>
      </c>
      <c r="E6" s="101">
        <v>600</v>
      </c>
      <c r="F6" s="101">
        <v>600</v>
      </c>
      <c r="G6" s="101">
        <v>600</v>
      </c>
      <c r="H6" s="102">
        <v>601</v>
      </c>
      <c r="I6" s="393">
        <v>598</v>
      </c>
      <c r="J6" s="394">
        <v>598.5</v>
      </c>
      <c r="M6" s="381" t="str">
        <f>F1</f>
        <v>GLM-4.7</v>
      </c>
      <c r="N6" s="382">
        <f>100-ABS((($K12-F2)/($K12)))*100</f>
        <v>99.877600979192167</v>
      </c>
      <c r="O6" s="383">
        <f t="shared" si="0"/>
        <v>0.12547282959682629</v>
      </c>
      <c r="P6" s="384">
        <f>100-ABS((($K13-F3)/($K13)))*100</f>
        <v>99.951577772686363</v>
      </c>
      <c r="Q6" s="385">
        <f t="shared" si="1"/>
        <v>0.12516779019711086</v>
      </c>
      <c r="R6" s="385">
        <f>100-ABS((($K14-F4)/($K14)))*100</f>
        <v>99.138579814516774</v>
      </c>
      <c r="S6" s="385">
        <f t="shared" si="2"/>
        <v>0.12491110341180547</v>
      </c>
      <c r="T6" s="385">
        <f>100-ABS((($K15-F5)/($K15)))*100</f>
        <v>93.13776846516501</v>
      </c>
      <c r="U6" s="385">
        <f t="shared" si="3"/>
        <v>0.12823656689505952</v>
      </c>
      <c r="V6" s="386">
        <f>100-ABS((($K16-F6)/($K16)))*100</f>
        <v>98.552914702452341</v>
      </c>
      <c r="W6" s="387">
        <f t="shared" si="4"/>
        <v>0.12488214247803636</v>
      </c>
      <c r="X6" s="388">
        <f>100-ABS((($K17-F7)/($K17)))*100</f>
        <v>99.463300325043463</v>
      </c>
      <c r="Y6" s="48">
        <f t="shared" si="5"/>
        <v>0.12544450906178795</v>
      </c>
      <c r="Z6" s="29"/>
      <c r="AA6" s="73">
        <f t="shared" si="6"/>
        <v>97.695210188705119</v>
      </c>
      <c r="AB6" s="74">
        <f t="shared" si="7"/>
        <v>98.353623676509343</v>
      </c>
      <c r="AC6" s="11" t="str">
        <f>IF($AA6=MAX(AA2:AA9),"TOP","")</f>
        <v/>
      </c>
      <c r="AD6" s="11" t="str">
        <f>IF($AB6=MAX(AB2:AB9),"TOP","")</f>
        <v/>
      </c>
      <c r="AE6" s="52"/>
      <c r="AF6" s="99" t="s">
        <v>16</v>
      </c>
      <c r="AG6" s="104" t="s">
        <v>39</v>
      </c>
      <c r="AH6" s="105">
        <f>MAX(V2:V9)</f>
        <v>98.88635206386229</v>
      </c>
      <c r="AJ6" s="99" t="str">
        <f t="shared" si="8"/>
        <v>QQQ</v>
      </c>
      <c r="AK6" s="106">
        <v>604.79999999999995</v>
      </c>
      <c r="AL6" s="107">
        <f t="shared" si="9"/>
        <v>99.341338020071944</v>
      </c>
      <c r="AN6" s="9"/>
      <c r="AO6" s="79" t="str">
        <f t="shared" si="10"/>
        <v>VIX</v>
      </c>
      <c r="AP6" s="108">
        <f t="shared" si="11"/>
        <v>19.09</v>
      </c>
      <c r="AQ6" s="91">
        <f>ABS(C15-AP6)</f>
        <v>2.09</v>
      </c>
      <c r="AR6" s="91">
        <f>ABS(E15-AP6)</f>
        <v>2.4299999999999997</v>
      </c>
      <c r="AS6" s="91">
        <f>ABS(AP6-G15)</f>
        <v>0.10000000000000142</v>
      </c>
      <c r="AT6" s="92" t="s">
        <v>40</v>
      </c>
      <c r="AU6" s="9"/>
      <c r="AV6" s="9"/>
      <c r="BA6" s="9"/>
    </row>
    <row r="7" spans="1:56" ht="14.4" x14ac:dyDescent="0.3">
      <c r="A7" s="109" t="s">
        <v>17</v>
      </c>
      <c r="B7" s="110">
        <v>259.68</v>
      </c>
      <c r="C7" s="111">
        <v>267</v>
      </c>
      <c r="D7" s="111">
        <v>265.5</v>
      </c>
      <c r="E7" s="111">
        <v>263</v>
      </c>
      <c r="F7" s="111">
        <v>266</v>
      </c>
      <c r="G7" s="111">
        <v>268</v>
      </c>
      <c r="H7" s="112">
        <v>263</v>
      </c>
      <c r="I7" s="395">
        <v>262</v>
      </c>
      <c r="J7" s="396">
        <v>264.7</v>
      </c>
      <c r="K7" s="2" t="s">
        <v>41</v>
      </c>
      <c r="M7" s="381" t="str">
        <f>G1</f>
        <v>Kimi 2.5</v>
      </c>
      <c r="N7" s="382">
        <f>100-ABS((($K12-G2)/($K12)))*100</f>
        <v>99.926560587515297</v>
      </c>
      <c r="O7" s="383">
        <f t="shared" si="0"/>
        <v>0.12553433588584434</v>
      </c>
      <c r="P7" s="384">
        <f>100-ABS((($K13-G3)/($K13)))*100</f>
        <v>99.81455274325117</v>
      </c>
      <c r="Q7" s="385">
        <f t="shared" si="1"/>
        <v>0.12499619590597218</v>
      </c>
      <c r="R7" s="385">
        <f>100-ABS((($K14-G4)/($K14)))*100</f>
        <v>99.181998170639929</v>
      </c>
      <c r="S7" s="385">
        <f t="shared" si="2"/>
        <v>0.12496580900454057</v>
      </c>
      <c r="T7" s="385">
        <f>100-ABS((($K15-G5)/($K15)))*100</f>
        <v>93.242535358826615</v>
      </c>
      <c r="U7" s="385">
        <f t="shared" si="3"/>
        <v>0.12838081500180312</v>
      </c>
      <c r="V7" s="386">
        <f>100-ABS((($K16-G6)/($K16)))*100</f>
        <v>98.552914702452341</v>
      </c>
      <c r="W7" s="387">
        <f t="shared" si="4"/>
        <v>0.12488214247803636</v>
      </c>
      <c r="X7" s="388">
        <f>100-ABS((($K17-G7)/($K17)))*100</f>
        <v>98.707385289893409</v>
      </c>
      <c r="Y7" s="48">
        <f t="shared" si="5"/>
        <v>0.12449113841988349</v>
      </c>
      <c r="Z7" s="29"/>
      <c r="AA7" s="73">
        <f t="shared" si="6"/>
        <v>97.698000243792507</v>
      </c>
      <c r="AB7" s="74">
        <f t="shared" si="7"/>
        <v>98.237657808763132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115" t="s">
        <v>96</v>
      </c>
      <c r="AH7" s="116">
        <f>MAX(X2:X9)</f>
        <v>99.652279083830976</v>
      </c>
      <c r="AJ7" s="114" t="str">
        <f t="shared" si="8"/>
        <v>AAPL</v>
      </c>
      <c r="AK7" s="117">
        <v>245.25</v>
      </c>
      <c r="AL7" s="118">
        <f t="shared" si="9"/>
        <v>92.694081185274783</v>
      </c>
      <c r="AN7" s="9"/>
      <c r="AO7" s="79" t="str">
        <f t="shared" si="10"/>
        <v>QQQ</v>
      </c>
      <c r="AP7" s="119">
        <f t="shared" si="11"/>
        <v>608.80999999999995</v>
      </c>
      <c r="AQ7" s="91">
        <f>ABS(C16-AP7)</f>
        <v>11.509999999999991</v>
      </c>
      <c r="AR7" s="91">
        <f>ABS(E16-AP7)</f>
        <v>13.009999999999991</v>
      </c>
      <c r="AS7" s="91">
        <f>ABS(AP7-G16)</f>
        <v>5.3099999999999454</v>
      </c>
      <c r="AT7" s="92" t="s">
        <v>43</v>
      </c>
      <c r="AU7" s="9"/>
      <c r="AV7" s="9"/>
      <c r="AW7" s="9"/>
      <c r="AX7" s="120"/>
      <c r="AY7" s="120"/>
      <c r="AZ7" s="9"/>
      <c r="BA7" s="9"/>
    </row>
    <row r="8" spans="1:56" ht="14.25" customHeight="1" x14ac:dyDescent="0.3">
      <c r="K8" s="121">
        <v>37</v>
      </c>
      <c r="M8" s="381" t="str">
        <f>H1</f>
        <v>Minimax 2.1</v>
      </c>
      <c r="N8" s="382">
        <f>100-ABS((($K12-H2)/($K12)))*100</f>
        <v>99.388004895960819</v>
      </c>
      <c r="O8" s="383">
        <f t="shared" si="0"/>
        <v>0.12485776670664576</v>
      </c>
      <c r="P8" s="384">
        <f>100-ABS((($K13-H3)/($K13)))*100</f>
        <v>99.75007037645814</v>
      </c>
      <c r="Q8" s="385">
        <f t="shared" si="1"/>
        <v>0.12491544565131868</v>
      </c>
      <c r="R8" s="385">
        <f>100-ABS((($K14-H4)/($K14)))*100</f>
        <v>99.037270316896098</v>
      </c>
      <c r="S8" s="385">
        <f t="shared" si="2"/>
        <v>0.1247834570287569</v>
      </c>
      <c r="T8" s="385">
        <f>100-ABS((($K15-H5)/($K15)))*100</f>
        <v>96.804609743321109</v>
      </c>
      <c r="U8" s="385">
        <f t="shared" si="3"/>
        <v>0.13328525063108548</v>
      </c>
      <c r="V8" s="386">
        <f>100-ABS((($K16-H6)/($K16)))*100</f>
        <v>98.717169560289761</v>
      </c>
      <c r="W8" s="387">
        <f t="shared" si="4"/>
        <v>0.12509027938216641</v>
      </c>
      <c r="X8" s="388">
        <f>100-ABS((($K17-H7)/($K17)))*100</f>
        <v>99.402827122231471</v>
      </c>
      <c r="Y8" s="48">
        <f t="shared" si="5"/>
        <v>0.12536823941043559</v>
      </c>
      <c r="Z8" s="29"/>
      <c r="AA8" s="73">
        <f t="shared" si="6"/>
        <v>98.577279999241284</v>
      </c>
      <c r="AB8" s="74">
        <f t="shared" si="7"/>
        <v>98.849992002526221</v>
      </c>
      <c r="AC8" s="51" t="str">
        <f>IF($AA8=MAX(AA2:AA9),"TOP","")</f>
        <v/>
      </c>
      <c r="AD8" s="51" t="str">
        <f>IF($AB8=MAX(AB2:AB9),"TOP","")</f>
        <v>TOP</v>
      </c>
      <c r="AE8" s="52"/>
      <c r="AF8" s="4"/>
      <c r="AG8" s="4"/>
      <c r="AH8" s="5"/>
      <c r="AL8" s="8"/>
      <c r="AN8" s="9"/>
      <c r="AO8" s="79" t="str">
        <f t="shared" si="10"/>
        <v>AAPL</v>
      </c>
      <c r="AP8" s="122">
        <f t="shared" si="11"/>
        <v>264.58</v>
      </c>
      <c r="AQ8" s="122">
        <f>ABS(C35-AP8)</f>
        <v>1.8199999999999932</v>
      </c>
      <c r="AR8" s="122">
        <f>ABS(E35-K17)</f>
        <v>2.6200000000000045</v>
      </c>
      <c r="AS8" s="122">
        <f>ABS(AP8-G35)</f>
        <v>0.27999999999997272</v>
      </c>
      <c r="AT8" s="81" t="s">
        <v>33</v>
      </c>
      <c r="AU8" s="9"/>
      <c r="AV8" s="9"/>
      <c r="AW8" s="9"/>
      <c r="AX8" s="9"/>
      <c r="AY8" s="9"/>
      <c r="AZ8" s="9"/>
      <c r="BA8" s="9"/>
    </row>
    <row r="9" spans="1:56" ht="14.4" x14ac:dyDescent="0.3">
      <c r="K9" s="6" t="str">
        <f>IF(K8&lt;25,AB31,IF(K8&lt;45,AB32,IF(K8&lt;55,AB33,IF(K8&lt;75,AB34,AB35))))</f>
        <v>Fear</v>
      </c>
      <c r="M9" s="397" t="str">
        <f>I1</f>
        <v>LeChat</v>
      </c>
      <c r="N9" s="398">
        <f>100-ABS((($K12-I2)/($K12)))*100</f>
        <v>99.877600979192167</v>
      </c>
      <c r="O9" s="399">
        <f t="shared" si="0"/>
        <v>0.12547282959682629</v>
      </c>
      <c r="P9" s="400">
        <f>100-ABS((($K13-I3)/($K13)))*100</f>
        <v>99.645407434857191</v>
      </c>
      <c r="Q9" s="401">
        <f t="shared" si="1"/>
        <v>0.1247843778942342</v>
      </c>
      <c r="R9" s="401">
        <f>100-ABS((($K14-I4)/($K14)))*100</f>
        <v>98.921488033901042</v>
      </c>
      <c r="S9" s="401">
        <f t="shared" si="2"/>
        <v>0.12463757544812998</v>
      </c>
      <c r="T9" s="402">
        <f>100-ABS((($K15-I5)/($K15)))*100</f>
        <v>87.375589313776842</v>
      </c>
      <c r="U9" s="401">
        <f t="shared" si="3"/>
        <v>0.12030292102416157</v>
      </c>
      <c r="V9" s="403">
        <f>100-ABS((($K16-I6)/($K16)))*100</f>
        <v>98.224404986777486</v>
      </c>
      <c r="W9" s="404">
        <f t="shared" si="4"/>
        <v>0.12446586866977623</v>
      </c>
      <c r="X9" s="405">
        <f>100-ABS((($K17-I7)/($K17)))*100</f>
        <v>99.024869604656445</v>
      </c>
      <c r="Y9" s="124">
        <f t="shared" si="5"/>
        <v>0.12489155408948338</v>
      </c>
      <c r="Z9" s="29"/>
      <c r="AA9" s="139">
        <f t="shared" si="6"/>
        <v>96.041722442328137</v>
      </c>
      <c r="AB9" s="140">
        <f t="shared" si="7"/>
        <v>97.178226725526869</v>
      </c>
      <c r="AC9" s="51" t="str">
        <f>IF($AA9=MAX(AA2:AA9),"TOP","")</f>
        <v/>
      </c>
      <c r="AD9" s="51" t="str">
        <f>IF($AB9=MAX(AB2:AB9),"TOP","")</f>
        <v/>
      </c>
      <c r="AE9" s="52"/>
      <c r="AF9" s="1319" t="s">
        <v>44</v>
      </c>
      <c r="AG9" s="1319"/>
      <c r="AH9" s="125">
        <f>AVERAGE(AH3:AH6)</f>
        <v>98.778498364499342</v>
      </c>
      <c r="AJ9" s="1310" t="s">
        <v>44</v>
      </c>
      <c r="AK9" s="1310"/>
      <c r="AL9" s="126">
        <f>AVERAGE(AL3:AL6)</f>
        <v>99.062682443227914</v>
      </c>
      <c r="AN9" s="9"/>
      <c r="AP9" s="79">
        <v>0</v>
      </c>
      <c r="AQ9" s="33">
        <v>2.16</v>
      </c>
      <c r="AR9" s="33">
        <v>2.2400000000000002</v>
      </c>
      <c r="AS9" s="33">
        <v>1.79</v>
      </c>
      <c r="AT9" s="127" t="s">
        <v>45</v>
      </c>
      <c r="AU9" s="9"/>
      <c r="AV9" s="9"/>
      <c r="AW9" s="9"/>
      <c r="AX9" s="9"/>
      <c r="AY9" s="9"/>
      <c r="AZ9" s="9"/>
      <c r="BA9" s="9"/>
    </row>
    <row r="10" spans="1:56" ht="14.4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99.115472188223933</v>
      </c>
      <c r="AJ10" s="1311" t="s">
        <v>51</v>
      </c>
      <c r="AK10" s="1311"/>
      <c r="AL10" s="142">
        <f>AVERAGE(AL2:AL7)</f>
        <v>97.484273878587985</v>
      </c>
      <c r="AN10" s="9"/>
      <c r="AP10" s="79">
        <v>0</v>
      </c>
      <c r="AQ10" s="33">
        <v>5.28</v>
      </c>
      <c r="AR10" s="33">
        <v>5.33</v>
      </c>
      <c r="AS10" s="33">
        <v>5.0999999999999996</v>
      </c>
      <c r="AT10" s="143" t="s">
        <v>52</v>
      </c>
      <c r="AU10" s="9"/>
      <c r="AV10" s="9"/>
      <c r="AW10" s="9"/>
      <c r="AX10" s="9"/>
      <c r="AY10" s="9"/>
      <c r="AZ10" s="9"/>
      <c r="BA10" s="9"/>
    </row>
    <row r="11" spans="1:56" ht="14.4" x14ac:dyDescent="0.3">
      <c r="B11" s="3" t="s">
        <v>46</v>
      </c>
      <c r="C11" s="1312" t="s">
        <v>47</v>
      </c>
      <c r="D11" s="1312"/>
      <c r="E11" s="1312">
        <v>85520</v>
      </c>
      <c r="F11" s="1312"/>
      <c r="G11" s="1312" t="s">
        <v>48</v>
      </c>
      <c r="H11" s="1312"/>
      <c r="I11" s="406" t="s">
        <v>36</v>
      </c>
      <c r="J11" s="406" t="s">
        <v>49</v>
      </c>
      <c r="K11" s="130" t="s">
        <v>50</v>
      </c>
      <c r="M11" s="19" t="s">
        <v>53</v>
      </c>
      <c r="N11" s="156" t="s">
        <v>12</v>
      </c>
      <c r="O11" s="21">
        <f>SUM(N12:N19)</f>
        <v>680</v>
      </c>
      <c r="P11" s="157" t="s">
        <v>13</v>
      </c>
      <c r="Q11" s="158">
        <f>SUM(P12:P19)</f>
        <v>755</v>
      </c>
      <c r="R11" s="159" t="s">
        <v>14</v>
      </c>
      <c r="S11" s="158">
        <f>SUM(R12:R19)</f>
        <v>615</v>
      </c>
      <c r="T11" s="159" t="s">
        <v>15</v>
      </c>
      <c r="U11" s="158">
        <f>SUM(T12:T19)</f>
        <v>225.1</v>
      </c>
      <c r="V11" s="159" t="s">
        <v>16</v>
      </c>
      <c r="W11" s="26">
        <f>SUM(V12:V19)</f>
        <v>555</v>
      </c>
      <c r="X11" s="160" t="s">
        <v>17</v>
      </c>
      <c r="Y11" s="28">
        <f>SUM(X12:X19)</f>
        <v>615</v>
      </c>
      <c r="Z11" s="29"/>
      <c r="AA11" s="161" t="s">
        <v>54</v>
      </c>
      <c r="AB11" s="162" t="s">
        <v>55</v>
      </c>
      <c r="AF11" s="150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6" ht="14.4" x14ac:dyDescent="0.3">
      <c r="A12" s="53" t="s">
        <v>12</v>
      </c>
      <c r="B12" s="144">
        <v>4.0519999999999996</v>
      </c>
      <c r="C12" s="145">
        <v>4</v>
      </c>
      <c r="D12" s="146" t="str">
        <f t="shared" ref="D12:D17" si="12">IF(ABS(K12-I12)&lt;ABS(C12-K12),$I$11,$C$11)</f>
        <v>LLM</v>
      </c>
      <c r="E12" s="145">
        <v>4.01</v>
      </c>
      <c r="F12" s="146" t="str">
        <f t="shared" ref="F12:F17" si="13">IF(ABS(K12-I12)&lt;ABS(K12-E12),$I$11,$E$11)</f>
        <v>LLM</v>
      </c>
      <c r="G12" s="145">
        <v>4.08</v>
      </c>
      <c r="H12" s="146" t="str">
        <f t="shared" ref="H12:H17" si="14">IF(ABS(I12-K12)&lt;ABS(K12-G12),$I$11,$G$11)</f>
        <v>MICH</v>
      </c>
      <c r="I12" s="407">
        <f>(B2*O22)+(C2*O23)+(D2*O24)+(E2*O25)+(F2*O26)+(G2*O27)+(H2*O28)+(I2*O29)</f>
        <v>4.0651808278867101</v>
      </c>
      <c r="J12" s="408">
        <v>4.0562700606060602</v>
      </c>
      <c r="K12" s="409">
        <v>4.085</v>
      </c>
      <c r="M12" s="410" t="str">
        <f t="shared" ref="M12:M19" si="15">M2</f>
        <v>O 5.2</v>
      </c>
      <c r="N12" s="411">
        <f t="shared" ref="N12:N19" si="16">IF(N2=0,0, LOOKUP(N2-0.000000000001,$AA$12:$AA$28,$AB$12:$AB$28))</f>
        <v>90</v>
      </c>
      <c r="O12" s="412">
        <f t="shared" ref="O12:O19" si="17">N12/$O$11</f>
        <v>0.13235294117647059</v>
      </c>
      <c r="P12" s="413">
        <f t="shared" ref="P12:P19" si="18">IF(P2=0,0, LOOKUP(P2-0.000000000001,$AA$12:$AA$28,$AB$12:$AB$28))</f>
        <v>95</v>
      </c>
      <c r="Q12" s="414">
        <f t="shared" ref="Q12:Q19" si="19">P12/$Q$11</f>
        <v>0.12582781456953643</v>
      </c>
      <c r="R12" s="414">
        <f t="shared" ref="R12:R19" si="20">IF(R2=0,0, LOOKUP(R2-0.000000000001,$AA$12:$AA$28,$AB$12:$AB$28))</f>
        <v>80</v>
      </c>
      <c r="S12" s="414">
        <f t="shared" ref="S12:S19" si="21">R12/$S$11</f>
        <v>0.13008130081300814</v>
      </c>
      <c r="T12" s="414">
        <f t="shared" ref="T12:T19" si="22">IF(T2=0,0, LOOKUP(T2-0.000000000001,$AA$12:$AA$28,$AB$12:$AB$28))</f>
        <v>30</v>
      </c>
      <c r="U12" s="414">
        <f t="shared" ref="U12:U19" si="23">T12/$U$11</f>
        <v>0.13327410039982229</v>
      </c>
      <c r="V12" s="414">
        <f t="shared" ref="V12:V19" si="24">IF(V2=0,0, LOOKUP(V2-0.000000000001,$AA$12:$AA$28,$AB$12:$AB$28))</f>
        <v>70</v>
      </c>
      <c r="W12" s="415">
        <f t="shared" ref="W12:W19" si="25">V12/$W$11</f>
        <v>0.12612612612612611</v>
      </c>
      <c r="X12" s="416">
        <f t="shared" ref="X12:X19" si="26">IF(X2=0,0, LOOKUP(X2-0.000000000001,$AA$12:$AA$28,$AB$12:$AB$28))</f>
        <v>65</v>
      </c>
      <c r="Y12" s="179">
        <f t="shared" ref="Y12:Y19" si="27">X12/$Y$11</f>
        <v>0.10569105691056911</v>
      </c>
      <c r="Z12" s="29"/>
      <c r="AA12" s="180">
        <v>1</v>
      </c>
      <c r="AB12" s="181">
        <v>0.1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6" ht="14.4" x14ac:dyDescent="0.3">
      <c r="A13" s="60" t="s">
        <v>13</v>
      </c>
      <c r="B13" s="151">
        <v>49533.19</v>
      </c>
      <c r="C13" s="61">
        <v>49450</v>
      </c>
      <c r="D13" s="152" t="str">
        <f t="shared" si="12"/>
        <v>LLM</v>
      </c>
      <c r="E13" s="61">
        <v>49485</v>
      </c>
      <c r="F13" s="152" t="str">
        <f t="shared" si="13"/>
        <v>LLM</v>
      </c>
      <c r="G13" s="61">
        <v>49622</v>
      </c>
      <c r="H13" s="152" t="str">
        <f t="shared" si="14"/>
        <v>MICH</v>
      </c>
      <c r="I13" s="417">
        <f>(B3*Q22)+(C3*Q23)+(D3*Q24)+(E3*Q25)+(F3*Q26)+(G3*Q27)+(H3*Q28)+(I3*Q29)</f>
        <v>49671.392694063921</v>
      </c>
      <c r="J13" s="418">
        <v>49694.250397766802</v>
      </c>
      <c r="K13" s="419">
        <v>49625.97</v>
      </c>
      <c r="M13" s="420" t="str">
        <f t="shared" si="15"/>
        <v>Grok 4.1</v>
      </c>
      <c r="N13" s="411">
        <f t="shared" si="16"/>
        <v>80</v>
      </c>
      <c r="O13" s="412">
        <f t="shared" si="17"/>
        <v>0.11764705882352941</v>
      </c>
      <c r="P13" s="413">
        <f t="shared" si="18"/>
        <v>95</v>
      </c>
      <c r="Q13" s="414">
        <f t="shared" si="19"/>
        <v>0.12582781456953643</v>
      </c>
      <c r="R13" s="414">
        <f t="shared" si="20"/>
        <v>80</v>
      </c>
      <c r="S13" s="414">
        <f t="shared" si="21"/>
        <v>0.13008130081300814</v>
      </c>
      <c r="T13" s="414">
        <f t="shared" si="22"/>
        <v>30</v>
      </c>
      <c r="U13" s="414">
        <f t="shared" si="23"/>
        <v>0.13327410039982229</v>
      </c>
      <c r="V13" s="414">
        <f t="shared" si="24"/>
        <v>70</v>
      </c>
      <c r="W13" s="415">
        <f t="shared" si="25"/>
        <v>0.12612612612612611</v>
      </c>
      <c r="X13" s="416">
        <f t="shared" si="26"/>
        <v>75</v>
      </c>
      <c r="Y13" s="179">
        <f t="shared" si="27"/>
        <v>0.12195121951219512</v>
      </c>
      <c r="Z13" s="29"/>
      <c r="AA13" s="202">
        <v>80</v>
      </c>
      <c r="AB13" s="203">
        <v>1</v>
      </c>
      <c r="AG13" s="1314" t="s">
        <v>68</v>
      </c>
      <c r="AH13" s="1314"/>
      <c r="AJ13" s="4"/>
      <c r="AK13" s="1314" t="s">
        <v>69</v>
      </c>
      <c r="AL13" s="1314"/>
      <c r="AN13" s="9"/>
      <c r="AO13" s="186" t="s">
        <v>13</v>
      </c>
      <c r="AP13" s="187" t="str">
        <f>K11</f>
        <v xml:space="preserve">+3-day </v>
      </c>
      <c r="AQ13" s="33" t="s">
        <v>23</v>
      </c>
      <c r="AR13" s="33" t="s">
        <v>24</v>
      </c>
      <c r="AS13" s="33" t="s">
        <v>25</v>
      </c>
      <c r="AT13" s="188" t="s">
        <v>35</v>
      </c>
      <c r="AU13" s="189">
        <v>893</v>
      </c>
      <c r="AV13" s="190" t="s">
        <v>56</v>
      </c>
      <c r="AW13" s="191" t="s">
        <v>57</v>
      </c>
      <c r="AX13" s="192">
        <v>893</v>
      </c>
      <c r="BA13" s="9"/>
    </row>
    <row r="14" spans="1:56" ht="14.4" x14ac:dyDescent="0.3">
      <c r="A14" s="82" t="s">
        <v>14</v>
      </c>
      <c r="B14" s="167">
        <v>6843.22</v>
      </c>
      <c r="C14" s="83">
        <v>6803</v>
      </c>
      <c r="D14" s="168" t="str">
        <f t="shared" si="12"/>
        <v>LLM</v>
      </c>
      <c r="E14" s="83">
        <v>6790</v>
      </c>
      <c r="F14" s="168" t="str">
        <f t="shared" si="13"/>
        <v>LLM</v>
      </c>
      <c r="G14" s="83">
        <v>6850</v>
      </c>
      <c r="H14" s="168" t="str">
        <f t="shared" si="14"/>
        <v>LLM</v>
      </c>
      <c r="I14" s="421">
        <f>(B4*S22)+(C4*S23)+(D4*S24)+(E4*S25)+(F4*S26)+(G4*S27)+(H4*S28)+(I4*S29)</f>
        <v>6854.8961864406783</v>
      </c>
      <c r="J14" s="422">
        <v>6854.7162887682698</v>
      </c>
      <c r="K14" s="167">
        <v>6909.52</v>
      </c>
      <c r="M14" s="420" t="str">
        <f t="shared" si="15"/>
        <v>Gemini Pro 3</v>
      </c>
      <c r="N14" s="411">
        <f t="shared" si="16"/>
        <v>75</v>
      </c>
      <c r="O14" s="412">
        <f t="shared" si="17"/>
        <v>0.11029411764705882</v>
      </c>
      <c r="P14" s="413">
        <f t="shared" si="18"/>
        <v>95</v>
      </c>
      <c r="Q14" s="414">
        <f t="shared" si="19"/>
        <v>0.12582781456953643</v>
      </c>
      <c r="R14" s="414">
        <f t="shared" si="20"/>
        <v>80</v>
      </c>
      <c r="S14" s="414">
        <f t="shared" si="21"/>
        <v>0.13008130081300814</v>
      </c>
      <c r="T14" s="414">
        <f t="shared" si="22"/>
        <v>0.1</v>
      </c>
      <c r="U14" s="414">
        <f t="shared" si="23"/>
        <v>4.4424700133274104E-4</v>
      </c>
      <c r="V14" s="414">
        <f t="shared" si="24"/>
        <v>70</v>
      </c>
      <c r="W14" s="415">
        <f t="shared" si="25"/>
        <v>0.12612612612612611</v>
      </c>
      <c r="X14" s="416">
        <f t="shared" si="26"/>
        <v>90</v>
      </c>
      <c r="Y14" s="179">
        <f t="shared" si="27"/>
        <v>0.14634146341463414</v>
      </c>
      <c r="Z14" s="29"/>
      <c r="AA14" s="202">
        <v>82.5</v>
      </c>
      <c r="AB14" s="203">
        <v>2</v>
      </c>
      <c r="AF14" s="341" t="str">
        <f t="shared" ref="AF14:AF19" si="28">A2</f>
        <v>TNX</v>
      </c>
      <c r="AG14" s="342">
        <f t="shared" ref="AG14:AG19" si="29">C12</f>
        <v>4</v>
      </c>
      <c r="AH14" s="57">
        <f t="shared" ref="AH14:AH19" si="30">100-ABS(($K12-AG14)/($K12))*100</f>
        <v>97.919216646266833</v>
      </c>
      <c r="AJ14" s="53" t="str">
        <f t="shared" ref="AJ14:AJ19" si="31">AF14</f>
        <v>TNX</v>
      </c>
      <c r="AK14" s="342">
        <f t="shared" ref="AK14:AK19" si="32">E12</f>
        <v>4.01</v>
      </c>
      <c r="AL14" s="57">
        <f t="shared" ref="AL14:AL19" si="33">100-ABS(($K12-AK14)/($K12))*100</f>
        <v>98.164014687882499</v>
      </c>
      <c r="AN14" s="9"/>
      <c r="AO14" s="9"/>
      <c r="AP14" s="187">
        <v>0</v>
      </c>
      <c r="AQ14" s="204">
        <f>AQ15/AT15</f>
        <v>0.197054871220606</v>
      </c>
      <c r="AR14" s="204">
        <f>AR15/AT15</f>
        <v>0.15786114221724654</v>
      </c>
      <c r="AS14" s="204">
        <f>AS15/AT15</f>
        <v>4.4456886898109338E-3</v>
      </c>
      <c r="AT14" s="187">
        <v>5</v>
      </c>
      <c r="AU14" s="205">
        <v>1</v>
      </c>
      <c r="AV14" s="190" t="s">
        <v>58</v>
      </c>
      <c r="AW14" s="191" t="s">
        <v>59</v>
      </c>
      <c r="AX14" s="206">
        <f>AU13/AP4</f>
        <v>1.7994610483180479E-2</v>
      </c>
      <c r="BA14" s="9"/>
    </row>
    <row r="15" spans="1:56" ht="14.4" x14ac:dyDescent="0.3">
      <c r="A15" s="82" t="s">
        <v>15</v>
      </c>
      <c r="B15" s="167">
        <v>20.29</v>
      </c>
      <c r="C15" s="93">
        <v>21.18</v>
      </c>
      <c r="D15" s="168" t="str">
        <f t="shared" si="12"/>
        <v>LLM</v>
      </c>
      <c r="E15" s="93">
        <v>21.52</v>
      </c>
      <c r="F15" s="168" t="str">
        <f t="shared" si="13"/>
        <v>LLM</v>
      </c>
      <c r="G15" s="93">
        <v>19.190000000000001</v>
      </c>
      <c r="H15" s="168" t="str">
        <f t="shared" si="14"/>
        <v>MICH</v>
      </c>
      <c r="I15" s="423">
        <f>(B5*U22)+(C5*U23)+(D5*U24)+(E5*U25)+(F5*U26)+(G5*U27)+(H5*U28)+(I5*U29)</f>
        <v>20.845937246141347</v>
      </c>
      <c r="J15" s="424">
        <v>20.727365790383399</v>
      </c>
      <c r="K15" s="167">
        <v>19.09</v>
      </c>
      <c r="M15" s="420" t="str">
        <f t="shared" si="15"/>
        <v>Claude</v>
      </c>
      <c r="N15" s="411">
        <f t="shared" si="16"/>
        <v>70</v>
      </c>
      <c r="O15" s="412">
        <f t="shared" si="17"/>
        <v>0.10294117647058823</v>
      </c>
      <c r="P15" s="413">
        <f t="shared" si="18"/>
        <v>95</v>
      </c>
      <c r="Q15" s="414">
        <f t="shared" si="19"/>
        <v>0.12582781456953643</v>
      </c>
      <c r="R15" s="414">
        <f t="shared" si="20"/>
        <v>80</v>
      </c>
      <c r="S15" s="414">
        <f t="shared" si="21"/>
        <v>0.13008130081300814</v>
      </c>
      <c r="T15" s="414">
        <f t="shared" si="22"/>
        <v>50</v>
      </c>
      <c r="U15" s="414">
        <f t="shared" si="23"/>
        <v>0.22212350066637052</v>
      </c>
      <c r="V15" s="414">
        <f t="shared" si="24"/>
        <v>70</v>
      </c>
      <c r="W15" s="415">
        <f t="shared" si="25"/>
        <v>0.12612612612612611</v>
      </c>
      <c r="X15" s="416">
        <f t="shared" si="26"/>
        <v>80</v>
      </c>
      <c r="Y15" s="179">
        <f t="shared" si="27"/>
        <v>0.13008130081300814</v>
      </c>
      <c r="Z15" s="29"/>
      <c r="AA15" s="202">
        <v>85</v>
      </c>
      <c r="AB15" s="203">
        <v>5</v>
      </c>
      <c r="AF15" s="343" t="str">
        <f t="shared" si="28"/>
        <v>DJI</v>
      </c>
      <c r="AG15" s="344">
        <f t="shared" si="29"/>
        <v>49450</v>
      </c>
      <c r="AH15" s="78">
        <f t="shared" si="30"/>
        <v>99.645407434857191</v>
      </c>
      <c r="AJ15" s="60" t="str">
        <f t="shared" si="31"/>
        <v>DJI</v>
      </c>
      <c r="AK15" s="344">
        <f t="shared" si="32"/>
        <v>49485</v>
      </c>
      <c r="AL15" s="78">
        <f t="shared" si="33"/>
        <v>99.715935023537071</v>
      </c>
      <c r="AN15" s="9"/>
      <c r="AO15" s="9"/>
      <c r="AP15" s="212">
        <v>0</v>
      </c>
      <c r="AQ15" s="213">
        <f>AQ4</f>
        <v>175.97000000000116</v>
      </c>
      <c r="AR15" s="213">
        <f>AR4</f>
        <v>140.97000000000116</v>
      </c>
      <c r="AS15" s="213">
        <f>AS4</f>
        <v>3.9700000000011642</v>
      </c>
      <c r="AT15" s="213">
        <f>AU14*AU13</f>
        <v>893</v>
      </c>
      <c r="AV15" s="214"/>
      <c r="AW15" s="13"/>
      <c r="AX15" s="13"/>
      <c r="BA15" s="9"/>
    </row>
    <row r="16" spans="1:56" ht="14.4" x14ac:dyDescent="0.3">
      <c r="A16" s="99" t="s">
        <v>16</v>
      </c>
      <c r="B16" s="207">
        <v>601.29999999999995</v>
      </c>
      <c r="C16" s="100">
        <v>597.29999999999995</v>
      </c>
      <c r="D16" s="208" t="str">
        <f t="shared" si="12"/>
        <v>LLM</v>
      </c>
      <c r="E16" s="100">
        <v>595.79999999999995</v>
      </c>
      <c r="F16" s="168" t="str">
        <f t="shared" si="13"/>
        <v>LLM</v>
      </c>
      <c r="G16" s="100">
        <v>603.5</v>
      </c>
      <c r="H16" s="208" t="str">
        <f t="shared" si="14"/>
        <v>MICH</v>
      </c>
      <c r="I16" s="425">
        <f>(B6*W22)+(C6*W23)+(D6*W24)+(E6*W25)+(F6*W26)+(G6*W27)+(H6*W28)+(I6*W29)</f>
        <v>600.53094562647743</v>
      </c>
      <c r="J16" s="426">
        <v>603.70818452859396</v>
      </c>
      <c r="K16" s="427">
        <v>608.80999999999995</v>
      </c>
      <c r="M16" s="420" t="str">
        <f t="shared" si="15"/>
        <v>GLM-4.7</v>
      </c>
      <c r="N16" s="411">
        <f t="shared" si="16"/>
        <v>95</v>
      </c>
      <c r="O16" s="412">
        <f t="shared" si="17"/>
        <v>0.13970588235294118</v>
      </c>
      <c r="P16" s="413">
        <f t="shared" si="18"/>
        <v>95</v>
      </c>
      <c r="Q16" s="414">
        <f t="shared" si="19"/>
        <v>0.12582781456953643</v>
      </c>
      <c r="R16" s="414">
        <f t="shared" si="20"/>
        <v>75</v>
      </c>
      <c r="S16" s="414">
        <f t="shared" si="21"/>
        <v>0.12195121951219512</v>
      </c>
      <c r="T16" s="414">
        <f t="shared" si="22"/>
        <v>30</v>
      </c>
      <c r="U16" s="414">
        <f t="shared" si="23"/>
        <v>0.13327410039982229</v>
      </c>
      <c r="V16" s="414">
        <f t="shared" si="24"/>
        <v>70</v>
      </c>
      <c r="W16" s="415">
        <f t="shared" si="25"/>
        <v>0.12612612612612611</v>
      </c>
      <c r="X16" s="416">
        <f t="shared" si="26"/>
        <v>80</v>
      </c>
      <c r="Y16" s="179">
        <f t="shared" si="27"/>
        <v>0.13008130081300814</v>
      </c>
      <c r="Z16" s="29"/>
      <c r="AA16" s="202">
        <v>87.5</v>
      </c>
      <c r="AB16" s="203">
        <v>10</v>
      </c>
      <c r="AF16" s="345" t="str">
        <f t="shared" si="28"/>
        <v>SPX</v>
      </c>
      <c r="AG16" s="346">
        <f t="shared" si="29"/>
        <v>6803</v>
      </c>
      <c r="AH16" s="89">
        <f t="shared" si="30"/>
        <v>98.458358901920818</v>
      </c>
      <c r="AJ16" s="82" t="str">
        <f t="shared" si="31"/>
        <v>SPX</v>
      </c>
      <c r="AK16" s="346">
        <f t="shared" si="32"/>
        <v>6790</v>
      </c>
      <c r="AL16" s="89">
        <f t="shared" si="33"/>
        <v>98.27021269205386</v>
      </c>
      <c r="AN16" s="9"/>
      <c r="AO16" s="6"/>
      <c r="AP16" s="120"/>
      <c r="AQ16" s="120"/>
      <c r="AR16" s="120"/>
      <c r="AS16" s="120"/>
      <c r="AT16" s="120"/>
      <c r="AU16" s="120"/>
      <c r="AV16" s="190"/>
      <c r="AW16" s="221"/>
      <c r="AX16" s="222"/>
      <c r="BA16" s="9"/>
      <c r="BD16" s="8"/>
    </row>
    <row r="17" spans="1:55" ht="14.4" x14ac:dyDescent="0.3">
      <c r="A17" s="114" t="s">
        <v>17</v>
      </c>
      <c r="B17" s="215">
        <v>263.88</v>
      </c>
      <c r="C17" s="216">
        <v>266.39999999999998</v>
      </c>
      <c r="D17" s="217" t="str">
        <f t="shared" si="12"/>
        <v>LLM</v>
      </c>
      <c r="E17" s="216">
        <v>267.2</v>
      </c>
      <c r="F17" s="217" t="str">
        <f t="shared" si="13"/>
        <v>LLM</v>
      </c>
      <c r="G17" s="216">
        <v>264.3</v>
      </c>
      <c r="H17" s="217" t="str">
        <f t="shared" si="14"/>
        <v>MICH</v>
      </c>
      <c r="I17" s="428">
        <f>(B7*Y22)+(C7*Y23)+(D7*Y24)+(E7*Y25)+(F7*Y26)+(G7*Y27)+(H7*Y28)+(I7*Y29)</f>
        <v>264.22159999999997</v>
      </c>
      <c r="J17" s="429">
        <v>265.35576033045999</v>
      </c>
      <c r="K17" s="430">
        <v>264.58</v>
      </c>
      <c r="M17" s="420" t="str">
        <f t="shared" si="15"/>
        <v>Kimi 2.5</v>
      </c>
      <c r="N17" s="411">
        <f t="shared" si="16"/>
        <v>95</v>
      </c>
      <c r="O17" s="412">
        <f t="shared" si="17"/>
        <v>0.13970588235294118</v>
      </c>
      <c r="P17" s="413">
        <f t="shared" si="18"/>
        <v>95</v>
      </c>
      <c r="Q17" s="414">
        <f t="shared" si="19"/>
        <v>0.12582781456953643</v>
      </c>
      <c r="R17" s="414">
        <f t="shared" si="20"/>
        <v>75</v>
      </c>
      <c r="S17" s="414">
        <f t="shared" si="21"/>
        <v>0.12195121951219512</v>
      </c>
      <c r="T17" s="414">
        <f t="shared" si="22"/>
        <v>30</v>
      </c>
      <c r="U17" s="414">
        <f t="shared" si="23"/>
        <v>0.13327410039982229</v>
      </c>
      <c r="V17" s="414">
        <f t="shared" si="24"/>
        <v>70</v>
      </c>
      <c r="W17" s="415">
        <f t="shared" si="25"/>
        <v>0.12612612612612611</v>
      </c>
      <c r="X17" s="416">
        <f t="shared" si="26"/>
        <v>70</v>
      </c>
      <c r="Y17" s="179">
        <f t="shared" si="27"/>
        <v>0.11382113821138211</v>
      </c>
      <c r="Z17" s="29"/>
      <c r="AA17" s="202">
        <v>90</v>
      </c>
      <c r="AB17" s="203">
        <v>20</v>
      </c>
      <c r="AF17" s="345" t="str">
        <f t="shared" si="28"/>
        <v>VIX</v>
      </c>
      <c r="AG17" s="347">
        <f t="shared" si="29"/>
        <v>21.18</v>
      </c>
      <c r="AH17" s="89">
        <f t="shared" si="30"/>
        <v>89.051859612362492</v>
      </c>
      <c r="AJ17" s="82" t="str">
        <f t="shared" si="31"/>
        <v>VIX</v>
      </c>
      <c r="AK17" s="347">
        <f t="shared" si="32"/>
        <v>21.52</v>
      </c>
      <c r="AL17" s="89">
        <f t="shared" si="33"/>
        <v>87.270822420115252</v>
      </c>
      <c r="AN17" s="9"/>
      <c r="AO17" s="186" t="s">
        <v>14</v>
      </c>
      <c r="AP17" s="187" t="str">
        <f>AP13</f>
        <v xml:space="preserve">+3-day </v>
      </c>
      <c r="AQ17" s="187" t="str">
        <f>AQ13</f>
        <v>User1</v>
      </c>
      <c r="AR17" s="187" t="str">
        <f>AR13</f>
        <v>User2</v>
      </c>
      <c r="AS17" s="187" t="str">
        <f>AS13</f>
        <v>User3</v>
      </c>
      <c r="AT17" s="188" t="s">
        <v>38</v>
      </c>
      <c r="AU17" s="227">
        <v>225.6</v>
      </c>
      <c r="AV17" s="190" t="str">
        <f>AV13</f>
        <v>TEST</v>
      </c>
      <c r="AW17" s="191" t="str">
        <f>AW13</f>
        <v>BEST =</v>
      </c>
      <c r="AX17" s="192">
        <v>225.6</v>
      </c>
      <c r="BA17" s="9"/>
    </row>
    <row r="18" spans="1:55" ht="14.4" x14ac:dyDescent="0.3">
      <c r="M18" s="420" t="str">
        <f t="shared" si="15"/>
        <v>Minimax 2.1</v>
      </c>
      <c r="N18" s="411">
        <f t="shared" si="16"/>
        <v>80</v>
      </c>
      <c r="O18" s="412">
        <f t="shared" si="17"/>
        <v>0.11764705882352941</v>
      </c>
      <c r="P18" s="413">
        <f t="shared" si="18"/>
        <v>95</v>
      </c>
      <c r="Q18" s="414">
        <f t="shared" si="19"/>
        <v>0.12582781456953643</v>
      </c>
      <c r="R18" s="414">
        <f t="shared" si="20"/>
        <v>75</v>
      </c>
      <c r="S18" s="414">
        <f t="shared" si="21"/>
        <v>0.12195121951219512</v>
      </c>
      <c r="T18" s="414">
        <f t="shared" si="22"/>
        <v>50</v>
      </c>
      <c r="U18" s="414">
        <f t="shared" si="23"/>
        <v>0.22212350066637052</v>
      </c>
      <c r="V18" s="414">
        <f t="shared" si="24"/>
        <v>70</v>
      </c>
      <c r="W18" s="415">
        <f t="shared" si="25"/>
        <v>0.12612612612612611</v>
      </c>
      <c r="X18" s="416">
        <f t="shared" si="26"/>
        <v>80</v>
      </c>
      <c r="Y18" s="179">
        <f t="shared" si="27"/>
        <v>0.13008130081300814</v>
      </c>
      <c r="Z18" s="29"/>
      <c r="AA18" s="202">
        <v>92.5</v>
      </c>
      <c r="AB18" s="203">
        <v>30</v>
      </c>
      <c r="AF18" s="348" t="str">
        <f t="shared" si="28"/>
        <v>QQQ</v>
      </c>
      <c r="AG18" s="349">
        <f t="shared" si="29"/>
        <v>597.29999999999995</v>
      </c>
      <c r="AH18" s="107">
        <f t="shared" si="30"/>
        <v>98.109426586291292</v>
      </c>
      <c r="AJ18" s="99" t="str">
        <f t="shared" si="31"/>
        <v>QQQ</v>
      </c>
      <c r="AK18" s="349">
        <f t="shared" si="32"/>
        <v>595.79999999999995</v>
      </c>
      <c r="AL18" s="107">
        <f t="shared" si="33"/>
        <v>97.863044299535161</v>
      </c>
      <c r="AN18" s="9"/>
      <c r="AO18" s="9"/>
      <c r="AP18" s="187">
        <v>0</v>
      </c>
      <c r="AQ18" s="204">
        <f>AQ19/AT19</f>
        <v>0.47216312056737786</v>
      </c>
      <c r="AR18" s="204">
        <f>AR19/AT19</f>
        <v>0.52978723404255512</v>
      </c>
      <c r="AS18" s="204">
        <f>AS19/AT19</f>
        <v>0.26382978723404449</v>
      </c>
      <c r="AT18" s="187">
        <v>5</v>
      </c>
      <c r="AU18" s="229">
        <f>AU14</f>
        <v>1</v>
      </c>
      <c r="AV18" s="190" t="str">
        <f>AV14</f>
        <v>Scale</v>
      </c>
      <c r="AW18" s="191" t="str">
        <f>AW14</f>
        <v>RANGE  =</v>
      </c>
      <c r="AX18" s="206">
        <f>AU17/AP5</f>
        <v>3.265060380460582E-2</v>
      </c>
      <c r="BA18" s="9"/>
    </row>
    <row r="19" spans="1:55" ht="14.4" x14ac:dyDescent="0.3">
      <c r="M19" s="431" t="str">
        <f t="shared" si="15"/>
        <v>LeChat</v>
      </c>
      <c r="N19" s="432">
        <f t="shared" si="16"/>
        <v>95</v>
      </c>
      <c r="O19" s="433">
        <f t="shared" si="17"/>
        <v>0.13970588235294118</v>
      </c>
      <c r="P19" s="434">
        <f t="shared" si="18"/>
        <v>90</v>
      </c>
      <c r="Q19" s="435">
        <f t="shared" si="19"/>
        <v>0.11920529801324503</v>
      </c>
      <c r="R19" s="435">
        <f t="shared" si="20"/>
        <v>70</v>
      </c>
      <c r="S19" s="435">
        <f t="shared" si="21"/>
        <v>0.11382113821138211</v>
      </c>
      <c r="T19" s="435">
        <f t="shared" si="22"/>
        <v>5</v>
      </c>
      <c r="U19" s="435">
        <f t="shared" si="23"/>
        <v>2.2212350066637052E-2</v>
      </c>
      <c r="V19" s="435">
        <f t="shared" si="24"/>
        <v>65</v>
      </c>
      <c r="W19" s="436">
        <f t="shared" si="25"/>
        <v>0.11711711711711711</v>
      </c>
      <c r="X19" s="437">
        <f t="shared" si="26"/>
        <v>75</v>
      </c>
      <c r="Y19" s="235">
        <f t="shared" si="27"/>
        <v>0.12195121951219512</v>
      </c>
      <c r="Z19" s="29"/>
      <c r="AA19" s="202">
        <v>95</v>
      </c>
      <c r="AB19" s="203">
        <v>40</v>
      </c>
      <c r="AF19" s="350" t="str">
        <f t="shared" si="28"/>
        <v>AAPL</v>
      </c>
      <c r="AG19" s="351">
        <f t="shared" si="29"/>
        <v>266.39999999999998</v>
      </c>
      <c r="AH19" s="118">
        <f t="shared" si="30"/>
        <v>99.312117318013463</v>
      </c>
      <c r="AJ19" s="114" t="str">
        <f t="shared" si="31"/>
        <v>AAPL</v>
      </c>
      <c r="AK19" s="351">
        <f t="shared" si="32"/>
        <v>267.2</v>
      </c>
      <c r="AL19" s="118">
        <f t="shared" si="33"/>
        <v>99.009751303953436</v>
      </c>
      <c r="AN19" s="9"/>
      <c r="AO19" s="9"/>
      <c r="AP19" s="212">
        <v>0</v>
      </c>
      <c r="AQ19" s="213">
        <f>AQ5</f>
        <v>106.52000000000044</v>
      </c>
      <c r="AR19" s="213">
        <f>AR5</f>
        <v>119.52000000000044</v>
      </c>
      <c r="AS19" s="213">
        <f>AS5</f>
        <v>59.520000000000437</v>
      </c>
      <c r="AT19" s="213">
        <f>AU18*AU17</f>
        <v>225.6</v>
      </c>
      <c r="AV19" s="214"/>
      <c r="AW19" s="13"/>
      <c r="AX19" s="13"/>
      <c r="BA19" s="9"/>
    </row>
    <row r="20" spans="1:55" ht="14.4" x14ac:dyDescent="0.3">
      <c r="A20" s="2" t="s">
        <v>0</v>
      </c>
      <c r="B20" s="230" t="str">
        <f t="shared" ref="B20:B26" si="34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35">G11</f>
        <v>MICH</v>
      </c>
      <c r="H20" s="1312"/>
      <c r="I20" s="1313" t="s">
        <v>50</v>
      </c>
      <c r="J20" s="1313"/>
      <c r="AA20" s="202">
        <v>96</v>
      </c>
      <c r="AB20" s="203">
        <v>50</v>
      </c>
      <c r="AH20" s="9"/>
      <c r="AN20" s="9"/>
      <c r="AO20" s="9"/>
      <c r="AP20" s="120"/>
      <c r="AQ20" s="120"/>
      <c r="AR20" s="120"/>
      <c r="AS20" s="120"/>
      <c r="AT20" s="120"/>
      <c r="AU20" s="120"/>
      <c r="AV20" s="190"/>
      <c r="AW20" s="221"/>
      <c r="AX20" s="222"/>
      <c r="BA20" s="9"/>
    </row>
    <row r="21" spans="1:55" ht="14.4" x14ac:dyDescent="0.3">
      <c r="A21" s="35" t="s">
        <v>12</v>
      </c>
      <c r="B21" s="231">
        <f t="shared" si="34"/>
        <v>4.0519999999999996</v>
      </c>
      <c r="C21" s="232">
        <f t="shared" ref="C21:C26" si="36">C12</f>
        <v>4</v>
      </c>
      <c r="D21" s="146" t="str">
        <f t="shared" ref="D21:D26" si="37">CONCATENATE(TEXT(AI28,"0.00%"),"  ",AJ28)</f>
        <v>-1.28%  ↓</v>
      </c>
      <c r="E21" s="232">
        <f t="shared" ref="E21:E26" si="38">E12</f>
        <v>4.01</v>
      </c>
      <c r="F21" s="146" t="str">
        <f t="shared" ref="F21:F26" si="39">CONCATENATE(TEXT(AK28,"0.00%"),"  ",AL28)</f>
        <v>-1.04%  ↓</v>
      </c>
      <c r="G21" s="232">
        <f t="shared" si="35"/>
        <v>4.08</v>
      </c>
      <c r="H21" s="146" t="str">
        <f t="shared" ref="H21:H26" si="40">CONCATENATE(TEXT(AM28,"0.00%"),"  ",AN28)</f>
        <v>0.69%  ↑</v>
      </c>
      <c r="I21" s="438">
        <f t="shared" ref="I21:I26" si="41">K12</f>
        <v>4.085</v>
      </c>
      <c r="J21" s="439" t="str">
        <f t="shared" ref="J21:J26" si="42">CONCATENATE(TEXT(AG28,"0.00%"),"  ",AH28)</f>
        <v>0.81%  ↑</v>
      </c>
      <c r="M21" s="19" t="s">
        <v>60</v>
      </c>
      <c r="N21" s="253" t="s">
        <v>12</v>
      </c>
      <c r="O21" s="254">
        <f>SUM(N22:N29)</f>
        <v>573.75</v>
      </c>
      <c r="P21" s="255" t="s">
        <v>13</v>
      </c>
      <c r="Q21" s="256">
        <f>SUM(P22:P29)</f>
        <v>547.5</v>
      </c>
      <c r="R21" s="257" t="s">
        <v>14</v>
      </c>
      <c r="S21" s="256">
        <f>SUM(R22:R29)</f>
        <v>590</v>
      </c>
      <c r="T21" s="257" t="s">
        <v>15</v>
      </c>
      <c r="U21" s="256">
        <f>SUM(T22:T29)</f>
        <v>246.20000000000002</v>
      </c>
      <c r="V21" s="257" t="s">
        <v>16</v>
      </c>
      <c r="W21" s="258">
        <f>SUM(V22:V29)</f>
        <v>528.75</v>
      </c>
      <c r="X21" s="259" t="s">
        <v>17</v>
      </c>
      <c r="Y21" s="28">
        <f>SUM(X22:X29)</f>
        <v>468.75</v>
      </c>
      <c r="Z21" s="29"/>
      <c r="AA21" s="202">
        <v>97</v>
      </c>
      <c r="AB21" s="203">
        <v>60</v>
      </c>
      <c r="AF21" s="1310" t="s">
        <v>44</v>
      </c>
      <c r="AG21" s="1310"/>
      <c r="AH21" s="126">
        <f>AVERAGE(AH15:AH18)</f>
        <v>96.316263133857944</v>
      </c>
      <c r="AJ21" s="1310" t="s">
        <v>44</v>
      </c>
      <c r="AK21" s="1310"/>
      <c r="AL21" s="126">
        <f>AVERAGE(AL15:AL18)</f>
        <v>95.780003608810333</v>
      </c>
      <c r="AN21" s="9"/>
      <c r="AO21" s="186" t="s">
        <v>15</v>
      </c>
      <c r="AP21" s="187" t="str">
        <f>AP17</f>
        <v xml:space="preserve">+3-day </v>
      </c>
      <c r="AQ21" s="187" t="str">
        <f>AQ17</f>
        <v>User1</v>
      </c>
      <c r="AR21" s="187" t="str">
        <f>AR17</f>
        <v>User2</v>
      </c>
      <c r="AS21" s="187" t="str">
        <f>AS17</f>
        <v>User3</v>
      </c>
      <c r="AT21" s="188" t="s">
        <v>40</v>
      </c>
      <c r="AU21" s="247">
        <v>3.3</v>
      </c>
      <c r="AV21" s="190" t="str">
        <f>AV17</f>
        <v>TEST</v>
      </c>
      <c r="AW21" s="191" t="str">
        <f>AW17</f>
        <v>BEST =</v>
      </c>
      <c r="AX21" s="192">
        <v>3.3</v>
      </c>
      <c r="BA21" s="9"/>
    </row>
    <row r="22" spans="1:55" ht="14.4" x14ac:dyDescent="0.3">
      <c r="A22" s="60" t="s">
        <v>13</v>
      </c>
      <c r="B22" s="236">
        <f t="shared" si="34"/>
        <v>49533.19</v>
      </c>
      <c r="C22" s="237">
        <f t="shared" si="36"/>
        <v>49450</v>
      </c>
      <c r="D22" s="152" t="str">
        <f t="shared" si="37"/>
        <v>-0.17%  ↓</v>
      </c>
      <c r="E22" s="237">
        <f t="shared" si="38"/>
        <v>49485</v>
      </c>
      <c r="F22" s="152" t="str">
        <f t="shared" si="39"/>
        <v>-0.10%  ↓</v>
      </c>
      <c r="G22" s="237">
        <f t="shared" si="35"/>
        <v>49622</v>
      </c>
      <c r="H22" s="152" t="str">
        <f t="shared" si="40"/>
        <v>0.18%  ↑</v>
      </c>
      <c r="I22" s="440">
        <f t="shared" si="41"/>
        <v>49625.97</v>
      </c>
      <c r="J22" s="441" t="str">
        <f t="shared" si="42"/>
        <v>0.19%  ↑</v>
      </c>
      <c r="M22" s="410" t="str">
        <f t="shared" ref="M22:M29" si="43">M12</f>
        <v>O 5.2</v>
      </c>
      <c r="N22" s="442">
        <v>75</v>
      </c>
      <c r="O22" s="443">
        <f t="shared" ref="O22:O29" si="44">N22/$O$21</f>
        <v>0.13071895424836602</v>
      </c>
      <c r="P22" s="444">
        <v>71.25</v>
      </c>
      <c r="Q22" s="445">
        <f t="shared" ref="Q22:Q29" si="45">P22/$Q$21</f>
        <v>0.13013698630136986</v>
      </c>
      <c r="R22" s="445">
        <v>75</v>
      </c>
      <c r="S22" s="445">
        <f t="shared" ref="S22:S29" si="46">R22/$S$21</f>
        <v>0.1271186440677966</v>
      </c>
      <c r="T22" s="445">
        <v>33.774999999999999</v>
      </c>
      <c r="U22" s="445">
        <f t="shared" ref="U22:U29" si="47">T22/$U$21</f>
        <v>0.13718521527213645</v>
      </c>
      <c r="V22" s="445">
        <v>66.25</v>
      </c>
      <c r="W22" s="446">
        <f t="shared" ref="W22:W29" si="48">V22/$W$21</f>
        <v>0.12529550827423167</v>
      </c>
      <c r="X22" s="447">
        <v>56.25</v>
      </c>
      <c r="Y22" s="48">
        <f t="shared" ref="Y22:Y29" si="49">X22/$Y$21</f>
        <v>0.12</v>
      </c>
      <c r="Z22" s="29"/>
      <c r="AA22" s="202">
        <v>98</v>
      </c>
      <c r="AB22" s="203">
        <v>65</v>
      </c>
      <c r="AF22" s="1311" t="s">
        <v>51</v>
      </c>
      <c r="AG22" s="1311"/>
      <c r="AH22" s="142">
        <f>AVERAGE(AH14:AH19)</f>
        <v>97.082731083285353</v>
      </c>
      <c r="AJ22" s="1311" t="s">
        <v>51</v>
      </c>
      <c r="AK22" s="1311"/>
      <c r="AL22" s="142">
        <f>AVERAGE(AL14:AL19)</f>
        <v>96.715630071179547</v>
      </c>
      <c r="AN22" s="9"/>
      <c r="AO22" s="9"/>
      <c r="AP22" s="187">
        <v>0</v>
      </c>
      <c r="AQ22" s="204">
        <f>AQ23/AT23</f>
        <v>0.6333333333333333</v>
      </c>
      <c r="AR22" s="204">
        <f>AR23/AT23</f>
        <v>0.73636363636363633</v>
      </c>
      <c r="AS22" s="204">
        <f>AS23/AT23</f>
        <v>3.0303030303030734E-2</v>
      </c>
      <c r="AT22" s="187">
        <v>5</v>
      </c>
      <c r="AU22" s="229">
        <f>AU18</f>
        <v>1</v>
      </c>
      <c r="AV22" s="190" t="str">
        <f>AV18</f>
        <v>Scale</v>
      </c>
      <c r="AW22" s="191" t="str">
        <f>AW18</f>
        <v>RANGE  =</v>
      </c>
      <c r="AX22" s="206">
        <f>AU21/AP6</f>
        <v>0.17286537454164483</v>
      </c>
      <c r="BA22" s="120"/>
      <c r="BB22" s="251"/>
      <c r="BC22" s="251"/>
    </row>
    <row r="23" spans="1:55" ht="14.4" x14ac:dyDescent="0.3">
      <c r="A23" s="82" t="s">
        <v>14</v>
      </c>
      <c r="B23" s="248">
        <f t="shared" si="34"/>
        <v>6843.22</v>
      </c>
      <c r="C23" s="249">
        <f t="shared" si="36"/>
        <v>6803</v>
      </c>
      <c r="D23" s="168" t="str">
        <f t="shared" si="37"/>
        <v>-0.59%  ↓</v>
      </c>
      <c r="E23" s="249">
        <f t="shared" si="38"/>
        <v>6790</v>
      </c>
      <c r="F23" s="168" t="str">
        <f t="shared" si="39"/>
        <v>-0.78%  ↓</v>
      </c>
      <c r="G23" s="249">
        <f t="shared" si="35"/>
        <v>6850</v>
      </c>
      <c r="H23" s="168" t="str">
        <f t="shared" si="40"/>
        <v>0.10%  ↑</v>
      </c>
      <c r="I23" s="448">
        <f t="shared" si="41"/>
        <v>6909.52</v>
      </c>
      <c r="J23" s="441" t="str">
        <f t="shared" si="42"/>
        <v>0.97%  ↑</v>
      </c>
      <c r="M23" s="420" t="str">
        <f t="shared" si="43"/>
        <v>Grok 4.1</v>
      </c>
      <c r="N23" s="442">
        <v>70</v>
      </c>
      <c r="O23" s="443">
        <f t="shared" si="44"/>
        <v>0.12200435729847495</v>
      </c>
      <c r="P23" s="444">
        <v>67.5</v>
      </c>
      <c r="Q23" s="445">
        <f t="shared" si="45"/>
        <v>0.12328767123287671</v>
      </c>
      <c r="R23" s="445">
        <v>75</v>
      </c>
      <c r="S23" s="445">
        <f t="shared" si="46"/>
        <v>0.1271186440677966</v>
      </c>
      <c r="T23" s="445">
        <v>28.024999999999999</v>
      </c>
      <c r="U23" s="445">
        <f t="shared" si="47"/>
        <v>0.11383021933387488</v>
      </c>
      <c r="V23" s="445">
        <v>65</v>
      </c>
      <c r="W23" s="446">
        <f t="shared" si="48"/>
        <v>0.12293144208037825</v>
      </c>
      <c r="X23" s="447">
        <v>48.75</v>
      </c>
      <c r="Y23" s="48">
        <f t="shared" si="49"/>
        <v>0.104</v>
      </c>
      <c r="Z23" s="29"/>
      <c r="AA23" s="202">
        <v>98.5</v>
      </c>
      <c r="AB23" s="203">
        <v>70</v>
      </c>
      <c r="AI23" s="449"/>
      <c r="AN23" s="9"/>
      <c r="AO23" s="6"/>
      <c r="AP23" s="212">
        <v>0</v>
      </c>
      <c r="AQ23" s="213">
        <f>AQ6</f>
        <v>2.09</v>
      </c>
      <c r="AR23" s="213">
        <f>AR6</f>
        <v>2.4299999999999997</v>
      </c>
      <c r="AS23" s="213">
        <f>AS6</f>
        <v>0.10000000000000142</v>
      </c>
      <c r="AT23" s="213">
        <f>AU22*AU21</f>
        <v>3.3</v>
      </c>
      <c r="AV23" s="214"/>
      <c r="AW23" s="13"/>
      <c r="AX23" s="13"/>
      <c r="BA23" s="9"/>
    </row>
    <row r="24" spans="1:55" ht="14.4" x14ac:dyDescent="0.3">
      <c r="A24" s="82" t="s">
        <v>15</v>
      </c>
      <c r="B24" s="248">
        <f t="shared" si="34"/>
        <v>20.29</v>
      </c>
      <c r="C24" s="252">
        <f t="shared" si="36"/>
        <v>21.18</v>
      </c>
      <c r="D24" s="168" t="str">
        <f t="shared" si="37"/>
        <v>4.39%  ↑</v>
      </c>
      <c r="E24" s="252">
        <f t="shared" si="38"/>
        <v>21.52</v>
      </c>
      <c r="F24" s="168" t="str">
        <f t="shared" si="39"/>
        <v>6.06%  ↑</v>
      </c>
      <c r="G24" s="252">
        <f t="shared" si="35"/>
        <v>19.190000000000001</v>
      </c>
      <c r="H24" s="168" t="str">
        <f t="shared" si="40"/>
        <v>-5.42%  ↓</v>
      </c>
      <c r="I24" s="448">
        <f t="shared" si="41"/>
        <v>19.09</v>
      </c>
      <c r="J24" s="441" t="str">
        <f t="shared" si="42"/>
        <v>-5.91%  ↓</v>
      </c>
      <c r="M24" s="420" t="str">
        <f t="shared" si="43"/>
        <v>Gemini Pro 3</v>
      </c>
      <c r="N24" s="442">
        <v>73.75</v>
      </c>
      <c r="O24" s="443">
        <f t="shared" si="44"/>
        <v>0.12854030501089325</v>
      </c>
      <c r="P24" s="444">
        <v>67.5</v>
      </c>
      <c r="Q24" s="445">
        <f t="shared" si="45"/>
        <v>0.12328767123287671</v>
      </c>
      <c r="R24" s="445">
        <v>75</v>
      </c>
      <c r="S24" s="445">
        <f t="shared" si="46"/>
        <v>0.1271186440677966</v>
      </c>
      <c r="T24" s="445">
        <v>32.524999999999999</v>
      </c>
      <c r="U24" s="445">
        <f t="shared" si="47"/>
        <v>0.13210804224207959</v>
      </c>
      <c r="V24" s="445">
        <v>65</v>
      </c>
      <c r="W24" s="446">
        <f t="shared" si="48"/>
        <v>0.12293144208037825</v>
      </c>
      <c r="X24" s="447">
        <v>51.25</v>
      </c>
      <c r="Y24" s="48">
        <f t="shared" si="49"/>
        <v>0.10933333333333334</v>
      </c>
      <c r="Z24" s="29"/>
      <c r="AA24" s="202">
        <v>99</v>
      </c>
      <c r="AB24" s="203">
        <v>75</v>
      </c>
      <c r="AI24" s="449"/>
      <c r="AM24" s="450"/>
      <c r="AN24" s="9"/>
      <c r="AO24" s="9"/>
      <c r="AP24" s="120"/>
      <c r="AQ24" s="120"/>
      <c r="AR24" s="120"/>
      <c r="AS24" s="120"/>
      <c r="AT24" s="120"/>
      <c r="AU24" s="120"/>
      <c r="AV24" s="190"/>
      <c r="AW24" s="221"/>
      <c r="AX24" s="222"/>
      <c r="BA24" s="9"/>
    </row>
    <row r="25" spans="1:55" ht="14.4" x14ac:dyDescent="0.3">
      <c r="A25" s="99" t="s">
        <v>16</v>
      </c>
      <c r="B25" s="260">
        <f t="shared" si="34"/>
        <v>601.29999999999995</v>
      </c>
      <c r="C25" s="261">
        <f t="shared" si="36"/>
        <v>597.29999999999995</v>
      </c>
      <c r="D25" s="208" t="str">
        <f t="shared" si="37"/>
        <v>-0.67%  ↓</v>
      </c>
      <c r="E25" s="261">
        <f t="shared" si="38"/>
        <v>595.79999999999995</v>
      </c>
      <c r="F25" s="208" t="str">
        <f t="shared" si="39"/>
        <v>-0.91%  ↓</v>
      </c>
      <c r="G25" s="261">
        <f t="shared" si="35"/>
        <v>603.5</v>
      </c>
      <c r="H25" s="208" t="str">
        <f t="shared" si="40"/>
        <v>0.37%  ↑</v>
      </c>
      <c r="I25" s="451">
        <f t="shared" si="41"/>
        <v>608.80999999999995</v>
      </c>
      <c r="J25" s="441" t="str">
        <f t="shared" si="42"/>
        <v>1.25%  ↑</v>
      </c>
      <c r="M25" s="420" t="str">
        <f t="shared" si="43"/>
        <v>Claude</v>
      </c>
      <c r="N25" s="442">
        <v>73.75</v>
      </c>
      <c r="O25" s="443">
        <f t="shared" si="44"/>
        <v>0.12854030501089325</v>
      </c>
      <c r="P25" s="444">
        <v>67.5</v>
      </c>
      <c r="Q25" s="445">
        <f t="shared" si="45"/>
        <v>0.12328767123287671</v>
      </c>
      <c r="R25" s="445">
        <v>72.5</v>
      </c>
      <c r="S25" s="445">
        <f t="shared" si="46"/>
        <v>0.1228813559322034</v>
      </c>
      <c r="T25" s="445">
        <v>36.274999999999999</v>
      </c>
      <c r="U25" s="445">
        <f t="shared" si="47"/>
        <v>0.14733956133225018</v>
      </c>
      <c r="V25" s="445">
        <v>66.25</v>
      </c>
      <c r="W25" s="446">
        <f t="shared" si="48"/>
        <v>0.12529550827423167</v>
      </c>
      <c r="X25" s="447">
        <v>57.5</v>
      </c>
      <c r="Y25" s="48">
        <f t="shared" si="49"/>
        <v>0.12266666666666666</v>
      </c>
      <c r="Z25" s="29"/>
      <c r="AA25" s="202">
        <v>99.25</v>
      </c>
      <c r="AB25" s="203">
        <v>80</v>
      </c>
      <c r="AI25" s="4"/>
      <c r="AK25" s="4"/>
      <c r="AM25" s="4"/>
      <c r="AN25" s="9"/>
      <c r="AO25" s="186" t="s">
        <v>16</v>
      </c>
      <c r="AP25" s="187" t="str">
        <f>AP21</f>
        <v xml:space="preserve">+3-day </v>
      </c>
      <c r="AQ25" s="187" t="str">
        <f>AQ21</f>
        <v>User1</v>
      </c>
      <c r="AR25" s="187" t="str">
        <f>AR21</f>
        <v>User2</v>
      </c>
      <c r="AS25" s="187" t="str">
        <f>AS21</f>
        <v>User3</v>
      </c>
      <c r="AT25" s="188" t="s">
        <v>43</v>
      </c>
      <c r="AU25" s="247">
        <v>16</v>
      </c>
      <c r="AV25" s="190" t="str">
        <f>AV21</f>
        <v>TEST</v>
      </c>
      <c r="AW25" s="191" t="str">
        <f>AW21</f>
        <v>BEST =</v>
      </c>
      <c r="AX25" s="192">
        <v>16</v>
      </c>
      <c r="BA25" s="9"/>
    </row>
    <row r="26" spans="1:55" ht="14.4" x14ac:dyDescent="0.3">
      <c r="A26" s="109" t="s">
        <v>17</v>
      </c>
      <c r="B26" s="273">
        <f t="shared" si="34"/>
        <v>263.88</v>
      </c>
      <c r="C26" s="274">
        <f t="shared" si="36"/>
        <v>266.39999999999998</v>
      </c>
      <c r="D26" s="217" t="str">
        <f t="shared" si="37"/>
        <v>0.95%  ↑</v>
      </c>
      <c r="E26" s="274">
        <f t="shared" si="38"/>
        <v>267.2</v>
      </c>
      <c r="F26" s="217" t="str">
        <f t="shared" si="39"/>
        <v>1.26%  ↑</v>
      </c>
      <c r="G26" s="274">
        <f t="shared" si="35"/>
        <v>264.3</v>
      </c>
      <c r="H26" s="217" t="str">
        <f t="shared" si="40"/>
        <v>0.16%  ↑</v>
      </c>
      <c r="I26" s="452">
        <f t="shared" si="41"/>
        <v>264.58</v>
      </c>
      <c r="J26" s="453" t="str">
        <f t="shared" si="42"/>
        <v>0.27%  ↑</v>
      </c>
      <c r="M26" s="420" t="str">
        <f t="shared" si="43"/>
        <v>GLM-4.7</v>
      </c>
      <c r="N26" s="442">
        <v>71.25</v>
      </c>
      <c r="O26" s="443">
        <f t="shared" si="44"/>
        <v>0.12418300653594772</v>
      </c>
      <c r="P26" s="444">
        <v>67.5</v>
      </c>
      <c r="Q26" s="445">
        <f t="shared" si="45"/>
        <v>0.12328767123287671</v>
      </c>
      <c r="R26" s="445">
        <v>73.75</v>
      </c>
      <c r="S26" s="445">
        <f t="shared" si="46"/>
        <v>0.125</v>
      </c>
      <c r="T26" s="445">
        <v>28.024999999999999</v>
      </c>
      <c r="U26" s="445">
        <f t="shared" si="47"/>
        <v>0.11383021933387488</v>
      </c>
      <c r="V26" s="445">
        <v>65</v>
      </c>
      <c r="W26" s="446">
        <f t="shared" si="48"/>
        <v>0.12293144208037825</v>
      </c>
      <c r="X26" s="447">
        <v>60</v>
      </c>
      <c r="Y26" s="48">
        <f t="shared" si="49"/>
        <v>0.128</v>
      </c>
      <c r="Z26" s="29"/>
      <c r="AA26" s="202">
        <v>99.5</v>
      </c>
      <c r="AB26" s="203">
        <v>90</v>
      </c>
      <c r="AI26" s="4"/>
      <c r="AK26" s="4"/>
      <c r="AM26" s="4"/>
      <c r="AN26" s="9"/>
      <c r="AO26" s="9"/>
      <c r="AP26" s="187">
        <v>0</v>
      </c>
      <c r="AQ26" s="204">
        <f>AQ27/AT27</f>
        <v>0.71937499999999943</v>
      </c>
      <c r="AR26" s="204">
        <f>AR27/AT27</f>
        <v>0.81312499999999943</v>
      </c>
      <c r="AS26" s="204">
        <f>AS27/AT27</f>
        <v>0.33187499999999659</v>
      </c>
      <c r="AT26" s="187">
        <v>5</v>
      </c>
      <c r="AU26" s="229">
        <f>AU22</f>
        <v>1</v>
      </c>
      <c r="AV26" s="190" t="str">
        <f>AV22</f>
        <v>Scale</v>
      </c>
      <c r="AW26" s="191" t="str">
        <f>AW22</f>
        <v>RANGE  =</v>
      </c>
      <c r="AX26" s="206">
        <f>AU25/AP7</f>
        <v>2.6280777253987288E-2</v>
      </c>
      <c r="BA26" s="9"/>
    </row>
    <row r="27" spans="1:55" ht="14.4" x14ac:dyDescent="0.3">
      <c r="M27" s="420" t="str">
        <f t="shared" si="43"/>
        <v>Kimi 2.5</v>
      </c>
      <c r="N27" s="442">
        <v>70</v>
      </c>
      <c r="O27" s="443">
        <f t="shared" si="44"/>
        <v>0.12200435729847495</v>
      </c>
      <c r="P27" s="444">
        <v>65</v>
      </c>
      <c r="Q27" s="445">
        <f t="shared" si="45"/>
        <v>0.11872146118721461</v>
      </c>
      <c r="R27" s="445">
        <v>73.75</v>
      </c>
      <c r="S27" s="445">
        <f t="shared" si="46"/>
        <v>0.125</v>
      </c>
      <c r="T27" s="445">
        <v>31.274999999999999</v>
      </c>
      <c r="U27" s="445">
        <f t="shared" si="47"/>
        <v>0.12703086921202272</v>
      </c>
      <c r="V27" s="445">
        <v>65</v>
      </c>
      <c r="W27" s="446">
        <f t="shared" si="48"/>
        <v>0.12293144208037825</v>
      </c>
      <c r="X27" s="447">
        <v>65</v>
      </c>
      <c r="Y27" s="48">
        <f t="shared" si="49"/>
        <v>0.13866666666666666</v>
      </c>
      <c r="Z27" s="29"/>
      <c r="AA27" s="202">
        <v>99.75</v>
      </c>
      <c r="AB27" s="203">
        <v>95</v>
      </c>
      <c r="AI27" s="4"/>
      <c r="AK27" s="4"/>
      <c r="AM27" s="4"/>
      <c r="AN27" s="9"/>
      <c r="AO27" s="9"/>
      <c r="AP27" s="212">
        <v>0</v>
      </c>
      <c r="AQ27" s="213">
        <f>AQ7</f>
        <v>11.509999999999991</v>
      </c>
      <c r="AR27" s="213">
        <f>AR7</f>
        <v>13.009999999999991</v>
      </c>
      <c r="AS27" s="213">
        <f>AS7</f>
        <v>5.3099999999999454</v>
      </c>
      <c r="AT27" s="213">
        <f>AU26*AU25</f>
        <v>16</v>
      </c>
      <c r="BA27" s="9"/>
    </row>
    <row r="28" spans="1:55" ht="14.25" customHeight="1" x14ac:dyDescent="0.3">
      <c r="M28" s="420" t="str">
        <f t="shared" si="43"/>
        <v>Minimax 2.1</v>
      </c>
      <c r="N28" s="442">
        <v>70</v>
      </c>
      <c r="O28" s="443">
        <f t="shared" si="44"/>
        <v>0.12200435729847495</v>
      </c>
      <c r="P28" s="444">
        <v>70</v>
      </c>
      <c r="Q28" s="445">
        <f t="shared" si="45"/>
        <v>0.12785388127853881</v>
      </c>
      <c r="R28" s="445">
        <v>68.75</v>
      </c>
      <c r="S28" s="445">
        <f t="shared" si="46"/>
        <v>0.11652542372881355</v>
      </c>
      <c r="T28" s="445">
        <v>30.024999999999999</v>
      </c>
      <c r="U28" s="445">
        <f t="shared" si="47"/>
        <v>0.12195369618196587</v>
      </c>
      <c r="V28" s="445">
        <v>63.75</v>
      </c>
      <c r="W28" s="446">
        <f t="shared" si="48"/>
        <v>0.12056737588652482</v>
      </c>
      <c r="X28" s="447">
        <v>61.25</v>
      </c>
      <c r="Y28" s="48">
        <f t="shared" si="49"/>
        <v>0.13066666666666665</v>
      </c>
      <c r="Z28" s="29"/>
      <c r="AA28" s="299">
        <v>99.99</v>
      </c>
      <c r="AB28" s="300">
        <v>100</v>
      </c>
      <c r="AF28" s="1315" t="str">
        <f>B20</f>
        <v>Close YF</v>
      </c>
      <c r="AG28" s="163">
        <f t="shared" ref="AG28:AG33" si="50">(I21-B21)/B21</f>
        <v>8.1441263573544826E-3</v>
      </c>
      <c r="AH28" s="164" t="str">
        <f>IF(K12-B21&gt;0,"↑","↓")</f>
        <v>↑</v>
      </c>
      <c r="AI28" s="165">
        <f t="shared" ref="AI28:AI33" si="51">(C21-B21)/B21</f>
        <v>-1.2833168805528037E-2</v>
      </c>
      <c r="AJ28" s="166" t="str">
        <f t="shared" ref="AJ28:AJ33" si="52">IF(C21-B21&gt;0,"↑","↓")</f>
        <v>↓</v>
      </c>
      <c r="AK28" s="163">
        <f t="shared" ref="AK28:AK33" si="53">(E21-B21)/B21</f>
        <v>-1.0365251727541909E-2</v>
      </c>
      <c r="AL28" s="164" t="str">
        <f t="shared" ref="AL28:AL33" si="54">IF(E21-B21&gt;0,"↑","↓")</f>
        <v>↓</v>
      </c>
      <c r="AM28" s="163">
        <f t="shared" ref="AM28:AM33" si="55">(G21-B21)/B21</f>
        <v>6.9101678183614195E-3</v>
      </c>
      <c r="AN28" s="164" t="str">
        <f t="shared" ref="AN28:AN33" si="56">IF(G21-B21&gt;0,"↑","↓")</f>
        <v>↑</v>
      </c>
      <c r="AP28" s="120"/>
      <c r="AQ28" s="120"/>
      <c r="AR28" s="120"/>
      <c r="AS28" s="120"/>
      <c r="AT28" s="120"/>
      <c r="AU28" s="251"/>
      <c r="AV28" s="251"/>
      <c r="AW28" s="295"/>
      <c r="AX28" s="296"/>
      <c r="AY28" s="297"/>
    </row>
    <row r="29" spans="1:55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57">G20</f>
        <v>MICH</v>
      </c>
      <c r="H29" s="1312"/>
      <c r="I29" s="1313" t="s">
        <v>50</v>
      </c>
      <c r="J29" s="1313"/>
      <c r="M29" s="431" t="str">
        <f t="shared" si="43"/>
        <v>LeChat</v>
      </c>
      <c r="N29" s="454">
        <v>70</v>
      </c>
      <c r="O29" s="455">
        <f t="shared" si="44"/>
        <v>0.12200435729847495</v>
      </c>
      <c r="P29" s="456">
        <v>71.25</v>
      </c>
      <c r="Q29" s="457">
        <f t="shared" si="45"/>
        <v>0.13013698630136986</v>
      </c>
      <c r="R29" s="457">
        <v>76.25</v>
      </c>
      <c r="S29" s="457">
        <f t="shared" si="46"/>
        <v>0.12923728813559321</v>
      </c>
      <c r="T29" s="457">
        <v>26.274999999999999</v>
      </c>
      <c r="U29" s="457">
        <f t="shared" si="47"/>
        <v>0.10672217709179528</v>
      </c>
      <c r="V29" s="457">
        <v>72.5</v>
      </c>
      <c r="W29" s="458">
        <f t="shared" si="48"/>
        <v>0.13711583924349882</v>
      </c>
      <c r="X29" s="459">
        <v>68.75</v>
      </c>
      <c r="Y29" s="124">
        <f t="shared" si="49"/>
        <v>0.14666666666666667</v>
      </c>
      <c r="Z29" s="29"/>
      <c r="AF29" s="1315"/>
      <c r="AG29" s="182">
        <f t="shared" si="50"/>
        <v>1.873087519701413E-3</v>
      </c>
      <c r="AH29" s="183" t="str">
        <f>IF(I22-B22&gt;0,"↑","↓")</f>
        <v>↑</v>
      </c>
      <c r="AI29" s="184">
        <f t="shared" si="51"/>
        <v>-1.6794799608101623E-3</v>
      </c>
      <c r="AJ29" s="185" t="str">
        <f t="shared" si="52"/>
        <v>↓</v>
      </c>
      <c r="AK29" s="182">
        <f t="shared" si="53"/>
        <v>-9.7288303054986615E-4</v>
      </c>
      <c r="AL29" s="183" t="str">
        <f t="shared" si="54"/>
        <v>↓</v>
      </c>
      <c r="AM29" s="182">
        <f t="shared" si="55"/>
        <v>1.7929392393261502E-3</v>
      </c>
      <c r="AN29" s="183" t="str">
        <f t="shared" si="56"/>
        <v>↑</v>
      </c>
      <c r="AP29" s="120"/>
      <c r="AQ29" s="305" t="s">
        <v>23</v>
      </c>
      <c r="AR29" s="305" t="s">
        <v>24</v>
      </c>
      <c r="AS29" s="305" t="s">
        <v>25</v>
      </c>
      <c r="AT29" s="120"/>
      <c r="AU29" s="251"/>
      <c r="AV29" s="251"/>
      <c r="AW29" s="295"/>
      <c r="AX29" s="296"/>
      <c r="AY29" s="297"/>
    </row>
    <row r="30" spans="1:55" ht="14.25" customHeight="1" x14ac:dyDescent="0.3">
      <c r="A30" s="35" t="s">
        <v>12</v>
      </c>
      <c r="B30" s="298">
        <v>4.0670000000000002</v>
      </c>
      <c r="C30" s="232">
        <f t="shared" ref="C30:C35" si="58">C21</f>
        <v>4</v>
      </c>
      <c r="D30" s="146" t="str">
        <f t="shared" ref="D30:D35" si="59">CONCATENATE(TEXT(AI35,"0.00%"),"  ",AJ35)</f>
        <v>-1.65%  ↓</v>
      </c>
      <c r="E30" s="232">
        <f t="shared" ref="E30:E35" si="60">E21</f>
        <v>4.01</v>
      </c>
      <c r="F30" s="146" t="str">
        <f t="shared" ref="F30:F35" si="61">CONCATENATE(TEXT(AK35,"0.00%"),"  ",AL35)</f>
        <v>-1.40%  ↓</v>
      </c>
      <c r="G30" s="232">
        <f t="shared" si="57"/>
        <v>4.08</v>
      </c>
      <c r="H30" s="146" t="str">
        <f t="shared" ref="H30:H35" si="62">CONCATENATE(TEXT(AM35,"0.00%"),"  ",AN35)</f>
        <v>0.32%  ↑</v>
      </c>
      <c r="I30" s="438">
        <f t="shared" ref="I30:I35" si="63">I21</f>
        <v>4.085</v>
      </c>
      <c r="J30" s="439" t="str">
        <f t="shared" ref="J30:J35" si="64">CONCATENATE(TEXT(AG35,"0.00%"),"  ",AH35)</f>
        <v>0.44%  ↑</v>
      </c>
      <c r="AF30" s="1315"/>
      <c r="AG30" s="182">
        <f t="shared" si="50"/>
        <v>9.6884215325534154E-3</v>
      </c>
      <c r="AH30" s="183" t="str">
        <f>IF(I23-B23&gt;0,"↑","↓")</f>
        <v>↑</v>
      </c>
      <c r="AI30" s="184">
        <f t="shared" si="51"/>
        <v>-5.8773501363393625E-3</v>
      </c>
      <c r="AJ30" s="185" t="str">
        <f t="shared" si="52"/>
        <v>↓</v>
      </c>
      <c r="AK30" s="182">
        <f t="shared" si="53"/>
        <v>-7.7770406329184588E-3</v>
      </c>
      <c r="AL30" s="183" t="str">
        <f t="shared" si="54"/>
        <v>↓</v>
      </c>
      <c r="AM30" s="182">
        <f t="shared" si="55"/>
        <v>9.9076165898506047E-4</v>
      </c>
      <c r="AN30" s="183" t="str">
        <f t="shared" si="56"/>
        <v>↑</v>
      </c>
      <c r="AP30" s="307"/>
      <c r="AQ30" s="308">
        <f>SUM(AQ14,AQ18,AQ22,AQ26)</f>
        <v>2.0219263251213166</v>
      </c>
      <c r="AR30" s="308">
        <f>SUM(AR14,AR18,AR22,AR26)</f>
        <v>2.2371370126234376</v>
      </c>
      <c r="AS30" s="308">
        <f>SUM(AS14,AS18,AS22,AS26)</f>
        <v>0.63045350622688279</v>
      </c>
      <c r="AT30" s="309" t="s">
        <v>62</v>
      </c>
      <c r="AU30" s="251"/>
      <c r="AV30" s="251"/>
      <c r="AW30" s="295"/>
      <c r="AX30" s="296"/>
      <c r="AY30" s="297"/>
    </row>
    <row r="31" spans="1:55" ht="14.25" customHeight="1" x14ac:dyDescent="0.3">
      <c r="A31" s="60" t="s">
        <v>13</v>
      </c>
      <c r="B31" s="306">
        <v>49539</v>
      </c>
      <c r="C31" s="237">
        <f t="shared" si="58"/>
        <v>49450</v>
      </c>
      <c r="D31" s="152" t="str">
        <f t="shared" si="59"/>
        <v>-0.18%  ↓</v>
      </c>
      <c r="E31" s="237">
        <f t="shared" si="60"/>
        <v>49485</v>
      </c>
      <c r="F31" s="152" t="str">
        <f t="shared" si="61"/>
        <v>-0.11%  ↓</v>
      </c>
      <c r="G31" s="237">
        <f t="shared" si="57"/>
        <v>49622</v>
      </c>
      <c r="H31" s="152" t="str">
        <f t="shared" si="62"/>
        <v>0.17%  ↑</v>
      </c>
      <c r="I31" s="440">
        <f t="shared" si="63"/>
        <v>49625.97</v>
      </c>
      <c r="J31" s="441" t="str">
        <f t="shared" si="64"/>
        <v>0.18%  ↑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B31" s="311" t="s">
        <v>63</v>
      </c>
      <c r="AF31" s="1315"/>
      <c r="AG31" s="182">
        <f t="shared" si="50"/>
        <v>-5.9142434696894987E-2</v>
      </c>
      <c r="AH31" s="183" t="str">
        <f>IF(I24-B24&gt;0,"↑","↓")</f>
        <v>↓</v>
      </c>
      <c r="AI31" s="184">
        <f t="shared" si="51"/>
        <v>4.3863972400197168E-2</v>
      </c>
      <c r="AJ31" s="185" t="str">
        <f t="shared" si="52"/>
        <v>↑</v>
      </c>
      <c r="AK31" s="182">
        <f t="shared" si="53"/>
        <v>6.0620995564317423E-2</v>
      </c>
      <c r="AL31" s="183" t="str">
        <f t="shared" si="54"/>
        <v>↑</v>
      </c>
      <c r="AM31" s="182">
        <f t="shared" si="55"/>
        <v>-5.4213898472153667E-2</v>
      </c>
      <c r="AN31" s="183" t="str">
        <f t="shared" si="56"/>
        <v>↓</v>
      </c>
      <c r="AQ31" s="187">
        <f>AQ9</f>
        <v>2.16</v>
      </c>
      <c r="AR31" s="187">
        <f>AR9</f>
        <v>2.2400000000000002</v>
      </c>
      <c r="AS31" s="187">
        <f>AS9</f>
        <v>1.79</v>
      </c>
      <c r="AT31" s="316" t="s">
        <v>61</v>
      </c>
      <c r="AU31" s="251"/>
      <c r="AV31" s="251"/>
      <c r="AW31" s="295"/>
      <c r="AX31" s="296"/>
      <c r="AY31" s="297"/>
    </row>
    <row r="32" spans="1:55" ht="14.25" customHeight="1" x14ac:dyDescent="0.3">
      <c r="A32" s="82" t="s">
        <v>14</v>
      </c>
      <c r="B32" s="310">
        <v>6843.21</v>
      </c>
      <c r="C32" s="249">
        <f t="shared" si="58"/>
        <v>6803</v>
      </c>
      <c r="D32" s="168" t="str">
        <f t="shared" si="59"/>
        <v>-0.59%  ↓</v>
      </c>
      <c r="E32" s="249">
        <f t="shared" si="60"/>
        <v>6790</v>
      </c>
      <c r="F32" s="168" t="str">
        <f t="shared" si="61"/>
        <v>-0.78%  ↓</v>
      </c>
      <c r="G32" s="249">
        <f t="shared" si="57"/>
        <v>6850</v>
      </c>
      <c r="H32" s="168" t="str">
        <f t="shared" si="62"/>
        <v>0.10%  ↑</v>
      </c>
      <c r="I32" s="448">
        <f t="shared" si="63"/>
        <v>6909.52</v>
      </c>
      <c r="J32" s="441" t="str">
        <f t="shared" si="64"/>
        <v>0.97%  ↑</v>
      </c>
      <c r="N32" s="53" t="s">
        <v>12</v>
      </c>
      <c r="P32" s="287">
        <f t="shared" ref="P32:P37" si="65">100-ABS(($K12-C12)/($K12))*100</f>
        <v>97.919216646266833</v>
      </c>
      <c r="Q32" s="328"/>
      <c r="R32" s="288">
        <f t="shared" ref="R32:R37" si="66">100-ABS(($K12-E12)/($K12))*100</f>
        <v>98.164014687882499</v>
      </c>
      <c r="S32" s="328"/>
      <c r="T32" s="288">
        <f t="shared" ref="T32:T37" si="67">100-ABS(($K12-G12)/($K12))*100</f>
        <v>99.877600979192167</v>
      </c>
      <c r="U32" s="328"/>
      <c r="V32" s="461">
        <f t="shared" ref="V32:V37" si="68">100-ABS((($K12-J12)/($K12)))*100</f>
        <v>99.296696710062676</v>
      </c>
      <c r="X32" s="290">
        <f t="shared" ref="X32:X37" si="69">100-ABS((($K12-I12)/($K12)))*100</f>
        <v>99.514830548022275</v>
      </c>
      <c r="AB32" s="311" t="s">
        <v>64</v>
      </c>
      <c r="AF32" s="1315"/>
      <c r="AG32" s="182">
        <f t="shared" si="50"/>
        <v>1.2489605853983022E-2</v>
      </c>
      <c r="AH32" s="183" t="str">
        <f>IF(I25-B25&gt;0,"↑","↓")</f>
        <v>↑</v>
      </c>
      <c r="AI32" s="184">
        <f t="shared" si="51"/>
        <v>-6.6522534508564784E-3</v>
      </c>
      <c r="AJ32" s="185" t="str">
        <f t="shared" si="52"/>
        <v>↓</v>
      </c>
      <c r="AK32" s="182">
        <f t="shared" si="53"/>
        <v>-9.146848494927657E-3</v>
      </c>
      <c r="AL32" s="183" t="str">
        <f t="shared" si="54"/>
        <v>↓</v>
      </c>
      <c r="AM32" s="182">
        <f t="shared" si="55"/>
        <v>3.6587393979711385E-3</v>
      </c>
      <c r="AN32" s="183" t="str">
        <f t="shared" si="56"/>
        <v>↑</v>
      </c>
      <c r="AO32" s="4"/>
      <c r="AU32" s="251"/>
      <c r="AV32" s="251"/>
      <c r="AW32" s="295"/>
      <c r="AX32" s="296"/>
      <c r="AY32" s="297"/>
    </row>
    <row r="33" spans="1:40" ht="14.25" customHeight="1" x14ac:dyDescent="0.3">
      <c r="A33" s="82" t="s">
        <v>15</v>
      </c>
      <c r="B33" s="310">
        <v>20.29</v>
      </c>
      <c r="C33" s="252">
        <f t="shared" si="58"/>
        <v>21.18</v>
      </c>
      <c r="D33" s="168" t="str">
        <f t="shared" si="59"/>
        <v>4.39%  ↑</v>
      </c>
      <c r="E33" s="252">
        <f t="shared" si="60"/>
        <v>21.52</v>
      </c>
      <c r="F33" s="168" t="str">
        <f t="shared" si="61"/>
        <v>6.06%  ↑</v>
      </c>
      <c r="G33" s="252">
        <f t="shared" si="57"/>
        <v>19.190000000000001</v>
      </c>
      <c r="H33" s="168" t="str">
        <f t="shared" si="62"/>
        <v>-5.42%  ↓</v>
      </c>
      <c r="I33" s="448">
        <f t="shared" si="63"/>
        <v>19.09</v>
      </c>
      <c r="J33" s="441" t="str">
        <f t="shared" si="64"/>
        <v>-5.91%  ↓</v>
      </c>
      <c r="N33" s="60" t="s">
        <v>13</v>
      </c>
      <c r="P33" s="291">
        <f t="shared" si="65"/>
        <v>99.645407434857191</v>
      </c>
      <c r="Q33" s="328"/>
      <c r="R33" s="292">
        <f t="shared" si="66"/>
        <v>99.715935023537071</v>
      </c>
      <c r="S33" s="328"/>
      <c r="T33" s="292">
        <f t="shared" si="67"/>
        <v>99.992000156369741</v>
      </c>
      <c r="U33" s="328"/>
      <c r="V33" s="462">
        <f t="shared" si="68"/>
        <v>99.862409948325848</v>
      </c>
      <c r="X33" s="294">
        <f t="shared" si="69"/>
        <v>99.908469911895082</v>
      </c>
      <c r="AB33" s="311" t="s">
        <v>65</v>
      </c>
      <c r="AF33" s="1315"/>
      <c r="AG33" s="223">
        <f t="shared" si="50"/>
        <v>2.6527209337577256E-3</v>
      </c>
      <c r="AH33" s="224" t="str">
        <f>IF(I26-B26&gt;0,"↑","↓")</f>
        <v>↑</v>
      </c>
      <c r="AI33" s="225">
        <f t="shared" si="51"/>
        <v>9.5497953615278977E-3</v>
      </c>
      <c r="AJ33" s="226" t="str">
        <f t="shared" si="52"/>
        <v>↑</v>
      </c>
      <c r="AK33" s="223">
        <f t="shared" si="53"/>
        <v>1.2581476428679678E-2</v>
      </c>
      <c r="AL33" s="224" t="str">
        <f t="shared" si="54"/>
        <v>↑</v>
      </c>
      <c r="AM33" s="223">
        <f t="shared" si="55"/>
        <v>1.5916325602547215E-3</v>
      </c>
      <c r="AN33" s="224" t="str">
        <f t="shared" si="56"/>
        <v>↑</v>
      </c>
    </row>
    <row r="34" spans="1:40" ht="14.25" customHeight="1" x14ac:dyDescent="0.3">
      <c r="A34" s="99" t="s">
        <v>16</v>
      </c>
      <c r="B34" s="327">
        <v>601.21</v>
      </c>
      <c r="C34" s="261">
        <f t="shared" si="58"/>
        <v>597.29999999999995</v>
      </c>
      <c r="D34" s="208" t="str">
        <f t="shared" si="59"/>
        <v>-0.65%  ↓</v>
      </c>
      <c r="E34" s="261">
        <f t="shared" si="60"/>
        <v>595.79999999999995</v>
      </c>
      <c r="F34" s="208" t="str">
        <f t="shared" si="61"/>
        <v>-0.90%  ↓</v>
      </c>
      <c r="G34" s="261">
        <f t="shared" si="57"/>
        <v>603.5</v>
      </c>
      <c r="H34" s="208" t="str">
        <f t="shared" si="62"/>
        <v>0.38%  ↑</v>
      </c>
      <c r="I34" s="451">
        <f t="shared" si="63"/>
        <v>608.80999999999995</v>
      </c>
      <c r="J34" s="441" t="str">
        <f t="shared" si="64"/>
        <v>1.26%  ↑</v>
      </c>
      <c r="N34" s="82" t="s">
        <v>14</v>
      </c>
      <c r="P34" s="301">
        <f t="shared" si="65"/>
        <v>98.458358901920818</v>
      </c>
      <c r="Q34" s="328"/>
      <c r="R34" s="302">
        <f t="shared" si="66"/>
        <v>98.27021269205386</v>
      </c>
      <c r="S34" s="328"/>
      <c r="T34" s="302">
        <f t="shared" si="67"/>
        <v>99.138579814516774</v>
      </c>
      <c r="U34" s="328"/>
      <c r="V34" s="463">
        <f t="shared" si="68"/>
        <v>99.206837649623552</v>
      </c>
      <c r="X34" s="304">
        <f t="shared" si="69"/>
        <v>99.209441270025678</v>
      </c>
      <c r="AB34" s="311" t="s">
        <v>66</v>
      </c>
      <c r="AF34" s="228"/>
      <c r="AG34" s="1316" t="str">
        <f>K11</f>
        <v xml:space="preserve">+3-day </v>
      </c>
      <c r="AH34" s="1316"/>
      <c r="AI34" s="1317" t="str">
        <f>C11</f>
        <v>RD</v>
      </c>
      <c r="AJ34" s="1317"/>
      <c r="AK34" s="1318">
        <f>E11</f>
        <v>85520</v>
      </c>
      <c r="AL34" s="1318"/>
      <c r="AM34" s="1318" t="str">
        <f>G11</f>
        <v>MICH</v>
      </c>
      <c r="AN34" s="1318"/>
    </row>
    <row r="35" spans="1:40" ht="14.25" customHeight="1" x14ac:dyDescent="0.3">
      <c r="A35" s="109" t="s">
        <v>17</v>
      </c>
      <c r="B35" s="330">
        <v>263.8</v>
      </c>
      <c r="C35" s="274">
        <f t="shared" si="58"/>
        <v>266.39999999999998</v>
      </c>
      <c r="D35" s="217" t="str">
        <f t="shared" si="59"/>
        <v>0.99%  ↑</v>
      </c>
      <c r="E35" s="274">
        <f t="shared" si="60"/>
        <v>267.2</v>
      </c>
      <c r="F35" s="217" t="str">
        <f t="shared" si="61"/>
        <v>1.29%  ↑</v>
      </c>
      <c r="G35" s="274">
        <f t="shared" si="57"/>
        <v>264.3</v>
      </c>
      <c r="H35" s="217" t="str">
        <f t="shared" si="62"/>
        <v>0.19%  ↑</v>
      </c>
      <c r="I35" s="452">
        <f t="shared" si="63"/>
        <v>264.58</v>
      </c>
      <c r="J35" s="453" t="str">
        <f t="shared" si="64"/>
        <v>0.30%  ↑</v>
      </c>
      <c r="N35" s="82" t="s">
        <v>15</v>
      </c>
      <c r="P35" s="301">
        <f t="shared" si="65"/>
        <v>89.051859612362492</v>
      </c>
      <c r="Q35" s="328"/>
      <c r="R35" s="302">
        <f t="shared" si="66"/>
        <v>87.270822420115252</v>
      </c>
      <c r="S35" s="328"/>
      <c r="T35" s="302">
        <f t="shared" si="67"/>
        <v>99.476165531691976</v>
      </c>
      <c r="U35" s="328"/>
      <c r="V35" s="463">
        <f t="shared" si="68"/>
        <v>91.422913617687797</v>
      </c>
      <c r="X35" s="304">
        <f t="shared" si="69"/>
        <v>90.801795462853079</v>
      </c>
      <c r="AB35" s="311" t="s">
        <v>67</v>
      </c>
      <c r="AF35" s="1315" t="str">
        <f>B29</f>
        <v>Oraclum</v>
      </c>
      <c r="AG35" s="163">
        <f t="shared" ref="AG35:AG40" si="70">(I30-B30)/B30</f>
        <v>4.4258667322350119E-3</v>
      </c>
      <c r="AH35" s="164" t="str">
        <f t="shared" ref="AH35:AH40" si="71">IF(I30-B30&gt;0,"↑","↓")</f>
        <v>↑</v>
      </c>
      <c r="AI35" s="165">
        <f t="shared" ref="AI35:AI40" si="72">(C30-B30)/B30</f>
        <v>-1.6474059503319441E-2</v>
      </c>
      <c r="AJ35" s="166" t="str">
        <f t="shared" ref="AJ35:AJ40" si="73">IF(C30-B30&gt;0,"↑","↓")</f>
        <v>↓</v>
      </c>
      <c r="AK35" s="163">
        <f t="shared" ref="AK35:AK40" si="74">(E30-B30)/B30</f>
        <v>-1.4015244652077792E-2</v>
      </c>
      <c r="AL35" s="164" t="str">
        <f t="shared" ref="AL35:AL40" si="75">IF(E30-B30&gt;0,"↑","↓")</f>
        <v>↓</v>
      </c>
      <c r="AM35" s="163">
        <f t="shared" ref="AM35:AM40" si="76">(G30-B30)/B30</f>
        <v>3.1964593066141872E-3</v>
      </c>
      <c r="AN35" s="164" t="str">
        <f t="shared" ref="AN35:AN40" si="77">IF(G30-B30&gt;0,"↑","↓")</f>
        <v>↑</v>
      </c>
    </row>
    <row r="36" spans="1:40" ht="14.25" customHeight="1" x14ac:dyDescent="0.3">
      <c r="N36" s="99" t="s">
        <v>16</v>
      </c>
      <c r="P36" s="312">
        <f t="shared" si="65"/>
        <v>98.109426586291292</v>
      </c>
      <c r="Q36" s="328"/>
      <c r="R36" s="313">
        <f t="shared" si="66"/>
        <v>97.863044299535161</v>
      </c>
      <c r="S36" s="328"/>
      <c r="T36" s="313">
        <f t="shared" si="67"/>
        <v>99.127806704883312</v>
      </c>
      <c r="U36" s="328"/>
      <c r="V36" s="464">
        <f t="shared" si="68"/>
        <v>99.162002025031455</v>
      </c>
      <c r="X36" s="315">
        <f t="shared" si="69"/>
        <v>98.640125100848792</v>
      </c>
      <c r="AF36" s="1315"/>
      <c r="AG36" s="182">
        <f t="shared" si="70"/>
        <v>1.7555865076000962E-3</v>
      </c>
      <c r="AH36" s="183" t="str">
        <f t="shared" si="71"/>
        <v>↑</v>
      </c>
      <c r="AI36" s="184">
        <f t="shared" si="72"/>
        <v>-1.7965643230586003E-3</v>
      </c>
      <c r="AJ36" s="185" t="str">
        <f t="shared" si="73"/>
        <v>↓</v>
      </c>
      <c r="AK36" s="182">
        <f t="shared" si="74"/>
        <v>-1.0900502634288137E-3</v>
      </c>
      <c r="AL36" s="183" t="str">
        <f t="shared" si="75"/>
        <v>↓</v>
      </c>
      <c r="AM36" s="182">
        <f t="shared" si="76"/>
        <v>1.6754476271220655E-3</v>
      </c>
      <c r="AN36" s="183" t="str">
        <f t="shared" si="77"/>
        <v>↑</v>
      </c>
    </row>
    <row r="37" spans="1:40" ht="14.25" customHeight="1" x14ac:dyDescent="0.3">
      <c r="N37" s="114" t="s">
        <v>17</v>
      </c>
      <c r="P37" s="323">
        <f t="shared" si="65"/>
        <v>99.312117318013463</v>
      </c>
      <c r="Q37" s="328"/>
      <c r="R37" s="324">
        <f t="shared" si="66"/>
        <v>99.009751303953436</v>
      </c>
      <c r="S37" s="328"/>
      <c r="T37" s="324">
        <f t="shared" si="67"/>
        <v>99.894171895078998</v>
      </c>
      <c r="U37" s="328"/>
      <c r="V37" s="465">
        <f t="shared" si="68"/>
        <v>99.706795551266154</v>
      </c>
      <c r="X37" s="326">
        <f t="shared" si="69"/>
        <v>99.864540025701103</v>
      </c>
      <c r="AF37" s="1315"/>
      <c r="AG37" s="182">
        <f t="shared" si="70"/>
        <v>9.6898969927856071E-3</v>
      </c>
      <c r="AH37" s="183" t="str">
        <f t="shared" si="71"/>
        <v>↑</v>
      </c>
      <c r="AI37" s="184">
        <f t="shared" si="72"/>
        <v>-5.8758974224084951E-3</v>
      </c>
      <c r="AJ37" s="185" t="str">
        <f t="shared" si="73"/>
        <v>↓</v>
      </c>
      <c r="AK37" s="182">
        <f t="shared" si="74"/>
        <v>-7.7755906950100952E-3</v>
      </c>
      <c r="AL37" s="183" t="str">
        <f t="shared" si="75"/>
        <v>↓</v>
      </c>
      <c r="AM37" s="182">
        <f t="shared" si="76"/>
        <v>9.9222440930498454E-4</v>
      </c>
      <c r="AN37" s="183" t="str">
        <f t="shared" si="77"/>
        <v>↑</v>
      </c>
    </row>
    <row r="38" spans="1:40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1315"/>
      <c r="AG38" s="182">
        <f t="shared" si="70"/>
        <v>-5.9142434696894987E-2</v>
      </c>
      <c r="AH38" s="183" t="str">
        <f t="shared" si="71"/>
        <v>↓</v>
      </c>
      <c r="AI38" s="184">
        <f t="shared" si="72"/>
        <v>4.3863972400197168E-2</v>
      </c>
      <c r="AJ38" s="185" t="str">
        <f t="shared" si="73"/>
        <v>↑</v>
      </c>
      <c r="AK38" s="182">
        <f t="shared" si="74"/>
        <v>6.0620995564317423E-2</v>
      </c>
      <c r="AL38" s="183" t="str">
        <f t="shared" si="75"/>
        <v>↑</v>
      </c>
      <c r="AM38" s="182">
        <f t="shared" si="76"/>
        <v>-5.4213898472153667E-2</v>
      </c>
      <c r="AN38" s="183" t="str">
        <f t="shared" si="77"/>
        <v>↓</v>
      </c>
    </row>
    <row r="39" spans="1:40" ht="14.25" customHeight="1" x14ac:dyDescent="0.3">
      <c r="N39" s="331" t="str">
        <f>AA1</f>
        <v>AVR-4</v>
      </c>
      <c r="P39" s="332">
        <f t="array" ref="P39">SUM(P33:P36/4)</f>
        <v>96.316263133857944</v>
      </c>
      <c r="Q39" s="328"/>
      <c r="R39" s="333">
        <f t="array" ref="R39">SUM(R33:R36/4)</f>
        <v>95.780003608810333</v>
      </c>
      <c r="S39" s="328"/>
      <c r="T39" s="333">
        <f t="array" ref="T39">SUM(T33:T36/4)</f>
        <v>99.433638051865458</v>
      </c>
      <c r="U39" s="328"/>
      <c r="V39" s="466">
        <f t="array" ref="V39">SUM(V33:V36/4)</f>
        <v>97.413540810167177</v>
      </c>
      <c r="X39" s="335">
        <f t="array" ref="X39">SUM(X33:X36/4)</f>
        <v>97.139957936405665</v>
      </c>
      <c r="AF39" s="1315"/>
      <c r="AG39" s="182">
        <f t="shared" si="70"/>
        <v>1.2641173633172948E-2</v>
      </c>
      <c r="AH39" s="183" t="str">
        <f t="shared" si="71"/>
        <v>↑</v>
      </c>
      <c r="AI39" s="184">
        <f t="shared" si="72"/>
        <v>-6.5035511718036657E-3</v>
      </c>
      <c r="AJ39" s="185" t="str">
        <f t="shared" si="73"/>
        <v>↓</v>
      </c>
      <c r="AK39" s="182">
        <f t="shared" si="74"/>
        <v>-8.9985196520351984E-3</v>
      </c>
      <c r="AL39" s="183" t="str">
        <f t="shared" si="75"/>
        <v>↓</v>
      </c>
      <c r="AM39" s="182">
        <f t="shared" si="76"/>
        <v>3.8089852131534133E-3</v>
      </c>
      <c r="AN39" s="183" t="str">
        <f t="shared" si="77"/>
        <v>↑</v>
      </c>
    </row>
    <row r="40" spans="1:40" ht="14.25" customHeight="1" x14ac:dyDescent="0.3">
      <c r="N40" s="336" t="str">
        <f>AB1</f>
        <v>AVR-6</v>
      </c>
      <c r="P40" s="337">
        <f t="array" ref="P40">SUM(P32:P37/6)</f>
        <v>97.082731083285339</v>
      </c>
      <c r="Q40" s="328"/>
      <c r="R40" s="338">
        <f t="array" ref="R40">SUM(R32:R37/6)</f>
        <v>96.715630071179532</v>
      </c>
      <c r="S40" s="328"/>
      <c r="T40" s="338">
        <f t="array" ref="T40">SUM(T32:T37/6)</f>
        <v>99.584387513622147</v>
      </c>
      <c r="U40" s="328"/>
      <c r="V40" s="467">
        <f t="array" ref="V40">SUM(V32:V37/6)</f>
        <v>98.109609250332909</v>
      </c>
      <c r="X40" s="340">
        <f t="array" ref="X40">SUM(X32:X37/6)</f>
        <v>97.98986705322433</v>
      </c>
      <c r="AF40" s="1315"/>
      <c r="AG40" s="269">
        <f t="shared" si="70"/>
        <v>2.956785443517713E-3</v>
      </c>
      <c r="AH40" s="270" t="str">
        <f t="shared" si="71"/>
        <v>↑</v>
      </c>
      <c r="AI40" s="271">
        <f t="shared" si="72"/>
        <v>9.8559514783925928E-3</v>
      </c>
      <c r="AJ40" s="272" t="str">
        <f t="shared" si="73"/>
        <v>↑</v>
      </c>
      <c r="AK40" s="269">
        <f t="shared" si="74"/>
        <v>1.2888551933282703E-2</v>
      </c>
      <c r="AL40" s="270" t="str">
        <f t="shared" si="75"/>
        <v>↑</v>
      </c>
      <c r="AM40" s="269">
        <f t="shared" si="76"/>
        <v>1.8953752843062926E-3</v>
      </c>
      <c r="AN40" s="270" t="str">
        <f t="shared" si="77"/>
        <v>↑</v>
      </c>
    </row>
    <row r="46" spans="1:40" ht="14.25" customHeight="1" x14ac:dyDescent="0.3">
      <c r="AI46" s="4"/>
      <c r="AK46" s="4"/>
      <c r="AM46" s="4"/>
    </row>
    <row r="47" spans="1:40" ht="14.25" customHeight="1" x14ac:dyDescent="0.3">
      <c r="AI47" s="4"/>
      <c r="AK47" s="4"/>
      <c r="AM47" s="4"/>
    </row>
    <row r="48" spans="1:40" ht="14.25" customHeight="1" x14ac:dyDescent="0.3">
      <c r="F48" s="6"/>
      <c r="AI48" s="4"/>
      <c r="AK48" s="4"/>
      <c r="AM48" s="4"/>
    </row>
  </sheetData>
  <mergeCells count="29">
    <mergeCell ref="AG1:AH1"/>
    <mergeCell ref="AK1:AL1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F28:AF33"/>
    <mergeCell ref="C29:D29"/>
    <mergeCell ref="E29:F29"/>
    <mergeCell ref="G29:H29"/>
    <mergeCell ref="I29:J29"/>
    <mergeCell ref="AG34:AH34"/>
    <mergeCell ref="AI34:AJ34"/>
    <mergeCell ref="AK34:AL34"/>
    <mergeCell ref="AM34:AN34"/>
    <mergeCell ref="AF35:AF40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48"/>
  <sheetViews>
    <sheetView zoomScale="140" zoomScaleNormal="140" workbookViewId="0">
      <selection activeCell="N11" sqref="N11"/>
    </sheetView>
  </sheetViews>
  <sheetFormatPr defaultColWidth="8.77734375" defaultRowHeight="14.25" customHeight="1" x14ac:dyDescent="0.3"/>
  <cols>
    <col min="1" max="1" width="7.33203125" style="4" customWidth="1"/>
    <col min="2" max="10" width="8.44140625" style="4" customWidth="1"/>
    <col min="11" max="11" width="9.33203125" style="4" customWidth="1"/>
    <col min="12" max="12" width="3.218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6.77734375" style="5" customWidth="1"/>
    <col min="25" max="25" width="3.33203125" style="4" hidden="1" customWidth="1"/>
    <col min="26" max="26" width="3.21875" style="4" customWidth="1"/>
    <col min="27" max="27" width="7.109375" style="6" customWidth="1"/>
    <col min="28" max="28" width="7.109375" style="7" customWidth="1"/>
    <col min="29" max="30" width="3.5546875" style="6" customWidth="1"/>
    <col min="31" max="31" width="3.5546875" style="4" customWidth="1"/>
    <col min="32" max="32" width="6" style="8" customWidth="1"/>
    <col min="33" max="37" width="7.21875" style="8" customWidth="1"/>
    <col min="38" max="38" width="7.21875" style="9" customWidth="1"/>
    <col min="39" max="40" width="7.21875" style="8" customWidth="1"/>
    <col min="41" max="41" width="6.21875" style="8" customWidth="1"/>
    <col min="42" max="42" width="7.44140625" customWidth="1"/>
    <col min="43" max="46" width="7.44140625" style="10" customWidth="1"/>
    <col min="47" max="50" width="7.44140625" customWidth="1"/>
    <col min="51" max="51" width="7.6640625" customWidth="1"/>
    <col min="57" max="57" width="9.77734375" style="11" customWidth="1"/>
    <col min="58" max="61" width="9.77734375" style="9" customWidth="1"/>
    <col min="62" max="63" width="9.77734375" customWidth="1"/>
    <col min="64" max="64" width="9.77734375" style="12" customWidth="1"/>
    <col min="65" max="65" width="9.77734375" style="13" customWidth="1"/>
    <col min="66" max="66" width="8.77734375" style="14"/>
    <col min="16371" max="16384" width="13.44140625" customWidth="1"/>
  </cols>
  <sheetData>
    <row r="1" spans="1:56" ht="14.4" x14ac:dyDescent="0.3">
      <c r="A1" s="2" t="s">
        <v>0</v>
      </c>
      <c r="B1" s="15" t="s">
        <v>1</v>
      </c>
      <c r="C1" s="16" t="s">
        <v>2</v>
      </c>
      <c r="D1" s="16" t="s">
        <v>3</v>
      </c>
      <c r="E1" s="16" t="s">
        <v>9</v>
      </c>
      <c r="F1" s="16" t="s">
        <v>5</v>
      </c>
      <c r="G1" s="16" t="s">
        <v>6</v>
      </c>
      <c r="H1" s="16" t="s">
        <v>7</v>
      </c>
      <c r="I1" s="368" t="s">
        <v>8</v>
      </c>
      <c r="K1" s="18" t="s">
        <v>97</v>
      </c>
      <c r="M1" s="19" t="s">
        <v>11</v>
      </c>
      <c r="N1" s="20" t="s">
        <v>12</v>
      </c>
      <c r="O1" s="21">
        <f>SUM(N2:N9)</f>
        <v>778.54320987654307</v>
      </c>
      <c r="P1" s="22" t="s">
        <v>13</v>
      </c>
      <c r="Q1" s="23">
        <f>SUM(P2:P9)</f>
        <v>769.45996705630182</v>
      </c>
      <c r="R1" s="24" t="s">
        <v>14</v>
      </c>
      <c r="S1" s="23">
        <f>SUM(R2:R9)</f>
        <v>783.05310860743862</v>
      </c>
      <c r="T1" s="24" t="s">
        <v>15</v>
      </c>
      <c r="U1" s="23">
        <f>SUM(T2:T9)</f>
        <v>688.20388349514553</v>
      </c>
      <c r="V1" s="25" t="s">
        <v>16</v>
      </c>
      <c r="W1" s="26">
        <f>SUM(V2:V9)</f>
        <v>783.96516478585318</v>
      </c>
      <c r="X1" s="27" t="s">
        <v>17</v>
      </c>
      <c r="Y1" s="28">
        <f>SUM(X2:X9)</f>
        <v>739.63171475486752</v>
      </c>
      <c r="Z1" s="29"/>
      <c r="AA1" s="30" t="s">
        <v>18</v>
      </c>
      <c r="AB1" s="31" t="s">
        <v>19</v>
      </c>
      <c r="AG1" s="1314" t="s">
        <v>20</v>
      </c>
      <c r="AH1" s="1314"/>
      <c r="AJ1" s="4"/>
      <c r="AK1" s="1314" t="s">
        <v>21</v>
      </c>
      <c r="AL1" s="1314"/>
      <c r="AN1" s="32" t="s">
        <v>22</v>
      </c>
      <c r="AO1" s="9">
        <v>2</v>
      </c>
      <c r="AP1" s="33" t="str">
        <f>K11</f>
        <v xml:space="preserve">+3-day </v>
      </c>
      <c r="AQ1" s="34" t="s">
        <v>23</v>
      </c>
      <c r="AR1" s="34" t="s">
        <v>24</v>
      </c>
      <c r="AS1" s="34" t="s">
        <v>25</v>
      </c>
      <c r="AT1" s="9"/>
      <c r="AU1" s="9"/>
      <c r="AV1" s="9"/>
      <c r="AW1" s="9"/>
      <c r="AX1" s="9"/>
      <c r="AY1" s="9"/>
      <c r="AZ1" s="9"/>
      <c r="BA1" s="9"/>
    </row>
    <row r="2" spans="1:56" ht="14.4" x14ac:dyDescent="0.3">
      <c r="A2" s="35" t="s">
        <v>12</v>
      </c>
      <c r="B2" s="36">
        <v>4.1500000000000004</v>
      </c>
      <c r="C2" s="37">
        <v>4.16</v>
      </c>
      <c r="D2" s="37">
        <v>4.1500000000000004</v>
      </c>
      <c r="E2" s="37">
        <v>4.1470000000000002</v>
      </c>
      <c r="F2" s="37">
        <v>4.1500000000000004</v>
      </c>
      <c r="G2" s="37">
        <v>4.1849999999999996</v>
      </c>
      <c r="H2" s="38">
        <v>4.18</v>
      </c>
      <c r="I2" s="369">
        <v>4.1470000000000002</v>
      </c>
      <c r="M2" s="371" t="str">
        <f>B1</f>
        <v>O 5.2</v>
      </c>
      <c r="N2" s="372">
        <f>100-ABS((($K12-B2)/($K12)))*100</f>
        <v>97.530864197530846</v>
      </c>
      <c r="O2" s="373">
        <f t="shared" ref="O2:O9" si="0">N2/$O$1</f>
        <v>0.12527354032539406</v>
      </c>
      <c r="P2" s="374">
        <f>100-ABS((($K13-B3)/($K13)))*100</f>
        <v>96.09271409847193</v>
      </c>
      <c r="Q2" s="375">
        <f t="shared" ref="Q2:Q9" si="1">P2/$Q$1</f>
        <v>0.12488331844747001</v>
      </c>
      <c r="R2" s="375">
        <f>100-ABS((($K14-B4)/($K14)))*100</f>
        <v>97.662144648034428</v>
      </c>
      <c r="S2" s="375">
        <f t="shared" ref="S2:S9" si="2">R2/$S$1</f>
        <v>0.12471969471101936</v>
      </c>
      <c r="T2" s="375">
        <f>100-ABS((($K15-B5)/($K15)))*100</f>
        <v>85.825242718446589</v>
      </c>
      <c r="U2" s="375">
        <f t="shared" ref="U2:U9" si="3">T2/$U$1</f>
        <v>0.12470903576214996</v>
      </c>
      <c r="V2" s="376">
        <f>100-ABS((($K16-B6)/($K16)))*100</f>
        <v>98.023899350163703</v>
      </c>
      <c r="W2" s="377">
        <f t="shared" ref="W2:W9" si="4">V2/$W$1</f>
        <v>0.12503603955022641</v>
      </c>
      <c r="X2" s="378">
        <f>100-ABS((($K17-B7)/($K17)))*100</f>
        <v>92.282430213464707</v>
      </c>
      <c r="Y2" s="48">
        <f t="shared" ref="Y2:Y9" si="5">X2/$Y$1</f>
        <v>0.12476808169867272</v>
      </c>
      <c r="Z2" s="29"/>
      <c r="AA2" s="49">
        <f t="shared" ref="AA2:AA9" si="6">(P2+R2+T2+V2)/4</f>
        <v>94.401000203779148</v>
      </c>
      <c r="AB2" s="50">
        <f t="shared" ref="AB2:AB9" si="7">(N2+P2+R2+T2+V2+X2)/6</f>
        <v>94.569549204352043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4" t="s">
        <v>42</v>
      </c>
      <c r="AH2" s="55">
        <f>MAX(N2:N9)</f>
        <v>97.604938271604922</v>
      </c>
      <c r="AJ2" s="53" t="str">
        <f t="shared" ref="AJ2:AJ7" si="8">AF2</f>
        <v>TNX</v>
      </c>
      <c r="AK2" s="56">
        <v>4.25</v>
      </c>
      <c r="AL2" s="57">
        <f t="shared" ref="AL2:AL7" si="9">100-ABS(($K12-AK2)/($K12))*100</f>
        <v>95.061728395061721</v>
      </c>
      <c r="AN2" s="9"/>
      <c r="AO2" s="33" t="s">
        <v>27</v>
      </c>
      <c r="AP2" s="33" t="s">
        <v>28</v>
      </c>
      <c r="AQ2" s="58" t="s">
        <v>29</v>
      </c>
      <c r="AR2" s="34" t="str">
        <f>AQ2</f>
        <v>∆</v>
      </c>
      <c r="AS2" s="34" t="str">
        <f>AR2</f>
        <v>∆</v>
      </c>
      <c r="AT2" s="59" t="s">
        <v>30</v>
      </c>
      <c r="AU2" s="9"/>
      <c r="AV2" s="9"/>
      <c r="AW2" s="9"/>
      <c r="AX2" s="9"/>
      <c r="AY2" s="9"/>
      <c r="AZ2" s="9"/>
      <c r="BA2" s="9"/>
    </row>
    <row r="3" spans="1:56" ht="14.4" x14ac:dyDescent="0.3">
      <c r="A3" s="60" t="s">
        <v>13</v>
      </c>
      <c r="B3" s="61">
        <v>50396</v>
      </c>
      <c r="C3" s="62">
        <v>50350</v>
      </c>
      <c r="D3" s="62">
        <v>50365.5</v>
      </c>
      <c r="E3" s="62">
        <v>50325</v>
      </c>
      <c r="F3" s="62">
        <v>50320</v>
      </c>
      <c r="G3" s="62">
        <v>50450</v>
      </c>
      <c r="H3" s="62">
        <v>50425</v>
      </c>
      <c r="I3" s="379">
        <v>50188.14</v>
      </c>
      <c r="K3" s="64" t="s">
        <v>98</v>
      </c>
      <c r="M3" s="381" t="str">
        <f>C1</f>
        <v>Grok 4.1</v>
      </c>
      <c r="N3" s="382">
        <f>100-ABS((($K12-C2)/($K12)))*100</f>
        <v>97.283950617283949</v>
      </c>
      <c r="O3" s="383">
        <f t="shared" si="0"/>
        <v>0.12495639212203864</v>
      </c>
      <c r="P3" s="384">
        <f>100-ABS((($K13-C3)/($K13)))*100</f>
        <v>96.187557640647299</v>
      </c>
      <c r="Q3" s="385">
        <f t="shared" si="1"/>
        <v>0.12500657832613299</v>
      </c>
      <c r="R3" s="385">
        <f>100-ABS((($K14-C4)/($K14)))*100</f>
        <v>97.77916906810529</v>
      </c>
      <c r="S3" s="385">
        <f t="shared" si="2"/>
        <v>0.12486914104969615</v>
      </c>
      <c r="T3" s="385">
        <f>100-ABS((($K15-C5)/($K15)))*100</f>
        <v>84.951456310679603</v>
      </c>
      <c r="U3" s="385">
        <f t="shared" si="3"/>
        <v>0.12343937363334979</v>
      </c>
      <c r="V3" s="386">
        <f>100-ABS((($K16-C6)/($K16)))*100</f>
        <v>97.95409596303746</v>
      </c>
      <c r="W3" s="387">
        <f t="shared" si="4"/>
        <v>0.12494700066143176</v>
      </c>
      <c r="X3" s="388">
        <f>100-ABS((($K17-C7)/($K17)))*100</f>
        <v>92.094768942059588</v>
      </c>
      <c r="Y3" s="48">
        <f t="shared" si="5"/>
        <v>0.12451435911260525</v>
      </c>
      <c r="Z3" s="29"/>
      <c r="AA3" s="73">
        <f t="shared" si="6"/>
        <v>94.218069745617413</v>
      </c>
      <c r="AB3" s="74">
        <f t="shared" si="7"/>
        <v>94.37516642363552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75" t="s">
        <v>42</v>
      </c>
      <c r="AH3" s="76">
        <f>MAX(P2:P9)</f>
        <v>96.52128320013658</v>
      </c>
      <c r="AJ3" s="60" t="str">
        <f t="shared" si="8"/>
        <v>DJI</v>
      </c>
      <c r="AK3" s="77">
        <v>48833</v>
      </c>
      <c r="AL3" s="78">
        <f t="shared" si="9"/>
        <v>99.315332716300489</v>
      </c>
      <c r="AN3" s="9"/>
      <c r="AO3" s="79" t="str">
        <f t="shared" ref="AO3:AO8" si="10">AF2</f>
        <v>TNX</v>
      </c>
      <c r="AP3" s="80">
        <f t="shared" ref="AP3:AP8" si="11">K12</f>
        <v>4.05</v>
      </c>
      <c r="AQ3" s="80">
        <f>ABS(C30-AP3)</f>
        <v>7.0000000000000284E-2</v>
      </c>
      <c r="AR3" s="80">
        <f>ABS(E30-K12)</f>
        <v>8.0000000000000071E-2</v>
      </c>
      <c r="AS3" s="80">
        <f>ABS(AP3-G30)</f>
        <v>0.10000000000000053</v>
      </c>
      <c r="AT3" s="81" t="s">
        <v>33</v>
      </c>
      <c r="AU3" s="9"/>
      <c r="AV3" s="9"/>
      <c r="AW3" s="9"/>
      <c r="AX3" s="9"/>
      <c r="AY3" s="9"/>
      <c r="AZ3" s="9"/>
      <c r="BA3" s="9"/>
    </row>
    <row r="4" spans="1:56" ht="14.4" x14ac:dyDescent="0.3">
      <c r="A4" s="82" t="s">
        <v>14</v>
      </c>
      <c r="B4" s="83">
        <v>6996</v>
      </c>
      <c r="C4" s="84">
        <v>6988</v>
      </c>
      <c r="D4" s="84">
        <v>7002.15</v>
      </c>
      <c r="E4" s="84">
        <v>6962</v>
      </c>
      <c r="F4" s="84">
        <v>6978</v>
      </c>
      <c r="G4" s="84">
        <v>6985</v>
      </c>
      <c r="H4" s="84">
        <v>6995</v>
      </c>
      <c r="I4" s="389">
        <v>6941.81</v>
      </c>
      <c r="M4" s="381" t="str">
        <f>D1</f>
        <v>Gemini Pro 3</v>
      </c>
      <c r="N4" s="382">
        <f>100-ABS((($K12-D2)/($K12)))*100</f>
        <v>97.530864197530846</v>
      </c>
      <c r="O4" s="383">
        <f t="shared" si="0"/>
        <v>0.12527354032539406</v>
      </c>
      <c r="P4" s="384">
        <f>100-ABS((($K13-D3)/($K13)))*100</f>
        <v>96.155599490566473</v>
      </c>
      <c r="Q4" s="385">
        <f t="shared" si="1"/>
        <v>0.12496504510614873</v>
      </c>
      <c r="R4" s="385">
        <f>100-ABS((($K14-D4)/($K14)))*100</f>
        <v>97.572182125104973</v>
      </c>
      <c r="S4" s="385">
        <f t="shared" si="2"/>
        <v>0.12460480783816159</v>
      </c>
      <c r="T4" s="385">
        <f>100-ABS((($K15-D5)/($K15)))*100</f>
        <v>86.165048543689323</v>
      </c>
      <c r="U4" s="385">
        <f t="shared" si="3"/>
        <v>0.12520279325668338</v>
      </c>
      <c r="V4" s="386">
        <f>100-ABS((($K16-D6)/($K16)))*100</f>
        <v>97.995645598231661</v>
      </c>
      <c r="W4" s="387">
        <f t="shared" si="4"/>
        <v>0.12500000000000003</v>
      </c>
      <c r="X4" s="388">
        <f>100-ABS((($K17-D7)/($K17)))*100</f>
        <v>92.837594808038148</v>
      </c>
      <c r="Y4" s="48">
        <f t="shared" si="5"/>
        <v>0.12551867768245559</v>
      </c>
      <c r="Z4" s="29"/>
      <c r="AA4" s="73">
        <f t="shared" si="6"/>
        <v>94.472118939398101</v>
      </c>
      <c r="AB4" s="74">
        <f t="shared" si="7"/>
        <v>94.70948912719355</v>
      </c>
      <c r="AC4" s="51" t="str">
        <f>IF($AA4=MAX(AA2:AA9),"TOP","")</f>
        <v/>
      </c>
      <c r="AD4" s="51" t="str">
        <f>IF($AB4=MAX(AB2:AB9),"TOP","")</f>
        <v/>
      </c>
      <c r="AE4" s="52"/>
      <c r="AF4" s="82" t="s">
        <v>14</v>
      </c>
      <c r="AG4" s="86" t="s">
        <v>37</v>
      </c>
      <c r="AH4" s="87">
        <f>MAX(R2:R9)</f>
        <v>98.454838813489403</v>
      </c>
      <c r="AJ4" s="82" t="str">
        <f t="shared" si="8"/>
        <v>SPX</v>
      </c>
      <c r="AK4" s="88">
        <v>6810</v>
      </c>
      <c r="AL4" s="89">
        <f t="shared" si="9"/>
        <v>99.617037585318116</v>
      </c>
      <c r="AN4" s="9"/>
      <c r="AO4" s="79" t="str">
        <f t="shared" si="10"/>
        <v>DJI</v>
      </c>
      <c r="AP4" s="90">
        <f t="shared" si="11"/>
        <v>48500.93</v>
      </c>
      <c r="AQ4" s="91">
        <f>ABS(C13-AP4)</f>
        <v>2149.0699999999997</v>
      </c>
      <c r="AR4" s="91">
        <f>ABS(E13-AP4)</f>
        <v>2214.0699999999997</v>
      </c>
      <c r="AS4" s="91">
        <f>ABS(AP4-G13)</f>
        <v>1820.0699999999997</v>
      </c>
      <c r="AT4" s="92" t="s">
        <v>35</v>
      </c>
      <c r="AU4" s="9"/>
      <c r="AV4" s="9"/>
      <c r="BA4" s="9"/>
    </row>
    <row r="5" spans="1:56" ht="14.4" x14ac:dyDescent="0.3">
      <c r="A5" s="82" t="s">
        <v>15</v>
      </c>
      <c r="B5" s="93">
        <v>17.68</v>
      </c>
      <c r="C5" s="94">
        <v>17.5</v>
      </c>
      <c r="D5" s="94">
        <v>17.75</v>
      </c>
      <c r="E5" s="94">
        <v>17.920000000000002</v>
      </c>
      <c r="F5" s="94">
        <v>17.5</v>
      </c>
      <c r="G5" s="94">
        <v>17.75</v>
      </c>
      <c r="H5" s="95">
        <v>17.88</v>
      </c>
      <c r="I5" s="391">
        <v>17.79</v>
      </c>
      <c r="K5" s="2" t="s">
        <v>36</v>
      </c>
      <c r="M5" s="381" t="str">
        <f>E1</f>
        <v>Qwen</v>
      </c>
      <c r="N5" s="382">
        <f>100-ABS((($K12-E2)/($K12)))*100</f>
        <v>97.604938271604922</v>
      </c>
      <c r="O5" s="383">
        <f t="shared" si="0"/>
        <v>0.12536868478640067</v>
      </c>
      <c r="P5" s="384">
        <f>100-ABS((($K13-E3)/($K13)))*100</f>
        <v>96.239103044003485</v>
      </c>
      <c r="Q5" s="385">
        <f t="shared" si="1"/>
        <v>0.12507356739062372</v>
      </c>
      <c r="R5" s="385">
        <f>100-ABS((($K14-E4)/($K14)))*100</f>
        <v>98.159498433335585</v>
      </c>
      <c r="S5" s="385">
        <f t="shared" si="2"/>
        <v>0.1253548416503957</v>
      </c>
      <c r="T5" s="385">
        <f>100-ABS((($K15-E5)/($K15)))*100</f>
        <v>86.990291262135926</v>
      </c>
      <c r="U5" s="385">
        <f t="shared" si="3"/>
        <v>0.12640191860055022</v>
      </c>
      <c r="V5" s="386">
        <f>100-ABS((($K16-E6)/($K16)))*100</f>
        <v>97.95409596303746</v>
      </c>
      <c r="W5" s="387">
        <f t="shared" si="4"/>
        <v>0.12494700066143176</v>
      </c>
      <c r="X5" s="388">
        <f>100-ABS((($K17-E7)/($K17)))*100</f>
        <v>92.485729924153574</v>
      </c>
      <c r="Y5" s="48">
        <f t="shared" si="5"/>
        <v>0.12504294783357914</v>
      </c>
      <c r="Z5" s="29"/>
      <c r="AA5" s="73">
        <f t="shared" si="6"/>
        <v>94.835747175628114</v>
      </c>
      <c r="AB5" s="74">
        <f t="shared" si="7"/>
        <v>94.905609483045168</v>
      </c>
      <c r="AC5" s="51" t="str">
        <f>IF($AA5=MAX(AA2:AA9),"TOP","")</f>
        <v/>
      </c>
      <c r="AD5" s="51" t="str">
        <f>IF($AB5=MAX(AB2:AB9),"TOP","")</f>
        <v/>
      </c>
      <c r="AE5" s="52"/>
      <c r="AF5" s="82" t="s">
        <v>15</v>
      </c>
      <c r="AG5" s="97" t="s">
        <v>95</v>
      </c>
      <c r="AH5" s="87">
        <f>MAX(T2:T9)</f>
        <v>86.990291262135926</v>
      </c>
      <c r="AJ5" s="82" t="str">
        <f t="shared" si="8"/>
        <v>VIX</v>
      </c>
      <c r="AK5" s="98">
        <v>19.100000000000001</v>
      </c>
      <c r="AL5" s="89">
        <f t="shared" si="9"/>
        <v>92.71844660194175</v>
      </c>
      <c r="AN5" s="9"/>
      <c r="AO5" s="79" t="str">
        <f t="shared" si="10"/>
        <v>SPX</v>
      </c>
      <c r="AP5" s="90">
        <f t="shared" si="11"/>
        <v>6836.18</v>
      </c>
      <c r="AQ5" s="91">
        <f>ABS(C14-AP5)</f>
        <v>93.819999999999709</v>
      </c>
      <c r="AR5" s="91">
        <f>ABS(E14-AP5)</f>
        <v>102.81999999999971</v>
      </c>
      <c r="AS5" s="91">
        <f>ABS(AP5-G14)</f>
        <v>120.81999999999971</v>
      </c>
      <c r="AT5" s="92" t="s">
        <v>38</v>
      </c>
      <c r="AU5" s="9"/>
      <c r="AV5" s="9"/>
      <c r="BA5" s="9"/>
    </row>
    <row r="6" spans="1:56" ht="14.4" x14ac:dyDescent="0.3">
      <c r="A6" s="99" t="s">
        <v>16</v>
      </c>
      <c r="B6" s="100">
        <v>613.58000000000004</v>
      </c>
      <c r="C6" s="101">
        <v>614</v>
      </c>
      <c r="D6" s="101">
        <v>613.75</v>
      </c>
      <c r="E6" s="101">
        <v>614</v>
      </c>
      <c r="F6" s="101">
        <v>614.20000000000005</v>
      </c>
      <c r="G6" s="101">
        <v>615</v>
      </c>
      <c r="H6" s="102">
        <v>614</v>
      </c>
      <c r="I6" s="393">
        <v>611.47</v>
      </c>
      <c r="M6" s="381" t="str">
        <f>F1</f>
        <v>GLM-4.7</v>
      </c>
      <c r="N6" s="382">
        <f>100-ABS((($K12-F2)/($K12)))*100</f>
        <v>97.530864197530846</v>
      </c>
      <c r="O6" s="383">
        <f t="shared" si="0"/>
        <v>0.12527354032539406</v>
      </c>
      <c r="P6" s="384">
        <f>100-ABS((($K13-F3)/($K13)))*100</f>
        <v>96.24941212467472</v>
      </c>
      <c r="Q6" s="385">
        <f t="shared" si="1"/>
        <v>0.12508696520352189</v>
      </c>
      <c r="R6" s="385">
        <f>100-ABS((($K14-F4)/($K14)))*100</f>
        <v>97.925449593193861</v>
      </c>
      <c r="S6" s="385">
        <f t="shared" si="2"/>
        <v>0.12505594897304212</v>
      </c>
      <c r="T6" s="385">
        <f>100-ABS((($K15-F5)/($K15)))*100</f>
        <v>84.951456310679603</v>
      </c>
      <c r="U6" s="385">
        <f t="shared" si="3"/>
        <v>0.12343937363334979</v>
      </c>
      <c r="V6" s="386">
        <f>100-ABS((($K16-F6)/($K16)))*100</f>
        <v>97.920856254882082</v>
      </c>
      <c r="W6" s="387">
        <f t="shared" si="4"/>
        <v>0.12490460119057714</v>
      </c>
      <c r="X6" s="388">
        <f>100-ABS((($K17-F7)/($K17)))*100</f>
        <v>92.094768942059588</v>
      </c>
      <c r="Y6" s="48">
        <f t="shared" si="5"/>
        <v>0.12451435911260525</v>
      </c>
      <c r="Z6" s="29"/>
      <c r="AA6" s="73">
        <f t="shared" si="6"/>
        <v>94.261793570857563</v>
      </c>
      <c r="AB6" s="74">
        <f t="shared" si="7"/>
        <v>94.445467903836786</v>
      </c>
      <c r="AC6" s="11" t="str">
        <f>IF($AA6=MAX(AA2:AA9),"TOP","")</f>
        <v/>
      </c>
      <c r="AD6" s="11" t="str">
        <f>IF($AB6=MAX(AB2:AB9),"TOP","")</f>
        <v/>
      </c>
      <c r="AE6" s="52"/>
      <c r="AF6" s="99" t="s">
        <v>16</v>
      </c>
      <c r="AG6" s="104" t="s">
        <v>39</v>
      </c>
      <c r="AH6" s="105">
        <f>MAX(V2:V9)</f>
        <v>98.374578271202779</v>
      </c>
      <c r="AJ6" s="99" t="str">
        <f t="shared" si="8"/>
        <v>QQQ</v>
      </c>
      <c r="AK6" s="106">
        <v>604.79999999999995</v>
      </c>
      <c r="AL6" s="107">
        <f t="shared" si="9"/>
        <v>99.483122538184134</v>
      </c>
      <c r="AN6" s="9"/>
      <c r="AO6" s="79" t="str">
        <f t="shared" si="10"/>
        <v>VIX</v>
      </c>
      <c r="AP6" s="108">
        <f t="shared" si="11"/>
        <v>20.6</v>
      </c>
      <c r="AQ6" s="91">
        <f>ABS(C15-AP6)</f>
        <v>2.4800000000000004</v>
      </c>
      <c r="AR6" s="91">
        <f>ABS(E15-AP6)</f>
        <v>2.2300000000000004</v>
      </c>
      <c r="AS6" s="91">
        <f>ABS(AP6-G15)</f>
        <v>2.5800000000000018</v>
      </c>
      <c r="AT6" s="92" t="s">
        <v>40</v>
      </c>
      <c r="AU6" s="9"/>
      <c r="AV6" s="9"/>
      <c r="BA6" s="9"/>
    </row>
    <row r="7" spans="1:56" ht="14.4" x14ac:dyDescent="0.3">
      <c r="A7" s="109" t="s">
        <v>17</v>
      </c>
      <c r="B7" s="110">
        <v>275.52</v>
      </c>
      <c r="C7" s="111">
        <v>276</v>
      </c>
      <c r="D7" s="111">
        <v>274.10000000000002</v>
      </c>
      <c r="E7" s="111">
        <v>275</v>
      </c>
      <c r="F7" s="111">
        <v>276</v>
      </c>
      <c r="G7" s="111">
        <v>275.5</v>
      </c>
      <c r="H7" s="112">
        <v>274.85000000000002</v>
      </c>
      <c r="I7" s="395">
        <v>273.68</v>
      </c>
      <c r="K7" s="2" t="s">
        <v>41</v>
      </c>
      <c r="M7" s="381" t="str">
        <f>G1</f>
        <v>Kimi 2.5</v>
      </c>
      <c r="N7" s="382">
        <f>100-ABS((($K12-G2)/($K12)))*100</f>
        <v>96.666666666666671</v>
      </c>
      <c r="O7" s="383">
        <f t="shared" si="0"/>
        <v>0.12416352161365009</v>
      </c>
      <c r="P7" s="384">
        <f>100-ABS((($K13-G3)/($K13)))*100</f>
        <v>95.981376027222566</v>
      </c>
      <c r="Q7" s="385">
        <f t="shared" si="1"/>
        <v>0.12473862206816999</v>
      </c>
      <c r="R7" s="385">
        <f>100-ABS((($K14-G4)/($K14)))*100</f>
        <v>97.823053225631867</v>
      </c>
      <c r="S7" s="385">
        <f t="shared" si="2"/>
        <v>0.12492518342669995</v>
      </c>
      <c r="T7" s="385">
        <f>100-ABS((($K15-G5)/($K15)))*100</f>
        <v>86.165048543689323</v>
      </c>
      <c r="U7" s="385">
        <f t="shared" si="3"/>
        <v>0.12520279325668338</v>
      </c>
      <c r="V7" s="386">
        <f>100-ABS((($K16-G6)/($K16)))*100</f>
        <v>97.787897422260642</v>
      </c>
      <c r="W7" s="387">
        <f t="shared" si="4"/>
        <v>0.12473500330715874</v>
      </c>
      <c r="X7" s="388">
        <f>100-ABS((($K17-G7)/($K17)))*100</f>
        <v>92.290249433106581</v>
      </c>
      <c r="Y7" s="48">
        <f t="shared" si="5"/>
        <v>0.12477865347309219</v>
      </c>
      <c r="Z7" s="29"/>
      <c r="AA7" s="73">
        <f t="shared" si="6"/>
        <v>94.439343804701096</v>
      </c>
      <c r="AB7" s="74">
        <f t="shared" si="7"/>
        <v>94.452381886429592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115" t="s">
        <v>96</v>
      </c>
      <c r="AH7" s="116">
        <f>MAX(X2:X9)</f>
        <v>93.00179842051763</v>
      </c>
      <c r="AJ7" s="114" t="str">
        <f t="shared" si="8"/>
        <v>AAPL</v>
      </c>
      <c r="AK7" s="117">
        <v>245.25</v>
      </c>
      <c r="AL7" s="118">
        <f t="shared" si="9"/>
        <v>95.883180858550318</v>
      </c>
      <c r="AN7" s="9"/>
      <c r="AO7" s="79" t="str">
        <f t="shared" si="10"/>
        <v>QQQ</v>
      </c>
      <c r="AP7" s="119">
        <f t="shared" si="11"/>
        <v>601.69000000000005</v>
      </c>
      <c r="AQ7" s="91">
        <f>ABS(C16-AP7)</f>
        <v>6.8099999999999454</v>
      </c>
      <c r="AR7" s="91">
        <f>ABS(E16-AP7)</f>
        <v>4.7099999999999227</v>
      </c>
      <c r="AS7" s="91">
        <f>ABS(AP7-G16)</f>
        <v>11.509999999999991</v>
      </c>
      <c r="AT7" s="92" t="s">
        <v>43</v>
      </c>
      <c r="AU7" s="9"/>
      <c r="AV7" s="9"/>
      <c r="AW7" s="9"/>
      <c r="AX7" s="120"/>
      <c r="AY7" s="120"/>
      <c r="AZ7" s="9"/>
      <c r="BA7" s="9"/>
    </row>
    <row r="8" spans="1:56" ht="14.25" customHeight="1" x14ac:dyDescent="0.3">
      <c r="K8" s="121">
        <v>46</v>
      </c>
      <c r="M8" s="381" t="str">
        <f>H1</f>
        <v>Minimax 2.1</v>
      </c>
      <c r="N8" s="382">
        <f>100-ABS((($K12-H2)/($K12)))*100</f>
        <v>96.790123456790127</v>
      </c>
      <c r="O8" s="383">
        <f t="shared" si="0"/>
        <v>0.1243220957153278</v>
      </c>
      <c r="P8" s="384">
        <f>100-ABS((($K13-H3)/($K13)))*100</f>
        <v>96.032921430578753</v>
      </c>
      <c r="Q8" s="385">
        <f t="shared" si="1"/>
        <v>0.12480561113266074</v>
      </c>
      <c r="R8" s="385">
        <f>100-ABS((($K14-H4)/($K14)))*100</f>
        <v>97.676772700543296</v>
      </c>
      <c r="S8" s="385">
        <f t="shared" si="2"/>
        <v>0.12473837550335397</v>
      </c>
      <c r="T8" s="385">
        <f>100-ABS((($K15-H5)/($K15)))*100</f>
        <v>86.796116504854353</v>
      </c>
      <c r="U8" s="385">
        <f t="shared" si="3"/>
        <v>0.12611977146081682</v>
      </c>
      <c r="V8" s="386">
        <f>100-ABS((($K16-H6)/($K16)))*100</f>
        <v>97.95409596303746</v>
      </c>
      <c r="W8" s="387">
        <f t="shared" si="4"/>
        <v>0.12494700066143176</v>
      </c>
      <c r="X8" s="388">
        <f>100-ABS((($K17-H7)/($K17)))*100</f>
        <v>92.544374071467658</v>
      </c>
      <c r="Y8" s="48">
        <f t="shared" si="5"/>
        <v>0.12512223614172518</v>
      </c>
      <c r="Z8" s="29"/>
      <c r="AA8" s="73">
        <f t="shared" si="6"/>
        <v>94.614976649753459</v>
      </c>
      <c r="AB8" s="74">
        <f t="shared" si="7"/>
        <v>94.632400687878601</v>
      </c>
      <c r="AC8" s="51" t="str">
        <f>IF($AA8=MAX(AA2:AA9),"TOP","")</f>
        <v/>
      </c>
      <c r="AD8" s="51" t="str">
        <f>IF($AB8=MAX(AB2:AB9),"TOP","")</f>
        <v/>
      </c>
      <c r="AE8" s="52"/>
      <c r="AF8" s="4"/>
      <c r="AG8" s="4"/>
      <c r="AH8" s="5"/>
      <c r="AL8" s="8"/>
      <c r="AN8" s="9"/>
      <c r="AO8" s="79" t="str">
        <f t="shared" si="10"/>
        <v>AAPL</v>
      </c>
      <c r="AP8" s="122">
        <f t="shared" si="11"/>
        <v>255.78</v>
      </c>
      <c r="AQ8" s="122">
        <f>ABS(C35-AP8)</f>
        <v>18.919999999999987</v>
      </c>
      <c r="AR8" s="122">
        <f>ABS(E35-K17)</f>
        <v>18.52000000000001</v>
      </c>
      <c r="AS8" s="122">
        <f>ABS(AP8-G35)</f>
        <v>18.619999999999976</v>
      </c>
      <c r="AT8" s="81" t="s">
        <v>33</v>
      </c>
      <c r="AU8" s="9"/>
      <c r="AV8" s="9"/>
      <c r="AW8" s="9"/>
      <c r="AX8" s="9"/>
      <c r="AY8" s="9"/>
      <c r="AZ8" s="9"/>
      <c r="BA8" s="9"/>
    </row>
    <row r="9" spans="1:56" ht="14.4" x14ac:dyDescent="0.3">
      <c r="M9" s="397" t="str">
        <f>I1</f>
        <v>LeChat</v>
      </c>
      <c r="N9" s="398">
        <f>100-ABS((($K12-I2)/($K12)))*100</f>
        <v>97.604938271604922</v>
      </c>
      <c r="O9" s="399">
        <f t="shared" si="0"/>
        <v>0.12536868478640067</v>
      </c>
      <c r="P9" s="400">
        <f>100-ABS((($K13-I3)/($K13)))*100</f>
        <v>96.52128320013658</v>
      </c>
      <c r="Q9" s="401">
        <f t="shared" si="1"/>
        <v>0.1254402923252719</v>
      </c>
      <c r="R9" s="401">
        <f>100-ABS((($K14-I4)/($K14)))*100</f>
        <v>98.454838813489403</v>
      </c>
      <c r="S9" s="401">
        <f t="shared" si="2"/>
        <v>0.12573200684763125</v>
      </c>
      <c r="T9" s="402">
        <f>100-ABS((($K15-I5)/($K15)))*100</f>
        <v>86.359223300970868</v>
      </c>
      <c r="U9" s="401">
        <f t="shared" si="3"/>
        <v>0.12548494039641675</v>
      </c>
      <c r="V9" s="403">
        <f>100-ABS((($K16-I6)/($K16)))*100</f>
        <v>98.374578271202779</v>
      </c>
      <c r="W9" s="404">
        <f t="shared" si="4"/>
        <v>0.12548335396774249</v>
      </c>
      <c r="X9" s="405">
        <f>100-ABS((($K17-I7)/($K17)))*100</f>
        <v>93.00179842051763</v>
      </c>
      <c r="Y9" s="124">
        <f t="shared" si="5"/>
        <v>0.12574068494526464</v>
      </c>
      <c r="Z9" s="29"/>
      <c r="AA9" s="139">
        <f t="shared" si="6"/>
        <v>94.927480896449907</v>
      </c>
      <c r="AB9" s="140">
        <f t="shared" si="7"/>
        <v>95.05277671298704</v>
      </c>
      <c r="AC9" s="51" t="str">
        <f>IF($AA9=MAX(AA2:AA9),"TOP","")</f>
        <v>TOP</v>
      </c>
      <c r="AD9" s="51" t="str">
        <f>IF($AB9=MAX(AB2:AB9),"TOP","")</f>
        <v>TOP</v>
      </c>
      <c r="AE9" s="52"/>
      <c r="AF9" s="1319" t="s">
        <v>44</v>
      </c>
      <c r="AG9" s="1319"/>
      <c r="AH9" s="125">
        <f>AVERAGE(AH3:AH6)</f>
        <v>95.085247886741172</v>
      </c>
      <c r="AJ9" s="1310" t="s">
        <v>44</v>
      </c>
      <c r="AK9" s="1310"/>
      <c r="AL9" s="126">
        <f>AVERAGE(AL3:AL6)</f>
        <v>97.783484860436133</v>
      </c>
      <c r="AN9" s="9"/>
      <c r="AP9" s="79">
        <v>0</v>
      </c>
      <c r="AQ9" s="33">
        <v>2.16</v>
      </c>
      <c r="AR9" s="33">
        <v>2.2400000000000002</v>
      </c>
      <c r="AS9" s="33">
        <v>1.79</v>
      </c>
      <c r="AT9" s="127" t="s">
        <v>45</v>
      </c>
      <c r="AU9" s="9"/>
      <c r="AV9" s="9"/>
      <c r="AW9" s="9"/>
      <c r="AX9" s="9"/>
      <c r="AY9" s="9"/>
      <c r="AZ9" s="9"/>
      <c r="BA9" s="9"/>
    </row>
    <row r="10" spans="1:56" ht="14.4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95.157954706514545</v>
      </c>
      <c r="AJ10" s="1311" t="s">
        <v>51</v>
      </c>
      <c r="AK10" s="1311"/>
      <c r="AL10" s="142">
        <f>AVERAGE(AL2:AL7)</f>
        <v>97.013141449226097</v>
      </c>
      <c r="AN10" s="9"/>
      <c r="AP10" s="79">
        <v>0</v>
      </c>
      <c r="AQ10" s="33">
        <v>5.28</v>
      </c>
      <c r="AR10" s="33">
        <v>5.33</v>
      </c>
      <c r="AS10" s="33">
        <v>5.0999999999999996</v>
      </c>
      <c r="AT10" s="143" t="s">
        <v>52</v>
      </c>
      <c r="AU10" s="9"/>
      <c r="AV10" s="9"/>
      <c r="AW10" s="9"/>
      <c r="AX10" s="9"/>
      <c r="AY10" s="9"/>
      <c r="AZ10" s="9"/>
      <c r="BA10" s="9"/>
    </row>
    <row r="11" spans="1:56" ht="14.4" x14ac:dyDescent="0.3">
      <c r="B11" s="3" t="s">
        <v>46</v>
      </c>
      <c r="C11" s="1312" t="s">
        <v>47</v>
      </c>
      <c r="D11" s="1312"/>
      <c r="E11" s="1312">
        <v>85520</v>
      </c>
      <c r="F11" s="1312"/>
      <c r="G11" s="1312" t="s">
        <v>48</v>
      </c>
      <c r="H11" s="1312"/>
      <c r="I11" s="406" t="s">
        <v>36</v>
      </c>
      <c r="J11" s="406" t="s">
        <v>49</v>
      </c>
      <c r="K11" s="130" t="s">
        <v>50</v>
      </c>
      <c r="M11" s="19" t="s">
        <v>53</v>
      </c>
      <c r="N11" s="156" t="s">
        <v>12</v>
      </c>
      <c r="O11" s="21">
        <f>SUM(N12:N19)</f>
        <v>460</v>
      </c>
      <c r="P11" s="157" t="s">
        <v>13</v>
      </c>
      <c r="Q11" s="158">
        <f>SUM(P12:P19)</f>
        <v>390</v>
      </c>
      <c r="R11" s="159" t="s">
        <v>14</v>
      </c>
      <c r="S11" s="158">
        <f>SUM(R12:R19)</f>
        <v>490</v>
      </c>
      <c r="T11" s="159" t="s">
        <v>15</v>
      </c>
      <c r="U11" s="158">
        <f>SUM(T12:T19)</f>
        <v>34</v>
      </c>
      <c r="V11" s="159" t="s">
        <v>16</v>
      </c>
      <c r="W11" s="26">
        <f>SUM(V12:V19)</f>
        <v>490</v>
      </c>
      <c r="X11" s="160" t="s">
        <v>17</v>
      </c>
      <c r="Y11" s="28">
        <f>SUM(X12:X19)</f>
        <v>190</v>
      </c>
      <c r="Z11" s="29"/>
      <c r="AA11" s="161" t="s">
        <v>54</v>
      </c>
      <c r="AB11" s="162" t="s">
        <v>55</v>
      </c>
      <c r="AF11" s="150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6" ht="14.4" x14ac:dyDescent="0.3">
      <c r="A12" s="53" t="s">
        <v>12</v>
      </c>
      <c r="B12" s="144">
        <v>4.1470000000000002</v>
      </c>
      <c r="C12" s="145">
        <v>4.12</v>
      </c>
      <c r="D12" s="146" t="str">
        <f t="shared" ref="D12:D17" si="12">IF(ABS(K12-I12)&lt;ABS(C12-K12),$I$11,$C$11)</f>
        <v>RD</v>
      </c>
      <c r="E12" s="145">
        <v>4.13</v>
      </c>
      <c r="F12" s="146">
        <f t="shared" ref="F12:F17" si="13">IF(ABS(K12-I12)&lt;ABS(K12-E12),$I$11,$E$11)</f>
        <v>85520</v>
      </c>
      <c r="G12" s="145">
        <v>4.1500000000000004</v>
      </c>
      <c r="H12" s="146" t="str">
        <f t="shared" ref="H12:H17" si="14">IF(ABS(I12-K12)&lt;ABS(K12-G12),$I$11,$G$11)</f>
        <v>MICH</v>
      </c>
      <c r="I12" s="407">
        <f>(B2*O22)+(C2*O23)+(D2*O24)+(E2*O25)+(F2*O26)+(G2*O27)+(H2*O28)+(I2*O29)</f>
        <v>4.1585178197064989</v>
      </c>
      <c r="J12" s="408">
        <v>4.1669608808290199</v>
      </c>
      <c r="K12" s="468">
        <v>4.05</v>
      </c>
      <c r="M12" s="410" t="str">
        <f t="shared" ref="M12:M19" si="15">M2</f>
        <v>O 5.2</v>
      </c>
      <c r="N12" s="411">
        <f t="shared" ref="N12:N19" si="16">IF(N2=0,0, LOOKUP(N2-0.000000000001,$AA$12:$AA$28,$AB$12:$AB$28))</f>
        <v>60</v>
      </c>
      <c r="O12" s="412">
        <f t="shared" ref="O12:O19" si="17">N12/$O$11</f>
        <v>0.13043478260869565</v>
      </c>
      <c r="P12" s="413">
        <f t="shared" ref="P12:P19" si="18">IF(P2=0,0, LOOKUP(P2-0.000000000001,$AA$12:$AA$28,$AB$12:$AB$28))</f>
        <v>50</v>
      </c>
      <c r="Q12" s="414">
        <f t="shared" ref="Q12:Q19" si="19">P12/$Q$11</f>
        <v>0.12820512820512819</v>
      </c>
      <c r="R12" s="414">
        <f t="shared" ref="R12:R19" si="20">IF(R2=0,0, LOOKUP(R2-0.000000000001,$AA$12:$AA$28,$AB$12:$AB$28))</f>
        <v>60</v>
      </c>
      <c r="S12" s="414">
        <f t="shared" ref="S12:S19" si="21">R12/$S$11</f>
        <v>0.12244897959183673</v>
      </c>
      <c r="T12" s="414">
        <f t="shared" ref="T12:T19" si="22">IF(T2=0,0, LOOKUP(T2-0.000000000001,$AA$12:$AA$28,$AB$12:$AB$28))</f>
        <v>5</v>
      </c>
      <c r="U12" s="414">
        <f t="shared" ref="U12:U19" si="23">T12/$U$11</f>
        <v>0.14705882352941177</v>
      </c>
      <c r="V12" s="414">
        <f t="shared" ref="V12:V19" si="24">IF(V2=0,0, LOOKUP(V2-0.000000000001,$AA$12:$AA$28,$AB$12:$AB$28))</f>
        <v>65</v>
      </c>
      <c r="W12" s="415">
        <f t="shared" ref="W12:W19" si="25">V12/$W$11</f>
        <v>0.1326530612244898</v>
      </c>
      <c r="X12" s="416">
        <f t="shared" ref="X12:X19" si="26">IF(X2=0,0, LOOKUP(X2-0.000000000001,$AA$12:$AA$28,$AB$12:$AB$28))</f>
        <v>20</v>
      </c>
      <c r="Y12" s="179">
        <f t="shared" ref="Y12:Y19" si="27">X12/$Y$11</f>
        <v>0.10526315789473684</v>
      </c>
      <c r="Z12" s="29"/>
      <c r="AA12" s="180">
        <v>1</v>
      </c>
      <c r="AB12" s="181">
        <v>0.1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6" ht="14.4" x14ac:dyDescent="0.3">
      <c r="A13" s="60" t="s">
        <v>13</v>
      </c>
      <c r="B13" s="469">
        <v>50188.14</v>
      </c>
      <c r="C13" s="61">
        <v>50650</v>
      </c>
      <c r="D13" s="152" t="str">
        <f t="shared" si="12"/>
        <v>LLM</v>
      </c>
      <c r="E13" s="61">
        <v>50715</v>
      </c>
      <c r="F13" s="152" t="str">
        <f t="shared" si="13"/>
        <v>LLM</v>
      </c>
      <c r="G13" s="61">
        <v>50321</v>
      </c>
      <c r="H13" s="152" t="str">
        <f t="shared" si="14"/>
        <v>MICH</v>
      </c>
      <c r="I13" s="417">
        <f>(B3*Q22)+(C3*Q23)+(D3*Q24)+(E3*Q25)+(F3*Q26)+(G3*Q27)+(H3*Q28)+(I3*Q29)</f>
        <v>50351.887945205475</v>
      </c>
      <c r="J13" s="418">
        <v>50309.321754285702</v>
      </c>
      <c r="K13" s="470">
        <v>48500.93</v>
      </c>
      <c r="M13" s="420" t="str">
        <f t="shared" si="15"/>
        <v>Grok 4.1</v>
      </c>
      <c r="N13" s="411">
        <f t="shared" si="16"/>
        <v>60</v>
      </c>
      <c r="O13" s="412">
        <f t="shared" si="17"/>
        <v>0.13043478260869565</v>
      </c>
      <c r="P13" s="413">
        <f t="shared" si="18"/>
        <v>50</v>
      </c>
      <c r="Q13" s="414">
        <f t="shared" si="19"/>
        <v>0.12820512820512819</v>
      </c>
      <c r="R13" s="414">
        <f t="shared" si="20"/>
        <v>60</v>
      </c>
      <c r="S13" s="414">
        <f t="shared" si="21"/>
        <v>0.12244897959183673</v>
      </c>
      <c r="T13" s="414">
        <f t="shared" si="22"/>
        <v>2</v>
      </c>
      <c r="U13" s="414">
        <f t="shared" si="23"/>
        <v>5.8823529411764705E-2</v>
      </c>
      <c r="V13" s="414">
        <f t="shared" si="24"/>
        <v>60</v>
      </c>
      <c r="W13" s="415">
        <f t="shared" si="25"/>
        <v>0.12244897959183673</v>
      </c>
      <c r="X13" s="416">
        <f t="shared" si="26"/>
        <v>20</v>
      </c>
      <c r="Y13" s="179">
        <f t="shared" si="27"/>
        <v>0.10526315789473684</v>
      </c>
      <c r="Z13" s="29"/>
      <c r="AA13" s="202">
        <v>80</v>
      </c>
      <c r="AB13" s="203">
        <v>1</v>
      </c>
      <c r="AG13" s="1314" t="s">
        <v>68</v>
      </c>
      <c r="AH13" s="1314"/>
      <c r="AJ13" s="4"/>
      <c r="AK13" s="1314" t="s">
        <v>69</v>
      </c>
      <c r="AL13" s="1314"/>
      <c r="AN13" s="9"/>
      <c r="AO13" s="186" t="s">
        <v>13</v>
      </c>
      <c r="AP13" s="187" t="str">
        <f>K11</f>
        <v xml:space="preserve">+3-day </v>
      </c>
      <c r="AQ13" s="33" t="s">
        <v>23</v>
      </c>
      <c r="AR13" s="33" t="s">
        <v>24</v>
      </c>
      <c r="AS13" s="33" t="s">
        <v>25</v>
      </c>
      <c r="AT13" s="188" t="s">
        <v>35</v>
      </c>
      <c r="AU13" s="189">
        <v>893</v>
      </c>
      <c r="AV13" s="190" t="s">
        <v>56</v>
      </c>
      <c r="AW13" s="191" t="s">
        <v>57</v>
      </c>
      <c r="AX13" s="192">
        <v>893</v>
      </c>
      <c r="BA13" s="9"/>
    </row>
    <row r="14" spans="1:56" ht="14.4" x14ac:dyDescent="0.3">
      <c r="A14" s="82" t="s">
        <v>14</v>
      </c>
      <c r="B14" s="471">
        <v>6941.81</v>
      </c>
      <c r="C14" s="83">
        <v>6930</v>
      </c>
      <c r="D14" s="168" t="str">
        <f t="shared" si="12"/>
        <v>RD</v>
      </c>
      <c r="E14" s="83">
        <v>6939</v>
      </c>
      <c r="F14" s="168">
        <f t="shared" si="13"/>
        <v>85520</v>
      </c>
      <c r="G14" s="83">
        <v>6957</v>
      </c>
      <c r="H14" s="168" t="str">
        <f t="shared" si="14"/>
        <v>MICH</v>
      </c>
      <c r="I14" s="421">
        <f>(B4*S22)+(C4*S23)+(D4*S24)+(E4*S25)+(F4*S26)+(G4*S27)+(H4*S28)+(I4*S29)</f>
        <v>6980.968288973384</v>
      </c>
      <c r="J14" s="422">
        <v>6990.9968750190101</v>
      </c>
      <c r="K14" s="472">
        <v>6836.18</v>
      </c>
      <c r="M14" s="420" t="str">
        <f t="shared" si="15"/>
        <v>Gemini Pro 3</v>
      </c>
      <c r="N14" s="411">
        <f t="shared" si="16"/>
        <v>60</v>
      </c>
      <c r="O14" s="412">
        <f t="shared" si="17"/>
        <v>0.13043478260869565</v>
      </c>
      <c r="P14" s="413">
        <f t="shared" si="18"/>
        <v>50</v>
      </c>
      <c r="Q14" s="414">
        <f t="shared" si="19"/>
        <v>0.12820512820512819</v>
      </c>
      <c r="R14" s="414">
        <f t="shared" si="20"/>
        <v>60</v>
      </c>
      <c r="S14" s="414">
        <f t="shared" si="21"/>
        <v>0.12244897959183673</v>
      </c>
      <c r="T14" s="414">
        <f t="shared" si="22"/>
        <v>5</v>
      </c>
      <c r="U14" s="414">
        <f t="shared" si="23"/>
        <v>0.14705882352941177</v>
      </c>
      <c r="V14" s="414">
        <f t="shared" si="24"/>
        <v>60</v>
      </c>
      <c r="W14" s="415">
        <f t="shared" si="25"/>
        <v>0.12244897959183673</v>
      </c>
      <c r="X14" s="416">
        <f t="shared" si="26"/>
        <v>30</v>
      </c>
      <c r="Y14" s="179">
        <f t="shared" si="27"/>
        <v>0.15789473684210525</v>
      </c>
      <c r="Z14" s="29"/>
      <c r="AA14" s="202">
        <v>82.5</v>
      </c>
      <c r="AB14" s="203">
        <v>2</v>
      </c>
      <c r="AF14" s="341" t="str">
        <f t="shared" ref="AF14:AF19" si="28">A2</f>
        <v>TNX</v>
      </c>
      <c r="AG14" s="342">
        <f t="shared" ref="AG14:AG19" si="29">C12</f>
        <v>4.12</v>
      </c>
      <c r="AH14" s="57">
        <f t="shared" ref="AH14:AH19" si="30">100-ABS(($K12-AG14)/($K12))*100</f>
        <v>98.271604938271594</v>
      </c>
      <c r="AJ14" s="53" t="str">
        <f t="shared" ref="AJ14:AJ19" si="31">AF14</f>
        <v>TNX</v>
      </c>
      <c r="AK14" s="342">
        <f t="shared" ref="AK14:AK19" si="32">E12</f>
        <v>4.13</v>
      </c>
      <c r="AL14" s="57">
        <f t="shared" ref="AL14:AL19" si="33">100-ABS(($K12-AK14)/($K12))*100</f>
        <v>98.024691358024683</v>
      </c>
      <c r="AN14" s="9"/>
      <c r="AO14" s="9"/>
      <c r="AP14" s="187">
        <v>0</v>
      </c>
      <c r="AQ14" s="204">
        <f>AQ15/AT15</f>
        <v>2.4065733482642773</v>
      </c>
      <c r="AR14" s="204">
        <f>AR15/AT15</f>
        <v>2.4793617021276591</v>
      </c>
      <c r="AS14" s="204">
        <f>AS15/AT15</f>
        <v>2.0381522956326985</v>
      </c>
      <c r="AT14" s="187">
        <v>5</v>
      </c>
      <c r="AU14" s="205">
        <v>1</v>
      </c>
      <c r="AV14" s="190" t="s">
        <v>58</v>
      </c>
      <c r="AW14" s="191" t="s">
        <v>59</v>
      </c>
      <c r="AX14" s="206">
        <f>AU13/AP4</f>
        <v>1.8412018078828592E-2</v>
      </c>
      <c r="BA14" s="9"/>
    </row>
    <row r="15" spans="1:56" ht="14.4" x14ac:dyDescent="0.3">
      <c r="A15" s="82" t="s">
        <v>15</v>
      </c>
      <c r="B15" s="471">
        <v>17.79</v>
      </c>
      <c r="C15" s="93">
        <v>18.12</v>
      </c>
      <c r="D15" s="168" t="str">
        <f t="shared" si="12"/>
        <v>RD</v>
      </c>
      <c r="E15" s="93">
        <v>18.37</v>
      </c>
      <c r="F15" s="168">
        <f t="shared" si="13"/>
        <v>85520</v>
      </c>
      <c r="G15" s="93">
        <v>18.02</v>
      </c>
      <c r="H15" s="168" t="str">
        <f t="shared" si="14"/>
        <v>MICH</v>
      </c>
      <c r="I15" s="423">
        <f>(B5*U22)+(C5*U23)+(D5*U24)+(E5*U25)+(F5*U26)+(G5*U27)+(H5*U28)+(I5*U29)</f>
        <v>17.728840963443801</v>
      </c>
      <c r="J15" s="424">
        <v>17.589707118619099</v>
      </c>
      <c r="K15" s="472">
        <v>20.6</v>
      </c>
      <c r="M15" s="420" t="str">
        <f t="shared" si="15"/>
        <v>Qwen</v>
      </c>
      <c r="N15" s="411">
        <f t="shared" si="16"/>
        <v>60</v>
      </c>
      <c r="O15" s="412">
        <f t="shared" si="17"/>
        <v>0.13043478260869565</v>
      </c>
      <c r="P15" s="413">
        <f t="shared" si="18"/>
        <v>50</v>
      </c>
      <c r="Q15" s="414">
        <f t="shared" si="19"/>
        <v>0.12820512820512819</v>
      </c>
      <c r="R15" s="414">
        <f t="shared" si="20"/>
        <v>65</v>
      </c>
      <c r="S15" s="414">
        <f t="shared" si="21"/>
        <v>0.1326530612244898</v>
      </c>
      <c r="T15" s="414">
        <f t="shared" si="22"/>
        <v>5</v>
      </c>
      <c r="U15" s="414">
        <f t="shared" si="23"/>
        <v>0.14705882352941177</v>
      </c>
      <c r="V15" s="414">
        <f t="shared" si="24"/>
        <v>60</v>
      </c>
      <c r="W15" s="415">
        <f t="shared" si="25"/>
        <v>0.12244897959183673</v>
      </c>
      <c r="X15" s="416">
        <f t="shared" si="26"/>
        <v>20</v>
      </c>
      <c r="Y15" s="179">
        <f t="shared" si="27"/>
        <v>0.10526315789473684</v>
      </c>
      <c r="Z15" s="29"/>
      <c r="AA15" s="202">
        <v>85</v>
      </c>
      <c r="AB15" s="203">
        <v>5</v>
      </c>
      <c r="AF15" s="343" t="str">
        <f t="shared" si="28"/>
        <v>DJI</v>
      </c>
      <c r="AG15" s="344">
        <f t="shared" si="29"/>
        <v>50650</v>
      </c>
      <c r="AH15" s="78">
        <f t="shared" si="30"/>
        <v>95.569012800373102</v>
      </c>
      <c r="AJ15" s="60" t="str">
        <f t="shared" si="31"/>
        <v>DJI</v>
      </c>
      <c r="AK15" s="344">
        <f t="shared" si="32"/>
        <v>50715</v>
      </c>
      <c r="AL15" s="78">
        <f t="shared" si="33"/>
        <v>95.434994751647025</v>
      </c>
      <c r="AN15" s="9"/>
      <c r="AO15" s="9"/>
      <c r="AP15" s="212">
        <v>0</v>
      </c>
      <c r="AQ15" s="213">
        <f>AQ4</f>
        <v>2149.0699999999997</v>
      </c>
      <c r="AR15" s="213">
        <f>AR4</f>
        <v>2214.0699999999997</v>
      </c>
      <c r="AS15" s="213">
        <f>AS4</f>
        <v>1820.0699999999997</v>
      </c>
      <c r="AT15" s="213">
        <f>AU14*AU13</f>
        <v>893</v>
      </c>
      <c r="AV15" s="214"/>
      <c r="AW15" s="13"/>
      <c r="AX15" s="13"/>
      <c r="BA15" s="9"/>
    </row>
    <row r="16" spans="1:56" ht="14.4" x14ac:dyDescent="0.3">
      <c r="A16" s="99" t="s">
        <v>16</v>
      </c>
      <c r="B16" s="473">
        <v>611.47</v>
      </c>
      <c r="C16" s="100">
        <v>608.5</v>
      </c>
      <c r="D16" s="208" t="str">
        <f t="shared" si="12"/>
        <v>RD</v>
      </c>
      <c r="E16" s="100">
        <v>606.4</v>
      </c>
      <c r="F16" s="168">
        <f t="shared" si="13"/>
        <v>85520</v>
      </c>
      <c r="G16" s="100">
        <v>613.20000000000005</v>
      </c>
      <c r="H16" s="208" t="str">
        <f t="shared" si="14"/>
        <v>MICH</v>
      </c>
      <c r="I16" s="425">
        <f>(B6*W22)+(C6*W23)+(D6*W24)+(E6*W25)+(F6*W26)+(G6*W27)+(H6*W28)+(I6*W29)</f>
        <v>613.72796874999995</v>
      </c>
      <c r="J16" s="426">
        <v>612.98981052387398</v>
      </c>
      <c r="K16" s="474">
        <v>601.69000000000005</v>
      </c>
      <c r="M16" s="420" t="str">
        <f t="shared" si="15"/>
        <v>GLM-4.7</v>
      </c>
      <c r="N16" s="411">
        <f t="shared" si="16"/>
        <v>60</v>
      </c>
      <c r="O16" s="412">
        <f t="shared" si="17"/>
        <v>0.13043478260869565</v>
      </c>
      <c r="P16" s="413">
        <f t="shared" si="18"/>
        <v>50</v>
      </c>
      <c r="Q16" s="414">
        <f t="shared" si="19"/>
        <v>0.12820512820512819</v>
      </c>
      <c r="R16" s="414">
        <f t="shared" si="20"/>
        <v>60</v>
      </c>
      <c r="S16" s="414">
        <f t="shared" si="21"/>
        <v>0.12244897959183673</v>
      </c>
      <c r="T16" s="414">
        <f t="shared" si="22"/>
        <v>2</v>
      </c>
      <c r="U16" s="414">
        <f t="shared" si="23"/>
        <v>5.8823529411764705E-2</v>
      </c>
      <c r="V16" s="414">
        <f t="shared" si="24"/>
        <v>60</v>
      </c>
      <c r="W16" s="415">
        <f t="shared" si="25"/>
        <v>0.12244897959183673</v>
      </c>
      <c r="X16" s="416">
        <f t="shared" si="26"/>
        <v>20</v>
      </c>
      <c r="Y16" s="179">
        <f t="shared" si="27"/>
        <v>0.10526315789473684</v>
      </c>
      <c r="Z16" s="29"/>
      <c r="AA16" s="202">
        <v>87.5</v>
      </c>
      <c r="AB16" s="203">
        <v>10</v>
      </c>
      <c r="AF16" s="345" t="str">
        <f t="shared" si="28"/>
        <v>SPX</v>
      </c>
      <c r="AG16" s="346">
        <f t="shared" si="29"/>
        <v>6930</v>
      </c>
      <c r="AH16" s="89">
        <f t="shared" si="30"/>
        <v>98.62759611361902</v>
      </c>
      <c r="AJ16" s="82" t="str">
        <f t="shared" si="31"/>
        <v>SPX</v>
      </c>
      <c r="AK16" s="346">
        <f t="shared" si="32"/>
        <v>6939</v>
      </c>
      <c r="AL16" s="89">
        <f t="shared" si="33"/>
        <v>98.495943641039304</v>
      </c>
      <c r="AN16" s="9"/>
      <c r="AO16" s="6"/>
      <c r="AP16" s="120"/>
      <c r="AQ16" s="120"/>
      <c r="AR16" s="120"/>
      <c r="AS16" s="120"/>
      <c r="AT16" s="120"/>
      <c r="AU16" s="120"/>
      <c r="AV16" s="190"/>
      <c r="AW16" s="221"/>
      <c r="AX16" s="222"/>
      <c r="BA16" s="9"/>
      <c r="BD16" s="8"/>
    </row>
    <row r="17" spans="1:55" ht="14.4" x14ac:dyDescent="0.3">
      <c r="A17" s="114" t="s">
        <v>17</v>
      </c>
      <c r="B17" s="475">
        <v>273.68</v>
      </c>
      <c r="C17" s="216">
        <v>274.7</v>
      </c>
      <c r="D17" s="217" t="str">
        <f t="shared" si="12"/>
        <v>RD</v>
      </c>
      <c r="E17" s="216">
        <v>274.3</v>
      </c>
      <c r="F17" s="217">
        <f t="shared" si="13"/>
        <v>85520</v>
      </c>
      <c r="G17" s="216">
        <v>274.39999999999998</v>
      </c>
      <c r="H17" s="217" t="str">
        <f t="shared" si="14"/>
        <v>MICH</v>
      </c>
      <c r="I17" s="428">
        <f>(B7*Y22)+(C7*Y23)+(D7*Y24)+(E7*Y25)+(F7*Y26)+(G7*Y27)+(H7*Y28)+(I7*Y29)</f>
        <v>275.07363636363635</v>
      </c>
      <c r="J17" s="429">
        <v>274.53223102625299</v>
      </c>
      <c r="K17" s="476">
        <v>255.78</v>
      </c>
      <c r="M17" s="420" t="str">
        <f t="shared" si="15"/>
        <v>Kimi 2.5</v>
      </c>
      <c r="N17" s="411">
        <f t="shared" si="16"/>
        <v>50</v>
      </c>
      <c r="O17" s="412">
        <f t="shared" si="17"/>
        <v>0.10869565217391304</v>
      </c>
      <c r="P17" s="413">
        <f t="shared" si="18"/>
        <v>40</v>
      </c>
      <c r="Q17" s="414">
        <f t="shared" si="19"/>
        <v>0.10256410256410256</v>
      </c>
      <c r="R17" s="414">
        <f t="shared" si="20"/>
        <v>60</v>
      </c>
      <c r="S17" s="414">
        <f t="shared" si="21"/>
        <v>0.12244897959183673</v>
      </c>
      <c r="T17" s="414">
        <f t="shared" si="22"/>
        <v>5</v>
      </c>
      <c r="U17" s="414">
        <f t="shared" si="23"/>
        <v>0.14705882352941177</v>
      </c>
      <c r="V17" s="414">
        <f t="shared" si="24"/>
        <v>60</v>
      </c>
      <c r="W17" s="415">
        <f t="shared" si="25"/>
        <v>0.12244897959183673</v>
      </c>
      <c r="X17" s="416">
        <f t="shared" si="26"/>
        <v>20</v>
      </c>
      <c r="Y17" s="179">
        <f t="shared" si="27"/>
        <v>0.10526315789473684</v>
      </c>
      <c r="Z17" s="29"/>
      <c r="AA17" s="202">
        <v>90</v>
      </c>
      <c r="AB17" s="203">
        <v>20</v>
      </c>
      <c r="AF17" s="345" t="str">
        <f t="shared" si="28"/>
        <v>VIX</v>
      </c>
      <c r="AG17" s="347">
        <f t="shared" si="29"/>
        <v>18.12</v>
      </c>
      <c r="AH17" s="89">
        <f t="shared" si="30"/>
        <v>87.961165048543691</v>
      </c>
      <c r="AJ17" s="82" t="str">
        <f t="shared" si="31"/>
        <v>VIX</v>
      </c>
      <c r="AK17" s="347">
        <f t="shared" si="32"/>
        <v>18.37</v>
      </c>
      <c r="AL17" s="89">
        <f t="shared" si="33"/>
        <v>89.174757281553397</v>
      </c>
      <c r="AN17" s="9"/>
      <c r="AO17" s="186" t="s">
        <v>14</v>
      </c>
      <c r="AP17" s="187" t="str">
        <f>AP13</f>
        <v xml:space="preserve">+3-day </v>
      </c>
      <c r="AQ17" s="187" t="str">
        <f>AQ13</f>
        <v>User1</v>
      </c>
      <c r="AR17" s="187" t="str">
        <f>AR13</f>
        <v>User2</v>
      </c>
      <c r="AS17" s="187" t="str">
        <f>AS13</f>
        <v>User3</v>
      </c>
      <c r="AT17" s="188" t="s">
        <v>38</v>
      </c>
      <c r="AU17" s="227">
        <v>225.6</v>
      </c>
      <c r="AV17" s="190" t="str">
        <f>AV13</f>
        <v>TEST</v>
      </c>
      <c r="AW17" s="191" t="str">
        <f>AW13</f>
        <v>BEST =</v>
      </c>
      <c r="AX17" s="192">
        <v>225.6</v>
      </c>
      <c r="BA17" s="9"/>
    </row>
    <row r="18" spans="1:55" ht="14.4" x14ac:dyDescent="0.3">
      <c r="M18" s="420" t="str">
        <f t="shared" si="15"/>
        <v>Minimax 2.1</v>
      </c>
      <c r="N18" s="411">
        <f t="shared" si="16"/>
        <v>50</v>
      </c>
      <c r="O18" s="412">
        <f t="shared" si="17"/>
        <v>0.10869565217391304</v>
      </c>
      <c r="P18" s="413">
        <f t="shared" si="18"/>
        <v>50</v>
      </c>
      <c r="Q18" s="414">
        <f t="shared" si="19"/>
        <v>0.12820512820512819</v>
      </c>
      <c r="R18" s="414">
        <f t="shared" si="20"/>
        <v>60</v>
      </c>
      <c r="S18" s="414">
        <f t="shared" si="21"/>
        <v>0.12244897959183673</v>
      </c>
      <c r="T18" s="414">
        <f t="shared" si="22"/>
        <v>5</v>
      </c>
      <c r="U18" s="414">
        <f t="shared" si="23"/>
        <v>0.14705882352941177</v>
      </c>
      <c r="V18" s="414">
        <f t="shared" si="24"/>
        <v>60</v>
      </c>
      <c r="W18" s="415">
        <f t="shared" si="25"/>
        <v>0.12244897959183673</v>
      </c>
      <c r="X18" s="416">
        <f t="shared" si="26"/>
        <v>30</v>
      </c>
      <c r="Y18" s="179">
        <f t="shared" si="27"/>
        <v>0.15789473684210525</v>
      </c>
      <c r="Z18" s="29"/>
      <c r="AA18" s="202">
        <v>92.5</v>
      </c>
      <c r="AB18" s="203">
        <v>30</v>
      </c>
      <c r="AF18" s="348" t="str">
        <f t="shared" si="28"/>
        <v>QQQ</v>
      </c>
      <c r="AG18" s="349">
        <f t="shared" si="29"/>
        <v>608.5</v>
      </c>
      <c r="AH18" s="107">
        <f t="shared" si="30"/>
        <v>98.868187937309926</v>
      </c>
      <c r="AJ18" s="99" t="str">
        <f t="shared" si="31"/>
        <v>QQQ</v>
      </c>
      <c r="AK18" s="349">
        <f t="shared" si="32"/>
        <v>606.4</v>
      </c>
      <c r="AL18" s="107">
        <f t="shared" si="33"/>
        <v>99.217204872941224</v>
      </c>
      <c r="AN18" s="9"/>
      <c r="AO18" s="9"/>
      <c r="AP18" s="187">
        <v>0</v>
      </c>
      <c r="AQ18" s="204">
        <f>AQ19/AT19</f>
        <v>0.41586879432623985</v>
      </c>
      <c r="AR18" s="204">
        <f>AR19/AT19</f>
        <v>0.45576241134751644</v>
      </c>
      <c r="AS18" s="204">
        <f>AS19/AT19</f>
        <v>0.53554964539006966</v>
      </c>
      <c r="AT18" s="187">
        <v>5</v>
      </c>
      <c r="AU18" s="229">
        <f>AU14</f>
        <v>1</v>
      </c>
      <c r="AV18" s="190" t="str">
        <f>AV14</f>
        <v>Scale</v>
      </c>
      <c r="AW18" s="191" t="str">
        <f>AW14</f>
        <v>RANGE  =</v>
      </c>
      <c r="AX18" s="206">
        <f>AU17/AP5</f>
        <v>3.3000886459982032E-2</v>
      </c>
      <c r="BA18" s="9"/>
    </row>
    <row r="19" spans="1:55" ht="14.4" x14ac:dyDescent="0.3">
      <c r="M19" s="431" t="str">
        <f t="shared" si="15"/>
        <v>LeChat</v>
      </c>
      <c r="N19" s="432">
        <f t="shared" si="16"/>
        <v>60</v>
      </c>
      <c r="O19" s="433">
        <f t="shared" si="17"/>
        <v>0.13043478260869565</v>
      </c>
      <c r="P19" s="434">
        <f t="shared" si="18"/>
        <v>50</v>
      </c>
      <c r="Q19" s="435">
        <f t="shared" si="19"/>
        <v>0.12820512820512819</v>
      </c>
      <c r="R19" s="435">
        <f t="shared" si="20"/>
        <v>65</v>
      </c>
      <c r="S19" s="435">
        <f t="shared" si="21"/>
        <v>0.1326530612244898</v>
      </c>
      <c r="T19" s="435">
        <f t="shared" si="22"/>
        <v>5</v>
      </c>
      <c r="U19" s="435">
        <f t="shared" si="23"/>
        <v>0.14705882352941177</v>
      </c>
      <c r="V19" s="435">
        <f t="shared" si="24"/>
        <v>65</v>
      </c>
      <c r="W19" s="436">
        <f t="shared" si="25"/>
        <v>0.1326530612244898</v>
      </c>
      <c r="X19" s="437">
        <f t="shared" si="26"/>
        <v>30</v>
      </c>
      <c r="Y19" s="235">
        <f t="shared" si="27"/>
        <v>0.15789473684210525</v>
      </c>
      <c r="Z19" s="29"/>
      <c r="AA19" s="202">
        <v>95</v>
      </c>
      <c r="AB19" s="203">
        <v>40</v>
      </c>
      <c r="AF19" s="350" t="str">
        <f t="shared" si="28"/>
        <v>AAPL</v>
      </c>
      <c r="AG19" s="351">
        <f t="shared" si="29"/>
        <v>274.7</v>
      </c>
      <c r="AH19" s="118">
        <f t="shared" si="30"/>
        <v>92.60301821878177</v>
      </c>
      <c r="AJ19" s="114" t="str">
        <f t="shared" si="31"/>
        <v>AAPL</v>
      </c>
      <c r="AK19" s="351">
        <f t="shared" si="32"/>
        <v>274.3</v>
      </c>
      <c r="AL19" s="118">
        <f t="shared" si="33"/>
        <v>92.75940261161935</v>
      </c>
      <c r="AN19" s="9"/>
      <c r="AO19" s="9"/>
      <c r="AP19" s="212">
        <v>0</v>
      </c>
      <c r="AQ19" s="213">
        <f>AQ5</f>
        <v>93.819999999999709</v>
      </c>
      <c r="AR19" s="213">
        <f>AR5</f>
        <v>102.81999999999971</v>
      </c>
      <c r="AS19" s="213">
        <f>AS5</f>
        <v>120.81999999999971</v>
      </c>
      <c r="AT19" s="213">
        <f>AU18*AU17</f>
        <v>225.6</v>
      </c>
      <c r="AV19" s="214"/>
      <c r="AW19" s="13"/>
      <c r="AX19" s="13"/>
      <c r="BA19" s="9"/>
    </row>
    <row r="20" spans="1:55" ht="14.4" x14ac:dyDescent="0.3">
      <c r="A20" s="2" t="s">
        <v>0</v>
      </c>
      <c r="B20" s="230" t="str">
        <f t="shared" ref="B20:B26" si="34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35">G11</f>
        <v>MICH</v>
      </c>
      <c r="H20" s="1312"/>
      <c r="I20" s="1313" t="s">
        <v>50</v>
      </c>
      <c r="J20" s="1313"/>
      <c r="AA20" s="202">
        <v>96</v>
      </c>
      <c r="AB20" s="203">
        <v>50</v>
      </c>
      <c r="AH20" s="9"/>
      <c r="AN20" s="9"/>
      <c r="AO20" s="9"/>
      <c r="AP20" s="120"/>
      <c r="AQ20" s="120"/>
      <c r="AR20" s="120"/>
      <c r="AS20" s="120"/>
      <c r="AT20" s="120"/>
      <c r="AU20" s="120"/>
      <c r="AV20" s="190"/>
      <c r="AW20" s="221"/>
      <c r="AX20" s="222"/>
      <c r="BA20" s="9"/>
    </row>
    <row r="21" spans="1:55" ht="14.4" x14ac:dyDescent="0.3">
      <c r="A21" s="35" t="s">
        <v>12</v>
      </c>
      <c r="B21" s="231">
        <f t="shared" si="34"/>
        <v>4.1470000000000002</v>
      </c>
      <c r="C21" s="232">
        <f t="shared" ref="C21:C26" si="36">C12</f>
        <v>4.12</v>
      </c>
      <c r="D21" s="146" t="str">
        <f t="shared" ref="D21:D26" si="37">CONCATENATE(TEXT(AI28,"0.00%"),"  ",AJ28)</f>
        <v>-0.65%  ↓</v>
      </c>
      <c r="E21" s="232">
        <f t="shared" ref="E21:E26" si="38">E12</f>
        <v>4.13</v>
      </c>
      <c r="F21" s="146" t="str">
        <f t="shared" ref="F21:F26" si="39">CONCATENATE(TEXT(AK28,"0.00%"),"  ",AL28)</f>
        <v>-0.41%  ↓</v>
      </c>
      <c r="G21" s="232">
        <f t="shared" si="35"/>
        <v>4.1500000000000004</v>
      </c>
      <c r="H21" s="146" t="str">
        <f t="shared" ref="H21:H26" si="40">CONCATENATE(TEXT(AM28,"0.00%"),"  ",AN28)</f>
        <v>0.07%  ↑</v>
      </c>
      <c r="I21" s="438">
        <f t="shared" ref="I21:I26" si="41">K12</f>
        <v>4.05</v>
      </c>
      <c r="J21" s="439" t="str">
        <f t="shared" ref="J21:J26" si="42">CONCATENATE(TEXT(AG28,"0.00%"),"  ",AH28)</f>
        <v>-2.34%  ↓</v>
      </c>
      <c r="M21" s="19" t="s">
        <v>60</v>
      </c>
      <c r="N21" s="253" t="s">
        <v>12</v>
      </c>
      <c r="O21" s="254">
        <f>SUM(N22:N29)</f>
        <v>596.25</v>
      </c>
      <c r="P21" s="255" t="s">
        <v>13</v>
      </c>
      <c r="Q21" s="256">
        <f>SUM(P22:P29)</f>
        <v>638.75</v>
      </c>
      <c r="R21" s="257" t="s">
        <v>14</v>
      </c>
      <c r="S21" s="256">
        <f>SUM(R22:R29)</f>
        <v>657.5</v>
      </c>
      <c r="T21" s="257" t="s">
        <v>15</v>
      </c>
      <c r="U21" s="256">
        <f>SUM(T22:T29)</f>
        <v>292.7</v>
      </c>
      <c r="V21" s="257" t="s">
        <v>16</v>
      </c>
      <c r="W21" s="258">
        <f>SUM(V22:V29)</f>
        <v>560</v>
      </c>
      <c r="X21" s="259" t="s">
        <v>17</v>
      </c>
      <c r="Y21" s="28">
        <f>SUM(X22:X29)</f>
        <v>536.25</v>
      </c>
      <c r="Z21" s="29"/>
      <c r="AA21" s="202">
        <v>97</v>
      </c>
      <c r="AB21" s="203">
        <v>60</v>
      </c>
      <c r="AF21" s="1310" t="s">
        <v>44</v>
      </c>
      <c r="AG21" s="1310"/>
      <c r="AH21" s="126">
        <f>AVERAGE(AH15:AH18)</f>
        <v>95.256490474961439</v>
      </c>
      <c r="AJ21" s="1310" t="s">
        <v>44</v>
      </c>
      <c r="AK21" s="1310"/>
      <c r="AL21" s="126">
        <f>AVERAGE(AL15:AL18)</f>
        <v>95.580725136795238</v>
      </c>
      <c r="AN21" s="9"/>
      <c r="AO21" s="186" t="s">
        <v>15</v>
      </c>
      <c r="AP21" s="187" t="str">
        <f>AP17</f>
        <v xml:space="preserve">+3-day </v>
      </c>
      <c r="AQ21" s="187" t="str">
        <f>AQ17</f>
        <v>User1</v>
      </c>
      <c r="AR21" s="187" t="str">
        <f>AR17</f>
        <v>User2</v>
      </c>
      <c r="AS21" s="187" t="str">
        <f>AS17</f>
        <v>User3</v>
      </c>
      <c r="AT21" s="188" t="s">
        <v>40</v>
      </c>
      <c r="AU21" s="247">
        <v>3.3</v>
      </c>
      <c r="AV21" s="190" t="str">
        <f>AV17</f>
        <v>TEST</v>
      </c>
      <c r="AW21" s="191" t="str">
        <f>AW17</f>
        <v>BEST =</v>
      </c>
      <c r="AX21" s="192">
        <v>3.3</v>
      </c>
      <c r="BA21" s="9"/>
    </row>
    <row r="22" spans="1:55" ht="14.4" x14ac:dyDescent="0.3">
      <c r="A22" s="60" t="s">
        <v>13</v>
      </c>
      <c r="B22" s="477">
        <f t="shared" si="34"/>
        <v>50188.14</v>
      </c>
      <c r="C22" s="237">
        <f t="shared" si="36"/>
        <v>50650</v>
      </c>
      <c r="D22" s="152" t="str">
        <f t="shared" si="37"/>
        <v>0.92%  ↑</v>
      </c>
      <c r="E22" s="237">
        <f t="shared" si="38"/>
        <v>50715</v>
      </c>
      <c r="F22" s="152" t="str">
        <f t="shared" si="39"/>
        <v>1.05%  ↑</v>
      </c>
      <c r="G22" s="237">
        <f t="shared" si="35"/>
        <v>50321</v>
      </c>
      <c r="H22" s="152" t="str">
        <f t="shared" si="40"/>
        <v>0.26%  ↑</v>
      </c>
      <c r="I22" s="440">
        <f t="shared" si="41"/>
        <v>48500.93</v>
      </c>
      <c r="J22" s="441" t="str">
        <f t="shared" si="42"/>
        <v>-3.36%  ↓</v>
      </c>
      <c r="M22" s="410" t="str">
        <f t="shared" ref="M22:M29" si="43">M12</f>
        <v>O 5.2</v>
      </c>
      <c r="N22" s="442">
        <v>77.5</v>
      </c>
      <c r="O22" s="443">
        <f t="shared" ref="O22:O29" si="44">N22/$O$21</f>
        <v>0.12997903563941299</v>
      </c>
      <c r="P22" s="444">
        <v>82.5</v>
      </c>
      <c r="Q22" s="445">
        <f t="shared" ref="Q22:Q29" si="45">P22/$Q$21</f>
        <v>0.12915851272015655</v>
      </c>
      <c r="R22" s="445">
        <v>83.75</v>
      </c>
      <c r="S22" s="445">
        <f t="shared" ref="S22:S29" si="46">R22/$S$21</f>
        <v>0.12737642585551331</v>
      </c>
      <c r="T22" s="445">
        <v>37.524999999999999</v>
      </c>
      <c r="U22" s="445">
        <f t="shared" ref="U22:U29" si="47">T22/$U$21</f>
        <v>0.12820293816194056</v>
      </c>
      <c r="V22" s="445">
        <v>70</v>
      </c>
      <c r="W22" s="446">
        <f t="shared" ref="W22:W29" si="48">V22/$W$21</f>
        <v>0.125</v>
      </c>
      <c r="X22" s="447">
        <v>66.25</v>
      </c>
      <c r="Y22" s="48">
        <f t="shared" ref="Y22:Y29" si="49">X22/$Y$21</f>
        <v>0.12354312354312354</v>
      </c>
      <c r="Z22" s="29"/>
      <c r="AA22" s="202">
        <v>98</v>
      </c>
      <c r="AB22" s="203">
        <v>65</v>
      </c>
      <c r="AF22" s="1311" t="s">
        <v>51</v>
      </c>
      <c r="AG22" s="1311"/>
      <c r="AH22" s="142">
        <f>AVERAGE(AH14:AH19)</f>
        <v>95.316764176149846</v>
      </c>
      <c r="AJ22" s="1311" t="s">
        <v>51</v>
      </c>
      <c r="AK22" s="1311"/>
      <c r="AL22" s="142">
        <f>AVERAGE(AL14:AL19)</f>
        <v>95.517832419470835</v>
      </c>
      <c r="AN22" s="9"/>
      <c r="AO22" s="9"/>
      <c r="AP22" s="187">
        <v>0</v>
      </c>
      <c r="AQ22" s="204">
        <f>AQ23/AT23</f>
        <v>0.75151515151515169</v>
      </c>
      <c r="AR22" s="204">
        <f>AR23/AT23</f>
        <v>0.67575757575757589</v>
      </c>
      <c r="AS22" s="204">
        <f>AS23/AT23</f>
        <v>0.78181818181818241</v>
      </c>
      <c r="AT22" s="187">
        <v>5</v>
      </c>
      <c r="AU22" s="229">
        <f>AU18</f>
        <v>1</v>
      </c>
      <c r="AV22" s="190" t="str">
        <f>AV18</f>
        <v>Scale</v>
      </c>
      <c r="AW22" s="191" t="str">
        <f>AW18</f>
        <v>RANGE  =</v>
      </c>
      <c r="AX22" s="206">
        <f>AU21/AP6</f>
        <v>0.16019417475728154</v>
      </c>
      <c r="BA22" s="120"/>
      <c r="BB22" s="251"/>
      <c r="BC22" s="251"/>
    </row>
    <row r="23" spans="1:55" ht="14.4" x14ac:dyDescent="0.3">
      <c r="A23" s="82" t="s">
        <v>14</v>
      </c>
      <c r="B23" s="478">
        <f t="shared" si="34"/>
        <v>6941.81</v>
      </c>
      <c r="C23" s="249">
        <f t="shared" si="36"/>
        <v>6930</v>
      </c>
      <c r="D23" s="168" t="str">
        <f t="shared" si="37"/>
        <v>-0.17%  ↓</v>
      </c>
      <c r="E23" s="249">
        <f t="shared" si="38"/>
        <v>6939</v>
      </c>
      <c r="F23" s="168" t="str">
        <f t="shared" si="39"/>
        <v>-0.04%  ↓</v>
      </c>
      <c r="G23" s="249">
        <f t="shared" si="35"/>
        <v>6957</v>
      </c>
      <c r="H23" s="168" t="str">
        <f t="shared" si="40"/>
        <v>0.22%  ↑</v>
      </c>
      <c r="I23" s="448">
        <f t="shared" si="41"/>
        <v>6836.18</v>
      </c>
      <c r="J23" s="441" t="str">
        <f t="shared" si="42"/>
        <v>-1.52%  ↓</v>
      </c>
      <c r="M23" s="420" t="str">
        <f t="shared" si="43"/>
        <v>Grok 4.1</v>
      </c>
      <c r="N23" s="442">
        <v>72.5</v>
      </c>
      <c r="O23" s="443">
        <f t="shared" si="44"/>
        <v>0.12159329140461216</v>
      </c>
      <c r="P23" s="444">
        <v>78.75</v>
      </c>
      <c r="Q23" s="445">
        <f t="shared" si="45"/>
        <v>0.12328767123287671</v>
      </c>
      <c r="R23" s="445">
        <v>83.75</v>
      </c>
      <c r="S23" s="445">
        <f t="shared" si="46"/>
        <v>0.12737642585551331</v>
      </c>
      <c r="T23" s="445">
        <v>32.524999999999999</v>
      </c>
      <c r="U23" s="445">
        <f t="shared" si="47"/>
        <v>0.1111206012982576</v>
      </c>
      <c r="V23" s="445">
        <v>70</v>
      </c>
      <c r="W23" s="446">
        <f t="shared" si="48"/>
        <v>0.125</v>
      </c>
      <c r="X23" s="447">
        <v>58.75</v>
      </c>
      <c r="Y23" s="48">
        <f t="shared" si="49"/>
        <v>0.10955710955710955</v>
      </c>
      <c r="Z23" s="29"/>
      <c r="AA23" s="202">
        <v>98.5</v>
      </c>
      <c r="AB23" s="203">
        <v>70</v>
      </c>
      <c r="AI23" s="449"/>
      <c r="AN23" s="9"/>
      <c r="AO23" s="6"/>
      <c r="AP23" s="212">
        <v>0</v>
      </c>
      <c r="AQ23" s="213">
        <f>AQ6</f>
        <v>2.4800000000000004</v>
      </c>
      <c r="AR23" s="213">
        <f>AR6</f>
        <v>2.2300000000000004</v>
      </c>
      <c r="AS23" s="213">
        <f>AS6</f>
        <v>2.5800000000000018</v>
      </c>
      <c r="AT23" s="213">
        <f>AU22*AU21</f>
        <v>3.3</v>
      </c>
      <c r="AV23" s="214"/>
      <c r="AW23" s="13"/>
      <c r="AX23" s="13"/>
      <c r="BA23" s="9"/>
    </row>
    <row r="24" spans="1:55" ht="14.4" x14ac:dyDescent="0.3">
      <c r="A24" s="82" t="s">
        <v>15</v>
      </c>
      <c r="B24" s="478">
        <f t="shared" si="34"/>
        <v>17.79</v>
      </c>
      <c r="C24" s="252">
        <f t="shared" si="36"/>
        <v>18.12</v>
      </c>
      <c r="D24" s="168" t="str">
        <f t="shared" si="37"/>
        <v>1.85%  ↑</v>
      </c>
      <c r="E24" s="252">
        <f t="shared" si="38"/>
        <v>18.37</v>
      </c>
      <c r="F24" s="168" t="str">
        <f t="shared" si="39"/>
        <v>3.26%  ↑</v>
      </c>
      <c r="G24" s="252">
        <f t="shared" si="35"/>
        <v>18.02</v>
      </c>
      <c r="H24" s="168" t="str">
        <f t="shared" si="40"/>
        <v>1.29%  ↑</v>
      </c>
      <c r="I24" s="448">
        <f t="shared" si="41"/>
        <v>20.6</v>
      </c>
      <c r="J24" s="441" t="str">
        <f t="shared" si="42"/>
        <v>15.80%  ↑</v>
      </c>
      <c r="M24" s="420" t="str">
        <f t="shared" si="43"/>
        <v>Gemini Pro 3</v>
      </c>
      <c r="N24" s="442">
        <v>76.25</v>
      </c>
      <c r="O24" s="443">
        <f t="shared" si="44"/>
        <v>0.1278825995807128</v>
      </c>
      <c r="P24" s="444">
        <v>78.75</v>
      </c>
      <c r="Q24" s="445">
        <f t="shared" si="45"/>
        <v>0.12328767123287671</v>
      </c>
      <c r="R24" s="445">
        <v>83.75</v>
      </c>
      <c r="S24" s="445">
        <f t="shared" si="46"/>
        <v>0.12737642585551331</v>
      </c>
      <c r="T24" s="445">
        <v>43.774999999999999</v>
      </c>
      <c r="U24" s="445">
        <f t="shared" si="47"/>
        <v>0.14955585924154424</v>
      </c>
      <c r="V24" s="445">
        <v>68.75</v>
      </c>
      <c r="W24" s="446">
        <f t="shared" si="48"/>
        <v>0.12276785714285714</v>
      </c>
      <c r="X24" s="447">
        <v>56.25</v>
      </c>
      <c r="Y24" s="48">
        <f t="shared" si="49"/>
        <v>0.1048951048951049</v>
      </c>
      <c r="Z24" s="29"/>
      <c r="AA24" s="202">
        <v>99</v>
      </c>
      <c r="AB24" s="203">
        <v>75</v>
      </c>
      <c r="AI24" s="449"/>
      <c r="AM24" s="450"/>
      <c r="AN24" s="9"/>
      <c r="AO24" s="9"/>
      <c r="AP24" s="120"/>
      <c r="AQ24" s="120"/>
      <c r="AR24" s="120"/>
      <c r="AS24" s="120"/>
      <c r="AT24" s="120"/>
      <c r="AU24" s="120"/>
      <c r="AV24" s="190"/>
      <c r="AW24" s="221"/>
      <c r="AX24" s="222"/>
      <c r="BA24" s="9"/>
    </row>
    <row r="25" spans="1:55" ht="14.4" x14ac:dyDescent="0.3">
      <c r="A25" s="99" t="s">
        <v>16</v>
      </c>
      <c r="B25" s="479">
        <f t="shared" si="34"/>
        <v>611.47</v>
      </c>
      <c r="C25" s="261">
        <f t="shared" si="36"/>
        <v>608.5</v>
      </c>
      <c r="D25" s="208" t="str">
        <f t="shared" si="37"/>
        <v>-0.49%  ↓</v>
      </c>
      <c r="E25" s="261">
        <f t="shared" si="38"/>
        <v>606.4</v>
      </c>
      <c r="F25" s="208" t="str">
        <f t="shared" si="39"/>
        <v>-0.83%  ↓</v>
      </c>
      <c r="G25" s="261">
        <f t="shared" si="35"/>
        <v>613.20000000000005</v>
      </c>
      <c r="H25" s="208" t="str">
        <f t="shared" si="40"/>
        <v>0.28%  ↑</v>
      </c>
      <c r="I25" s="451">
        <f t="shared" si="41"/>
        <v>601.69000000000005</v>
      </c>
      <c r="J25" s="441" t="str">
        <f t="shared" si="42"/>
        <v>-1.60%  ↓</v>
      </c>
      <c r="M25" s="420" t="str">
        <f t="shared" si="43"/>
        <v>Qwen</v>
      </c>
      <c r="N25" s="442">
        <v>76.25</v>
      </c>
      <c r="O25" s="443">
        <f t="shared" si="44"/>
        <v>0.1278825995807128</v>
      </c>
      <c r="P25" s="444">
        <v>78.75</v>
      </c>
      <c r="Q25" s="445">
        <f t="shared" si="45"/>
        <v>0.12328767123287671</v>
      </c>
      <c r="R25" s="445">
        <v>80</v>
      </c>
      <c r="S25" s="445">
        <f t="shared" si="46"/>
        <v>0.12167300380228137</v>
      </c>
      <c r="T25" s="445">
        <v>40.024999999999999</v>
      </c>
      <c r="U25" s="445">
        <f t="shared" si="47"/>
        <v>0.13674410659378203</v>
      </c>
      <c r="V25" s="445">
        <v>71.25</v>
      </c>
      <c r="W25" s="446">
        <f t="shared" si="48"/>
        <v>0.12723214285714285</v>
      </c>
      <c r="X25" s="447">
        <v>67.5</v>
      </c>
      <c r="Y25" s="48">
        <f t="shared" si="49"/>
        <v>0.12587412587412589</v>
      </c>
      <c r="Z25" s="29"/>
      <c r="AA25" s="202">
        <v>99.25</v>
      </c>
      <c r="AB25" s="203">
        <v>80</v>
      </c>
      <c r="AI25" s="4"/>
      <c r="AK25" s="4"/>
      <c r="AM25" s="4"/>
      <c r="AN25" s="9"/>
      <c r="AO25" s="186" t="s">
        <v>16</v>
      </c>
      <c r="AP25" s="187" t="str">
        <f>AP21</f>
        <v xml:space="preserve">+3-day </v>
      </c>
      <c r="AQ25" s="187" t="str">
        <f>AQ21</f>
        <v>User1</v>
      </c>
      <c r="AR25" s="187" t="str">
        <f>AR21</f>
        <v>User2</v>
      </c>
      <c r="AS25" s="187" t="str">
        <f>AS21</f>
        <v>User3</v>
      </c>
      <c r="AT25" s="188" t="s">
        <v>43</v>
      </c>
      <c r="AU25" s="247">
        <v>16</v>
      </c>
      <c r="AV25" s="190" t="str">
        <f>AV21</f>
        <v>TEST</v>
      </c>
      <c r="AW25" s="191" t="str">
        <f>AW21</f>
        <v>BEST =</v>
      </c>
      <c r="AX25" s="192">
        <v>16</v>
      </c>
      <c r="BA25" s="9"/>
    </row>
    <row r="26" spans="1:55" ht="14.4" x14ac:dyDescent="0.3">
      <c r="A26" s="109" t="s">
        <v>17</v>
      </c>
      <c r="B26" s="480">
        <f t="shared" si="34"/>
        <v>273.68</v>
      </c>
      <c r="C26" s="274">
        <f t="shared" si="36"/>
        <v>274.7</v>
      </c>
      <c r="D26" s="217" t="str">
        <f t="shared" si="37"/>
        <v>0.37%  ↑</v>
      </c>
      <c r="E26" s="274">
        <f t="shared" si="38"/>
        <v>274.3</v>
      </c>
      <c r="F26" s="217" t="str">
        <f t="shared" si="39"/>
        <v>0.23%  ↑</v>
      </c>
      <c r="G26" s="274">
        <f t="shared" si="35"/>
        <v>274.39999999999998</v>
      </c>
      <c r="H26" s="217" t="str">
        <f t="shared" si="40"/>
        <v>0.26%  ↑</v>
      </c>
      <c r="I26" s="452">
        <f t="shared" si="41"/>
        <v>255.78</v>
      </c>
      <c r="J26" s="453" t="str">
        <f t="shared" si="42"/>
        <v>-6.54%  ↓</v>
      </c>
      <c r="M26" s="420" t="str">
        <f t="shared" si="43"/>
        <v>GLM-4.7</v>
      </c>
      <c r="N26" s="442">
        <v>73.75</v>
      </c>
      <c r="O26" s="443">
        <f t="shared" si="44"/>
        <v>0.12368972746331237</v>
      </c>
      <c r="P26" s="444">
        <v>78.75</v>
      </c>
      <c r="Q26" s="445">
        <f t="shared" si="45"/>
        <v>0.12328767123287671</v>
      </c>
      <c r="R26" s="445">
        <v>82.5</v>
      </c>
      <c r="S26" s="445">
        <f t="shared" si="46"/>
        <v>0.12547528517110265</v>
      </c>
      <c r="T26" s="445">
        <v>32.524999999999999</v>
      </c>
      <c r="U26" s="445">
        <f t="shared" si="47"/>
        <v>0.1111206012982576</v>
      </c>
      <c r="V26" s="445">
        <v>70</v>
      </c>
      <c r="W26" s="446">
        <f t="shared" si="48"/>
        <v>0.125</v>
      </c>
      <c r="X26" s="447">
        <v>70</v>
      </c>
      <c r="Y26" s="48">
        <f t="shared" si="49"/>
        <v>0.13053613053613053</v>
      </c>
      <c r="Z26" s="29"/>
      <c r="AA26" s="202">
        <v>99.5</v>
      </c>
      <c r="AB26" s="203">
        <v>90</v>
      </c>
      <c r="AI26" s="4"/>
      <c r="AK26" s="4"/>
      <c r="AM26" s="4"/>
      <c r="AN26" s="9"/>
      <c r="AO26" s="9"/>
      <c r="AP26" s="187">
        <v>0</v>
      </c>
      <c r="AQ26" s="204">
        <f>AQ27/AT27</f>
        <v>0.42562499999999659</v>
      </c>
      <c r="AR26" s="204">
        <f>AR27/AT27</f>
        <v>0.29437499999999517</v>
      </c>
      <c r="AS26" s="204">
        <f>AS27/AT27</f>
        <v>0.71937499999999943</v>
      </c>
      <c r="AT26" s="187">
        <v>5</v>
      </c>
      <c r="AU26" s="229">
        <f>AU22</f>
        <v>1</v>
      </c>
      <c r="AV26" s="190" t="str">
        <f>AV22</f>
        <v>Scale</v>
      </c>
      <c r="AW26" s="191" t="str">
        <f>AW22</f>
        <v>RANGE  =</v>
      </c>
      <c r="AX26" s="206">
        <f>AU25/AP7</f>
        <v>2.6591766524289913E-2</v>
      </c>
      <c r="BA26" s="9"/>
    </row>
    <row r="27" spans="1:55" ht="14.4" x14ac:dyDescent="0.3">
      <c r="M27" s="420" t="str">
        <f t="shared" si="43"/>
        <v>Kimi 2.5</v>
      </c>
      <c r="N27" s="442">
        <v>75</v>
      </c>
      <c r="O27" s="443">
        <f t="shared" si="44"/>
        <v>0.12578616352201258</v>
      </c>
      <c r="P27" s="444">
        <v>78.75</v>
      </c>
      <c r="Q27" s="445">
        <f t="shared" si="45"/>
        <v>0.12328767123287671</v>
      </c>
      <c r="R27" s="445">
        <v>82.5</v>
      </c>
      <c r="S27" s="445">
        <f t="shared" si="46"/>
        <v>0.12547528517110265</v>
      </c>
      <c r="T27" s="445">
        <v>35.024999999999999</v>
      </c>
      <c r="U27" s="445">
        <f t="shared" si="47"/>
        <v>0.11966176973009908</v>
      </c>
      <c r="V27" s="445">
        <v>70</v>
      </c>
      <c r="W27" s="446">
        <f t="shared" si="48"/>
        <v>0.125</v>
      </c>
      <c r="X27" s="447">
        <v>75</v>
      </c>
      <c r="Y27" s="48">
        <f t="shared" si="49"/>
        <v>0.13986013986013987</v>
      </c>
      <c r="Z27" s="29"/>
      <c r="AA27" s="202">
        <v>99.75</v>
      </c>
      <c r="AB27" s="203">
        <v>95</v>
      </c>
      <c r="AI27" s="4"/>
      <c r="AK27" s="4"/>
      <c r="AM27" s="4"/>
      <c r="AN27" s="9"/>
      <c r="AO27" s="9"/>
      <c r="AP27" s="212">
        <v>0</v>
      </c>
      <c r="AQ27" s="213">
        <f>AQ7</f>
        <v>6.8099999999999454</v>
      </c>
      <c r="AR27" s="213">
        <f>AR7</f>
        <v>4.7099999999999227</v>
      </c>
      <c r="AS27" s="213">
        <f>AS7</f>
        <v>11.509999999999991</v>
      </c>
      <c r="AT27" s="213">
        <f>AU26*AU25</f>
        <v>16</v>
      </c>
      <c r="BA27" s="9"/>
    </row>
    <row r="28" spans="1:55" ht="14.25" customHeight="1" x14ac:dyDescent="0.3">
      <c r="M28" s="420" t="str">
        <f t="shared" si="43"/>
        <v>Minimax 2.1</v>
      </c>
      <c r="N28" s="442">
        <v>72.5</v>
      </c>
      <c r="O28" s="443">
        <f t="shared" si="44"/>
        <v>0.12159329140461216</v>
      </c>
      <c r="P28" s="444">
        <v>80</v>
      </c>
      <c r="Q28" s="445">
        <f t="shared" si="45"/>
        <v>0.12524461839530332</v>
      </c>
      <c r="R28" s="445">
        <v>77.5</v>
      </c>
      <c r="S28" s="445">
        <f t="shared" si="46"/>
        <v>0.11787072243346007</v>
      </c>
      <c r="T28" s="445">
        <v>33.774999999999999</v>
      </c>
      <c r="U28" s="445">
        <f t="shared" si="47"/>
        <v>0.11539118551417835</v>
      </c>
      <c r="V28" s="445">
        <v>65</v>
      </c>
      <c r="W28" s="446">
        <f t="shared" si="48"/>
        <v>0.11607142857142858</v>
      </c>
      <c r="X28" s="447">
        <v>66.25</v>
      </c>
      <c r="Y28" s="48">
        <f t="shared" si="49"/>
        <v>0.12354312354312354</v>
      </c>
      <c r="Z28" s="29"/>
      <c r="AA28" s="299">
        <v>99.99</v>
      </c>
      <c r="AB28" s="300">
        <v>100</v>
      </c>
      <c r="AF28" s="1315" t="str">
        <f>B20</f>
        <v>Close YF</v>
      </c>
      <c r="AG28" s="163">
        <f t="shared" ref="AG28:AG33" si="50">(I21-B21)/B21</f>
        <v>-2.3390402700747628E-2</v>
      </c>
      <c r="AH28" s="164" t="str">
        <f>IF(K12-B21&gt;0,"↑","↓")</f>
        <v>↓</v>
      </c>
      <c r="AI28" s="165">
        <f t="shared" ref="AI28:AI33" si="51">(C21-B21)/B21</f>
        <v>-6.5107306486617156E-3</v>
      </c>
      <c r="AJ28" s="166" t="str">
        <f t="shared" ref="AJ28:AJ33" si="52">IF(C21-B21&gt;0,"↑","↓")</f>
        <v>↓</v>
      </c>
      <c r="AK28" s="163">
        <f t="shared" ref="AK28:AK33" si="53">(E21-B21)/B21</f>
        <v>-4.0993489269352179E-3</v>
      </c>
      <c r="AL28" s="164" t="str">
        <f t="shared" ref="AL28:AL33" si="54">IF(E21-B21&gt;0,"↑","↓")</f>
        <v>↓</v>
      </c>
      <c r="AM28" s="163">
        <f t="shared" ref="AM28:AM33" si="55">(G21-B21)/B21</f>
        <v>7.2341451651799214E-4</v>
      </c>
      <c r="AN28" s="164" t="str">
        <f t="shared" ref="AN28:AN33" si="56">IF(G21-B21&gt;0,"↑","↓")</f>
        <v>↑</v>
      </c>
      <c r="AP28" s="120"/>
      <c r="AQ28" s="120"/>
      <c r="AR28" s="120"/>
      <c r="AS28" s="120"/>
      <c r="AT28" s="120"/>
      <c r="AU28" s="251"/>
      <c r="AV28" s="251"/>
      <c r="AW28" s="295"/>
      <c r="AX28" s="296"/>
      <c r="AY28" s="297"/>
    </row>
    <row r="29" spans="1:55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57">G20</f>
        <v>MICH</v>
      </c>
      <c r="H29" s="1312"/>
      <c r="I29" s="1313" t="s">
        <v>50</v>
      </c>
      <c r="J29" s="1313"/>
      <c r="M29" s="431" t="str">
        <f t="shared" si="43"/>
        <v>LeChat</v>
      </c>
      <c r="N29" s="454">
        <v>72.5</v>
      </c>
      <c r="O29" s="455">
        <f t="shared" si="44"/>
        <v>0.12159329140461216</v>
      </c>
      <c r="P29" s="456">
        <v>82.5</v>
      </c>
      <c r="Q29" s="457">
        <f t="shared" si="45"/>
        <v>0.12915851272015655</v>
      </c>
      <c r="R29" s="457">
        <v>83.75</v>
      </c>
      <c r="S29" s="457">
        <f t="shared" si="46"/>
        <v>0.12737642585551331</v>
      </c>
      <c r="T29" s="457">
        <v>37.524999999999999</v>
      </c>
      <c r="U29" s="457">
        <f t="shared" si="47"/>
        <v>0.12820293816194056</v>
      </c>
      <c r="V29" s="457">
        <v>75</v>
      </c>
      <c r="W29" s="458">
        <f t="shared" si="48"/>
        <v>0.13392857142857142</v>
      </c>
      <c r="X29" s="459">
        <v>76.25</v>
      </c>
      <c r="Y29" s="124">
        <f t="shared" si="49"/>
        <v>0.14219114219114218</v>
      </c>
      <c r="Z29" s="29"/>
      <c r="AF29" s="1315"/>
      <c r="AG29" s="182">
        <f t="shared" si="50"/>
        <v>-3.3617703306000168E-2</v>
      </c>
      <c r="AH29" s="183" t="str">
        <f>IF(I22-B22&gt;0,"↑","↓")</f>
        <v>↓</v>
      </c>
      <c r="AI29" s="184">
        <f t="shared" si="51"/>
        <v>9.2025725599713514E-3</v>
      </c>
      <c r="AJ29" s="185" t="str">
        <f t="shared" si="52"/>
        <v>↑</v>
      </c>
      <c r="AK29" s="182">
        <f t="shared" si="53"/>
        <v>1.0497699257234889E-2</v>
      </c>
      <c r="AL29" s="183" t="str">
        <f t="shared" si="54"/>
        <v>↑</v>
      </c>
      <c r="AM29" s="182">
        <f t="shared" si="55"/>
        <v>2.6472389692066807E-3</v>
      </c>
      <c r="AN29" s="183" t="str">
        <f t="shared" si="56"/>
        <v>↑</v>
      </c>
      <c r="AP29" s="120"/>
      <c r="AQ29" s="305" t="s">
        <v>23</v>
      </c>
      <c r="AR29" s="305" t="s">
        <v>24</v>
      </c>
      <c r="AS29" s="305" t="s">
        <v>25</v>
      </c>
      <c r="AT29" s="120"/>
      <c r="AU29" s="251"/>
      <c r="AV29" s="251"/>
      <c r="AW29" s="295"/>
      <c r="AX29" s="296"/>
      <c r="AY29" s="297"/>
    </row>
    <row r="30" spans="1:55" ht="14.25" customHeight="1" x14ac:dyDescent="0.3">
      <c r="A30" s="35" t="s">
        <v>12</v>
      </c>
      <c r="B30" s="298">
        <v>4.1429999999999998</v>
      </c>
      <c r="C30" s="232">
        <f t="shared" ref="C30:C35" si="58">C21</f>
        <v>4.12</v>
      </c>
      <c r="D30" s="146" t="str">
        <f t="shared" ref="D30:D35" si="59">CONCATENATE(TEXT(AI35,"0.00%"),"  ",AJ35)</f>
        <v>-0.56%  ↓</v>
      </c>
      <c r="E30" s="232">
        <f t="shared" ref="E30:E35" si="60">E21</f>
        <v>4.13</v>
      </c>
      <c r="F30" s="146" t="str">
        <f t="shared" ref="F30:F35" si="61">CONCATENATE(TEXT(AK35,"0.00%"),"  ",AL35)</f>
        <v>-0.31%  ↓</v>
      </c>
      <c r="G30" s="232">
        <f t="shared" si="57"/>
        <v>4.1500000000000004</v>
      </c>
      <c r="H30" s="146" t="str">
        <f t="shared" ref="H30:H35" si="62">CONCATENATE(TEXT(AM35,"0.00%"),"  ",AN35)</f>
        <v>0.17%  ↑</v>
      </c>
      <c r="I30" s="438">
        <f t="shared" ref="I30:I35" si="63">I21</f>
        <v>4.05</v>
      </c>
      <c r="J30" s="439" t="str">
        <f t="shared" ref="J30:J35" si="64">CONCATENATE(TEXT(AG35,"0.00%"),"  ",AH35)</f>
        <v>-2.24%  ↓</v>
      </c>
      <c r="AF30" s="1315"/>
      <c r="AG30" s="182">
        <f t="shared" si="50"/>
        <v>-1.5216492528605666E-2</v>
      </c>
      <c r="AH30" s="183" t="str">
        <f>IF(I23-B23&gt;0,"↑","↓")</f>
        <v>↓</v>
      </c>
      <c r="AI30" s="184">
        <f t="shared" si="51"/>
        <v>-1.701285399629261E-3</v>
      </c>
      <c r="AJ30" s="185" t="str">
        <f t="shared" si="52"/>
        <v>↓</v>
      </c>
      <c r="AK30" s="182">
        <f t="shared" si="53"/>
        <v>-4.0479356248592229E-4</v>
      </c>
      <c r="AL30" s="183" t="str">
        <f t="shared" si="54"/>
        <v>↓</v>
      </c>
      <c r="AM30" s="182">
        <f t="shared" si="55"/>
        <v>2.1881901118007549E-3</v>
      </c>
      <c r="AN30" s="183" t="str">
        <f t="shared" si="56"/>
        <v>↑</v>
      </c>
      <c r="AP30" s="307"/>
      <c r="AQ30" s="308">
        <f>SUM(AQ14,AQ18,AQ22,AQ26)</f>
        <v>3.9995822941056653</v>
      </c>
      <c r="AR30" s="308">
        <f>SUM(AR14,AR18,AR22,AR26)</f>
        <v>3.9052566892327465</v>
      </c>
      <c r="AS30" s="308">
        <f>SUM(AS14,AS18,AS22,AS26)</f>
        <v>4.0748951228409496</v>
      </c>
      <c r="AT30" s="309" t="s">
        <v>62</v>
      </c>
      <c r="AU30" s="251"/>
      <c r="AV30" s="251"/>
      <c r="AW30" s="295"/>
      <c r="AX30" s="296"/>
      <c r="AY30" s="297"/>
    </row>
    <row r="31" spans="1:55" ht="14.25" customHeight="1" x14ac:dyDescent="0.3">
      <c r="A31" s="60" t="s">
        <v>13</v>
      </c>
      <c r="B31" s="481">
        <v>50174.74</v>
      </c>
      <c r="C31" s="237">
        <f t="shared" si="58"/>
        <v>50650</v>
      </c>
      <c r="D31" s="152" t="str">
        <f t="shared" si="59"/>
        <v>0.95%  ↑</v>
      </c>
      <c r="E31" s="237">
        <f t="shared" si="60"/>
        <v>50715</v>
      </c>
      <c r="F31" s="152" t="str">
        <f t="shared" si="61"/>
        <v>1.08%  ↑</v>
      </c>
      <c r="G31" s="237">
        <f t="shared" si="57"/>
        <v>50321</v>
      </c>
      <c r="H31" s="152" t="str">
        <f t="shared" si="62"/>
        <v>0.29%  ↑</v>
      </c>
      <c r="I31" s="440">
        <f t="shared" si="63"/>
        <v>48500.93</v>
      </c>
      <c r="J31" s="441" t="str">
        <f t="shared" si="64"/>
        <v>-3.34%  ↓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F31" s="1315"/>
      <c r="AG31" s="182">
        <f t="shared" si="50"/>
        <v>0.15795390668915135</v>
      </c>
      <c r="AH31" s="183" t="str">
        <f>IF(I24-B24&gt;0,"↑","↓")</f>
        <v>↑</v>
      </c>
      <c r="AI31" s="184">
        <f t="shared" si="51"/>
        <v>1.8549747048903983E-2</v>
      </c>
      <c r="AJ31" s="185" t="str">
        <f t="shared" si="52"/>
        <v>↑</v>
      </c>
      <c r="AK31" s="182">
        <f t="shared" si="53"/>
        <v>3.2602585722316016E-2</v>
      </c>
      <c r="AL31" s="183" t="str">
        <f t="shared" si="54"/>
        <v>↑</v>
      </c>
      <c r="AM31" s="182">
        <f t="shared" si="55"/>
        <v>1.2928611579539092E-2</v>
      </c>
      <c r="AN31" s="183" t="str">
        <f t="shared" si="56"/>
        <v>↑</v>
      </c>
      <c r="AQ31" s="187">
        <f>AQ9</f>
        <v>2.16</v>
      </c>
      <c r="AR31" s="187">
        <f>AR9</f>
        <v>2.2400000000000002</v>
      </c>
      <c r="AS31" s="187">
        <f>AS9</f>
        <v>1.79</v>
      </c>
      <c r="AT31" s="316" t="s">
        <v>61</v>
      </c>
      <c r="AU31" s="251"/>
      <c r="AV31" s="251"/>
      <c r="AW31" s="295"/>
      <c r="AX31" s="296"/>
      <c r="AY31" s="297"/>
    </row>
    <row r="32" spans="1:55" ht="14.25" customHeight="1" x14ac:dyDescent="0.3">
      <c r="A32" s="82" t="s">
        <v>14</v>
      </c>
      <c r="B32" s="482">
        <v>6941.82</v>
      </c>
      <c r="C32" s="249">
        <f t="shared" si="58"/>
        <v>6930</v>
      </c>
      <c r="D32" s="168" t="str">
        <f t="shared" si="59"/>
        <v>-0.17%  ↓</v>
      </c>
      <c r="E32" s="249">
        <f t="shared" si="60"/>
        <v>6939</v>
      </c>
      <c r="F32" s="168" t="str">
        <f t="shared" si="61"/>
        <v>-0.04%  ↓</v>
      </c>
      <c r="G32" s="249">
        <f t="shared" si="57"/>
        <v>6957</v>
      </c>
      <c r="H32" s="168" t="str">
        <f t="shared" si="62"/>
        <v>0.22%  ↑</v>
      </c>
      <c r="I32" s="448">
        <f t="shared" si="63"/>
        <v>6836.18</v>
      </c>
      <c r="J32" s="441" t="str">
        <f t="shared" si="64"/>
        <v>-1.52%  ↓</v>
      </c>
      <c r="N32" s="53" t="s">
        <v>12</v>
      </c>
      <c r="P32" s="287">
        <f t="shared" ref="P32:P37" si="65">100-ABS(($K12-C12)/($K12))*100</f>
        <v>98.271604938271594</v>
      </c>
      <c r="Q32" s="328"/>
      <c r="R32" s="288">
        <f t="shared" ref="R32:R37" si="66">100-ABS(($K12-E12)/($K12))*100</f>
        <v>98.024691358024683</v>
      </c>
      <c r="S32" s="328"/>
      <c r="T32" s="288">
        <f t="shared" ref="T32:T37" si="67">100-ABS(($K12-G12)/($K12))*100</f>
        <v>97.530864197530846</v>
      </c>
      <c r="U32" s="328"/>
      <c r="V32" s="461">
        <f t="shared" ref="V32:V37" si="68">100-ABS((($K12-J12)/($K12)))*100</f>
        <v>97.112077016567397</v>
      </c>
      <c r="X32" s="290">
        <f t="shared" ref="X32:X37" si="69">100-ABS((($K12-I12)/($K12)))*100</f>
        <v>97.320547661567929</v>
      </c>
      <c r="AF32" s="1315"/>
      <c r="AG32" s="182">
        <f t="shared" si="50"/>
        <v>-1.5994243380705469E-2</v>
      </c>
      <c r="AH32" s="183" t="str">
        <f>IF(I25-B25&gt;0,"↑","↓")</f>
        <v>↓</v>
      </c>
      <c r="AI32" s="184">
        <f t="shared" si="51"/>
        <v>-4.8571475297234977E-3</v>
      </c>
      <c r="AJ32" s="185" t="str">
        <f t="shared" si="52"/>
        <v>↓</v>
      </c>
      <c r="AK32" s="182">
        <f t="shared" si="53"/>
        <v>-8.291494267911835E-3</v>
      </c>
      <c r="AL32" s="183" t="str">
        <f t="shared" si="54"/>
        <v>↓</v>
      </c>
      <c r="AM32" s="182">
        <f t="shared" si="55"/>
        <v>2.8292475509837248E-3</v>
      </c>
      <c r="AN32" s="183" t="str">
        <f t="shared" si="56"/>
        <v>↑</v>
      </c>
      <c r="AO32" s="4"/>
      <c r="AU32" s="251"/>
      <c r="AV32" s="251"/>
      <c r="AW32" s="295"/>
      <c r="AX32" s="296"/>
      <c r="AY32" s="297"/>
    </row>
    <row r="33" spans="1:40" ht="14.25" customHeight="1" x14ac:dyDescent="0.3">
      <c r="A33" s="82" t="s">
        <v>15</v>
      </c>
      <c r="B33" s="482">
        <v>17.79</v>
      </c>
      <c r="C33" s="252">
        <f t="shared" si="58"/>
        <v>18.12</v>
      </c>
      <c r="D33" s="168" t="str">
        <f t="shared" si="59"/>
        <v>1.85%  ↑</v>
      </c>
      <c r="E33" s="252">
        <f t="shared" si="60"/>
        <v>18.37</v>
      </c>
      <c r="F33" s="168" t="str">
        <f t="shared" si="61"/>
        <v>3.26%  ↑</v>
      </c>
      <c r="G33" s="252">
        <f t="shared" si="57"/>
        <v>18.02</v>
      </c>
      <c r="H33" s="168" t="str">
        <f t="shared" si="62"/>
        <v>1.29%  ↑</v>
      </c>
      <c r="I33" s="448">
        <f t="shared" si="63"/>
        <v>20.6</v>
      </c>
      <c r="J33" s="441" t="str">
        <f t="shared" si="64"/>
        <v>15.80%  ↑</v>
      </c>
      <c r="N33" s="60" t="s">
        <v>13</v>
      </c>
      <c r="P33" s="291">
        <f t="shared" si="65"/>
        <v>95.569012800373102</v>
      </c>
      <c r="Q33" s="328"/>
      <c r="R33" s="292">
        <f t="shared" si="66"/>
        <v>95.434994751647025</v>
      </c>
      <c r="S33" s="328"/>
      <c r="T33" s="292">
        <f t="shared" si="67"/>
        <v>96.247350308540476</v>
      </c>
      <c r="U33" s="328"/>
      <c r="V33" s="462">
        <f t="shared" si="68"/>
        <v>96.271428703973925</v>
      </c>
      <c r="X33" s="294">
        <f t="shared" si="69"/>
        <v>96.18366504476208</v>
      </c>
      <c r="AF33" s="1315"/>
      <c r="AG33" s="223">
        <f t="shared" si="50"/>
        <v>-6.5404852382344364E-2</v>
      </c>
      <c r="AH33" s="224" t="str">
        <f>IF(I26-B26&gt;0,"↑","↓")</f>
        <v>↓</v>
      </c>
      <c r="AI33" s="225">
        <f t="shared" si="51"/>
        <v>3.7269804150832425E-3</v>
      </c>
      <c r="AJ33" s="226" t="str">
        <f t="shared" si="52"/>
        <v>↑</v>
      </c>
      <c r="AK33" s="223">
        <f t="shared" si="53"/>
        <v>2.2654194679918318E-3</v>
      </c>
      <c r="AL33" s="224" t="str">
        <f t="shared" si="54"/>
        <v>↑</v>
      </c>
      <c r="AM33" s="223">
        <f t="shared" si="55"/>
        <v>2.6308097047645805E-3</v>
      </c>
      <c r="AN33" s="224" t="str">
        <f t="shared" si="56"/>
        <v>↑</v>
      </c>
    </row>
    <row r="34" spans="1:40" ht="14.25" customHeight="1" x14ac:dyDescent="0.3">
      <c r="A34" s="99" t="s">
        <v>16</v>
      </c>
      <c r="B34" s="483">
        <v>611.51</v>
      </c>
      <c r="C34" s="261">
        <f t="shared" si="58"/>
        <v>608.5</v>
      </c>
      <c r="D34" s="208" t="str">
        <f t="shared" si="59"/>
        <v>-0.49%  ↓</v>
      </c>
      <c r="E34" s="261">
        <f t="shared" si="60"/>
        <v>606.4</v>
      </c>
      <c r="F34" s="208" t="str">
        <f t="shared" si="61"/>
        <v>-0.84%  ↓</v>
      </c>
      <c r="G34" s="261">
        <f t="shared" si="57"/>
        <v>613.20000000000005</v>
      </c>
      <c r="H34" s="208" t="str">
        <f t="shared" si="62"/>
        <v>0.28%  ↑</v>
      </c>
      <c r="I34" s="451">
        <f t="shared" si="63"/>
        <v>601.69000000000005</v>
      </c>
      <c r="J34" s="441" t="str">
        <f t="shared" si="64"/>
        <v>-1.61%  ↓</v>
      </c>
      <c r="N34" s="82" t="s">
        <v>14</v>
      </c>
      <c r="P34" s="301">
        <f t="shared" si="65"/>
        <v>98.62759611361902</v>
      </c>
      <c r="Q34" s="328"/>
      <c r="R34" s="302">
        <f t="shared" si="66"/>
        <v>98.495943641039304</v>
      </c>
      <c r="S34" s="328"/>
      <c r="T34" s="302">
        <f t="shared" si="67"/>
        <v>98.232638695879871</v>
      </c>
      <c r="U34" s="328"/>
      <c r="V34" s="463">
        <f t="shared" si="68"/>
        <v>97.735330622964725</v>
      </c>
      <c r="X34" s="304">
        <f t="shared" si="69"/>
        <v>97.88202930622974</v>
      </c>
      <c r="AF34" s="228"/>
      <c r="AG34" s="1316" t="str">
        <f>K11</f>
        <v xml:space="preserve">+3-day </v>
      </c>
      <c r="AH34" s="1316"/>
      <c r="AI34" s="1317" t="str">
        <f>C11</f>
        <v>RD</v>
      </c>
      <c r="AJ34" s="1317"/>
      <c r="AK34" s="1318">
        <f>E11</f>
        <v>85520</v>
      </c>
      <c r="AL34" s="1318"/>
      <c r="AM34" s="1318" t="str">
        <f>G11</f>
        <v>MICH</v>
      </c>
      <c r="AN34" s="1318"/>
    </row>
    <row r="35" spans="1:40" ht="14.25" customHeight="1" x14ac:dyDescent="0.3">
      <c r="A35" s="109" t="s">
        <v>17</v>
      </c>
      <c r="B35" s="484">
        <v>273.81</v>
      </c>
      <c r="C35" s="274">
        <f t="shared" si="58"/>
        <v>274.7</v>
      </c>
      <c r="D35" s="217" t="str">
        <f t="shared" si="59"/>
        <v>0.33%  ↑</v>
      </c>
      <c r="E35" s="274">
        <f t="shared" si="60"/>
        <v>274.3</v>
      </c>
      <c r="F35" s="217" t="str">
        <f t="shared" si="61"/>
        <v>0.18%  ↑</v>
      </c>
      <c r="G35" s="274">
        <f t="shared" si="57"/>
        <v>274.39999999999998</v>
      </c>
      <c r="H35" s="217" t="str">
        <f t="shared" si="62"/>
        <v>0.22%  ↑</v>
      </c>
      <c r="I35" s="452">
        <f t="shared" si="63"/>
        <v>255.78</v>
      </c>
      <c r="J35" s="453" t="str">
        <f t="shared" si="64"/>
        <v>-6.58%  ↓</v>
      </c>
      <c r="N35" s="82" t="s">
        <v>15</v>
      </c>
      <c r="P35" s="301">
        <f t="shared" si="65"/>
        <v>87.961165048543691</v>
      </c>
      <c r="Q35" s="328"/>
      <c r="R35" s="302">
        <f t="shared" si="66"/>
        <v>89.174757281553397</v>
      </c>
      <c r="S35" s="328"/>
      <c r="T35" s="302">
        <f t="shared" si="67"/>
        <v>87.475728155339795</v>
      </c>
      <c r="U35" s="328"/>
      <c r="V35" s="463">
        <f t="shared" si="68"/>
        <v>85.386927760286881</v>
      </c>
      <c r="X35" s="304">
        <f t="shared" si="69"/>
        <v>86.062334773999027</v>
      </c>
      <c r="AF35" s="1315" t="str">
        <f>B29</f>
        <v>Oraclum</v>
      </c>
      <c r="AG35" s="163">
        <f t="shared" ref="AG35:AG40" si="70">(I30-B30)/B30</f>
        <v>-2.2447501810282398E-2</v>
      </c>
      <c r="AH35" s="164" t="str">
        <f t="shared" ref="AH35:AH40" si="71">IF(I30-B30&gt;0,"↑","↓")</f>
        <v>↓</v>
      </c>
      <c r="AI35" s="165">
        <f t="shared" ref="AI35:AI40" si="72">(C30-B30)/B30</f>
        <v>-5.5515327057686914E-3</v>
      </c>
      <c r="AJ35" s="166" t="str">
        <f t="shared" ref="AJ35:AJ40" si="73">IF(C30-B30&gt;0,"↑","↓")</f>
        <v>↓</v>
      </c>
      <c r="AK35" s="163">
        <f t="shared" ref="AK35:AK40" si="74">(E30-B30)/B30</f>
        <v>-3.137822833695366E-3</v>
      </c>
      <c r="AL35" s="164" t="str">
        <f t="shared" ref="AL35:AL40" si="75">IF(E30-B30&gt;0,"↑","↓")</f>
        <v>↓</v>
      </c>
      <c r="AM35" s="163">
        <f t="shared" ref="AM35:AM40" si="76">(G30-B30)/B30</f>
        <v>1.6895969104514994E-3</v>
      </c>
      <c r="AN35" s="164" t="str">
        <f t="shared" ref="AN35:AN40" si="77">IF(G30-B30&gt;0,"↑","↓")</f>
        <v>↑</v>
      </c>
    </row>
    <row r="36" spans="1:40" ht="14.25" customHeight="1" x14ac:dyDescent="0.3">
      <c r="N36" s="99" t="s">
        <v>16</v>
      </c>
      <c r="P36" s="312">
        <f t="shared" si="65"/>
        <v>98.868187937309926</v>
      </c>
      <c r="Q36" s="328"/>
      <c r="R36" s="313">
        <f t="shared" si="66"/>
        <v>99.217204872941224</v>
      </c>
      <c r="S36" s="328"/>
      <c r="T36" s="313">
        <f t="shared" si="67"/>
        <v>98.087054795658901</v>
      </c>
      <c r="U36" s="328"/>
      <c r="V36" s="464">
        <f t="shared" si="68"/>
        <v>98.121987979877687</v>
      </c>
      <c r="X36" s="315">
        <f t="shared" si="69"/>
        <v>97.999307159833151</v>
      </c>
      <c r="AF36" s="1315"/>
      <c r="AG36" s="182">
        <f t="shared" si="70"/>
        <v>-3.3359614818133543E-2</v>
      </c>
      <c r="AH36" s="183" t="str">
        <f t="shared" si="71"/>
        <v>↓</v>
      </c>
      <c r="AI36" s="184">
        <f t="shared" si="72"/>
        <v>9.4720969156990558E-3</v>
      </c>
      <c r="AJ36" s="185" t="str">
        <f t="shared" si="73"/>
        <v>↑</v>
      </c>
      <c r="AK36" s="182">
        <f t="shared" si="74"/>
        <v>1.0767569498118018E-2</v>
      </c>
      <c r="AL36" s="183" t="str">
        <f t="shared" si="75"/>
        <v>↑</v>
      </c>
      <c r="AM36" s="182">
        <f t="shared" si="76"/>
        <v>2.9150126139169241E-3</v>
      </c>
      <c r="AN36" s="183" t="str">
        <f t="shared" si="77"/>
        <v>↑</v>
      </c>
    </row>
    <row r="37" spans="1:40" ht="14.25" customHeight="1" x14ac:dyDescent="0.3">
      <c r="N37" s="114" t="s">
        <v>17</v>
      </c>
      <c r="P37" s="323">
        <f t="shared" si="65"/>
        <v>92.60301821878177</v>
      </c>
      <c r="Q37" s="328"/>
      <c r="R37" s="324">
        <f t="shared" si="66"/>
        <v>92.75940261161935</v>
      </c>
      <c r="S37" s="328"/>
      <c r="T37" s="324">
        <f t="shared" si="67"/>
        <v>92.720306513409966</v>
      </c>
      <c r="U37" s="328"/>
      <c r="V37" s="465">
        <f t="shared" si="68"/>
        <v>92.668609341522796</v>
      </c>
      <c r="X37" s="326">
        <f t="shared" si="69"/>
        <v>92.456940979108467</v>
      </c>
      <c r="AF37" s="1315"/>
      <c r="AG37" s="182">
        <f t="shared" si="70"/>
        <v>-1.5217911152982853E-2</v>
      </c>
      <c r="AH37" s="183" t="str">
        <f t="shared" si="71"/>
        <v>↓</v>
      </c>
      <c r="AI37" s="184">
        <f t="shared" si="72"/>
        <v>-1.7027234932625319E-3</v>
      </c>
      <c r="AJ37" s="185" t="str">
        <f t="shared" si="73"/>
        <v>↓</v>
      </c>
      <c r="AK37" s="182">
        <f t="shared" si="74"/>
        <v>-4.0623352377326249E-4</v>
      </c>
      <c r="AL37" s="183" t="str">
        <f t="shared" si="75"/>
        <v>↓</v>
      </c>
      <c r="AM37" s="182">
        <f t="shared" si="76"/>
        <v>2.1867464152052762E-3</v>
      </c>
      <c r="AN37" s="183" t="str">
        <f t="shared" si="77"/>
        <v>↑</v>
      </c>
    </row>
    <row r="38" spans="1:40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1315"/>
      <c r="AG38" s="182">
        <f t="shared" si="70"/>
        <v>0.15795390668915135</v>
      </c>
      <c r="AH38" s="183" t="str">
        <f t="shared" si="71"/>
        <v>↑</v>
      </c>
      <c r="AI38" s="184">
        <f t="shared" si="72"/>
        <v>1.8549747048903983E-2</v>
      </c>
      <c r="AJ38" s="185" t="str">
        <f t="shared" si="73"/>
        <v>↑</v>
      </c>
      <c r="AK38" s="182">
        <f t="shared" si="74"/>
        <v>3.2602585722316016E-2</v>
      </c>
      <c r="AL38" s="183" t="str">
        <f t="shared" si="75"/>
        <v>↑</v>
      </c>
      <c r="AM38" s="182">
        <f t="shared" si="76"/>
        <v>1.2928611579539092E-2</v>
      </c>
      <c r="AN38" s="183" t="str">
        <f t="shared" si="77"/>
        <v>↑</v>
      </c>
    </row>
    <row r="39" spans="1:40" ht="14.25" customHeight="1" x14ac:dyDescent="0.3">
      <c r="N39" s="331" t="str">
        <f>AA1</f>
        <v>AVR-4</v>
      </c>
      <c r="P39" s="332">
        <f t="array" ref="P39">SUM(P33:P36/4)</f>
        <v>95.256490474961439</v>
      </c>
      <c r="Q39" s="328"/>
      <c r="R39" s="333">
        <f t="array" ref="R39">SUM(R33:R36/4)</f>
        <v>95.580725136795238</v>
      </c>
      <c r="S39" s="328"/>
      <c r="T39" s="333">
        <f t="array" ref="T39">SUM(T33:T36/4)</f>
        <v>95.010692988854771</v>
      </c>
      <c r="U39" s="328"/>
      <c r="V39" s="466">
        <f t="array" ref="V39">SUM(V33:V36/4)</f>
        <v>94.378918766775811</v>
      </c>
      <c r="X39" s="335">
        <f t="array" ref="X39">SUM(X33:X36/4)</f>
        <v>94.531834071205992</v>
      </c>
      <c r="AF39" s="1315"/>
      <c r="AG39" s="182">
        <f t="shared" si="70"/>
        <v>-1.6058609017023329E-2</v>
      </c>
      <c r="AH39" s="183" t="str">
        <f t="shared" si="71"/>
        <v>↓</v>
      </c>
      <c r="AI39" s="184">
        <f t="shared" si="72"/>
        <v>-4.9222416640774327E-3</v>
      </c>
      <c r="AJ39" s="185" t="str">
        <f t="shared" si="73"/>
        <v>↓</v>
      </c>
      <c r="AK39" s="182">
        <f t="shared" si="74"/>
        <v>-8.3563637552942945E-3</v>
      </c>
      <c r="AL39" s="183" t="str">
        <f t="shared" si="75"/>
        <v>↓</v>
      </c>
      <c r="AM39" s="182">
        <f t="shared" si="76"/>
        <v>2.763650635312676E-3</v>
      </c>
      <c r="AN39" s="183" t="str">
        <f t="shared" si="77"/>
        <v>↑</v>
      </c>
    </row>
    <row r="40" spans="1:40" ht="14.25" customHeight="1" x14ac:dyDescent="0.3">
      <c r="N40" s="336" t="str">
        <f>AB1</f>
        <v>AVR-6</v>
      </c>
      <c r="P40" s="337">
        <f t="array" ref="P40">SUM(P32:P37/6)</f>
        <v>95.316764176149846</v>
      </c>
      <c r="Q40" s="328"/>
      <c r="R40" s="338">
        <f t="array" ref="R40">SUM(R32:R37/6)</f>
        <v>95.517832419470821</v>
      </c>
      <c r="S40" s="328"/>
      <c r="T40" s="338">
        <f t="array" ref="T40">SUM(T32:T37/6)</f>
        <v>95.048990444393311</v>
      </c>
      <c r="U40" s="328"/>
      <c r="V40" s="467">
        <f t="array" ref="V40">SUM(V32:V37/6)</f>
        <v>94.549393570865561</v>
      </c>
      <c r="X40" s="340">
        <f t="array" ref="X40">SUM(X32:X37/6)</f>
        <v>94.650804154250068</v>
      </c>
      <c r="AF40" s="1315"/>
      <c r="AG40" s="269">
        <f t="shared" si="70"/>
        <v>-6.5848581132902387E-2</v>
      </c>
      <c r="AH40" s="270" t="str">
        <f t="shared" si="71"/>
        <v>↓</v>
      </c>
      <c r="AI40" s="271">
        <f t="shared" si="72"/>
        <v>3.2504291296884202E-3</v>
      </c>
      <c r="AJ40" s="272" t="str">
        <f t="shared" si="73"/>
        <v>↑</v>
      </c>
      <c r="AK40" s="269">
        <f t="shared" si="74"/>
        <v>1.7895621051094157E-3</v>
      </c>
      <c r="AL40" s="270" t="str">
        <f t="shared" si="75"/>
        <v>↑</v>
      </c>
      <c r="AM40" s="269">
        <f t="shared" si="76"/>
        <v>2.1547788612540628E-3</v>
      </c>
      <c r="AN40" s="270" t="str">
        <f t="shared" si="77"/>
        <v>↑</v>
      </c>
    </row>
    <row r="46" spans="1:40" ht="14.25" customHeight="1" x14ac:dyDescent="0.3">
      <c r="AI46" s="4"/>
      <c r="AK46" s="4"/>
      <c r="AM46" s="4"/>
    </row>
    <row r="47" spans="1:40" ht="14.25" customHeight="1" x14ac:dyDescent="0.3">
      <c r="AI47" s="4"/>
      <c r="AK47" s="4"/>
      <c r="AM47" s="4"/>
    </row>
    <row r="48" spans="1:40" ht="14.25" customHeight="1" x14ac:dyDescent="0.3">
      <c r="F48" s="6"/>
      <c r="AI48" s="4"/>
      <c r="AK48" s="4"/>
      <c r="AM48" s="4"/>
    </row>
  </sheetData>
  <mergeCells count="29">
    <mergeCell ref="AG1:AH1"/>
    <mergeCell ref="AK1:AL1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F28:AF33"/>
    <mergeCell ref="C29:D29"/>
    <mergeCell ref="E29:F29"/>
    <mergeCell ref="G29:H29"/>
    <mergeCell ref="I29:J29"/>
    <mergeCell ref="AG34:AH34"/>
    <mergeCell ref="AI34:AJ34"/>
    <mergeCell ref="AK34:AL34"/>
    <mergeCell ref="AM34:AN34"/>
    <mergeCell ref="AF35:AF40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48"/>
  <sheetViews>
    <sheetView topLeftCell="A7" zoomScale="140" zoomScaleNormal="140" workbookViewId="0">
      <selection activeCell="N11" sqref="N11"/>
    </sheetView>
  </sheetViews>
  <sheetFormatPr defaultColWidth="8.77734375" defaultRowHeight="14.25" customHeight="1" x14ac:dyDescent="0.3"/>
  <cols>
    <col min="1" max="1" width="7.33203125" style="4" customWidth="1"/>
    <col min="2" max="10" width="8.44140625" style="4" customWidth="1"/>
    <col min="11" max="11" width="9.33203125" style="4" customWidth="1"/>
    <col min="12" max="12" width="3.218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6.77734375" style="5" customWidth="1"/>
    <col min="25" max="25" width="3.33203125" style="4" hidden="1" customWidth="1"/>
    <col min="26" max="26" width="3.21875" style="4" customWidth="1"/>
    <col min="27" max="27" width="7.109375" style="6" customWidth="1"/>
    <col min="28" max="28" width="7.109375" style="7" customWidth="1"/>
    <col min="29" max="30" width="3.5546875" style="6" customWidth="1"/>
    <col min="31" max="31" width="3.5546875" style="4" customWidth="1"/>
    <col min="32" max="32" width="6" style="8" customWidth="1"/>
    <col min="33" max="37" width="7.21875" style="8" customWidth="1"/>
    <col min="38" max="38" width="7.21875" style="9" customWidth="1"/>
    <col min="39" max="40" width="7.21875" style="8" customWidth="1"/>
    <col min="41" max="41" width="6.21875" style="8" customWidth="1"/>
    <col min="42" max="42" width="7.44140625" customWidth="1"/>
    <col min="43" max="46" width="7.44140625" style="10" customWidth="1"/>
    <col min="47" max="50" width="7.44140625" customWidth="1"/>
    <col min="51" max="51" width="7.6640625" customWidth="1"/>
    <col min="57" max="57" width="9.77734375" style="11" customWidth="1"/>
    <col min="58" max="61" width="9.77734375" style="9" customWidth="1"/>
    <col min="62" max="63" width="9.77734375" customWidth="1"/>
    <col min="64" max="64" width="9.77734375" style="12" customWidth="1"/>
    <col min="65" max="65" width="9.77734375" style="13" customWidth="1"/>
    <col min="66" max="66" width="8.77734375" style="14"/>
    <col min="16371" max="16384" width="13.44140625" customWidth="1"/>
  </cols>
  <sheetData>
    <row r="1" spans="1:56" ht="14.4" x14ac:dyDescent="0.3">
      <c r="A1" s="2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368" t="s">
        <v>8</v>
      </c>
      <c r="K1" s="18" t="s">
        <v>99</v>
      </c>
      <c r="M1" s="19" t="s">
        <v>11</v>
      </c>
      <c r="N1" s="20" t="s">
        <v>12</v>
      </c>
      <c r="O1" s="21">
        <f>SUM(N2:N9)</f>
        <v>789.13973384030419</v>
      </c>
      <c r="P1" s="22" t="s">
        <v>13</v>
      </c>
      <c r="Q1" s="23">
        <f>SUM(P2:P9)</f>
        <v>786.48184696783665</v>
      </c>
      <c r="R1" s="24" t="s">
        <v>14</v>
      </c>
      <c r="S1" s="23">
        <f>SUM(R2:R9)</f>
        <v>797.88036022624499</v>
      </c>
      <c r="T1" s="24" t="s">
        <v>15</v>
      </c>
      <c r="U1" s="23">
        <f>SUM(T2:T9)</f>
        <v>795.4443194600675</v>
      </c>
      <c r="V1" s="25" t="s">
        <v>16</v>
      </c>
      <c r="W1" s="26">
        <f>SUM(V2:V9)</f>
        <v>789.5923890756992</v>
      </c>
      <c r="X1" s="27" t="s">
        <v>17</v>
      </c>
      <c r="Y1" s="28">
        <f>SUM(X2:X9)</f>
        <v>778.96231842370196</v>
      </c>
      <c r="Z1" s="29"/>
      <c r="AA1" s="30" t="s">
        <v>18</v>
      </c>
      <c r="AB1" s="31" t="s">
        <v>19</v>
      </c>
      <c r="AG1" s="1314" t="s">
        <v>20</v>
      </c>
      <c r="AH1" s="1314"/>
      <c r="AJ1" s="4"/>
      <c r="AK1" s="1314" t="s">
        <v>21</v>
      </c>
      <c r="AL1" s="1314"/>
      <c r="AN1" s="32" t="s">
        <v>22</v>
      </c>
      <c r="AO1" s="9">
        <v>2</v>
      </c>
      <c r="AP1" s="33" t="str">
        <f>K11</f>
        <v xml:space="preserve">+3-day </v>
      </c>
      <c r="AQ1" s="34" t="s">
        <v>23</v>
      </c>
      <c r="AR1" s="34" t="s">
        <v>24</v>
      </c>
      <c r="AS1" s="34" t="s">
        <v>25</v>
      </c>
      <c r="AT1" s="9"/>
      <c r="AU1" s="9"/>
      <c r="AV1" s="9"/>
      <c r="AW1" s="9"/>
      <c r="AX1" s="9"/>
      <c r="AY1" s="9"/>
      <c r="AZ1" s="9"/>
      <c r="BA1" s="9"/>
    </row>
    <row r="2" spans="1:56" ht="14.4" x14ac:dyDescent="0.3">
      <c r="A2" s="35" t="s">
        <v>12</v>
      </c>
      <c r="B2" s="36">
        <v>4.2699999999999996</v>
      </c>
      <c r="C2" s="37">
        <v>4.2699999999999996</v>
      </c>
      <c r="D2" s="37">
        <v>4.25</v>
      </c>
      <c r="E2" s="37">
        <v>4.2530000000000001</v>
      </c>
      <c r="F2" s="37">
        <v>4.28</v>
      </c>
      <c r="G2" s="37">
        <v>4.2679999999999998</v>
      </c>
      <c r="H2" s="38">
        <v>4.25</v>
      </c>
      <c r="I2" s="369">
        <v>4.28</v>
      </c>
      <c r="M2" s="371" t="str">
        <f>B1</f>
        <v>O 5.2</v>
      </c>
      <c r="N2" s="372">
        <f>100-ABS((($K12-B2)/($K12)))*100</f>
        <v>98.526615969581769</v>
      </c>
      <c r="O2" s="373">
        <f t="shared" ref="O2:O9" si="0">N2/$O$1</f>
        <v>0.12485319360375827</v>
      </c>
      <c r="P2" s="374">
        <f>100-ABS((($K13-B3)/($K13)))*100</f>
        <v>98.601500881856381</v>
      </c>
      <c r="Q2" s="375">
        <f t="shared" ref="Q2:Q9" si="1">P2/$Q$1</f>
        <v>0.12537034549748319</v>
      </c>
      <c r="R2" s="375">
        <f>100-ABS((($K14-B4)/($K14)))*100</f>
        <v>99.880126537907273</v>
      </c>
      <c r="S2" s="375">
        <f t="shared" ref="S2:S9" si="2">R2/$S$1</f>
        <v>0.1251818336643673</v>
      </c>
      <c r="T2" s="375">
        <f>100-ABS((($K15-B5)/($K15)))*100</f>
        <v>100</v>
      </c>
      <c r="U2" s="375">
        <f t="shared" ref="U2:U9" si="3">T2/$U$1</f>
        <v>0.12571590185957718</v>
      </c>
      <c r="V2" s="376">
        <f>100-ABS((($K16-B6)/($K16)))*100</f>
        <v>98.545066841630444</v>
      </c>
      <c r="W2" s="377">
        <f t="shared" ref="W2:W9" si="4">V2/$W$1</f>
        <v>0.12480498571799532</v>
      </c>
      <c r="X2" s="378">
        <f>100-ABS((($K17-B7)/($K17)))*100</f>
        <v>97.263771034086005</v>
      </c>
      <c r="Y2" s="48">
        <f t="shared" ref="Y2:Y9" si="5">X2/$Y$1</f>
        <v>0.12486325555632487</v>
      </c>
      <c r="Z2" s="29"/>
      <c r="AA2" s="49">
        <f t="shared" ref="AA2:AA9" si="6">(P2+R2+T2+V2)/4</f>
        <v>99.256673565348521</v>
      </c>
      <c r="AB2" s="50">
        <f t="shared" ref="AB2:AB9" si="7">(N2+P2+R2+T2+V2+X2)/6</f>
        <v>98.802846877510319</v>
      </c>
      <c r="AC2" s="51" t="str">
        <f>IF($AA2=MAX(AA2:AA9),"TOP","")</f>
        <v>TOP</v>
      </c>
      <c r="AD2" s="51" t="str">
        <f>IF($AB2=MAX(AB2:AB9),"TOP","")</f>
        <v/>
      </c>
      <c r="AE2" s="52"/>
      <c r="AF2" s="53" t="s">
        <v>12</v>
      </c>
      <c r="AG2" s="54" t="s">
        <v>42</v>
      </c>
      <c r="AH2" s="55">
        <f>MAX(N2:N9)</f>
        <v>99.00190114068441</v>
      </c>
      <c r="AJ2" s="53" t="str">
        <f t="shared" ref="AJ2:AJ7" si="8">AF2</f>
        <v>TNX</v>
      </c>
      <c r="AK2" s="56">
        <v>4.25</v>
      </c>
      <c r="AL2" s="57">
        <f t="shared" ref="AL2:AL7" si="9">100-ABS(($K12-AK2)/($K12))*100</f>
        <v>99.00190114068441</v>
      </c>
      <c r="AN2" s="9"/>
      <c r="AO2" s="33" t="s">
        <v>27</v>
      </c>
      <c r="AP2" s="33" t="s">
        <v>28</v>
      </c>
      <c r="AQ2" s="58" t="s">
        <v>29</v>
      </c>
      <c r="AR2" s="34" t="str">
        <f>AQ2</f>
        <v>∆</v>
      </c>
      <c r="AS2" s="34" t="str">
        <f>AR2</f>
        <v>∆</v>
      </c>
      <c r="AT2" s="59" t="s">
        <v>30</v>
      </c>
      <c r="AU2" s="9"/>
      <c r="AV2" s="9"/>
      <c r="AW2" s="9"/>
      <c r="AX2" s="9"/>
      <c r="AY2" s="9"/>
      <c r="AZ2" s="9"/>
      <c r="BA2" s="9"/>
    </row>
    <row r="3" spans="1:56" ht="14.4" x14ac:dyDescent="0.3">
      <c r="A3" s="60" t="s">
        <v>13</v>
      </c>
      <c r="B3" s="61">
        <v>49415</v>
      </c>
      <c r="C3" s="62">
        <v>49400</v>
      </c>
      <c r="D3" s="62">
        <v>49310.5</v>
      </c>
      <c r="E3" s="62">
        <v>49135.72</v>
      </c>
      <c r="F3" s="62">
        <v>49188</v>
      </c>
      <c r="G3" s="62">
        <v>49240</v>
      </c>
      <c r="H3" s="62">
        <v>49163</v>
      </c>
      <c r="I3" s="379">
        <v>49300</v>
      </c>
      <c r="K3" s="64" t="s">
        <v>100</v>
      </c>
      <c r="M3" s="381" t="str">
        <f>C1</f>
        <v>Grok 4.1</v>
      </c>
      <c r="N3" s="382">
        <f>100-ABS((($K12-C2)/($K12)))*100</f>
        <v>98.526615969581769</v>
      </c>
      <c r="O3" s="383">
        <f t="shared" si="0"/>
        <v>0.12485319360375827</v>
      </c>
      <c r="P3" s="384">
        <f>100-ABS((($K13-C3)/($K13)))*100</f>
        <v>98.571570243118586</v>
      </c>
      <c r="Q3" s="385">
        <f t="shared" si="1"/>
        <v>0.12533228913438568</v>
      </c>
      <c r="R3" s="385">
        <f>100-ABS((($K14-C4)/($K14)))*100</f>
        <v>99.894551743935281</v>
      </c>
      <c r="S3" s="385">
        <f t="shared" si="2"/>
        <v>0.12519991307419753</v>
      </c>
      <c r="T3" s="385">
        <f>100-ABS((($K15-C5)/($K15)))*100</f>
        <v>99.325084364454455</v>
      </c>
      <c r="U3" s="385">
        <f t="shared" si="3"/>
        <v>0.12486742558155979</v>
      </c>
      <c r="V3" s="386">
        <f>100-ABS((($K16-C6)/($K16)))*100</f>
        <v>98.630361682932829</v>
      </c>
      <c r="W3" s="387">
        <f t="shared" si="4"/>
        <v>0.12491300960789405</v>
      </c>
      <c r="X3" s="388">
        <f>100-ABS((($K17-C7)/($K17)))*100</f>
        <v>97.439953976700707</v>
      </c>
      <c r="Y3" s="48">
        <f t="shared" si="5"/>
        <v>0.1250894320201251</v>
      </c>
      <c r="Z3" s="29"/>
      <c r="AA3" s="73">
        <f t="shared" si="6"/>
        <v>99.105392008610295</v>
      </c>
      <c r="AB3" s="74">
        <f t="shared" si="7"/>
        <v>98.731356330120605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75" t="s">
        <v>42</v>
      </c>
      <c r="AH3" s="76">
        <f>MAX(P2:P9)</f>
        <v>98.601500881856381</v>
      </c>
      <c r="AJ3" s="60" t="str">
        <f t="shared" si="8"/>
        <v>DJI</v>
      </c>
      <c r="AK3" s="77">
        <v>48833</v>
      </c>
      <c r="AL3" s="78">
        <f t="shared" si="9"/>
        <v>97.440192098830167</v>
      </c>
      <c r="AN3" s="9"/>
      <c r="AO3" s="79" t="str">
        <f t="shared" ref="AO3:AO8" si="10">AF2</f>
        <v>TNX</v>
      </c>
      <c r="AP3" s="80">
        <f t="shared" ref="AP3:AP8" si="11">K12</f>
        <v>4.2080000000000002</v>
      </c>
      <c r="AQ3" s="80">
        <f>ABS(C30-AP3)</f>
        <v>2.2000000000000242E-2</v>
      </c>
      <c r="AR3" s="80">
        <f>ABS(E30-K12)</f>
        <v>3.2000000000000028E-2</v>
      </c>
      <c r="AS3" s="80">
        <f>ABS(AP3-G30)</f>
        <v>6.1999999999999389E-2</v>
      </c>
      <c r="AT3" s="81" t="s">
        <v>33</v>
      </c>
      <c r="AU3" s="9"/>
      <c r="AV3" s="9"/>
      <c r="AW3" s="9"/>
      <c r="AX3" s="9"/>
      <c r="AY3" s="9"/>
      <c r="AZ3" s="9"/>
      <c r="BA3" s="9"/>
    </row>
    <row r="4" spans="1:56" ht="14.4" x14ac:dyDescent="0.3">
      <c r="A4" s="82" t="s">
        <v>14</v>
      </c>
      <c r="B4" s="83">
        <v>6924</v>
      </c>
      <c r="C4" s="84">
        <v>6925</v>
      </c>
      <c r="D4" s="84">
        <v>6934.15</v>
      </c>
      <c r="E4" s="84">
        <v>6897.45</v>
      </c>
      <c r="F4" s="84">
        <v>6909</v>
      </c>
      <c r="G4" s="84">
        <v>6935</v>
      </c>
      <c r="H4" s="84">
        <v>6876</v>
      </c>
      <c r="I4" s="389">
        <v>6920</v>
      </c>
      <c r="M4" s="381" t="str">
        <f>D1</f>
        <v>Gemini Pro 3</v>
      </c>
      <c r="N4" s="382">
        <f>100-ABS((($K12-D2)/($K12)))*100</f>
        <v>99.00190114068441</v>
      </c>
      <c r="O4" s="383">
        <f t="shared" si="0"/>
        <v>0.12545547625500647</v>
      </c>
      <c r="P4" s="384">
        <f>100-ABS((($K13-D3)/($K13)))*100</f>
        <v>98.392984098649791</v>
      </c>
      <c r="Q4" s="385">
        <f t="shared" si="1"/>
        <v>0.12510521950123737</v>
      </c>
      <c r="R4" s="385">
        <f>100-ABS((($K14-D4)/($K14)))*100</f>
        <v>99.973457620908476</v>
      </c>
      <c r="S4" s="385">
        <f t="shared" si="2"/>
        <v>0.12529880744596877</v>
      </c>
      <c r="T4" s="385">
        <f>100-ABS((($K15-D5)/($K15)))*100</f>
        <v>99.831271091113607</v>
      </c>
      <c r="U4" s="385">
        <f t="shared" si="3"/>
        <v>0.12550378279007282</v>
      </c>
      <c r="V4" s="386">
        <f>100-ABS((($K16-D6)/($K16)))*100</f>
        <v>98.16288034117936</v>
      </c>
      <c r="W4" s="387">
        <f t="shared" si="4"/>
        <v>0.12432095559594909</v>
      </c>
      <c r="X4" s="388">
        <f>100-ABS((($K17-D7)/($K17)))*100</f>
        <v>97.727599597296134</v>
      </c>
      <c r="Y4" s="48">
        <f t="shared" si="5"/>
        <v>0.12545869971612547</v>
      </c>
      <c r="Z4" s="29"/>
      <c r="AA4" s="73">
        <f t="shared" si="6"/>
        <v>99.090148287962805</v>
      </c>
      <c r="AB4" s="74">
        <f t="shared" si="7"/>
        <v>98.848348981638637</v>
      </c>
      <c r="AC4" s="51" t="str">
        <f>IF($AA4=MAX(AA2:AA9),"TOP","")</f>
        <v/>
      </c>
      <c r="AD4" s="51" t="str">
        <f>IF($AB4=MAX(AB2:AB9),"TOP","")</f>
        <v>TOP</v>
      </c>
      <c r="AE4" s="52"/>
      <c r="AF4" s="82" t="s">
        <v>14</v>
      </c>
      <c r="AG4" s="86" t="s">
        <v>37</v>
      </c>
      <c r="AH4" s="87">
        <f>MAX(R2:R9)</f>
        <v>99.973457620908476</v>
      </c>
      <c r="AJ4" s="82" t="str">
        <f t="shared" si="8"/>
        <v>SPX</v>
      </c>
      <c r="AK4" s="88">
        <v>6810</v>
      </c>
      <c r="AL4" s="89">
        <f t="shared" si="9"/>
        <v>98.235653050714689</v>
      </c>
      <c r="AN4" s="9"/>
      <c r="AO4" s="79" t="str">
        <f t="shared" si="10"/>
        <v>DJI</v>
      </c>
      <c r="AP4" s="90">
        <f t="shared" si="11"/>
        <v>50115.87</v>
      </c>
      <c r="AQ4" s="91">
        <f>ABS(C13-AP4)</f>
        <v>829.87000000000262</v>
      </c>
      <c r="AR4" s="91">
        <f>ABS(E13-AP4)</f>
        <v>794.27923164050299</v>
      </c>
      <c r="AS4" s="91">
        <f>ABS(AP4-G13)</f>
        <v>806.87000000000262</v>
      </c>
      <c r="AT4" s="92" t="s">
        <v>35</v>
      </c>
      <c r="AU4" s="9"/>
      <c r="AV4" s="9"/>
      <c r="BA4" s="9"/>
    </row>
    <row r="5" spans="1:56" ht="14.4" x14ac:dyDescent="0.3">
      <c r="A5" s="82" t="s">
        <v>15</v>
      </c>
      <c r="B5" s="93">
        <v>17.78</v>
      </c>
      <c r="C5" s="94">
        <v>17.899999999999999</v>
      </c>
      <c r="D5" s="94">
        <v>17.75</v>
      </c>
      <c r="E5" s="94">
        <v>17.86</v>
      </c>
      <c r="F5" s="94">
        <v>17.649999999999999</v>
      </c>
      <c r="G5" s="94">
        <v>17.850000000000001</v>
      </c>
      <c r="H5" s="95">
        <v>17.940000000000001</v>
      </c>
      <c r="I5" s="391">
        <v>18</v>
      </c>
      <c r="K5" s="2" t="s">
        <v>36</v>
      </c>
      <c r="M5" s="381" t="str">
        <f>E1</f>
        <v>Claude</v>
      </c>
      <c r="N5" s="382">
        <f>100-ABS((($K12-E2)/($K12)))*100</f>
        <v>98.930608365019012</v>
      </c>
      <c r="O5" s="383">
        <f t="shared" si="0"/>
        <v>0.12536513385731923</v>
      </c>
      <c r="P5" s="384">
        <f>100-ABS((($K13-E3)/($K13)))*100</f>
        <v>98.04423229607707</v>
      </c>
      <c r="Q5" s="385">
        <f t="shared" si="1"/>
        <v>0.12466178675842547</v>
      </c>
      <c r="R5" s="385">
        <f>100-ABS((($K14-E4)/($K14)))*100</f>
        <v>99.497137317863732</v>
      </c>
      <c r="S5" s="385">
        <f t="shared" si="2"/>
        <v>0.12470182533337526</v>
      </c>
      <c r="T5" s="385">
        <f>100-ABS((($K15-E5)/($K15)))*100</f>
        <v>99.550056242969632</v>
      </c>
      <c r="U5" s="385">
        <f t="shared" si="3"/>
        <v>0.12515025100756558</v>
      </c>
      <c r="V5" s="386">
        <f>100-ABS((($K16-E6)/($K16)))*100</f>
        <v>99.240547855326824</v>
      </c>
      <c r="W5" s="387">
        <f t="shared" si="4"/>
        <v>0.12568579589716955</v>
      </c>
      <c r="X5" s="388">
        <f>100-ABS((($K17-E7)/($K17)))*100</f>
        <v>96.4835322882209</v>
      </c>
      <c r="Y5" s="48">
        <f t="shared" si="5"/>
        <v>0.12386161693092386</v>
      </c>
      <c r="Z5" s="29"/>
      <c r="AA5" s="73">
        <f t="shared" si="6"/>
        <v>99.082993428059311</v>
      </c>
      <c r="AB5" s="74">
        <f t="shared" si="7"/>
        <v>98.624352394246202</v>
      </c>
      <c r="AC5" s="51" t="str">
        <f>IF($AA5=MAX(AA2:AA9),"TOP","")</f>
        <v/>
      </c>
      <c r="AD5" s="51" t="str">
        <f>IF($AB5=MAX(AB2:AB9),"TOP","")</f>
        <v/>
      </c>
      <c r="AE5" s="52"/>
      <c r="AF5" s="82" t="s">
        <v>15</v>
      </c>
      <c r="AG5" s="97" t="s">
        <v>95</v>
      </c>
      <c r="AH5" s="87">
        <f>MAX(T2:T9)</f>
        <v>100</v>
      </c>
      <c r="AJ5" s="82" t="str">
        <f t="shared" si="8"/>
        <v>VIX</v>
      </c>
      <c r="AK5" s="98">
        <v>19.100000000000001</v>
      </c>
      <c r="AL5" s="89">
        <f t="shared" si="9"/>
        <v>92.575928008998872</v>
      </c>
      <c r="AN5" s="9"/>
      <c r="AO5" s="79" t="str">
        <f t="shared" si="10"/>
        <v>SPX</v>
      </c>
      <c r="AP5" s="90">
        <f t="shared" si="11"/>
        <v>6932.31</v>
      </c>
      <c r="AQ5" s="91">
        <f>ABS(C14-AP5)</f>
        <v>19.700306578330128</v>
      </c>
      <c r="AR5" s="91">
        <f>ABS(E14-AP5)</f>
        <v>16.3100000000004</v>
      </c>
      <c r="AS5" s="91">
        <f>ABS(AP5-G14)</f>
        <v>4.3100000000004002</v>
      </c>
      <c r="AT5" s="92" t="s">
        <v>38</v>
      </c>
      <c r="AU5" s="9"/>
      <c r="AV5" s="9"/>
      <c r="BA5" s="9"/>
    </row>
    <row r="6" spans="1:56" ht="14.4" x14ac:dyDescent="0.3">
      <c r="A6" s="99" t="s">
        <v>16</v>
      </c>
      <c r="B6" s="100">
        <v>618.52</v>
      </c>
      <c r="C6" s="101">
        <v>618</v>
      </c>
      <c r="D6" s="101">
        <v>620.85</v>
      </c>
      <c r="E6" s="101">
        <v>614.28</v>
      </c>
      <c r="F6" s="101">
        <v>617</v>
      </c>
      <c r="G6" s="101">
        <v>617</v>
      </c>
      <c r="H6" s="102">
        <v>617</v>
      </c>
      <c r="I6" s="393">
        <v>618</v>
      </c>
      <c r="M6" s="381" t="str">
        <f>F1</f>
        <v>GLM-4.7</v>
      </c>
      <c r="N6" s="382">
        <f>100-ABS((($K12-F2)/($K12)))*100</f>
        <v>98.288973384030413</v>
      </c>
      <c r="O6" s="383">
        <f t="shared" si="0"/>
        <v>0.12455205227813412</v>
      </c>
      <c r="P6" s="384">
        <f>100-ABS((($K13-F3)/($K13)))*100</f>
        <v>98.148550548957843</v>
      </c>
      <c r="Q6" s="385">
        <f t="shared" si="1"/>
        <v>0.12479442586927458</v>
      </c>
      <c r="R6" s="385">
        <f>100-ABS((($K14-F4)/($K14)))*100</f>
        <v>99.663748447487194</v>
      </c>
      <c r="S6" s="385">
        <f t="shared" si="2"/>
        <v>0.12491064251691418</v>
      </c>
      <c r="T6" s="385">
        <f>100-ABS((($K15-F5)/($K15)))*100</f>
        <v>99.268841394825628</v>
      </c>
      <c r="U6" s="385">
        <f t="shared" si="3"/>
        <v>0.12479671922505831</v>
      </c>
      <c r="V6" s="386">
        <f>100-ABS((($K16-F6)/($K16)))*100</f>
        <v>98.794390223898958</v>
      </c>
      <c r="W6" s="387">
        <f t="shared" si="4"/>
        <v>0.1251207478576993</v>
      </c>
      <c r="X6" s="388">
        <f>100-ABS((($K17-F7)/($K17)))*100</f>
        <v>97.61973248957284</v>
      </c>
      <c r="Y6" s="48">
        <f t="shared" si="5"/>
        <v>0.12532022433012532</v>
      </c>
      <c r="Z6" s="29"/>
      <c r="AA6" s="73">
        <f t="shared" si="6"/>
        <v>98.968882653792406</v>
      </c>
      <c r="AB6" s="74">
        <f t="shared" si="7"/>
        <v>98.630706081462151</v>
      </c>
      <c r="AC6" s="11" t="str">
        <f>IF($AA6=MAX(AA2:AA9),"TOP","")</f>
        <v/>
      </c>
      <c r="AD6" s="11" t="str">
        <f>IF($AB6=MAX(AB2:AB9),"TOP","")</f>
        <v/>
      </c>
      <c r="AE6" s="52"/>
      <c r="AF6" s="99" t="s">
        <v>16</v>
      </c>
      <c r="AG6" s="104" t="s">
        <v>39</v>
      </c>
      <c r="AH6" s="105">
        <f>MAX(V2:V9)</f>
        <v>99.240547855326824</v>
      </c>
      <c r="AJ6" s="99" t="str">
        <f t="shared" si="8"/>
        <v>QQQ</v>
      </c>
      <c r="AK6" s="106">
        <v>604.79999999999995</v>
      </c>
      <c r="AL6" s="107">
        <f t="shared" si="9"/>
        <v>99.204461576314273</v>
      </c>
      <c r="AN6" s="9"/>
      <c r="AO6" s="79" t="str">
        <f t="shared" si="10"/>
        <v>VIX</v>
      </c>
      <c r="AP6" s="108">
        <f t="shared" si="11"/>
        <v>17.78</v>
      </c>
      <c r="AQ6" s="91">
        <f>ABS(C15-AP6)</f>
        <v>1.3599999999999994</v>
      </c>
      <c r="AR6" s="91">
        <f>ABS(E15-AP6)</f>
        <v>1.1130305860258005</v>
      </c>
      <c r="AS6" s="91">
        <f>ABS(AP6-G15)</f>
        <v>0.4599999999999973</v>
      </c>
      <c r="AT6" s="92" t="s">
        <v>40</v>
      </c>
      <c r="AU6" s="9"/>
      <c r="AV6" s="9"/>
      <c r="BA6" s="9"/>
    </row>
    <row r="7" spans="1:56" ht="14.4" x14ac:dyDescent="0.3">
      <c r="A7" s="109" t="s">
        <v>17</v>
      </c>
      <c r="B7" s="110">
        <v>270.51</v>
      </c>
      <c r="C7" s="111">
        <v>271</v>
      </c>
      <c r="D7" s="111">
        <v>271.8</v>
      </c>
      <c r="E7" s="111">
        <v>268.33999999999997</v>
      </c>
      <c r="F7" s="111">
        <v>271.5</v>
      </c>
      <c r="G7" s="111">
        <v>271</v>
      </c>
      <c r="H7" s="112">
        <v>271.3</v>
      </c>
      <c r="I7" s="395">
        <v>271</v>
      </c>
      <c r="K7" s="2" t="s">
        <v>41</v>
      </c>
      <c r="M7" s="381" t="str">
        <f>G1</f>
        <v>Kimi 2.5</v>
      </c>
      <c r="N7" s="382">
        <f>100-ABS((($K12-G2)/($K12)))*100</f>
        <v>98.57414448669202</v>
      </c>
      <c r="O7" s="383">
        <f t="shared" si="0"/>
        <v>0.12491342186888307</v>
      </c>
      <c r="P7" s="384">
        <f>100-ABS((($K13-G3)/($K13)))*100</f>
        <v>98.252310096582178</v>
      </c>
      <c r="Q7" s="385">
        <f t="shared" si="1"/>
        <v>0.1249263545946792</v>
      </c>
      <c r="R7" s="385">
        <f>100-ABS((($K14-G4)/($K14)))*100</f>
        <v>99.961196195784666</v>
      </c>
      <c r="S7" s="385">
        <f t="shared" si="2"/>
        <v>0.1252834399476131</v>
      </c>
      <c r="T7" s="385">
        <f>100-ABS((($K15-G5)/($K15)))*100</f>
        <v>99.606299212598429</v>
      </c>
      <c r="U7" s="385">
        <f t="shared" si="3"/>
        <v>0.12522095736406702</v>
      </c>
      <c r="V7" s="386">
        <f>100-ABS((($K16-G6)/($K16)))*100</f>
        <v>98.794390223898958</v>
      </c>
      <c r="W7" s="387">
        <f t="shared" si="4"/>
        <v>0.1251207478576993</v>
      </c>
      <c r="X7" s="388">
        <f>100-ABS((($K17-G7)/($K17)))*100</f>
        <v>97.439953976700707</v>
      </c>
      <c r="Y7" s="48">
        <f t="shared" si="5"/>
        <v>0.1250894320201251</v>
      </c>
      <c r="Z7" s="29"/>
      <c r="AA7" s="73">
        <f t="shared" si="6"/>
        <v>99.153548932216069</v>
      </c>
      <c r="AB7" s="74">
        <f t="shared" si="7"/>
        <v>98.771382365376169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115" t="s">
        <v>96</v>
      </c>
      <c r="AH7" s="116">
        <f>MAX(X2:X9)</f>
        <v>97.727599597296134</v>
      </c>
      <c r="AJ7" s="114" t="str">
        <f t="shared" si="8"/>
        <v>AAPL</v>
      </c>
      <c r="AK7" s="117">
        <v>245.25</v>
      </c>
      <c r="AL7" s="118">
        <f t="shared" si="9"/>
        <v>88.181360563785418</v>
      </c>
      <c r="AN7" s="9"/>
      <c r="AO7" s="79" t="str">
        <f t="shared" si="10"/>
        <v>QQQ</v>
      </c>
      <c r="AP7" s="119">
        <f t="shared" si="11"/>
        <v>609.65</v>
      </c>
      <c r="AQ7" s="91">
        <f>ABS(C16-AP7)</f>
        <v>5.3500000000000227</v>
      </c>
      <c r="AR7" s="91">
        <f>ABS(E16-AP7)</f>
        <v>5.8500000000000227</v>
      </c>
      <c r="AS7" s="91">
        <f>ABS(AP7-G16)</f>
        <v>7.9500000000000455</v>
      </c>
      <c r="AT7" s="92" t="s">
        <v>43</v>
      </c>
      <c r="AU7" s="9"/>
      <c r="AV7" s="9"/>
      <c r="AW7" s="9"/>
      <c r="AX7" s="120"/>
      <c r="AY7" s="120"/>
      <c r="AZ7" s="9"/>
      <c r="BA7" s="9"/>
    </row>
    <row r="8" spans="1:56" ht="14.25" customHeight="1" x14ac:dyDescent="0.3">
      <c r="K8" s="485">
        <v>41</v>
      </c>
      <c r="M8" s="381" t="str">
        <f>H1</f>
        <v>Minimax 2.1</v>
      </c>
      <c r="N8" s="382">
        <f>100-ABS((($K12-H2)/($K12)))*100</f>
        <v>99.00190114068441</v>
      </c>
      <c r="O8" s="383">
        <f t="shared" si="0"/>
        <v>0.12545547625500647</v>
      </c>
      <c r="P8" s="384">
        <f>100-ABS((($K13-H3)/($K13)))*100</f>
        <v>98.098666151061522</v>
      </c>
      <c r="Q8" s="385">
        <f t="shared" si="1"/>
        <v>0.12473099859744542</v>
      </c>
      <c r="R8" s="385">
        <f>100-ABS((($K14-H4)/($K14)))*100</f>
        <v>99.187716648563026</v>
      </c>
      <c r="S8" s="385">
        <f t="shared" si="2"/>
        <v>0.12431402199251727</v>
      </c>
      <c r="T8" s="385">
        <f>100-ABS((($K15-H5)/($K15)))*100</f>
        <v>99.100112485939263</v>
      </c>
      <c r="U8" s="385">
        <f t="shared" si="3"/>
        <v>0.12458460015555399</v>
      </c>
      <c r="V8" s="386">
        <f>100-ABS((($K16-H6)/($K16)))*100</f>
        <v>98.794390223898958</v>
      </c>
      <c r="W8" s="387">
        <f t="shared" si="4"/>
        <v>0.1251207478576993</v>
      </c>
      <c r="X8" s="388">
        <f>100-ABS((($K17-H7)/($K17)))*100</f>
        <v>97.547821084423987</v>
      </c>
      <c r="Y8" s="48">
        <f t="shared" si="5"/>
        <v>0.12522790740612524</v>
      </c>
      <c r="Z8" s="29"/>
      <c r="AA8" s="73">
        <f t="shared" si="6"/>
        <v>98.795221377365692</v>
      </c>
      <c r="AB8" s="74">
        <f t="shared" si="7"/>
        <v>98.621767955761854</v>
      </c>
      <c r="AC8" s="51" t="str">
        <f>IF($AA8=MAX(AA2:AA9),"TOP","")</f>
        <v/>
      </c>
      <c r="AD8" s="51" t="str">
        <f>IF($AB8=MAX(AB2:AB9),"TOP","")</f>
        <v/>
      </c>
      <c r="AE8" s="52"/>
      <c r="AF8" s="4"/>
      <c r="AG8" s="4"/>
      <c r="AH8" s="5"/>
      <c r="AL8" s="8"/>
      <c r="AN8" s="9"/>
      <c r="AO8" s="79" t="str">
        <f t="shared" si="10"/>
        <v>AAPL</v>
      </c>
      <c r="AP8" s="122">
        <f t="shared" si="11"/>
        <v>278.12</v>
      </c>
      <c r="AQ8" s="122">
        <f>ABS(C35-AP8)</f>
        <v>7.8199999999999932</v>
      </c>
      <c r="AR8" s="122">
        <f>ABS(E35-K17)</f>
        <v>6.6200000000000045</v>
      </c>
      <c r="AS8" s="122">
        <f>ABS(AP8-G35)</f>
        <v>7.5199999999999818</v>
      </c>
      <c r="AT8" s="81" t="s">
        <v>33</v>
      </c>
      <c r="AU8" s="9"/>
      <c r="AV8" s="9"/>
      <c r="AW8" s="9"/>
      <c r="AX8" s="9"/>
      <c r="AY8" s="9"/>
      <c r="AZ8" s="9"/>
      <c r="BA8" s="9"/>
    </row>
    <row r="9" spans="1:56" ht="14.4" x14ac:dyDescent="0.3">
      <c r="M9" s="397" t="str">
        <f>I1</f>
        <v>LeChat</v>
      </c>
      <c r="N9" s="398">
        <f>100-ABS((($K12-I2)/($K12)))*100</f>
        <v>98.288973384030413</v>
      </c>
      <c r="O9" s="399">
        <f t="shared" si="0"/>
        <v>0.12455205227813412</v>
      </c>
      <c r="P9" s="400">
        <f>100-ABS((($K13-I3)/($K13)))*100</f>
        <v>98.372032651533331</v>
      </c>
      <c r="Q9" s="401">
        <f t="shared" si="1"/>
        <v>0.12507858004706912</v>
      </c>
      <c r="R9" s="401">
        <f>100-ABS((($K14-I4)/($K14)))*100</f>
        <v>99.822425713795255</v>
      </c>
      <c r="S9" s="401">
        <f t="shared" si="2"/>
        <v>0.12510951602504647</v>
      </c>
      <c r="T9" s="402">
        <f>100-ABS((($K15-I5)/($K15)))*100</f>
        <v>98.762654668166491</v>
      </c>
      <c r="U9" s="401">
        <f t="shared" si="3"/>
        <v>0.1241603620165453</v>
      </c>
      <c r="V9" s="403">
        <f>100-ABS((($K16-I6)/($K16)))*100</f>
        <v>98.630361682932829</v>
      </c>
      <c r="W9" s="404">
        <f t="shared" si="4"/>
        <v>0.12491300960789405</v>
      </c>
      <c r="X9" s="405">
        <f>100-ABS((($K17-I7)/($K17)))*100</f>
        <v>97.439953976700707</v>
      </c>
      <c r="Y9" s="124">
        <f t="shared" si="5"/>
        <v>0.1250894320201251</v>
      </c>
      <c r="Z9" s="29"/>
      <c r="AA9" s="139">
        <f t="shared" si="6"/>
        <v>98.896868679106973</v>
      </c>
      <c r="AB9" s="140">
        <f t="shared" si="7"/>
        <v>98.552733679526511</v>
      </c>
      <c r="AC9" s="51" t="str">
        <f>IF($AA9=MAX(AA2:AA9),"TOP","")</f>
        <v/>
      </c>
      <c r="AD9" s="51" t="str">
        <f>IF($AB9=MAX(AB2:AB9),"TOP","")</f>
        <v/>
      </c>
      <c r="AE9" s="52"/>
      <c r="AF9" s="1319" t="s">
        <v>44</v>
      </c>
      <c r="AG9" s="1319"/>
      <c r="AH9" s="125">
        <f>AVERAGE(AH3:AH6)</f>
        <v>99.45387658952292</v>
      </c>
      <c r="AJ9" s="1310" t="s">
        <v>44</v>
      </c>
      <c r="AK9" s="1310"/>
      <c r="AL9" s="126">
        <f>AVERAGE(AL3:AL6)</f>
        <v>96.864058683714489</v>
      </c>
      <c r="AN9" s="9"/>
      <c r="AP9" s="79">
        <v>0</v>
      </c>
      <c r="AQ9" s="33">
        <v>2.16</v>
      </c>
      <c r="AR9" s="33">
        <v>2.2400000000000002</v>
      </c>
      <c r="AS9" s="33">
        <v>1.79</v>
      </c>
      <c r="AT9" s="127" t="s">
        <v>45</v>
      </c>
      <c r="AU9" s="9"/>
      <c r="AV9" s="9"/>
      <c r="AW9" s="9"/>
      <c r="AX9" s="9"/>
      <c r="AY9" s="9"/>
      <c r="AZ9" s="9"/>
      <c r="BA9" s="9"/>
    </row>
    <row r="10" spans="1:56" ht="14.4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99.090834516012038</v>
      </c>
      <c r="AJ10" s="1311" t="s">
        <v>51</v>
      </c>
      <c r="AK10" s="1311"/>
      <c r="AL10" s="142">
        <f>AVERAGE(AL2:AL7)</f>
        <v>95.773249406554626</v>
      </c>
      <c r="AN10" s="9"/>
      <c r="AP10" s="79">
        <v>0</v>
      </c>
      <c r="AQ10" s="33">
        <v>5.28</v>
      </c>
      <c r="AR10" s="33">
        <v>5.33</v>
      </c>
      <c r="AS10" s="33">
        <v>5.0999999999999996</v>
      </c>
      <c r="AT10" s="143" t="s">
        <v>52</v>
      </c>
      <c r="AU10" s="9"/>
      <c r="AV10" s="9"/>
      <c r="AW10" s="9"/>
      <c r="AX10" s="9"/>
      <c r="AY10" s="9"/>
      <c r="AZ10" s="9"/>
      <c r="BA10" s="9"/>
    </row>
    <row r="11" spans="1:56" ht="14.4" x14ac:dyDescent="0.3">
      <c r="B11" s="3" t="s">
        <v>46</v>
      </c>
      <c r="C11" s="1312" t="s">
        <v>47</v>
      </c>
      <c r="D11" s="1312"/>
      <c r="E11" s="1312">
        <v>85520</v>
      </c>
      <c r="F11" s="1312"/>
      <c r="G11" s="1312" t="s">
        <v>48</v>
      </c>
      <c r="H11" s="1312"/>
      <c r="I11" s="486" t="s">
        <v>36</v>
      </c>
      <c r="J11" s="486" t="s">
        <v>49</v>
      </c>
      <c r="K11" s="130" t="s">
        <v>50</v>
      </c>
      <c r="M11" s="19" t="s">
        <v>53</v>
      </c>
      <c r="N11" s="487" t="s">
        <v>12</v>
      </c>
      <c r="O11" s="21">
        <f>SUM(N12:N19)</f>
        <v>560</v>
      </c>
      <c r="P11" s="157" t="s">
        <v>13</v>
      </c>
      <c r="Q11" s="158">
        <f>SUM(P12:P19)</f>
        <v>530</v>
      </c>
      <c r="R11" s="159" t="s">
        <v>14</v>
      </c>
      <c r="S11" s="158">
        <f>SUM(R12:R19)</f>
        <v>720</v>
      </c>
      <c r="T11" s="159" t="s">
        <v>15</v>
      </c>
      <c r="U11" s="158">
        <f>SUM(T12:T19)</f>
        <v>680</v>
      </c>
      <c r="V11" s="159" t="s">
        <v>16</v>
      </c>
      <c r="W11" s="26">
        <f>SUM(V12:V19)</f>
        <v>560</v>
      </c>
      <c r="X11" s="488" t="s">
        <v>17</v>
      </c>
      <c r="Y11" s="28">
        <f>SUM(X12:X19)</f>
        <v>470</v>
      </c>
      <c r="Z11" s="29"/>
      <c r="AA11" s="161" t="s">
        <v>54</v>
      </c>
      <c r="AB11" s="162" t="s">
        <v>55</v>
      </c>
      <c r="AF11" s="150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6" ht="14.4" x14ac:dyDescent="0.3">
      <c r="A12" s="53" t="s">
        <v>12</v>
      </c>
      <c r="B12" s="144">
        <v>4.274</v>
      </c>
      <c r="C12" s="145">
        <v>4.2300000000000004</v>
      </c>
      <c r="D12" s="146" t="str">
        <f t="shared" ref="D12:D17" si="12">IF(ABS(K12-I12)&lt;ABS(C12-K12),$I$11,$C$11)</f>
        <v>RD</v>
      </c>
      <c r="E12" s="145">
        <v>4.24</v>
      </c>
      <c r="F12" s="146">
        <f t="shared" ref="F12:F17" si="13">IF(ABS(K12-I12)&lt;ABS(K12-E12),$I$11,$E$11)</f>
        <v>85520</v>
      </c>
      <c r="G12" s="145">
        <v>4.2699999999999996</v>
      </c>
      <c r="H12" s="146" t="str">
        <f t="shared" ref="H12:H17" si="14">IF(ABS(I12-K12)&lt;ABS(K12-G12),$I$11,$G$11)</f>
        <v>LLM</v>
      </c>
      <c r="I12" s="407">
        <f>(B2*O22)+(C2*O23)+(D2*O24)+(E2*O25)+(F2*O26)+(G2*O27)+(H2*O28)+(I2*O29)</f>
        <v>4.2651605415860736</v>
      </c>
      <c r="J12" s="408">
        <v>4.2324417515274897</v>
      </c>
      <c r="K12" s="468">
        <v>4.2080000000000002</v>
      </c>
      <c r="M12" s="410" t="str">
        <f t="shared" ref="M12:M19" si="15">M2</f>
        <v>O 5.2</v>
      </c>
      <c r="N12" s="489">
        <f t="shared" ref="N12:N19" si="16">IF(N2=0,0, LOOKUP(N2-0.000000000001,$AA$12:$AA$28,$AB$12:$AB$28))</f>
        <v>70</v>
      </c>
      <c r="O12" s="412">
        <f t="shared" ref="O12:O19" si="17">N12/$O$11</f>
        <v>0.125</v>
      </c>
      <c r="P12" s="413">
        <f t="shared" ref="P12:P19" si="18">IF(P2=0,0, LOOKUP(P2-0.000000000001,$AA$12:$AA$28,$AB$12:$AB$28))</f>
        <v>70</v>
      </c>
      <c r="Q12" s="414">
        <f t="shared" ref="Q12:Q19" si="19">P12/$Q$11</f>
        <v>0.13207547169811321</v>
      </c>
      <c r="R12" s="414">
        <f t="shared" ref="R12:R19" si="20">IF(R2=0,0, LOOKUP(R2-0.000000000001,$AA$12:$AA$28,$AB$12:$AB$28))</f>
        <v>95</v>
      </c>
      <c r="S12" s="414">
        <f t="shared" ref="S12:S19" si="21">R12/$S$11</f>
        <v>0.13194444444444445</v>
      </c>
      <c r="T12" s="414">
        <f t="shared" ref="T12:T19" si="22">IF(T2=0,0, LOOKUP(T2-0.000000000001,$AA$12:$AA$28,$AB$12:$AB$28))</f>
        <v>100</v>
      </c>
      <c r="U12" s="414">
        <f t="shared" ref="U12:U19" si="23">T12/$U$11</f>
        <v>0.14705882352941177</v>
      </c>
      <c r="V12" s="414">
        <f t="shared" ref="V12:V19" si="24">IF(V2=0,0, LOOKUP(V2-0.000000000001,$AA$12:$AA$28,$AB$12:$AB$28))</f>
        <v>70</v>
      </c>
      <c r="W12" s="415">
        <f t="shared" ref="W12:W19" si="25">V12/$W$11</f>
        <v>0.125</v>
      </c>
      <c r="X12" s="490">
        <f t="shared" ref="X12:X19" si="26">IF(X2=0,0, LOOKUP(X2-0.000000000001,$AA$12:$AA$28,$AB$12:$AB$28))</f>
        <v>60</v>
      </c>
      <c r="Y12" s="179">
        <f t="shared" ref="Y12:Y19" si="27">X12/$Y$11</f>
        <v>0.1276595744680851</v>
      </c>
      <c r="Z12" s="29"/>
      <c r="AA12" s="180">
        <v>1</v>
      </c>
      <c r="AB12" s="181">
        <v>0.1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6" ht="14.4" x14ac:dyDescent="0.3">
      <c r="A13" s="60" t="s">
        <v>13</v>
      </c>
      <c r="B13" s="469">
        <v>49240.99</v>
      </c>
      <c r="C13" s="61">
        <v>49286</v>
      </c>
      <c r="D13" s="152" t="str">
        <f t="shared" si="12"/>
        <v>RD</v>
      </c>
      <c r="E13" s="61">
        <v>49321.5907683595</v>
      </c>
      <c r="F13" s="152">
        <f t="shared" si="13"/>
        <v>85520</v>
      </c>
      <c r="G13" s="61">
        <v>49309</v>
      </c>
      <c r="H13" s="152" t="str">
        <f t="shared" si="14"/>
        <v>MICH</v>
      </c>
      <c r="I13" s="417">
        <f>(B3*Q22)+(C3*Q23)+(D3*Q24)+(E3*Q25)+(F3*Q26)+(G3*Q27)+(H3*Q28)+(I3*Q29)</f>
        <v>49269.03089928058</v>
      </c>
      <c r="J13" s="418">
        <v>49308.621527257499</v>
      </c>
      <c r="K13" s="470">
        <v>50115.87</v>
      </c>
      <c r="M13" s="420" t="str">
        <f t="shared" si="15"/>
        <v>Grok 4.1</v>
      </c>
      <c r="N13" s="489">
        <f t="shared" si="16"/>
        <v>70</v>
      </c>
      <c r="O13" s="412">
        <f t="shared" si="17"/>
        <v>0.125</v>
      </c>
      <c r="P13" s="413">
        <f t="shared" si="18"/>
        <v>70</v>
      </c>
      <c r="Q13" s="414">
        <f t="shared" si="19"/>
        <v>0.13207547169811321</v>
      </c>
      <c r="R13" s="414">
        <f t="shared" si="20"/>
        <v>95</v>
      </c>
      <c r="S13" s="414">
        <f t="shared" si="21"/>
        <v>0.13194444444444445</v>
      </c>
      <c r="T13" s="414">
        <f t="shared" si="22"/>
        <v>80</v>
      </c>
      <c r="U13" s="414">
        <f t="shared" si="23"/>
        <v>0.11764705882352941</v>
      </c>
      <c r="V13" s="414">
        <f t="shared" si="24"/>
        <v>70</v>
      </c>
      <c r="W13" s="415">
        <f t="shared" si="25"/>
        <v>0.125</v>
      </c>
      <c r="X13" s="490">
        <f t="shared" si="26"/>
        <v>60</v>
      </c>
      <c r="Y13" s="179">
        <f t="shared" si="27"/>
        <v>0.1276595744680851</v>
      </c>
      <c r="Z13" s="29"/>
      <c r="AA13" s="202">
        <v>80</v>
      </c>
      <c r="AB13" s="203">
        <v>1</v>
      </c>
      <c r="AG13" s="1314" t="s">
        <v>68</v>
      </c>
      <c r="AH13" s="1314"/>
      <c r="AJ13" s="4"/>
      <c r="AK13" s="1314" t="s">
        <v>69</v>
      </c>
      <c r="AL13" s="1314"/>
      <c r="AN13" s="9"/>
      <c r="AO13" s="186" t="s">
        <v>13</v>
      </c>
      <c r="AP13" s="187" t="str">
        <f>K11</f>
        <v xml:space="preserve">+3-day </v>
      </c>
      <c r="AQ13" s="33" t="s">
        <v>23</v>
      </c>
      <c r="AR13" s="33" t="s">
        <v>24</v>
      </c>
      <c r="AS13" s="33" t="s">
        <v>25</v>
      </c>
      <c r="AT13" s="188" t="s">
        <v>35</v>
      </c>
      <c r="AU13" s="189">
        <v>893</v>
      </c>
      <c r="AV13" s="190" t="s">
        <v>56</v>
      </c>
      <c r="AW13" s="191" t="s">
        <v>57</v>
      </c>
      <c r="AX13" s="192">
        <v>893</v>
      </c>
      <c r="BA13" s="9"/>
    </row>
    <row r="14" spans="1:56" ht="14.4" x14ac:dyDescent="0.3">
      <c r="A14" s="82" t="s">
        <v>14</v>
      </c>
      <c r="B14" s="471">
        <v>6917.81</v>
      </c>
      <c r="C14" s="83">
        <v>6912.6096934216703</v>
      </c>
      <c r="D14" s="168" t="str">
        <f t="shared" si="12"/>
        <v>LLM</v>
      </c>
      <c r="E14" s="83">
        <v>6916</v>
      </c>
      <c r="F14" s="168">
        <f t="shared" si="13"/>
        <v>85520</v>
      </c>
      <c r="G14" s="83">
        <v>6928</v>
      </c>
      <c r="H14" s="168" t="str">
        <f t="shared" si="14"/>
        <v>MICH</v>
      </c>
      <c r="I14" s="421">
        <f>(B4*S22)+(C4*S23)+(D4*S24)+(E4*S25)+(F4*S26)+(G4*S27)+(H4*S28)+(I4*S29)</f>
        <v>6915.0239089184051</v>
      </c>
      <c r="J14" s="422">
        <v>6912.2370646991603</v>
      </c>
      <c r="K14" s="472">
        <v>6932.31</v>
      </c>
      <c r="M14" s="420" t="str">
        <f t="shared" si="15"/>
        <v>Gemini Pro 3</v>
      </c>
      <c r="N14" s="489">
        <f t="shared" si="16"/>
        <v>75</v>
      </c>
      <c r="O14" s="412">
        <f t="shared" si="17"/>
        <v>0.13392857142857142</v>
      </c>
      <c r="P14" s="413">
        <f t="shared" si="18"/>
        <v>65</v>
      </c>
      <c r="Q14" s="414">
        <f t="shared" si="19"/>
        <v>0.12264150943396226</v>
      </c>
      <c r="R14" s="414">
        <f t="shared" si="20"/>
        <v>95</v>
      </c>
      <c r="S14" s="414">
        <f t="shared" si="21"/>
        <v>0.13194444444444445</v>
      </c>
      <c r="T14" s="414">
        <f t="shared" si="22"/>
        <v>95</v>
      </c>
      <c r="U14" s="414">
        <f t="shared" si="23"/>
        <v>0.13970588235294118</v>
      </c>
      <c r="V14" s="414">
        <f t="shared" si="24"/>
        <v>65</v>
      </c>
      <c r="W14" s="415">
        <f t="shared" si="25"/>
        <v>0.11607142857142858</v>
      </c>
      <c r="X14" s="490">
        <f t="shared" si="26"/>
        <v>60</v>
      </c>
      <c r="Y14" s="179">
        <f t="shared" si="27"/>
        <v>0.1276595744680851</v>
      </c>
      <c r="Z14" s="29"/>
      <c r="AA14" s="202">
        <v>82.5</v>
      </c>
      <c r="AB14" s="203">
        <v>2</v>
      </c>
      <c r="AF14" s="341" t="str">
        <f t="shared" ref="AF14:AF19" si="28">A2</f>
        <v>TNX</v>
      </c>
      <c r="AG14" s="342">
        <f t="shared" ref="AG14:AG19" si="29">C12</f>
        <v>4.2300000000000004</v>
      </c>
      <c r="AH14" s="57">
        <f t="shared" ref="AH14:AH19" si="30">100-ABS(($K12-AG14)/($K12))*100</f>
        <v>99.477186311787065</v>
      </c>
      <c r="AJ14" s="53" t="str">
        <f t="shared" ref="AJ14:AJ19" si="31">AF14</f>
        <v>TNX</v>
      </c>
      <c r="AK14" s="342">
        <f t="shared" ref="AK14:AK19" si="32">E12</f>
        <v>4.24</v>
      </c>
      <c r="AL14" s="57">
        <f t="shared" ref="AL14:AL19" si="33">100-ABS(($K12-AK14)/($K12))*100</f>
        <v>99.239543726235738</v>
      </c>
      <c r="AN14" s="9"/>
      <c r="AO14" s="9"/>
      <c r="AP14" s="187">
        <v>0</v>
      </c>
      <c r="AQ14" s="204">
        <f>AQ15/AT15</f>
        <v>0.92930571108622917</v>
      </c>
      <c r="AR14" s="204">
        <f>AR15/AT15</f>
        <v>0.88945042736898428</v>
      </c>
      <c r="AS14" s="204">
        <f>AS15/AT15</f>
        <v>0.90354983202687866</v>
      </c>
      <c r="AT14" s="187">
        <v>5</v>
      </c>
      <c r="AU14" s="205">
        <v>1</v>
      </c>
      <c r="AV14" s="190" t="s">
        <v>58</v>
      </c>
      <c r="AW14" s="191" t="s">
        <v>59</v>
      </c>
      <c r="AX14" s="206">
        <f>AU13/AP4</f>
        <v>1.7818706928563747E-2</v>
      </c>
      <c r="BA14" s="9"/>
    </row>
    <row r="15" spans="1:56" ht="14.4" x14ac:dyDescent="0.3">
      <c r="A15" s="82" t="s">
        <v>15</v>
      </c>
      <c r="B15" s="471">
        <v>17.940000000000001</v>
      </c>
      <c r="C15" s="93">
        <v>16.420000000000002</v>
      </c>
      <c r="D15" s="168" t="str">
        <f t="shared" si="12"/>
        <v>LLM</v>
      </c>
      <c r="E15" s="93">
        <v>16.666969413974201</v>
      </c>
      <c r="F15" s="168" t="str">
        <f t="shared" si="13"/>
        <v>LLM</v>
      </c>
      <c r="G15" s="93">
        <v>18.239999999999998</v>
      </c>
      <c r="H15" s="168" t="str">
        <f t="shared" si="14"/>
        <v>LLM</v>
      </c>
      <c r="I15" s="423">
        <f>(B5*U22)+(C5*U23)+(D5*U24)+(E5*U25)+(F5*U26)+(G5*U27)+(H5*U28)+(I5*U29)</f>
        <v>17.847184653118426</v>
      </c>
      <c r="J15" s="424">
        <v>17.7133002754966</v>
      </c>
      <c r="K15" s="472">
        <v>17.78</v>
      </c>
      <c r="M15" s="420" t="str">
        <f t="shared" si="15"/>
        <v>Claude</v>
      </c>
      <c r="N15" s="489">
        <f t="shared" si="16"/>
        <v>70</v>
      </c>
      <c r="O15" s="412">
        <f t="shared" si="17"/>
        <v>0.125</v>
      </c>
      <c r="P15" s="413">
        <f t="shared" si="18"/>
        <v>65</v>
      </c>
      <c r="Q15" s="414">
        <f t="shared" si="19"/>
        <v>0.12264150943396226</v>
      </c>
      <c r="R15" s="414">
        <f t="shared" si="20"/>
        <v>80</v>
      </c>
      <c r="S15" s="414">
        <f t="shared" si="21"/>
        <v>0.1111111111111111</v>
      </c>
      <c r="T15" s="414">
        <f t="shared" si="22"/>
        <v>90</v>
      </c>
      <c r="U15" s="414">
        <f t="shared" si="23"/>
        <v>0.13235294117647059</v>
      </c>
      <c r="V15" s="414">
        <f t="shared" si="24"/>
        <v>75</v>
      </c>
      <c r="W15" s="415">
        <f t="shared" si="25"/>
        <v>0.13392857142857142</v>
      </c>
      <c r="X15" s="490">
        <f t="shared" si="26"/>
        <v>50</v>
      </c>
      <c r="Y15" s="179">
        <f t="shared" si="27"/>
        <v>0.10638297872340426</v>
      </c>
      <c r="Z15" s="29"/>
      <c r="AA15" s="202">
        <v>85</v>
      </c>
      <c r="AB15" s="203">
        <v>5</v>
      </c>
      <c r="AF15" s="343" t="str">
        <f t="shared" si="28"/>
        <v>DJI</v>
      </c>
      <c r="AG15" s="344">
        <f t="shared" si="29"/>
        <v>49286</v>
      </c>
      <c r="AH15" s="78">
        <f t="shared" si="30"/>
        <v>98.34409738871139</v>
      </c>
      <c r="AJ15" s="60" t="str">
        <f t="shared" si="31"/>
        <v>DJI</v>
      </c>
      <c r="AK15" s="344">
        <f t="shared" si="32"/>
        <v>49321.5907683595</v>
      </c>
      <c r="AL15" s="78">
        <f t="shared" si="33"/>
        <v>98.415114350722632</v>
      </c>
      <c r="AN15" s="9"/>
      <c r="AO15" s="9"/>
      <c r="AP15" s="212">
        <v>0</v>
      </c>
      <c r="AQ15" s="213">
        <f>AQ4</f>
        <v>829.87000000000262</v>
      </c>
      <c r="AR15" s="213">
        <f>AR4</f>
        <v>794.27923164050299</v>
      </c>
      <c r="AS15" s="213">
        <f>AS4</f>
        <v>806.87000000000262</v>
      </c>
      <c r="AT15" s="213">
        <f>AU14*AU13</f>
        <v>893</v>
      </c>
      <c r="AV15" s="214"/>
      <c r="AW15" s="13"/>
      <c r="AX15" s="13"/>
      <c r="BA15" s="9"/>
    </row>
    <row r="16" spans="1:56" ht="14.4" x14ac:dyDescent="0.3">
      <c r="A16" s="99" t="s">
        <v>16</v>
      </c>
      <c r="B16" s="473">
        <v>616.52</v>
      </c>
      <c r="C16" s="100">
        <v>615</v>
      </c>
      <c r="D16" s="208" t="str">
        <f t="shared" si="12"/>
        <v>RD</v>
      </c>
      <c r="E16" s="100">
        <v>615.5</v>
      </c>
      <c r="F16" s="208">
        <f t="shared" si="13"/>
        <v>85520</v>
      </c>
      <c r="G16" s="100">
        <v>617.6</v>
      </c>
      <c r="H16" s="208" t="str">
        <f t="shared" si="14"/>
        <v>LLM</v>
      </c>
      <c r="I16" s="425">
        <f>(B6*W22)+(C6*W23)+(D6*W24)+(E6*W25)+(F6*W26)+(G6*W27)+(H6*W28)+(I6*W29)</f>
        <v>617.58840860215059</v>
      </c>
      <c r="J16" s="426">
        <v>619.29484494582698</v>
      </c>
      <c r="K16" s="474">
        <v>609.65</v>
      </c>
      <c r="M16" s="420" t="str">
        <f t="shared" si="15"/>
        <v>GLM-4.7</v>
      </c>
      <c r="N16" s="489">
        <f t="shared" si="16"/>
        <v>65</v>
      </c>
      <c r="O16" s="412">
        <f t="shared" si="17"/>
        <v>0.11607142857142858</v>
      </c>
      <c r="P16" s="413">
        <f t="shared" si="18"/>
        <v>65</v>
      </c>
      <c r="Q16" s="414">
        <f t="shared" si="19"/>
        <v>0.12264150943396226</v>
      </c>
      <c r="R16" s="414">
        <f t="shared" si="20"/>
        <v>90</v>
      </c>
      <c r="S16" s="414">
        <f t="shared" si="21"/>
        <v>0.125</v>
      </c>
      <c r="T16" s="414">
        <f t="shared" si="22"/>
        <v>80</v>
      </c>
      <c r="U16" s="414">
        <f t="shared" si="23"/>
        <v>0.11764705882352941</v>
      </c>
      <c r="V16" s="414">
        <f t="shared" si="24"/>
        <v>70</v>
      </c>
      <c r="W16" s="415">
        <f t="shared" si="25"/>
        <v>0.125</v>
      </c>
      <c r="X16" s="490">
        <f t="shared" si="26"/>
        <v>60</v>
      </c>
      <c r="Y16" s="179">
        <f t="shared" si="27"/>
        <v>0.1276595744680851</v>
      </c>
      <c r="Z16" s="29"/>
      <c r="AA16" s="202">
        <v>87.5</v>
      </c>
      <c r="AB16" s="203">
        <v>10</v>
      </c>
      <c r="AF16" s="345" t="str">
        <f t="shared" si="28"/>
        <v>SPX</v>
      </c>
      <c r="AG16" s="346">
        <f t="shared" si="29"/>
        <v>6912.6096934216703</v>
      </c>
      <c r="AH16" s="89">
        <f t="shared" si="30"/>
        <v>99.715819018792729</v>
      </c>
      <c r="AJ16" s="82" t="str">
        <f t="shared" si="31"/>
        <v>SPX</v>
      </c>
      <c r="AK16" s="346">
        <f t="shared" si="32"/>
        <v>6916</v>
      </c>
      <c r="AL16" s="89">
        <f t="shared" si="33"/>
        <v>99.764724889683237</v>
      </c>
      <c r="AN16" s="9"/>
      <c r="AO16" s="6"/>
      <c r="AP16" s="120"/>
      <c r="AQ16" s="120"/>
      <c r="AR16" s="120"/>
      <c r="AS16" s="120"/>
      <c r="AT16" s="120"/>
      <c r="AU16" s="120"/>
      <c r="AV16" s="190"/>
      <c r="AW16" s="221"/>
      <c r="AX16" s="222"/>
      <c r="BA16" s="9"/>
      <c r="BD16" s="8"/>
    </row>
    <row r="17" spans="1:55" ht="14.4" x14ac:dyDescent="0.3">
      <c r="A17" s="114" t="s">
        <v>17</v>
      </c>
      <c r="B17" s="475">
        <v>269.48</v>
      </c>
      <c r="C17" s="216">
        <v>270.3</v>
      </c>
      <c r="D17" s="217" t="str">
        <f t="shared" si="12"/>
        <v>LLM</v>
      </c>
      <c r="E17" s="216">
        <v>271.5</v>
      </c>
      <c r="F17" s="217">
        <f t="shared" si="13"/>
        <v>85520</v>
      </c>
      <c r="G17" s="216">
        <v>270.60000000000002</v>
      </c>
      <c r="H17" s="217" t="str">
        <f t="shared" si="14"/>
        <v>LLM</v>
      </c>
      <c r="I17" s="428">
        <f>(B7*Y22)+(C7*Y23)+(D7*Y24)+(E7*Y25)+(F7*Y26)+(G7*Y27)+(H7*Y28)+(I7*Y29)</f>
        <v>270.79621276595748</v>
      </c>
      <c r="J17" s="429">
        <v>269.80533539112099</v>
      </c>
      <c r="K17" s="476">
        <v>278.12</v>
      </c>
      <c r="M17" s="420" t="str">
        <f t="shared" si="15"/>
        <v>Kimi 2.5</v>
      </c>
      <c r="N17" s="489">
        <f t="shared" si="16"/>
        <v>70</v>
      </c>
      <c r="O17" s="412">
        <f t="shared" si="17"/>
        <v>0.125</v>
      </c>
      <c r="P17" s="413">
        <f t="shared" si="18"/>
        <v>65</v>
      </c>
      <c r="Q17" s="414">
        <f t="shared" si="19"/>
        <v>0.12264150943396226</v>
      </c>
      <c r="R17" s="414">
        <f t="shared" si="20"/>
        <v>95</v>
      </c>
      <c r="S17" s="414">
        <f t="shared" si="21"/>
        <v>0.13194444444444445</v>
      </c>
      <c r="T17" s="414">
        <f t="shared" si="22"/>
        <v>90</v>
      </c>
      <c r="U17" s="414">
        <f t="shared" si="23"/>
        <v>0.13235294117647059</v>
      </c>
      <c r="V17" s="414">
        <f t="shared" si="24"/>
        <v>70</v>
      </c>
      <c r="W17" s="415">
        <f t="shared" si="25"/>
        <v>0.125</v>
      </c>
      <c r="X17" s="490">
        <f t="shared" si="26"/>
        <v>60</v>
      </c>
      <c r="Y17" s="179">
        <f t="shared" si="27"/>
        <v>0.1276595744680851</v>
      </c>
      <c r="Z17" s="29"/>
      <c r="AA17" s="202">
        <v>90</v>
      </c>
      <c r="AB17" s="203">
        <v>20</v>
      </c>
      <c r="AF17" s="345" t="str">
        <f t="shared" si="28"/>
        <v>VIX</v>
      </c>
      <c r="AG17" s="347">
        <f t="shared" si="29"/>
        <v>16.420000000000002</v>
      </c>
      <c r="AH17" s="89">
        <f t="shared" si="30"/>
        <v>92.350956130483695</v>
      </c>
      <c r="AJ17" s="82" t="str">
        <f t="shared" si="31"/>
        <v>VIX</v>
      </c>
      <c r="AK17" s="347">
        <f t="shared" si="32"/>
        <v>16.666969413974201</v>
      </c>
      <c r="AL17" s="89">
        <f t="shared" si="33"/>
        <v>93.739985455422939</v>
      </c>
      <c r="AN17" s="9"/>
      <c r="AO17" s="186" t="s">
        <v>14</v>
      </c>
      <c r="AP17" s="187" t="str">
        <f>AP13</f>
        <v xml:space="preserve">+3-day </v>
      </c>
      <c r="AQ17" s="187" t="str">
        <f>AQ13</f>
        <v>User1</v>
      </c>
      <c r="AR17" s="187" t="str">
        <f>AR13</f>
        <v>User2</v>
      </c>
      <c r="AS17" s="187" t="str">
        <f>AS13</f>
        <v>User3</v>
      </c>
      <c r="AT17" s="188" t="s">
        <v>38</v>
      </c>
      <c r="AU17" s="227">
        <v>225.6</v>
      </c>
      <c r="AV17" s="190" t="str">
        <f>AV13</f>
        <v>TEST</v>
      </c>
      <c r="AW17" s="191" t="str">
        <f>AW13</f>
        <v>BEST =</v>
      </c>
      <c r="AX17" s="192">
        <v>225.6</v>
      </c>
      <c r="BA17" s="9"/>
    </row>
    <row r="18" spans="1:55" ht="14.4" x14ac:dyDescent="0.3">
      <c r="M18" s="420" t="str">
        <f t="shared" si="15"/>
        <v>Minimax 2.1</v>
      </c>
      <c r="N18" s="489">
        <f t="shared" si="16"/>
        <v>75</v>
      </c>
      <c r="O18" s="412">
        <f t="shared" si="17"/>
        <v>0.13392857142857142</v>
      </c>
      <c r="P18" s="413">
        <f t="shared" si="18"/>
        <v>65</v>
      </c>
      <c r="Q18" s="414">
        <f t="shared" si="19"/>
        <v>0.12264150943396226</v>
      </c>
      <c r="R18" s="414">
        <f t="shared" si="20"/>
        <v>75</v>
      </c>
      <c r="S18" s="414">
        <f t="shared" si="21"/>
        <v>0.10416666666666667</v>
      </c>
      <c r="T18" s="414">
        <f t="shared" si="22"/>
        <v>75</v>
      </c>
      <c r="U18" s="414">
        <f t="shared" si="23"/>
        <v>0.11029411764705882</v>
      </c>
      <c r="V18" s="414">
        <f t="shared" si="24"/>
        <v>70</v>
      </c>
      <c r="W18" s="415">
        <f t="shared" si="25"/>
        <v>0.125</v>
      </c>
      <c r="X18" s="490">
        <f t="shared" si="26"/>
        <v>60</v>
      </c>
      <c r="Y18" s="179">
        <f t="shared" si="27"/>
        <v>0.1276595744680851</v>
      </c>
      <c r="Z18" s="29"/>
      <c r="AA18" s="202">
        <v>92.5</v>
      </c>
      <c r="AB18" s="203">
        <v>30</v>
      </c>
      <c r="AF18" s="348" t="str">
        <f t="shared" si="28"/>
        <v>QQQ</v>
      </c>
      <c r="AG18" s="349">
        <f t="shared" si="29"/>
        <v>615</v>
      </c>
      <c r="AH18" s="107">
        <f t="shared" si="30"/>
        <v>99.122447305831216</v>
      </c>
      <c r="AJ18" s="99" t="str">
        <f t="shared" si="31"/>
        <v>QQQ</v>
      </c>
      <c r="AK18" s="349">
        <f t="shared" si="32"/>
        <v>615.5</v>
      </c>
      <c r="AL18" s="107">
        <f t="shared" si="33"/>
        <v>99.040433035348144</v>
      </c>
      <c r="AN18" s="9"/>
      <c r="AO18" s="9"/>
      <c r="AP18" s="187">
        <v>0</v>
      </c>
      <c r="AQ18" s="204">
        <f>AQ19/AT19</f>
        <v>8.732405398195979E-2</v>
      </c>
      <c r="AR18" s="204">
        <f>AR19/AT19</f>
        <v>7.2296099290781915E-2</v>
      </c>
      <c r="AS18" s="204">
        <f>AS19/AT19</f>
        <v>1.9104609929079787E-2</v>
      </c>
      <c r="AT18" s="187">
        <v>5</v>
      </c>
      <c r="AU18" s="229">
        <f>AU14</f>
        <v>1</v>
      </c>
      <c r="AV18" s="190" t="str">
        <f>AV14</f>
        <v>Scale</v>
      </c>
      <c r="AW18" s="191" t="str">
        <f>AW14</f>
        <v>RANGE  =</v>
      </c>
      <c r="AX18" s="206">
        <f>AU17/AP5</f>
        <v>3.2543264799179489E-2</v>
      </c>
      <c r="BA18" s="9"/>
    </row>
    <row r="19" spans="1:55" ht="14.4" x14ac:dyDescent="0.3">
      <c r="M19" s="431" t="str">
        <f t="shared" si="15"/>
        <v>LeChat</v>
      </c>
      <c r="N19" s="491">
        <f t="shared" si="16"/>
        <v>65</v>
      </c>
      <c r="O19" s="433">
        <f t="shared" si="17"/>
        <v>0.11607142857142858</v>
      </c>
      <c r="P19" s="434">
        <f t="shared" si="18"/>
        <v>65</v>
      </c>
      <c r="Q19" s="435">
        <f t="shared" si="19"/>
        <v>0.12264150943396226</v>
      </c>
      <c r="R19" s="435">
        <f t="shared" si="20"/>
        <v>95</v>
      </c>
      <c r="S19" s="435">
        <f t="shared" si="21"/>
        <v>0.13194444444444445</v>
      </c>
      <c r="T19" s="435">
        <f t="shared" si="22"/>
        <v>70</v>
      </c>
      <c r="U19" s="435">
        <f t="shared" si="23"/>
        <v>0.10294117647058823</v>
      </c>
      <c r="V19" s="435">
        <f t="shared" si="24"/>
        <v>70</v>
      </c>
      <c r="W19" s="436">
        <f t="shared" si="25"/>
        <v>0.125</v>
      </c>
      <c r="X19" s="492">
        <f t="shared" si="26"/>
        <v>60</v>
      </c>
      <c r="Y19" s="235">
        <f t="shared" si="27"/>
        <v>0.1276595744680851</v>
      </c>
      <c r="Z19" s="29"/>
      <c r="AA19" s="202">
        <v>95</v>
      </c>
      <c r="AB19" s="203">
        <v>40</v>
      </c>
      <c r="AF19" s="350" t="str">
        <f t="shared" si="28"/>
        <v>AAPL</v>
      </c>
      <c r="AG19" s="351">
        <f t="shared" si="29"/>
        <v>270.3</v>
      </c>
      <c r="AH19" s="118">
        <f t="shared" si="30"/>
        <v>97.188264058679707</v>
      </c>
      <c r="AJ19" s="114" t="str">
        <f t="shared" si="31"/>
        <v>AAPL</v>
      </c>
      <c r="AK19" s="351">
        <f t="shared" si="32"/>
        <v>271.5</v>
      </c>
      <c r="AL19" s="118">
        <f t="shared" si="33"/>
        <v>97.61973248957284</v>
      </c>
      <c r="AN19" s="9"/>
      <c r="AO19" s="9"/>
      <c r="AP19" s="212">
        <v>0</v>
      </c>
      <c r="AQ19" s="213">
        <f>AQ5</f>
        <v>19.700306578330128</v>
      </c>
      <c r="AR19" s="213">
        <f>AR5</f>
        <v>16.3100000000004</v>
      </c>
      <c r="AS19" s="213">
        <f>AS5</f>
        <v>4.3100000000004002</v>
      </c>
      <c r="AT19" s="213">
        <f>AU18*AU17</f>
        <v>225.6</v>
      </c>
      <c r="AV19" s="214"/>
      <c r="AW19" s="13"/>
      <c r="AX19" s="13"/>
      <c r="BA19" s="9"/>
    </row>
    <row r="20" spans="1:55" ht="14.4" x14ac:dyDescent="0.3">
      <c r="A20" s="2" t="s">
        <v>0</v>
      </c>
      <c r="B20" s="230" t="str">
        <f t="shared" ref="B20:B26" si="34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35">G11</f>
        <v>MICH</v>
      </c>
      <c r="H20" s="1312"/>
      <c r="I20" s="1313" t="s">
        <v>50</v>
      </c>
      <c r="J20" s="1313"/>
      <c r="AA20" s="202">
        <v>96</v>
      </c>
      <c r="AB20" s="203">
        <v>50</v>
      </c>
      <c r="AH20" s="9"/>
      <c r="AN20" s="9"/>
      <c r="AO20" s="9"/>
      <c r="AP20" s="120"/>
      <c r="AQ20" s="120"/>
      <c r="AR20" s="120"/>
      <c r="AS20" s="120"/>
      <c r="AT20" s="120"/>
      <c r="AU20" s="120"/>
      <c r="AV20" s="190"/>
      <c r="AW20" s="221"/>
      <c r="AX20" s="222"/>
      <c r="BA20" s="9"/>
    </row>
    <row r="21" spans="1:55" ht="14.4" x14ac:dyDescent="0.3">
      <c r="A21" s="35" t="s">
        <v>12</v>
      </c>
      <c r="B21" s="231">
        <f t="shared" si="34"/>
        <v>4.274</v>
      </c>
      <c r="C21" s="232">
        <f t="shared" ref="C21:C26" si="36">C12</f>
        <v>4.2300000000000004</v>
      </c>
      <c r="D21" s="146" t="str">
        <f t="shared" ref="D21:D26" si="37">CONCATENATE(TEXT(AI28,"0.00%"),"  ",AJ28)</f>
        <v>-1.03%  ↓</v>
      </c>
      <c r="E21" s="232">
        <f t="shared" ref="E21:E26" si="38">E12</f>
        <v>4.24</v>
      </c>
      <c r="F21" s="146" t="str">
        <f t="shared" ref="F21:F26" si="39">CONCATENATE(TEXT(AK28,"0.00%"),"  ",AL28)</f>
        <v>-0.80%  ↓</v>
      </c>
      <c r="G21" s="232">
        <f t="shared" si="35"/>
        <v>4.2699999999999996</v>
      </c>
      <c r="H21" s="146" t="str">
        <f t="shared" ref="H21:H26" si="40">CONCATENATE(TEXT(AM28,"0.00%"),"  ",AN28)</f>
        <v>-0.09%  ↓</v>
      </c>
      <c r="I21" s="438">
        <f t="shared" ref="I21:I26" si="41">K12</f>
        <v>4.2080000000000002</v>
      </c>
      <c r="J21" s="439" t="str">
        <f t="shared" ref="J21:J26" si="42">CONCATENATE(TEXT(AG28,"0.00%"),"  ",AH28)</f>
        <v>-1.54%  ↓</v>
      </c>
      <c r="M21" s="19" t="s">
        <v>60</v>
      </c>
      <c r="N21" s="253" t="s">
        <v>12</v>
      </c>
      <c r="O21" s="254">
        <f>SUM(N22:N29)</f>
        <v>646.25</v>
      </c>
      <c r="P21" s="255" t="s">
        <v>13</v>
      </c>
      <c r="Q21" s="256">
        <f>SUM(P22:P29)</f>
        <v>695</v>
      </c>
      <c r="R21" s="257" t="s">
        <v>14</v>
      </c>
      <c r="S21" s="256">
        <f>SUM(R22:R29)</f>
        <v>658.75</v>
      </c>
      <c r="T21" s="257" t="s">
        <v>15</v>
      </c>
      <c r="U21" s="256">
        <f>SUM(T22:T29)</f>
        <v>142.70000000000002</v>
      </c>
      <c r="V21" s="257" t="s">
        <v>16</v>
      </c>
      <c r="W21" s="258">
        <f>SUM(V22:V29)</f>
        <v>581.25</v>
      </c>
      <c r="X21" s="259" t="s">
        <v>17</v>
      </c>
      <c r="Y21" s="28">
        <f>SUM(X22:X29)</f>
        <v>587.5</v>
      </c>
      <c r="Z21" s="29"/>
      <c r="AA21" s="202">
        <v>97</v>
      </c>
      <c r="AB21" s="203">
        <v>60</v>
      </c>
      <c r="AF21" s="1310" t="s">
        <v>44</v>
      </c>
      <c r="AG21" s="1310"/>
      <c r="AH21" s="126">
        <f>AVERAGE(AH15:AH18)</f>
        <v>97.383329960954754</v>
      </c>
      <c r="AJ21" s="1310" t="s">
        <v>44</v>
      </c>
      <c r="AK21" s="1310"/>
      <c r="AL21" s="126">
        <f>AVERAGE(AL15:AL18)</f>
        <v>97.740064432794242</v>
      </c>
      <c r="AN21" s="9"/>
      <c r="AO21" s="186" t="s">
        <v>15</v>
      </c>
      <c r="AP21" s="187" t="str">
        <f>AP17</f>
        <v xml:space="preserve">+3-day </v>
      </c>
      <c r="AQ21" s="187" t="str">
        <f>AQ17</f>
        <v>User1</v>
      </c>
      <c r="AR21" s="187" t="str">
        <f>AR17</f>
        <v>User2</v>
      </c>
      <c r="AS21" s="187" t="str">
        <f>AS17</f>
        <v>User3</v>
      </c>
      <c r="AT21" s="188" t="s">
        <v>40</v>
      </c>
      <c r="AU21" s="247">
        <v>3.3</v>
      </c>
      <c r="AV21" s="190" t="str">
        <f>AV17</f>
        <v>TEST</v>
      </c>
      <c r="AW21" s="191" t="str">
        <f>AW17</f>
        <v>BEST =</v>
      </c>
      <c r="AX21" s="192">
        <v>3.3</v>
      </c>
      <c r="BA21" s="9"/>
    </row>
    <row r="22" spans="1:55" ht="14.4" x14ac:dyDescent="0.3">
      <c r="A22" s="60" t="s">
        <v>13</v>
      </c>
      <c r="B22" s="477">
        <f t="shared" si="34"/>
        <v>49240.99</v>
      </c>
      <c r="C22" s="237">
        <f t="shared" si="36"/>
        <v>49286</v>
      </c>
      <c r="D22" s="152" t="str">
        <f t="shared" si="37"/>
        <v>0.09%  ↑</v>
      </c>
      <c r="E22" s="237">
        <f t="shared" si="38"/>
        <v>49321.5907683595</v>
      </c>
      <c r="F22" s="152" t="str">
        <f t="shared" si="39"/>
        <v>0.16%  ↑</v>
      </c>
      <c r="G22" s="237">
        <f t="shared" si="35"/>
        <v>49309</v>
      </c>
      <c r="H22" s="152" t="str">
        <f t="shared" si="40"/>
        <v>0.14%  ↑</v>
      </c>
      <c r="I22" s="440">
        <f t="shared" si="41"/>
        <v>50115.87</v>
      </c>
      <c r="J22" s="441" t="str">
        <f t="shared" si="42"/>
        <v>1.78%  ↑</v>
      </c>
      <c r="M22" s="410" t="str">
        <f t="shared" ref="M22:M29" si="43">M12</f>
        <v>O 5.2</v>
      </c>
      <c r="N22" s="442">
        <v>83.75</v>
      </c>
      <c r="O22" s="443">
        <f t="shared" ref="O22:O29" si="44">N22/$O$21</f>
        <v>0.12959381044487428</v>
      </c>
      <c r="P22" s="444">
        <v>87.5</v>
      </c>
      <c r="Q22" s="445">
        <f t="shared" ref="Q22:Q29" si="45">P22/$Q$21</f>
        <v>0.12589928057553956</v>
      </c>
      <c r="R22" s="445">
        <v>83.75</v>
      </c>
      <c r="S22" s="445">
        <f t="shared" ref="S22:S29" si="46">R22/$S$21</f>
        <v>0.12713472485768501</v>
      </c>
      <c r="T22" s="445">
        <v>15.025</v>
      </c>
      <c r="U22" s="445">
        <f t="shared" ref="U22:U29" si="47">T22/$U$21</f>
        <v>0.10529081990189207</v>
      </c>
      <c r="V22" s="445">
        <v>75</v>
      </c>
      <c r="W22" s="446">
        <f t="shared" ref="W22:W29" si="48">V22/$W$21</f>
        <v>0.12903225806451613</v>
      </c>
      <c r="X22" s="447">
        <v>70</v>
      </c>
      <c r="Y22" s="48">
        <f t="shared" ref="Y22:Y29" si="49">X22/$Y$21</f>
        <v>0.11914893617021277</v>
      </c>
      <c r="Z22" s="29"/>
      <c r="AA22" s="202">
        <v>98</v>
      </c>
      <c r="AB22" s="203">
        <v>65</v>
      </c>
      <c r="AF22" s="1311" t="s">
        <v>51</v>
      </c>
      <c r="AG22" s="1311"/>
      <c r="AH22" s="142">
        <f>AVERAGE(AH14:AH19)</f>
        <v>97.699795035714303</v>
      </c>
      <c r="AJ22" s="1311" t="s">
        <v>51</v>
      </c>
      <c r="AK22" s="1311"/>
      <c r="AL22" s="142">
        <f>AVERAGE(AL14:AL19)</f>
        <v>97.969922324497588</v>
      </c>
      <c r="AN22" s="9"/>
      <c r="AO22" s="9"/>
      <c r="AP22" s="187">
        <v>0</v>
      </c>
      <c r="AQ22" s="204">
        <f>AQ23/AT23</f>
        <v>0.41212121212121194</v>
      </c>
      <c r="AR22" s="204">
        <f>AR23/AT23</f>
        <v>0.33728199576539414</v>
      </c>
      <c r="AS22" s="204">
        <f>AS23/AT23</f>
        <v>0.13939393939393857</v>
      </c>
      <c r="AT22" s="187">
        <v>5</v>
      </c>
      <c r="AU22" s="229">
        <f>AU18</f>
        <v>1</v>
      </c>
      <c r="AV22" s="190" t="str">
        <f>AV18</f>
        <v>Scale</v>
      </c>
      <c r="AW22" s="191" t="str">
        <f>AW18</f>
        <v>RANGE  =</v>
      </c>
      <c r="AX22" s="206">
        <f>AU21/AP6</f>
        <v>0.18560179977502811</v>
      </c>
      <c r="BA22" s="120"/>
      <c r="BB22" s="251"/>
      <c r="BC22" s="251"/>
    </row>
    <row r="23" spans="1:55" ht="14.4" x14ac:dyDescent="0.3">
      <c r="A23" s="82" t="s">
        <v>14</v>
      </c>
      <c r="B23" s="478">
        <f t="shared" si="34"/>
        <v>6917.81</v>
      </c>
      <c r="C23" s="249">
        <f t="shared" si="36"/>
        <v>6912.6096934216703</v>
      </c>
      <c r="D23" s="168" t="str">
        <f t="shared" si="37"/>
        <v>-0.08%  ↓</v>
      </c>
      <c r="E23" s="249">
        <f t="shared" si="38"/>
        <v>6916</v>
      </c>
      <c r="F23" s="168" t="str">
        <f t="shared" si="39"/>
        <v>-0.03%  ↓</v>
      </c>
      <c r="G23" s="249">
        <f t="shared" si="35"/>
        <v>6928</v>
      </c>
      <c r="H23" s="168" t="str">
        <f t="shared" si="40"/>
        <v>0.15%  ↑</v>
      </c>
      <c r="I23" s="448">
        <f t="shared" si="41"/>
        <v>6932.31</v>
      </c>
      <c r="J23" s="441" t="str">
        <f t="shared" si="42"/>
        <v>0.21%  ↑</v>
      </c>
      <c r="M23" s="420" t="str">
        <f t="shared" si="43"/>
        <v>Grok 4.1</v>
      </c>
      <c r="N23" s="442">
        <v>78.75</v>
      </c>
      <c r="O23" s="443">
        <f t="shared" si="44"/>
        <v>0.1218568665377176</v>
      </c>
      <c r="P23" s="444">
        <v>85</v>
      </c>
      <c r="Q23" s="445">
        <f t="shared" si="45"/>
        <v>0.1223021582733813</v>
      </c>
      <c r="R23" s="445">
        <v>82.5</v>
      </c>
      <c r="S23" s="445">
        <f t="shared" si="46"/>
        <v>0.1252371916508539</v>
      </c>
      <c r="T23" s="445">
        <v>15.025</v>
      </c>
      <c r="U23" s="445">
        <f t="shared" si="47"/>
        <v>0.10529081990189207</v>
      </c>
      <c r="V23" s="445">
        <v>71.25</v>
      </c>
      <c r="W23" s="446">
        <f t="shared" si="48"/>
        <v>0.12258064516129032</v>
      </c>
      <c r="X23" s="447">
        <v>66.25</v>
      </c>
      <c r="Y23" s="48">
        <f t="shared" si="49"/>
        <v>0.11276595744680851</v>
      </c>
      <c r="Z23" s="29"/>
      <c r="AA23" s="202">
        <v>98.5</v>
      </c>
      <c r="AB23" s="203">
        <v>70</v>
      </c>
      <c r="AI23" s="449"/>
      <c r="AN23" s="9"/>
      <c r="AO23" s="6"/>
      <c r="AP23" s="212">
        <v>0</v>
      </c>
      <c r="AQ23" s="213">
        <f>AQ6</f>
        <v>1.3599999999999994</v>
      </c>
      <c r="AR23" s="213">
        <f>AR6</f>
        <v>1.1130305860258005</v>
      </c>
      <c r="AS23" s="213">
        <f>AS6</f>
        <v>0.4599999999999973</v>
      </c>
      <c r="AT23" s="213">
        <f>AU22*AU21</f>
        <v>3.3</v>
      </c>
      <c r="AV23" s="214"/>
      <c r="AW23" s="13"/>
      <c r="AX23" s="13"/>
      <c r="BA23" s="9"/>
    </row>
    <row r="24" spans="1:55" ht="14.4" x14ac:dyDescent="0.3">
      <c r="A24" s="82" t="s">
        <v>15</v>
      </c>
      <c r="B24" s="478">
        <f t="shared" si="34"/>
        <v>17.940000000000001</v>
      </c>
      <c r="C24" s="252">
        <f t="shared" si="36"/>
        <v>16.420000000000002</v>
      </c>
      <c r="D24" s="168" t="str">
        <f t="shared" si="37"/>
        <v>-8.47%  ↓</v>
      </c>
      <c r="E24" s="252">
        <f t="shared" si="38"/>
        <v>16.666969413974201</v>
      </c>
      <c r="F24" s="168" t="str">
        <f t="shared" si="39"/>
        <v>-7.10%  ↓</v>
      </c>
      <c r="G24" s="252">
        <f t="shared" si="35"/>
        <v>18.239999999999998</v>
      </c>
      <c r="H24" s="168" t="str">
        <f t="shared" si="40"/>
        <v>1.67%  ↑</v>
      </c>
      <c r="I24" s="448">
        <f t="shared" si="41"/>
        <v>17.78</v>
      </c>
      <c r="J24" s="441" t="str">
        <f t="shared" si="42"/>
        <v>-0.89%  ↓</v>
      </c>
      <c r="M24" s="420" t="str">
        <f t="shared" si="43"/>
        <v>Gemini Pro 3</v>
      </c>
      <c r="N24" s="442">
        <v>81.25</v>
      </c>
      <c r="O24" s="443">
        <f t="shared" si="44"/>
        <v>0.12572533849129594</v>
      </c>
      <c r="P24" s="444">
        <v>86.25</v>
      </c>
      <c r="Q24" s="445">
        <f t="shared" si="45"/>
        <v>0.12410071942446044</v>
      </c>
      <c r="R24" s="445">
        <v>82.5</v>
      </c>
      <c r="S24" s="445">
        <f t="shared" si="46"/>
        <v>0.1252371916508539</v>
      </c>
      <c r="T24" s="445">
        <v>22.524999999999999</v>
      </c>
      <c r="U24" s="445">
        <f t="shared" si="47"/>
        <v>0.1578486334968465</v>
      </c>
      <c r="V24" s="445">
        <v>71.25</v>
      </c>
      <c r="W24" s="446">
        <f t="shared" si="48"/>
        <v>0.12258064516129032</v>
      </c>
      <c r="X24" s="447">
        <v>63.75</v>
      </c>
      <c r="Y24" s="48">
        <f t="shared" si="49"/>
        <v>0.10851063829787234</v>
      </c>
      <c r="Z24" s="29"/>
      <c r="AA24" s="202">
        <v>99</v>
      </c>
      <c r="AB24" s="203">
        <v>75</v>
      </c>
      <c r="AI24" s="449"/>
      <c r="AM24" s="450"/>
      <c r="AN24" s="9"/>
      <c r="AO24" s="9"/>
      <c r="AP24" s="120"/>
      <c r="AQ24" s="120"/>
      <c r="AR24" s="120"/>
      <c r="AS24" s="120"/>
      <c r="AT24" s="120"/>
      <c r="AU24" s="120"/>
      <c r="AV24" s="190"/>
      <c r="AW24" s="221"/>
      <c r="AX24" s="222"/>
      <c r="BA24" s="9"/>
    </row>
    <row r="25" spans="1:55" ht="14.4" x14ac:dyDescent="0.3">
      <c r="A25" s="99" t="s">
        <v>16</v>
      </c>
      <c r="B25" s="479">
        <f t="shared" si="34"/>
        <v>616.52</v>
      </c>
      <c r="C25" s="261">
        <f t="shared" si="36"/>
        <v>615</v>
      </c>
      <c r="D25" s="208" t="str">
        <f t="shared" si="37"/>
        <v>-0.25%  ↓</v>
      </c>
      <c r="E25" s="261">
        <f t="shared" si="38"/>
        <v>615.5</v>
      </c>
      <c r="F25" s="208" t="str">
        <f t="shared" si="39"/>
        <v>-0.17%  ↓</v>
      </c>
      <c r="G25" s="261">
        <f t="shared" si="35"/>
        <v>617.6</v>
      </c>
      <c r="H25" s="208" t="str">
        <f t="shared" si="40"/>
        <v>0.18%  ↑</v>
      </c>
      <c r="I25" s="451">
        <f t="shared" si="41"/>
        <v>609.65</v>
      </c>
      <c r="J25" s="441" t="str">
        <f t="shared" si="42"/>
        <v>-1.11%  ↓</v>
      </c>
      <c r="M25" s="420" t="str">
        <f t="shared" si="43"/>
        <v>Claude</v>
      </c>
      <c r="N25" s="442">
        <v>82.5</v>
      </c>
      <c r="O25" s="443">
        <f t="shared" si="44"/>
        <v>0.1276595744680851</v>
      </c>
      <c r="P25" s="444">
        <v>86.25</v>
      </c>
      <c r="Q25" s="445">
        <f t="shared" si="45"/>
        <v>0.12410071942446044</v>
      </c>
      <c r="R25" s="445">
        <v>82.5</v>
      </c>
      <c r="S25" s="445">
        <f t="shared" si="46"/>
        <v>0.1252371916508539</v>
      </c>
      <c r="T25" s="445">
        <v>20.024999999999999</v>
      </c>
      <c r="U25" s="445">
        <f t="shared" si="47"/>
        <v>0.14032936229852835</v>
      </c>
      <c r="V25" s="445">
        <v>71.25</v>
      </c>
      <c r="W25" s="446">
        <f t="shared" si="48"/>
        <v>0.12258064516129032</v>
      </c>
      <c r="X25" s="447">
        <v>73.75</v>
      </c>
      <c r="Y25" s="48">
        <f t="shared" si="49"/>
        <v>0.12553191489361701</v>
      </c>
      <c r="Z25" s="29"/>
      <c r="AA25" s="202">
        <v>99.25</v>
      </c>
      <c r="AB25" s="203">
        <v>80</v>
      </c>
      <c r="AI25" s="4"/>
      <c r="AK25" s="4"/>
      <c r="AM25" s="4"/>
      <c r="AN25" s="9"/>
      <c r="AO25" s="186" t="s">
        <v>16</v>
      </c>
      <c r="AP25" s="187" t="str">
        <f>AP21</f>
        <v xml:space="preserve">+3-day </v>
      </c>
      <c r="AQ25" s="187" t="str">
        <f>AQ21</f>
        <v>User1</v>
      </c>
      <c r="AR25" s="187" t="str">
        <f>AR21</f>
        <v>User2</v>
      </c>
      <c r="AS25" s="187" t="str">
        <f>AS21</f>
        <v>User3</v>
      </c>
      <c r="AT25" s="188" t="s">
        <v>43</v>
      </c>
      <c r="AU25" s="247">
        <v>16</v>
      </c>
      <c r="AV25" s="190" t="str">
        <f>AV21</f>
        <v>TEST</v>
      </c>
      <c r="AW25" s="191" t="str">
        <f>AW21</f>
        <v>BEST =</v>
      </c>
      <c r="AX25" s="192">
        <v>16</v>
      </c>
      <c r="BA25" s="9"/>
    </row>
    <row r="26" spans="1:55" ht="14.4" x14ac:dyDescent="0.3">
      <c r="A26" s="109" t="s">
        <v>17</v>
      </c>
      <c r="B26" s="480">
        <f t="shared" si="34"/>
        <v>269.48</v>
      </c>
      <c r="C26" s="274">
        <f t="shared" si="36"/>
        <v>270.3</v>
      </c>
      <c r="D26" s="217" t="str">
        <f t="shared" si="37"/>
        <v>0.30%  ↑</v>
      </c>
      <c r="E26" s="274">
        <f t="shared" si="38"/>
        <v>271.5</v>
      </c>
      <c r="F26" s="217" t="str">
        <f t="shared" si="39"/>
        <v>0.75%  ↑</v>
      </c>
      <c r="G26" s="274">
        <f t="shared" si="35"/>
        <v>270.60000000000002</v>
      </c>
      <c r="H26" s="217" t="str">
        <f t="shared" si="40"/>
        <v>0.42%  ↑</v>
      </c>
      <c r="I26" s="452">
        <f t="shared" si="41"/>
        <v>278.12</v>
      </c>
      <c r="J26" s="453" t="str">
        <f t="shared" si="42"/>
        <v>3.21%  ↑</v>
      </c>
      <c r="M26" s="420" t="str">
        <f t="shared" si="43"/>
        <v>GLM-4.7</v>
      </c>
      <c r="N26" s="442">
        <v>81.25</v>
      </c>
      <c r="O26" s="443">
        <f t="shared" si="44"/>
        <v>0.12572533849129594</v>
      </c>
      <c r="P26" s="444">
        <v>86.25</v>
      </c>
      <c r="Q26" s="445">
        <f t="shared" si="45"/>
        <v>0.12410071942446044</v>
      </c>
      <c r="R26" s="445">
        <v>83.75</v>
      </c>
      <c r="S26" s="445">
        <f t="shared" si="46"/>
        <v>0.12713472485768501</v>
      </c>
      <c r="T26" s="445">
        <v>15.025</v>
      </c>
      <c r="U26" s="445">
        <f t="shared" si="47"/>
        <v>0.10529081990189207</v>
      </c>
      <c r="V26" s="445">
        <v>75</v>
      </c>
      <c r="W26" s="446">
        <f t="shared" si="48"/>
        <v>0.12903225806451613</v>
      </c>
      <c r="X26" s="447">
        <v>77.5</v>
      </c>
      <c r="Y26" s="48">
        <f t="shared" si="49"/>
        <v>0.13191489361702127</v>
      </c>
      <c r="Z26" s="29"/>
      <c r="AA26" s="202">
        <v>99.5</v>
      </c>
      <c r="AB26" s="203">
        <v>90</v>
      </c>
      <c r="AI26" s="4"/>
      <c r="AK26" s="4"/>
      <c r="AM26" s="4"/>
      <c r="AN26" s="9"/>
      <c r="AO26" s="9"/>
      <c r="AP26" s="187">
        <v>0</v>
      </c>
      <c r="AQ26" s="204">
        <f>AQ27/AT27</f>
        <v>0.33437500000000142</v>
      </c>
      <c r="AR26" s="204">
        <f>AR27/AT27</f>
        <v>0.36562500000000142</v>
      </c>
      <c r="AS26" s="204">
        <f>AS27/AT27</f>
        <v>0.49687500000000284</v>
      </c>
      <c r="AT26" s="187">
        <v>5</v>
      </c>
      <c r="AU26" s="229">
        <f>AU22</f>
        <v>1</v>
      </c>
      <c r="AV26" s="190" t="str">
        <f>AV22</f>
        <v>Scale</v>
      </c>
      <c r="AW26" s="191" t="str">
        <f>AW22</f>
        <v>RANGE  =</v>
      </c>
      <c r="AX26" s="206">
        <f>AU25/AP7</f>
        <v>2.6244566554580497E-2</v>
      </c>
      <c r="BA26" s="9"/>
    </row>
    <row r="27" spans="1:55" ht="14.4" x14ac:dyDescent="0.3">
      <c r="M27" s="420" t="str">
        <f t="shared" si="43"/>
        <v>Kimi 2.5</v>
      </c>
      <c r="N27" s="442">
        <v>81.25</v>
      </c>
      <c r="O27" s="443">
        <f t="shared" si="44"/>
        <v>0.12572533849129594</v>
      </c>
      <c r="P27" s="444">
        <v>86.25</v>
      </c>
      <c r="Q27" s="445">
        <f t="shared" si="45"/>
        <v>0.12410071942446044</v>
      </c>
      <c r="R27" s="445">
        <v>81.25</v>
      </c>
      <c r="S27" s="445">
        <f t="shared" si="46"/>
        <v>0.12333965844402277</v>
      </c>
      <c r="T27" s="445">
        <v>15.025</v>
      </c>
      <c r="U27" s="445">
        <f t="shared" si="47"/>
        <v>0.10529081990189207</v>
      </c>
      <c r="V27" s="445">
        <v>71.25</v>
      </c>
      <c r="W27" s="446">
        <f t="shared" si="48"/>
        <v>0.12258064516129032</v>
      </c>
      <c r="X27" s="447">
        <v>82.5</v>
      </c>
      <c r="Y27" s="48">
        <f t="shared" si="49"/>
        <v>0.14042553191489363</v>
      </c>
      <c r="Z27" s="29"/>
      <c r="AA27" s="202">
        <v>99.75</v>
      </c>
      <c r="AB27" s="203">
        <v>95</v>
      </c>
      <c r="AI27" s="4"/>
      <c r="AK27" s="4"/>
      <c r="AM27" s="4"/>
      <c r="AN27" s="9"/>
      <c r="AO27" s="9"/>
      <c r="AP27" s="212">
        <v>0</v>
      </c>
      <c r="AQ27" s="213">
        <f>AQ7</f>
        <v>5.3500000000000227</v>
      </c>
      <c r="AR27" s="213">
        <f>AR7</f>
        <v>5.8500000000000227</v>
      </c>
      <c r="AS27" s="213">
        <f>AS7</f>
        <v>7.9500000000000455</v>
      </c>
      <c r="AT27" s="213">
        <f>AU26*AU25</f>
        <v>16</v>
      </c>
      <c r="BA27" s="9"/>
    </row>
    <row r="28" spans="1:55" ht="14.25" customHeight="1" x14ac:dyDescent="0.3">
      <c r="M28" s="420" t="str">
        <f t="shared" si="43"/>
        <v>Minimax 2.1</v>
      </c>
      <c r="N28" s="442">
        <v>77.5</v>
      </c>
      <c r="O28" s="443">
        <f t="shared" si="44"/>
        <v>0.11992263056092843</v>
      </c>
      <c r="P28" s="444">
        <v>87.5</v>
      </c>
      <c r="Q28" s="445">
        <f t="shared" si="45"/>
        <v>0.12589928057553956</v>
      </c>
      <c r="R28" s="445">
        <v>82.5</v>
      </c>
      <c r="S28" s="445">
        <f t="shared" si="46"/>
        <v>0.1252371916508539</v>
      </c>
      <c r="T28" s="445">
        <v>17.524999999999999</v>
      </c>
      <c r="U28" s="445">
        <f t="shared" si="47"/>
        <v>0.12281009110021021</v>
      </c>
      <c r="V28" s="445">
        <v>70</v>
      </c>
      <c r="W28" s="446">
        <f t="shared" si="48"/>
        <v>0.12043010752688173</v>
      </c>
      <c r="X28" s="447">
        <v>70</v>
      </c>
      <c r="Y28" s="48">
        <f t="shared" si="49"/>
        <v>0.11914893617021277</v>
      </c>
      <c r="Z28" s="29"/>
      <c r="AA28" s="299">
        <v>99.99</v>
      </c>
      <c r="AB28" s="300">
        <v>100</v>
      </c>
      <c r="AF28" s="1315" t="str">
        <f>B20</f>
        <v>Close YF</v>
      </c>
      <c r="AG28" s="163">
        <f t="shared" ref="AG28:AG33" si="50">(I21-B21)/B21</f>
        <v>-1.5442208703790322E-2</v>
      </c>
      <c r="AH28" s="164" t="str">
        <f>IF(K12-B21&gt;0,"↑","↓")</f>
        <v>↓</v>
      </c>
      <c r="AI28" s="165">
        <f t="shared" ref="AI28:AI33" si="51">(C21-B21)/B21</f>
        <v>-1.0294805802526811E-2</v>
      </c>
      <c r="AJ28" s="166" t="str">
        <f t="shared" ref="AJ28:AJ33" si="52">IF(C21-B21&gt;0,"↑","↓")</f>
        <v>↓</v>
      </c>
      <c r="AK28" s="163">
        <f t="shared" ref="AK28:AK33" si="53">(E21-B21)/B21</f>
        <v>-7.955077211043474E-3</v>
      </c>
      <c r="AL28" s="164" t="str">
        <f t="shared" ref="AL28:AL33" si="54">IF(E21-B21&gt;0,"↑","↓")</f>
        <v>↓</v>
      </c>
      <c r="AM28" s="163">
        <f t="shared" ref="AM28:AM33" si="55">(G21-B21)/B21</f>
        <v>-9.3589143659345995E-4</v>
      </c>
      <c r="AN28" s="164" t="str">
        <f t="shared" ref="AN28:AN33" si="56">IF(G21-B21&gt;0,"↑","↓")</f>
        <v>↓</v>
      </c>
      <c r="AP28" s="120"/>
      <c r="AQ28" s="120"/>
      <c r="AR28" s="120"/>
      <c r="AS28" s="120"/>
      <c r="AT28" s="120"/>
      <c r="AU28" s="251"/>
      <c r="AV28" s="251"/>
      <c r="AW28" s="295"/>
      <c r="AX28" s="296"/>
      <c r="AY28" s="297"/>
    </row>
    <row r="29" spans="1:55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57">G20</f>
        <v>MICH</v>
      </c>
      <c r="H29" s="1312"/>
      <c r="I29" s="1313" t="s">
        <v>50</v>
      </c>
      <c r="J29" s="1313"/>
      <c r="M29" s="431" t="str">
        <f t="shared" si="43"/>
        <v>LeChat</v>
      </c>
      <c r="N29" s="454">
        <v>80</v>
      </c>
      <c r="O29" s="455">
        <f t="shared" si="44"/>
        <v>0.12379110251450677</v>
      </c>
      <c r="P29" s="456">
        <v>90</v>
      </c>
      <c r="Q29" s="457">
        <f t="shared" si="45"/>
        <v>0.12949640287769784</v>
      </c>
      <c r="R29" s="457">
        <v>80</v>
      </c>
      <c r="S29" s="457">
        <f t="shared" si="46"/>
        <v>0.12144212523719165</v>
      </c>
      <c r="T29" s="457">
        <v>22.524999999999999</v>
      </c>
      <c r="U29" s="457">
        <f t="shared" si="47"/>
        <v>0.1578486334968465</v>
      </c>
      <c r="V29" s="457">
        <v>76.25</v>
      </c>
      <c r="W29" s="458">
        <f t="shared" si="48"/>
        <v>0.13118279569892474</v>
      </c>
      <c r="X29" s="459">
        <v>83.75</v>
      </c>
      <c r="Y29" s="124">
        <f t="shared" si="49"/>
        <v>0.14255319148936171</v>
      </c>
      <c r="Z29" s="29"/>
      <c r="AF29" s="1315"/>
      <c r="AG29" s="182">
        <f t="shared" si="50"/>
        <v>1.7767311339597452E-2</v>
      </c>
      <c r="AH29" s="183" t="str">
        <f>IF(I22-B22&gt;0,"↑","↓")</f>
        <v>↑</v>
      </c>
      <c r="AI29" s="184">
        <f t="shared" si="51"/>
        <v>9.1407585428323105E-4</v>
      </c>
      <c r="AJ29" s="185" t="str">
        <f t="shared" si="52"/>
        <v>↑</v>
      </c>
      <c r="AK29" s="182">
        <f t="shared" si="53"/>
        <v>1.636863279140035E-3</v>
      </c>
      <c r="AL29" s="183" t="str">
        <f t="shared" si="54"/>
        <v>↑</v>
      </c>
      <c r="AM29" s="182">
        <f t="shared" si="55"/>
        <v>1.3811663819107219E-3</v>
      </c>
      <c r="AN29" s="183" t="str">
        <f t="shared" si="56"/>
        <v>↑</v>
      </c>
      <c r="AP29" s="120"/>
      <c r="AQ29" s="305" t="s">
        <v>23</v>
      </c>
      <c r="AR29" s="305" t="s">
        <v>24</v>
      </c>
      <c r="AS29" s="305" t="s">
        <v>25</v>
      </c>
      <c r="AT29" s="120"/>
      <c r="AU29" s="251"/>
      <c r="AV29" s="251"/>
      <c r="AW29" s="295"/>
      <c r="AX29" s="296"/>
      <c r="AY29" s="297"/>
    </row>
    <row r="30" spans="1:55" ht="14.25" customHeight="1" x14ac:dyDescent="0.3">
      <c r="A30" s="35" t="s">
        <v>12</v>
      </c>
      <c r="B30" s="298">
        <v>4.2809999999999997</v>
      </c>
      <c r="C30" s="232">
        <f t="shared" ref="C30:C35" si="58">C21</f>
        <v>4.2300000000000004</v>
      </c>
      <c r="D30" s="146" t="str">
        <f t="shared" ref="D30:D35" si="59">CONCATENATE(TEXT(AI35,"0.00%"),"  ",AJ35)</f>
        <v>-1.19%  ↓</v>
      </c>
      <c r="E30" s="232">
        <f t="shared" ref="E30:E35" si="60">E21</f>
        <v>4.24</v>
      </c>
      <c r="F30" s="146" t="str">
        <f t="shared" ref="F30:F35" si="61">CONCATENATE(TEXT(AK35,"0.00%"),"  ",AL35)</f>
        <v>-0.96%  ↓</v>
      </c>
      <c r="G30" s="232">
        <f t="shared" si="57"/>
        <v>4.2699999999999996</v>
      </c>
      <c r="H30" s="146" t="str">
        <f t="shared" ref="H30:H35" si="62">CONCATENATE(TEXT(AM35,"0.00%"),"  ",AN35)</f>
        <v>-0.26%  ↓</v>
      </c>
      <c r="I30" s="438">
        <f t="shared" ref="I30:I35" si="63">I21</f>
        <v>4.2080000000000002</v>
      </c>
      <c r="J30" s="439" t="str">
        <f t="shared" ref="J30:J35" si="64">CONCATENATE(TEXT(AG35,"0.00%"),"  ",AH35)</f>
        <v>-1.71%  ↓</v>
      </c>
      <c r="AF30" s="1315"/>
      <c r="AG30" s="182">
        <f t="shared" si="50"/>
        <v>2.0960390643859832E-3</v>
      </c>
      <c r="AH30" s="183" t="str">
        <f>IF(I23-B23&gt;0,"↑","↓")</f>
        <v>↑</v>
      </c>
      <c r="AI30" s="184">
        <f t="shared" si="51"/>
        <v>-7.517272920664383E-4</v>
      </c>
      <c r="AJ30" s="185" t="str">
        <f t="shared" si="52"/>
        <v>↓</v>
      </c>
      <c r="AK30" s="182">
        <f t="shared" si="53"/>
        <v>-2.6164349700272195E-4</v>
      </c>
      <c r="AL30" s="183" t="str">
        <f t="shared" si="54"/>
        <v>↓</v>
      </c>
      <c r="AM30" s="182">
        <f t="shared" si="55"/>
        <v>1.4730095217994712E-3</v>
      </c>
      <c r="AN30" s="183" t="str">
        <f t="shared" si="56"/>
        <v>↑</v>
      </c>
      <c r="AP30" s="307"/>
      <c r="AQ30" s="308">
        <f>SUM(AQ14,AQ18,AQ22,AQ26)</f>
        <v>1.7631259771894023</v>
      </c>
      <c r="AR30" s="308">
        <f>SUM(AR14,AR18,AR22,AR26)</f>
        <v>1.6646535224251617</v>
      </c>
      <c r="AS30" s="308">
        <f>SUM(AS14,AS18,AS22,AS26)</f>
        <v>1.5589233813498999</v>
      </c>
      <c r="AT30" s="309" t="s">
        <v>62</v>
      </c>
      <c r="AU30" s="251"/>
      <c r="AV30" s="251"/>
      <c r="AW30" s="295"/>
      <c r="AX30" s="296"/>
      <c r="AY30" s="297"/>
    </row>
    <row r="31" spans="1:55" ht="14.25" customHeight="1" x14ac:dyDescent="0.3">
      <c r="A31" s="60" t="s">
        <v>13</v>
      </c>
      <c r="B31" s="481">
        <v>49406.65</v>
      </c>
      <c r="C31" s="237">
        <f t="shared" si="58"/>
        <v>49286</v>
      </c>
      <c r="D31" s="152" t="str">
        <f t="shared" si="59"/>
        <v>-0.24%  ↓</v>
      </c>
      <c r="E31" s="237">
        <f t="shared" si="60"/>
        <v>49321.5907683595</v>
      </c>
      <c r="F31" s="152" t="str">
        <f t="shared" si="61"/>
        <v>-0.17%  ↓</v>
      </c>
      <c r="G31" s="237">
        <f t="shared" si="57"/>
        <v>49309</v>
      </c>
      <c r="H31" s="152" t="str">
        <f t="shared" si="62"/>
        <v>-0.20%  ↓</v>
      </c>
      <c r="I31" s="440">
        <f t="shared" si="63"/>
        <v>50115.87</v>
      </c>
      <c r="J31" s="441" t="str">
        <f t="shared" si="64"/>
        <v>1.44%  ↑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F31" s="1315"/>
      <c r="AG31" s="182">
        <f t="shared" si="50"/>
        <v>-8.918617614269795E-3</v>
      </c>
      <c r="AH31" s="183" t="str">
        <f>IF(I24-B24&gt;0,"↑","↓")</f>
        <v>↓</v>
      </c>
      <c r="AI31" s="184">
        <f t="shared" si="51"/>
        <v>-8.4726867335562964E-2</v>
      </c>
      <c r="AJ31" s="185" t="str">
        <f t="shared" si="52"/>
        <v>↓</v>
      </c>
      <c r="AK31" s="182">
        <f t="shared" si="53"/>
        <v>-7.0960456300211847E-2</v>
      </c>
      <c r="AL31" s="183" t="str">
        <f t="shared" si="54"/>
        <v>↓</v>
      </c>
      <c r="AM31" s="182">
        <f t="shared" si="55"/>
        <v>1.6722408026755693E-2</v>
      </c>
      <c r="AN31" s="183" t="str">
        <f t="shared" si="56"/>
        <v>↑</v>
      </c>
      <c r="AQ31" s="187">
        <f>AQ9</f>
        <v>2.16</v>
      </c>
      <c r="AR31" s="187">
        <f>AR9</f>
        <v>2.2400000000000002</v>
      </c>
      <c r="AS31" s="187">
        <f>AS9</f>
        <v>1.79</v>
      </c>
      <c r="AT31" s="316" t="s">
        <v>61</v>
      </c>
      <c r="AU31" s="251"/>
      <c r="AV31" s="251"/>
      <c r="AW31" s="295"/>
      <c r="AX31" s="296"/>
      <c r="AY31" s="297"/>
    </row>
    <row r="32" spans="1:55" ht="14.25" customHeight="1" x14ac:dyDescent="0.3">
      <c r="A32" s="82" t="s">
        <v>14</v>
      </c>
      <c r="B32" s="482">
        <v>6917.79</v>
      </c>
      <c r="C32" s="249">
        <f t="shared" si="58"/>
        <v>6912.6096934216703</v>
      </c>
      <c r="D32" s="168" t="str">
        <f t="shared" si="59"/>
        <v>-0.07%  ↓</v>
      </c>
      <c r="E32" s="249">
        <f t="shared" si="60"/>
        <v>6916</v>
      </c>
      <c r="F32" s="168" t="str">
        <f t="shared" si="61"/>
        <v>-0.03%  ↓</v>
      </c>
      <c r="G32" s="249">
        <f t="shared" si="57"/>
        <v>6928</v>
      </c>
      <c r="H32" s="168" t="str">
        <f t="shared" si="62"/>
        <v>0.15%  ↑</v>
      </c>
      <c r="I32" s="448">
        <f t="shared" si="63"/>
        <v>6932.31</v>
      </c>
      <c r="J32" s="441" t="str">
        <f t="shared" si="64"/>
        <v>0.21%  ↑</v>
      </c>
      <c r="N32" s="53" t="s">
        <v>12</v>
      </c>
      <c r="P32" s="287">
        <f t="shared" ref="P32:P37" si="65">100-ABS(($K12-C12)/($K12))*100</f>
        <v>99.477186311787065</v>
      </c>
      <c r="Q32" s="328"/>
      <c r="R32" s="288">
        <f t="shared" ref="R32:R37" si="66">100-ABS(($K12-E12)/($K12))*100</f>
        <v>99.239543726235738</v>
      </c>
      <c r="S32" s="328"/>
      <c r="T32" s="288">
        <f t="shared" ref="T32:T37" si="67">100-ABS(($K12-G12)/($K12))*100</f>
        <v>98.526615969581769</v>
      </c>
      <c r="U32" s="328"/>
      <c r="V32" s="461">
        <f t="shared" ref="V32:V37" si="68">100-ABS((($K12-J12)/($K12)))*100</f>
        <v>99.419159897160426</v>
      </c>
      <c r="X32" s="290">
        <f t="shared" ref="X32:X37" si="69">100-ABS((($K12-I12)/($K12)))*100</f>
        <v>98.641622110597112</v>
      </c>
      <c r="AF32" s="1315"/>
      <c r="AG32" s="182">
        <f t="shared" si="50"/>
        <v>-1.1143190812950114E-2</v>
      </c>
      <c r="AH32" s="183" t="str">
        <f>IF(I25-B25&gt;0,"↑","↓")</f>
        <v>↓</v>
      </c>
      <c r="AI32" s="184">
        <f t="shared" si="51"/>
        <v>-2.465451242457636E-3</v>
      </c>
      <c r="AJ32" s="185" t="str">
        <f t="shared" si="52"/>
        <v>↓</v>
      </c>
      <c r="AK32" s="182">
        <f t="shared" si="53"/>
        <v>-1.6544475442807724E-3</v>
      </c>
      <c r="AL32" s="183" t="str">
        <f t="shared" si="54"/>
        <v>↓</v>
      </c>
      <c r="AM32" s="182">
        <f t="shared" si="55"/>
        <v>1.751767988062092E-3</v>
      </c>
      <c r="AN32" s="183" t="str">
        <f t="shared" si="56"/>
        <v>↑</v>
      </c>
      <c r="AO32" s="4"/>
      <c r="AU32" s="251"/>
      <c r="AV32" s="251"/>
      <c r="AW32" s="295"/>
      <c r="AX32" s="296"/>
      <c r="AY32" s="297"/>
    </row>
    <row r="33" spans="1:40" ht="14.25" customHeight="1" x14ac:dyDescent="0.3">
      <c r="A33" s="82" t="s">
        <v>15</v>
      </c>
      <c r="B33" s="482">
        <v>16.34</v>
      </c>
      <c r="C33" s="252">
        <f t="shared" si="58"/>
        <v>16.420000000000002</v>
      </c>
      <c r="D33" s="168" t="str">
        <f t="shared" si="59"/>
        <v>0.49%  ↑</v>
      </c>
      <c r="E33" s="252">
        <f t="shared" si="60"/>
        <v>16.666969413974201</v>
      </c>
      <c r="F33" s="168" t="str">
        <f t="shared" si="61"/>
        <v>2.00%  ↑</v>
      </c>
      <c r="G33" s="252">
        <f t="shared" si="57"/>
        <v>18.239999999999998</v>
      </c>
      <c r="H33" s="168" t="str">
        <f t="shared" si="62"/>
        <v>11.63%  ↑</v>
      </c>
      <c r="I33" s="448">
        <f t="shared" si="63"/>
        <v>17.78</v>
      </c>
      <c r="J33" s="441" t="str">
        <f t="shared" si="64"/>
        <v>8.81%  ↑</v>
      </c>
      <c r="N33" s="60" t="s">
        <v>13</v>
      </c>
      <c r="P33" s="291">
        <f t="shared" si="65"/>
        <v>98.34409738871139</v>
      </c>
      <c r="Q33" s="328"/>
      <c r="R33" s="292">
        <f t="shared" si="66"/>
        <v>98.415114350722632</v>
      </c>
      <c r="S33" s="328"/>
      <c r="T33" s="292">
        <f t="shared" si="67"/>
        <v>98.389991034776003</v>
      </c>
      <c r="U33" s="328"/>
      <c r="V33" s="462">
        <f t="shared" si="68"/>
        <v>98.389235839380817</v>
      </c>
      <c r="X33" s="294">
        <f t="shared" si="69"/>
        <v>98.310237653822185</v>
      </c>
      <c r="AF33" s="1315"/>
      <c r="AG33" s="223">
        <f t="shared" si="50"/>
        <v>3.2061748552768242E-2</v>
      </c>
      <c r="AH33" s="224" t="str">
        <f>IF(I26-B26&gt;0,"↑","↓")</f>
        <v>↑</v>
      </c>
      <c r="AI33" s="225">
        <f t="shared" si="51"/>
        <v>3.0428974320914097E-3</v>
      </c>
      <c r="AJ33" s="226" t="str">
        <f t="shared" si="52"/>
        <v>↑</v>
      </c>
      <c r="AK33" s="223">
        <f t="shared" si="53"/>
        <v>7.4959180644202971E-3</v>
      </c>
      <c r="AL33" s="224" t="str">
        <f t="shared" si="54"/>
        <v>↑</v>
      </c>
      <c r="AM33" s="223">
        <f t="shared" si="55"/>
        <v>4.156152590173684E-3</v>
      </c>
      <c r="AN33" s="224" t="str">
        <f t="shared" si="56"/>
        <v>↑</v>
      </c>
    </row>
    <row r="34" spans="1:40" ht="14.25" customHeight="1" x14ac:dyDescent="0.3">
      <c r="A34" s="99" t="s">
        <v>16</v>
      </c>
      <c r="B34" s="483">
        <v>616.46</v>
      </c>
      <c r="C34" s="261">
        <f t="shared" si="58"/>
        <v>615</v>
      </c>
      <c r="D34" s="208" t="str">
        <f t="shared" si="59"/>
        <v>-0.24%  ↓</v>
      </c>
      <c r="E34" s="261">
        <f t="shared" si="60"/>
        <v>615.5</v>
      </c>
      <c r="F34" s="208" t="str">
        <f t="shared" si="61"/>
        <v>-0.16%  ↓</v>
      </c>
      <c r="G34" s="261">
        <f t="shared" si="57"/>
        <v>617.6</v>
      </c>
      <c r="H34" s="208" t="str">
        <f t="shared" si="62"/>
        <v>0.18%  ↑</v>
      </c>
      <c r="I34" s="451">
        <f t="shared" si="63"/>
        <v>609.65</v>
      </c>
      <c r="J34" s="441" t="str">
        <f t="shared" si="64"/>
        <v>-1.10%  ↓</v>
      </c>
      <c r="N34" s="82" t="s">
        <v>14</v>
      </c>
      <c r="P34" s="301">
        <f t="shared" si="65"/>
        <v>99.715819018792729</v>
      </c>
      <c r="Q34" s="328"/>
      <c r="R34" s="302">
        <f t="shared" si="66"/>
        <v>99.764724889683237</v>
      </c>
      <c r="S34" s="328"/>
      <c r="T34" s="302">
        <f t="shared" si="67"/>
        <v>99.937827362019291</v>
      </c>
      <c r="U34" s="328"/>
      <c r="V34" s="463">
        <f t="shared" si="68"/>
        <v>99.710443772698568</v>
      </c>
      <c r="X34" s="304">
        <f t="shared" si="69"/>
        <v>99.750644574729122</v>
      </c>
      <c r="AF34" s="228"/>
      <c r="AG34" s="1316" t="str">
        <f>K11</f>
        <v xml:space="preserve">+3-day </v>
      </c>
      <c r="AH34" s="1316"/>
      <c r="AI34" s="1317" t="str">
        <f>C11</f>
        <v>RD</v>
      </c>
      <c r="AJ34" s="1317"/>
      <c r="AK34" s="1318">
        <f>E11</f>
        <v>85520</v>
      </c>
      <c r="AL34" s="1318"/>
      <c r="AM34" s="1318" t="str">
        <f>G11</f>
        <v>MICH</v>
      </c>
      <c r="AN34" s="1318"/>
    </row>
    <row r="35" spans="1:40" ht="14.25" customHeight="1" x14ac:dyDescent="0.3">
      <c r="A35" s="109" t="s">
        <v>17</v>
      </c>
      <c r="B35" s="484">
        <v>269.45999999999998</v>
      </c>
      <c r="C35" s="274">
        <f t="shared" si="58"/>
        <v>270.3</v>
      </c>
      <c r="D35" s="217" t="str">
        <f t="shared" si="59"/>
        <v>0.31%  ↑</v>
      </c>
      <c r="E35" s="274">
        <f t="shared" si="60"/>
        <v>271.5</v>
      </c>
      <c r="F35" s="217" t="str">
        <f t="shared" si="61"/>
        <v>0.76%  ↑</v>
      </c>
      <c r="G35" s="274">
        <f t="shared" si="57"/>
        <v>270.60000000000002</v>
      </c>
      <c r="H35" s="217" t="str">
        <f t="shared" si="62"/>
        <v>0.42%  ↑</v>
      </c>
      <c r="I35" s="452">
        <f t="shared" si="63"/>
        <v>278.12</v>
      </c>
      <c r="J35" s="453" t="str">
        <f t="shared" si="64"/>
        <v>3.21%  ↑</v>
      </c>
      <c r="N35" s="82" t="s">
        <v>15</v>
      </c>
      <c r="P35" s="301">
        <f t="shared" si="65"/>
        <v>92.350956130483695</v>
      </c>
      <c r="Q35" s="328"/>
      <c r="R35" s="302">
        <f t="shared" si="66"/>
        <v>93.739985455422939</v>
      </c>
      <c r="S35" s="328"/>
      <c r="T35" s="302">
        <f t="shared" si="67"/>
        <v>97.412823397075385</v>
      </c>
      <c r="U35" s="328"/>
      <c r="V35" s="463">
        <f t="shared" si="68"/>
        <v>99.624860942050617</v>
      </c>
      <c r="X35" s="304">
        <f t="shared" si="69"/>
        <v>99.622133559513927</v>
      </c>
      <c r="AF35" s="1315" t="str">
        <f>B29</f>
        <v>Oraclum</v>
      </c>
      <c r="AG35" s="163">
        <f t="shared" ref="AG35:AG40" si="70">(I30-B30)/B30</f>
        <v>-1.7052090633029551E-2</v>
      </c>
      <c r="AH35" s="164" t="str">
        <f t="shared" ref="AH35:AH40" si="71">IF(I30-B30&gt;0,"↑","↓")</f>
        <v>↓</v>
      </c>
      <c r="AI35" s="165">
        <f t="shared" ref="AI35:AI40" si="72">(C30-B30)/B30</f>
        <v>-1.1913104414856173E-2</v>
      </c>
      <c r="AJ35" s="166" t="str">
        <f t="shared" ref="AJ35:AJ40" si="73">IF(C30-B30&gt;0,"↑","↓")</f>
        <v>↓</v>
      </c>
      <c r="AK35" s="163">
        <f t="shared" ref="AK35:AK40" si="74">(E30-B30)/B30</f>
        <v>-9.5772015884138008E-3</v>
      </c>
      <c r="AL35" s="164" t="str">
        <f t="shared" ref="AL35:AL40" si="75">IF(E30-B30&gt;0,"↑","↓")</f>
        <v>↓</v>
      </c>
      <c r="AM35" s="163">
        <f t="shared" ref="AM35:AM40" si="76">(G30-B30)/B30</f>
        <v>-2.5694931090866906E-3</v>
      </c>
      <c r="AN35" s="164" t="str">
        <f t="shared" ref="AN35:AN40" si="77">IF(G30-B30&gt;0,"↑","↓")</f>
        <v>↓</v>
      </c>
    </row>
    <row r="36" spans="1:40" ht="14.25" customHeight="1" x14ac:dyDescent="0.3">
      <c r="N36" s="99" t="s">
        <v>16</v>
      </c>
      <c r="P36" s="312">
        <f t="shared" si="65"/>
        <v>99.122447305831216</v>
      </c>
      <c r="Q36" s="328"/>
      <c r="R36" s="313">
        <f t="shared" si="66"/>
        <v>99.040433035348144</v>
      </c>
      <c r="S36" s="328"/>
      <c r="T36" s="313">
        <f t="shared" si="67"/>
        <v>98.695973099319275</v>
      </c>
      <c r="U36" s="328"/>
      <c r="V36" s="464">
        <f t="shared" si="68"/>
        <v>98.417970155691464</v>
      </c>
      <c r="X36" s="315">
        <f t="shared" si="69"/>
        <v>98.697874419396271</v>
      </c>
      <c r="AF36" s="1315"/>
      <c r="AG36" s="182">
        <f t="shared" si="70"/>
        <v>1.435474779204826E-2</v>
      </c>
      <c r="AH36" s="183" t="str">
        <f t="shared" si="71"/>
        <v>↑</v>
      </c>
      <c r="AI36" s="184">
        <f t="shared" si="72"/>
        <v>-2.4419789643702105E-3</v>
      </c>
      <c r="AJ36" s="185" t="str">
        <f t="shared" si="73"/>
        <v>↓</v>
      </c>
      <c r="AK36" s="182">
        <f t="shared" si="74"/>
        <v>-1.7216150384715787E-3</v>
      </c>
      <c r="AL36" s="183" t="str">
        <f t="shared" si="75"/>
        <v>↓</v>
      </c>
      <c r="AM36" s="182">
        <f t="shared" si="76"/>
        <v>-1.9764545865789615E-3</v>
      </c>
      <c r="AN36" s="183" t="str">
        <f t="shared" si="77"/>
        <v>↓</v>
      </c>
    </row>
    <row r="37" spans="1:40" ht="14.25" customHeight="1" x14ac:dyDescent="0.3">
      <c r="N37" s="114" t="s">
        <v>17</v>
      </c>
      <c r="P37" s="323">
        <f t="shared" si="65"/>
        <v>97.188264058679707</v>
      </c>
      <c r="Q37" s="328"/>
      <c r="R37" s="324">
        <f t="shared" si="66"/>
        <v>97.61973248957284</v>
      </c>
      <c r="S37" s="328"/>
      <c r="T37" s="324">
        <f t="shared" si="67"/>
        <v>97.296131166403001</v>
      </c>
      <c r="U37" s="328"/>
      <c r="V37" s="465">
        <f t="shared" si="68"/>
        <v>97.010403923170216</v>
      </c>
      <c r="X37" s="326">
        <f t="shared" si="69"/>
        <v>97.366680844943716</v>
      </c>
      <c r="AF37" s="1315"/>
      <c r="AG37" s="182">
        <f t="shared" si="70"/>
        <v>2.0989362209608035E-3</v>
      </c>
      <c r="AH37" s="183" t="str">
        <f t="shared" si="71"/>
        <v>↑</v>
      </c>
      <c r="AI37" s="184">
        <f t="shared" si="72"/>
        <v>-7.4883836865959964E-4</v>
      </c>
      <c r="AJ37" s="185" t="str">
        <f t="shared" si="73"/>
        <v>↓</v>
      </c>
      <c r="AK37" s="182">
        <f t="shared" si="74"/>
        <v>-2.5875315671622926E-4</v>
      </c>
      <c r="AL37" s="183" t="str">
        <f t="shared" si="75"/>
        <v>↓</v>
      </c>
      <c r="AM37" s="182">
        <f t="shared" si="76"/>
        <v>1.4759048771356223E-3</v>
      </c>
      <c r="AN37" s="183" t="str">
        <f t="shared" si="77"/>
        <v>↑</v>
      </c>
    </row>
    <row r="38" spans="1:40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1315"/>
      <c r="AG38" s="182">
        <f t="shared" si="70"/>
        <v>8.8127294981640222E-2</v>
      </c>
      <c r="AH38" s="183" t="str">
        <f t="shared" si="71"/>
        <v>↑</v>
      </c>
      <c r="AI38" s="184">
        <f t="shared" si="72"/>
        <v>4.8959608323134547E-3</v>
      </c>
      <c r="AJ38" s="185" t="str">
        <f t="shared" si="73"/>
        <v>↑</v>
      </c>
      <c r="AK38" s="182">
        <f t="shared" si="74"/>
        <v>2.001036805227667E-2</v>
      </c>
      <c r="AL38" s="183" t="str">
        <f t="shared" si="75"/>
        <v>↑</v>
      </c>
      <c r="AM38" s="182">
        <f t="shared" si="76"/>
        <v>0.11627906976744178</v>
      </c>
      <c r="AN38" s="183" t="str">
        <f t="shared" si="77"/>
        <v>↑</v>
      </c>
    </row>
    <row r="39" spans="1:40" ht="14.25" customHeight="1" x14ac:dyDescent="0.3">
      <c r="N39" s="331" t="str">
        <f>AA1</f>
        <v>AVR-4</v>
      </c>
      <c r="P39" s="332">
        <f t="array" ref="P39">SUM(P33:P36/4)</f>
        <v>97.383329960954754</v>
      </c>
      <c r="Q39" s="328"/>
      <c r="R39" s="333">
        <f t="array" ref="R39">SUM(R33:R36/4)</f>
        <v>97.740064432794242</v>
      </c>
      <c r="S39" s="328"/>
      <c r="T39" s="333">
        <f t="array" ref="T39">SUM(T33:T36/4)</f>
        <v>98.609153723297482</v>
      </c>
      <c r="U39" s="328"/>
      <c r="V39" s="466">
        <f t="array" ref="V39">SUM(V33:V36/4)</f>
        <v>99.035627677455381</v>
      </c>
      <c r="X39" s="335">
        <f t="array" ref="X39">SUM(X33:X36/4)</f>
        <v>99.095222551865376</v>
      </c>
      <c r="AF39" s="1315"/>
      <c r="AG39" s="182">
        <f t="shared" si="70"/>
        <v>-1.1046945462803846E-2</v>
      </c>
      <c r="AH39" s="183" t="str">
        <f t="shared" si="71"/>
        <v>↓</v>
      </c>
      <c r="AI39" s="184">
        <f t="shared" si="72"/>
        <v>-2.3683612886481464E-3</v>
      </c>
      <c r="AJ39" s="185" t="str">
        <f t="shared" si="73"/>
        <v>↓</v>
      </c>
      <c r="AK39" s="182">
        <f t="shared" si="74"/>
        <v>-1.5572786555494863E-3</v>
      </c>
      <c r="AL39" s="183" t="str">
        <f t="shared" si="75"/>
        <v>↓</v>
      </c>
      <c r="AM39" s="182">
        <f t="shared" si="76"/>
        <v>1.8492684034649228E-3</v>
      </c>
      <c r="AN39" s="183" t="str">
        <f t="shared" si="77"/>
        <v>↑</v>
      </c>
    </row>
    <row r="40" spans="1:40" ht="14.25" customHeight="1" x14ac:dyDescent="0.3">
      <c r="N40" s="336" t="str">
        <f>AB1</f>
        <v>AVR-6</v>
      </c>
      <c r="P40" s="337">
        <f t="array" ref="P40">SUM(P32:P37/6)</f>
        <v>97.699795035714288</v>
      </c>
      <c r="Q40" s="328"/>
      <c r="R40" s="338">
        <f t="array" ref="R40">SUM(R32:R37/6)</f>
        <v>97.969922324497588</v>
      </c>
      <c r="S40" s="328"/>
      <c r="T40" s="338">
        <f t="array" ref="T40">SUM(T32:T37/6)</f>
        <v>98.376560338195773</v>
      </c>
      <c r="U40" s="328"/>
      <c r="V40" s="467">
        <f t="array" ref="V40">SUM(V32:V37/6)</f>
        <v>98.76201242169202</v>
      </c>
      <c r="X40" s="340">
        <f t="array" ref="X40">SUM(X32:X37/6)</f>
        <v>98.731532193833715</v>
      </c>
      <c r="AF40" s="1315"/>
      <c r="AG40" s="269">
        <f t="shared" si="70"/>
        <v>3.2138350775625421E-2</v>
      </c>
      <c r="AH40" s="270" t="str">
        <f t="shared" si="71"/>
        <v>↑</v>
      </c>
      <c r="AI40" s="271">
        <f t="shared" si="72"/>
        <v>3.1173458027166628E-3</v>
      </c>
      <c r="AJ40" s="272" t="str">
        <f t="shared" si="73"/>
        <v>↑</v>
      </c>
      <c r="AK40" s="269">
        <f t="shared" si="74"/>
        <v>7.5706969494545411E-3</v>
      </c>
      <c r="AL40" s="270" t="str">
        <f t="shared" si="75"/>
        <v>↑</v>
      </c>
      <c r="AM40" s="269">
        <f t="shared" si="76"/>
        <v>4.2306835894011848E-3</v>
      </c>
      <c r="AN40" s="270" t="str">
        <f t="shared" si="77"/>
        <v>↑</v>
      </c>
    </row>
    <row r="46" spans="1:40" ht="14.25" customHeight="1" x14ac:dyDescent="0.3">
      <c r="AI46" s="4"/>
      <c r="AK46" s="4"/>
      <c r="AM46" s="4"/>
    </row>
    <row r="47" spans="1:40" ht="14.25" customHeight="1" x14ac:dyDescent="0.3">
      <c r="AI47" s="4"/>
      <c r="AK47" s="4"/>
      <c r="AM47" s="4"/>
    </row>
    <row r="48" spans="1:40" ht="14.25" customHeight="1" x14ac:dyDescent="0.3">
      <c r="F48" s="6"/>
      <c r="AI48" s="4"/>
      <c r="AK48" s="4"/>
      <c r="AM48" s="4"/>
    </row>
  </sheetData>
  <mergeCells count="29">
    <mergeCell ref="AG1:AH1"/>
    <mergeCell ref="AK1:AL1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F28:AF33"/>
    <mergeCell ref="C29:D29"/>
    <mergeCell ref="E29:F29"/>
    <mergeCell ref="G29:H29"/>
    <mergeCell ref="I29:J29"/>
    <mergeCell ref="AG34:AH34"/>
    <mergeCell ref="AI34:AJ34"/>
    <mergeCell ref="AK34:AL34"/>
    <mergeCell ref="AM34:AN34"/>
    <mergeCell ref="AF35:AF40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48"/>
  <sheetViews>
    <sheetView zoomScale="140" zoomScaleNormal="140" workbookViewId="0">
      <selection activeCell="N11" sqref="N11"/>
    </sheetView>
  </sheetViews>
  <sheetFormatPr defaultColWidth="8.77734375" defaultRowHeight="14.25" customHeight="1" x14ac:dyDescent="0.3"/>
  <cols>
    <col min="1" max="1" width="7.33203125" style="4" customWidth="1"/>
    <col min="2" max="10" width="8.44140625" style="4" customWidth="1"/>
    <col min="11" max="11" width="9.33203125" style="4" customWidth="1"/>
    <col min="12" max="12" width="3.218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6.77734375" style="5" customWidth="1"/>
    <col min="25" max="25" width="3.33203125" style="4" hidden="1" customWidth="1"/>
    <col min="26" max="26" width="3.21875" style="4" customWidth="1"/>
    <col min="27" max="27" width="7.109375" style="6" customWidth="1"/>
    <col min="28" max="28" width="7.109375" style="7" customWidth="1"/>
    <col min="29" max="30" width="3.5546875" style="6" customWidth="1"/>
    <col min="31" max="31" width="3.5546875" style="4" customWidth="1"/>
    <col min="32" max="32" width="6" style="8" customWidth="1"/>
    <col min="33" max="37" width="7.21875" style="8" customWidth="1"/>
    <col min="38" max="38" width="7.21875" style="9" customWidth="1"/>
    <col min="39" max="40" width="7.21875" style="8" customWidth="1"/>
    <col min="41" max="41" width="6.21875" style="8" customWidth="1"/>
    <col min="42" max="42" width="7.44140625" customWidth="1"/>
    <col min="43" max="46" width="7.44140625" style="10" customWidth="1"/>
    <col min="47" max="50" width="7.44140625" customWidth="1"/>
    <col min="51" max="51" width="7.6640625" customWidth="1"/>
    <col min="57" max="57" width="9.77734375" style="11" customWidth="1"/>
    <col min="58" max="61" width="9.77734375" style="9" customWidth="1"/>
    <col min="62" max="63" width="9.77734375" customWidth="1"/>
    <col min="64" max="64" width="9.77734375" style="12" customWidth="1"/>
    <col min="65" max="65" width="9.77734375" style="13" customWidth="1"/>
    <col min="66" max="66" width="8.77734375" style="14"/>
    <col min="16371" max="16384" width="13.44140625" customWidth="1"/>
  </cols>
  <sheetData>
    <row r="1" spans="1:56" ht="14.4" x14ac:dyDescent="0.3">
      <c r="A1" s="2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101</v>
      </c>
      <c r="I1" s="368" t="s">
        <v>8</v>
      </c>
      <c r="K1" s="18" t="s">
        <v>102</v>
      </c>
      <c r="M1" s="19" t="s">
        <v>11</v>
      </c>
      <c r="N1" s="20" t="s">
        <v>12</v>
      </c>
      <c r="O1" s="21">
        <f>SUM(N2:N9)</f>
        <v>796.93323897145558</v>
      </c>
      <c r="P1" s="22" t="s">
        <v>13</v>
      </c>
      <c r="Q1" s="23">
        <f>SUM(P2:P9)</f>
        <v>795.09848858116595</v>
      </c>
      <c r="R1" s="24" t="s">
        <v>14</v>
      </c>
      <c r="S1" s="23">
        <f>SUM(R2:R9)</f>
        <v>793.33450544889627</v>
      </c>
      <c r="T1" s="24" t="s">
        <v>15</v>
      </c>
      <c r="U1" s="23">
        <f>SUM(T2:T9)</f>
        <v>758.084862385321</v>
      </c>
      <c r="V1" s="25" t="s">
        <v>16</v>
      </c>
      <c r="W1" s="26">
        <f>SUM(V2:V9)</f>
        <v>784.74761606123468</v>
      </c>
      <c r="X1" s="27" t="s">
        <v>17</v>
      </c>
      <c r="Y1" s="28">
        <f>SUM(X2:X9)</f>
        <v>790.31524587636829</v>
      </c>
      <c r="Z1" s="29"/>
      <c r="AA1" s="30" t="s">
        <v>18</v>
      </c>
      <c r="AB1" s="31" t="s">
        <v>19</v>
      </c>
      <c r="AG1" s="1314" t="s">
        <v>20</v>
      </c>
      <c r="AH1" s="1314"/>
      <c r="AJ1" s="4"/>
      <c r="AK1" s="1314" t="s">
        <v>21</v>
      </c>
      <c r="AL1" s="1314"/>
      <c r="AN1" s="32" t="s">
        <v>22</v>
      </c>
      <c r="AO1" s="9">
        <v>2</v>
      </c>
      <c r="AP1" s="33" t="str">
        <f>K11</f>
        <v xml:space="preserve">+3-day </v>
      </c>
      <c r="AQ1" s="34" t="s">
        <v>23</v>
      </c>
      <c r="AR1" s="34" t="s">
        <v>24</v>
      </c>
      <c r="AS1" s="34" t="s">
        <v>25</v>
      </c>
      <c r="AT1" s="9"/>
      <c r="AU1" s="9"/>
      <c r="AV1" s="9"/>
      <c r="AW1" s="9"/>
      <c r="AX1" s="9"/>
      <c r="AY1" s="9"/>
      <c r="AZ1" s="9"/>
      <c r="BA1" s="9"/>
    </row>
    <row r="2" spans="1:56" ht="14.4" x14ac:dyDescent="0.3">
      <c r="A2" s="35" t="s">
        <v>12</v>
      </c>
      <c r="B2" s="36">
        <v>4.24</v>
      </c>
      <c r="C2" s="37">
        <v>4.21</v>
      </c>
      <c r="D2" s="37">
        <v>4.25</v>
      </c>
      <c r="E2" s="37">
        <v>4.22</v>
      </c>
      <c r="F2" s="37">
        <v>4.22</v>
      </c>
      <c r="G2" s="37">
        <v>4.22</v>
      </c>
      <c r="H2" s="38">
        <v>4.2229999999999999</v>
      </c>
      <c r="I2" s="369">
        <v>4.2229999999999999</v>
      </c>
      <c r="M2" s="493" t="str">
        <f>B1</f>
        <v>O 5.2</v>
      </c>
      <c r="N2" s="494">
        <f>100-ABS((($K12-B2)/($K12)))*100</f>
        <v>99.976409530549645</v>
      </c>
      <c r="O2" s="495">
        <f t="shared" ref="O2:O9" si="0">N2/$O$1</f>
        <v>0.12545142383517846</v>
      </c>
      <c r="P2" s="496">
        <f>100-ABS((($K13-B3)/($K13)))*100</f>
        <v>99.536677120219125</v>
      </c>
      <c r="Q2" s="497">
        <f t="shared" ref="Q2:Q9" si="1">P2/$Q$1</f>
        <v>0.12518785854798933</v>
      </c>
      <c r="R2" s="497">
        <f>100-ABS((($K14-B4)/($K14)))*100</f>
        <v>99.121201552957046</v>
      </c>
      <c r="S2" s="497">
        <f t="shared" ref="S2:S9" si="2">R2/$S$1</f>
        <v>0.12494250643600939</v>
      </c>
      <c r="T2" s="497">
        <f>100-ABS((($K15-B5)/($K15)))*100</f>
        <v>94.094036697247702</v>
      </c>
      <c r="U2" s="497">
        <f t="shared" ref="U2:U9" si="3">T2/$U$1</f>
        <v>0.12412071704107103</v>
      </c>
      <c r="V2" s="498">
        <f>100-ABS((($K16-B6)/($K16)))*100</f>
        <v>98.099281200250843</v>
      </c>
      <c r="W2" s="499">
        <f t="shared" ref="W2:W9" si="4">V2/$W$1</f>
        <v>0.12500742811125157</v>
      </c>
      <c r="X2" s="500">
        <f>100-ABS((($K17-B7)/($K17)))*100</f>
        <v>98.728225682133512</v>
      </c>
      <c r="Y2" s="48">
        <f t="shared" ref="Y2:Y9" si="5">X2/$Y$1</f>
        <v>0.124922587786669</v>
      </c>
      <c r="Z2" s="29"/>
      <c r="AA2" s="49">
        <f t="shared" ref="AA2:AA9" si="6">(P2+R2+T2+V2)/4</f>
        <v>97.712799142668686</v>
      </c>
      <c r="AB2" s="50">
        <f t="shared" ref="AB2:AB9" si="7">(N2+P2+R2+T2+V2+X2)/6</f>
        <v>98.259305297226319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4" t="s">
        <v>42</v>
      </c>
      <c r="AH2" s="55">
        <f>MAX(N2:N9)</f>
        <v>99.976409530549645</v>
      </c>
      <c r="AJ2" s="53" t="str">
        <f t="shared" ref="AJ2:AJ7" si="8">AF2</f>
        <v>TNX</v>
      </c>
      <c r="AK2" s="56">
        <v>4.25</v>
      </c>
      <c r="AL2" s="57">
        <f t="shared" ref="AL2:AL7" si="9">100-ABS(($K12-AK2)/($K12))*100</f>
        <v>99.740504836046227</v>
      </c>
      <c r="AN2" s="9"/>
      <c r="AO2" s="33" t="s">
        <v>27</v>
      </c>
      <c r="AP2" s="33" t="s">
        <v>28</v>
      </c>
      <c r="AQ2" s="58" t="s">
        <v>29</v>
      </c>
      <c r="AR2" s="34" t="str">
        <f>AQ2</f>
        <v>∆</v>
      </c>
      <c r="AS2" s="34" t="str">
        <f>AR2</f>
        <v>∆</v>
      </c>
      <c r="AT2" s="59" t="s">
        <v>30</v>
      </c>
      <c r="AU2" s="9"/>
      <c r="AV2" s="9"/>
      <c r="AW2" s="9"/>
      <c r="AX2" s="9"/>
      <c r="AY2" s="9"/>
      <c r="AZ2" s="9"/>
      <c r="BA2" s="9"/>
    </row>
    <row r="3" spans="1:56" ht="14.4" x14ac:dyDescent="0.3">
      <c r="A3" s="60" t="s">
        <v>13</v>
      </c>
      <c r="B3" s="61">
        <v>49119</v>
      </c>
      <c r="C3" s="62">
        <v>49350</v>
      </c>
      <c r="D3" s="62">
        <v>49215</v>
      </c>
      <c r="E3" s="62">
        <v>49165</v>
      </c>
      <c r="F3" s="62">
        <v>49280</v>
      </c>
      <c r="G3" s="62">
        <v>49150</v>
      </c>
      <c r="H3" s="62">
        <v>49128.6</v>
      </c>
      <c r="I3" s="379">
        <v>49128.63</v>
      </c>
      <c r="K3" s="64" t="s">
        <v>103</v>
      </c>
      <c r="M3" s="501" t="str">
        <f>C1</f>
        <v>Grok 4.1</v>
      </c>
      <c r="N3" s="502">
        <f>100-ABS((($K12-C2)/($K12)))*100</f>
        <v>99.315876385940086</v>
      </c>
      <c r="O3" s="503">
        <f t="shared" si="0"/>
        <v>0.12462258007222782</v>
      </c>
      <c r="P3" s="504">
        <f>100-ABS((($K13-C3)/($K13)))*100</f>
        <v>99.06421172830909</v>
      </c>
      <c r="Q3" s="505">
        <f t="shared" si="1"/>
        <v>0.12459363607279242</v>
      </c>
      <c r="R3" s="505">
        <f>100-ABS((($K14-C4)/($K14)))*100</f>
        <v>99.150024066799062</v>
      </c>
      <c r="S3" s="505">
        <f t="shared" si="2"/>
        <v>0.12497883728213301</v>
      </c>
      <c r="T3" s="505">
        <f>100-ABS((($K15-C5)/($K15)))*100</f>
        <v>94.0366972477064</v>
      </c>
      <c r="U3" s="505">
        <f t="shared" si="3"/>
        <v>0.12404507979729218</v>
      </c>
      <c r="V3" s="506">
        <f>100-ABS((($K16-C6)/($K16)))*100</f>
        <v>97.888626240210982</v>
      </c>
      <c r="W3" s="507">
        <f t="shared" si="4"/>
        <v>0.12473899153912514</v>
      </c>
      <c r="X3" s="508">
        <f>100-ABS((($K17-C7)/($K17)))*100</f>
        <v>98.258054570679832</v>
      </c>
      <c r="Y3" s="48">
        <f t="shared" si="5"/>
        <v>0.12432767187949538</v>
      </c>
      <c r="Z3" s="29"/>
      <c r="AA3" s="73">
        <f t="shared" si="6"/>
        <v>97.534889820756376</v>
      </c>
      <c r="AB3" s="74">
        <f t="shared" si="7"/>
        <v>97.952248373274244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75" t="s">
        <v>42</v>
      </c>
      <c r="AH3" s="76">
        <f>MAX(P2:P9)</f>
        <v>99.536677120219125</v>
      </c>
      <c r="AJ3" s="60" t="str">
        <f t="shared" si="8"/>
        <v>DJI</v>
      </c>
      <c r="AK3" s="77">
        <v>48833</v>
      </c>
      <c r="AL3" s="78">
        <f t="shared" si="9"/>
        <v>99.878365727892245</v>
      </c>
      <c r="AN3" s="9"/>
      <c r="AO3" s="79" t="str">
        <f t="shared" ref="AO3:AO8" si="10">AF2</f>
        <v>TNX</v>
      </c>
      <c r="AP3" s="80">
        <f t="shared" ref="AP3:AP8" si="11">K12</f>
        <v>4.2389999999999999</v>
      </c>
      <c r="AQ3" s="80">
        <f>ABS(C30-AP3)</f>
        <v>8.9999999999994529E-3</v>
      </c>
      <c r="AR3" s="80">
        <f>ABS(E30-K12)</f>
        <v>8.9999999999994529E-3</v>
      </c>
      <c r="AS3" s="80">
        <f>ABS(AP3-G30)</f>
        <v>1.000000000000334E-3</v>
      </c>
      <c r="AT3" s="81" t="s">
        <v>33</v>
      </c>
      <c r="AU3" s="9"/>
      <c r="AV3" s="9"/>
      <c r="AW3" s="9"/>
      <c r="AX3" s="9"/>
      <c r="AY3" s="9"/>
      <c r="AZ3" s="9"/>
      <c r="BA3" s="9"/>
    </row>
    <row r="4" spans="1:56" ht="14.4" x14ac:dyDescent="0.3">
      <c r="A4" s="82" t="s">
        <v>14</v>
      </c>
      <c r="B4" s="83">
        <v>7000</v>
      </c>
      <c r="C4" s="84">
        <v>6998</v>
      </c>
      <c r="D4" s="84">
        <v>6994.5</v>
      </c>
      <c r="E4" s="84">
        <v>6992</v>
      </c>
      <c r="F4" s="84">
        <v>7000</v>
      </c>
      <c r="G4" s="84">
        <v>6995</v>
      </c>
      <c r="H4" s="84">
        <v>6995.2</v>
      </c>
      <c r="I4" s="389">
        <v>6999.98</v>
      </c>
      <c r="M4" s="501" t="str">
        <f>D1</f>
        <v>Gemini Pro 3</v>
      </c>
      <c r="N4" s="502">
        <f>100-ABS((($K12-D2)/($K12)))*100</f>
        <v>99.740504836046227</v>
      </c>
      <c r="O4" s="503">
        <f t="shared" si="0"/>
        <v>0.12515540820555324</v>
      </c>
      <c r="P4" s="504">
        <f>100-ABS((($K13-D3)/($K13)))*100</f>
        <v>99.340327866438329</v>
      </c>
      <c r="Q4" s="505">
        <f t="shared" si="1"/>
        <v>0.12494090894790751</v>
      </c>
      <c r="R4" s="505">
        <f>100-ABS((($K14-D4)/($K14)))*100</f>
        <v>99.200463466022583</v>
      </c>
      <c r="S4" s="505">
        <f t="shared" si="2"/>
        <v>0.12504241626284932</v>
      </c>
      <c r="T4" s="505">
        <f>100-ABS((($K15-D5)/($K15)))*100</f>
        <v>94.896788990825684</v>
      </c>
      <c r="U4" s="505">
        <f t="shared" si="3"/>
        <v>0.12517963845397476</v>
      </c>
      <c r="V4" s="506">
        <f>100-ABS((($K16-D6)/($K16)))*100</f>
        <v>98.081592615820028</v>
      </c>
      <c r="W4" s="507">
        <f t="shared" si="4"/>
        <v>0.12498488763572953</v>
      </c>
      <c r="X4" s="508">
        <f>100-ABS((($K17-D7)/($K17)))*100</f>
        <v>98.489286264837389</v>
      </c>
      <c r="Y4" s="48">
        <f t="shared" si="5"/>
        <v>0.12462025347318734</v>
      </c>
      <c r="Z4" s="29"/>
      <c r="AA4" s="73">
        <f t="shared" si="6"/>
        <v>97.879793234776656</v>
      </c>
      <c r="AB4" s="74">
        <f t="shared" si="7"/>
        <v>98.291494006665019</v>
      </c>
      <c r="AC4" s="51" t="str">
        <f>IF($AA4=MAX(AA2:AA9),"TOP","")</f>
        <v/>
      </c>
      <c r="AD4" s="51" t="str">
        <f>IF($AB4=MAX(AB2:AB9),"TOP","")</f>
        <v/>
      </c>
      <c r="AE4" s="52"/>
      <c r="AF4" s="82" t="s">
        <v>14</v>
      </c>
      <c r="AG4" s="86" t="s">
        <v>37</v>
      </c>
      <c r="AH4" s="87">
        <f>MAX(R2:R9)</f>
        <v>99.236491608325096</v>
      </c>
      <c r="AJ4" s="82" t="str">
        <f t="shared" si="8"/>
        <v>SPX</v>
      </c>
      <c r="AK4" s="88">
        <v>6810</v>
      </c>
      <c r="AL4" s="89">
        <f t="shared" si="9"/>
        <v>98.140659632051779</v>
      </c>
      <c r="AN4" s="9"/>
      <c r="AO4" s="79" t="str">
        <f t="shared" si="10"/>
        <v>DJI</v>
      </c>
      <c r="AP4" s="90">
        <f t="shared" si="11"/>
        <v>48892.47</v>
      </c>
      <c r="AQ4" s="91">
        <f>ABS(C13-AP4)</f>
        <v>412.52999999999884</v>
      </c>
      <c r="AR4" s="91">
        <f>ABS(E13-AP4)</f>
        <v>448.52999999999884</v>
      </c>
      <c r="AS4" s="91">
        <f>ABS(AP4-G13)</f>
        <v>379.52999999999884</v>
      </c>
      <c r="AT4" s="92" t="s">
        <v>35</v>
      </c>
      <c r="AU4" s="9"/>
      <c r="AV4" s="9"/>
      <c r="BA4" s="9"/>
    </row>
    <row r="5" spans="1:56" ht="14.4" x14ac:dyDescent="0.3">
      <c r="A5" s="82" t="s">
        <v>15</v>
      </c>
      <c r="B5" s="93">
        <v>16.41</v>
      </c>
      <c r="C5" s="94">
        <v>16.399999999999999</v>
      </c>
      <c r="D5" s="94">
        <v>16.55</v>
      </c>
      <c r="E5" s="94">
        <v>16.899999999999999</v>
      </c>
      <c r="F5" s="94">
        <v>16.5</v>
      </c>
      <c r="G5" s="94">
        <v>16.559999999999999</v>
      </c>
      <c r="H5" s="95">
        <v>16.579999999999998</v>
      </c>
      <c r="I5" s="391">
        <v>16.309999999999999</v>
      </c>
      <c r="K5" s="2" t="s">
        <v>36</v>
      </c>
      <c r="M5" s="501" t="str">
        <f>E1</f>
        <v>Claude</v>
      </c>
      <c r="N5" s="502">
        <f>100-ABS((($K12-E2)/($K12)))*100</f>
        <v>99.551781080443504</v>
      </c>
      <c r="O5" s="503">
        <f t="shared" si="0"/>
        <v>0.12491859570185306</v>
      </c>
      <c r="P5" s="504">
        <f>100-ABS((($K13-E3)/($K13)))*100</f>
        <v>99.442593102782496</v>
      </c>
      <c r="Q5" s="505">
        <f t="shared" si="1"/>
        <v>0.12506952853128347</v>
      </c>
      <c r="R5" s="505">
        <f>100-ABS((($K14-E4)/($K14)))*100</f>
        <v>99.236491608325096</v>
      </c>
      <c r="S5" s="505">
        <f t="shared" si="2"/>
        <v>0.12508782982050382</v>
      </c>
      <c r="T5" s="505">
        <f>100-ABS((($K15-E5)/($K15)))*100</f>
        <v>96.903669724770623</v>
      </c>
      <c r="U5" s="505">
        <f t="shared" si="3"/>
        <v>0.12782694198623401</v>
      </c>
      <c r="V5" s="506">
        <f>100-ABS((($K16-E6)/($K16)))*100</f>
        <v>98.210236866226055</v>
      </c>
      <c r="W5" s="507">
        <f t="shared" si="4"/>
        <v>0.12514881836679909</v>
      </c>
      <c r="X5" s="508">
        <f>100-ABS((($K17-E7)/($K17)))*100</f>
        <v>98.643440727609075</v>
      </c>
      <c r="Y5" s="48">
        <f t="shared" si="5"/>
        <v>0.12481530786898194</v>
      </c>
      <c r="Z5" s="29"/>
      <c r="AA5" s="73">
        <f t="shared" si="6"/>
        <v>98.448247825526067</v>
      </c>
      <c r="AB5" s="74">
        <f t="shared" si="7"/>
        <v>98.664702185026144</v>
      </c>
      <c r="AC5" s="51" t="str">
        <f>IF($AA5=MAX(AA2:AA9),"TOP","")</f>
        <v>TOP</v>
      </c>
      <c r="AD5" s="51" t="str">
        <f>IF($AB5=MAX(AB2:AB9),"TOP","")</f>
        <v>TOP</v>
      </c>
      <c r="AE5" s="52"/>
      <c r="AF5" s="82" t="s">
        <v>15</v>
      </c>
      <c r="AG5" s="97" t="s">
        <v>95</v>
      </c>
      <c r="AH5" s="87">
        <f>MAX(T2:T9)</f>
        <v>96.903669724770623</v>
      </c>
      <c r="AJ5" s="82" t="str">
        <f t="shared" si="8"/>
        <v>VIX</v>
      </c>
      <c r="AK5" s="98">
        <v>19.100000000000001</v>
      </c>
      <c r="AL5" s="89">
        <f t="shared" si="9"/>
        <v>90.481651376146786</v>
      </c>
      <c r="AN5" s="9"/>
      <c r="AO5" s="79" t="str">
        <f t="shared" si="10"/>
        <v>SPX</v>
      </c>
      <c r="AP5" s="90">
        <f t="shared" si="11"/>
        <v>6939.02</v>
      </c>
      <c r="AQ5" s="91">
        <f>ABS(C14-AP5)</f>
        <v>60.979999999999563</v>
      </c>
      <c r="AR5" s="91">
        <f>ABS(E14-AP5)</f>
        <v>65.979999999999563</v>
      </c>
      <c r="AS5" s="91">
        <f>ABS(AP5-G14)</f>
        <v>55.979999999999563</v>
      </c>
      <c r="AT5" s="92" t="s">
        <v>38</v>
      </c>
      <c r="AU5" s="9"/>
      <c r="AV5" s="9"/>
      <c r="BA5" s="9"/>
    </row>
    <row r="6" spans="1:56" ht="14.4" x14ac:dyDescent="0.3">
      <c r="A6" s="99" t="s">
        <v>16</v>
      </c>
      <c r="B6" s="100">
        <v>633.69000000000005</v>
      </c>
      <c r="C6" s="101">
        <v>635</v>
      </c>
      <c r="D6" s="101">
        <v>633.79999999999995</v>
      </c>
      <c r="E6" s="101">
        <v>633</v>
      </c>
      <c r="F6" s="101">
        <v>633.9</v>
      </c>
      <c r="G6" s="101">
        <v>632.75</v>
      </c>
      <c r="H6" s="102">
        <v>636.4</v>
      </c>
      <c r="I6" s="393">
        <v>631.27</v>
      </c>
      <c r="M6" s="501" t="str">
        <f>F1</f>
        <v>GLM-4.7</v>
      </c>
      <c r="N6" s="502">
        <f>100-ABS((($K12-F2)/($K12)))*100</f>
        <v>99.551781080443504</v>
      </c>
      <c r="O6" s="503">
        <f t="shared" si="0"/>
        <v>0.12491859570185306</v>
      </c>
      <c r="P6" s="504">
        <f>100-ABS((($K13-F3)/($K13)))*100</f>
        <v>99.207383059190917</v>
      </c>
      <c r="Q6" s="505">
        <f t="shared" si="1"/>
        <v>0.12477370348951876</v>
      </c>
      <c r="R6" s="505">
        <f>100-ABS((($K14-F4)/($K14)))*100</f>
        <v>99.121201552957046</v>
      </c>
      <c r="S6" s="505">
        <f t="shared" si="2"/>
        <v>0.12494250643600939</v>
      </c>
      <c r="T6" s="505">
        <f>100-ABS((($K15-F5)/($K15)))*100</f>
        <v>94.610091743119256</v>
      </c>
      <c r="U6" s="505">
        <f t="shared" si="3"/>
        <v>0.12480145223508056</v>
      </c>
      <c r="V6" s="506">
        <f>100-ABS((($K16-F6)/($K16)))*100</f>
        <v>98.06551208451927</v>
      </c>
      <c r="W6" s="507">
        <f t="shared" si="4"/>
        <v>0.12496439629434582</v>
      </c>
      <c r="X6" s="508">
        <f>100-ABS((($K17-F7)/($K17)))*100</f>
        <v>98.83613380607369</v>
      </c>
      <c r="Y6" s="48">
        <f t="shared" si="5"/>
        <v>0.12505912586372522</v>
      </c>
      <c r="Z6" s="29"/>
      <c r="AA6" s="73">
        <f t="shared" si="6"/>
        <v>97.751047109946626</v>
      </c>
      <c r="AB6" s="74">
        <f t="shared" si="7"/>
        <v>98.232017221050612</v>
      </c>
      <c r="AC6" s="11" t="str">
        <f>IF($AA6=MAX(AA2:AA9),"TOP","")</f>
        <v/>
      </c>
      <c r="AD6" s="11" t="str">
        <f>IF($AB6=MAX(AB2:AB9),"TOP","")</f>
        <v/>
      </c>
      <c r="AE6" s="52"/>
      <c r="AF6" s="99" t="s">
        <v>16</v>
      </c>
      <c r="AG6" s="104" t="s">
        <v>39</v>
      </c>
      <c r="AH6" s="105">
        <f>MAX(V2:V9)</f>
        <v>98.488430057729104</v>
      </c>
      <c r="AJ6" s="99" t="str">
        <f t="shared" si="8"/>
        <v>QQQ</v>
      </c>
      <c r="AK6" s="106">
        <v>604.79999999999995</v>
      </c>
      <c r="AL6" s="107">
        <f t="shared" si="9"/>
        <v>97.255053306961258</v>
      </c>
      <c r="AN6" s="9"/>
      <c r="AO6" s="79" t="str">
        <f t="shared" si="10"/>
        <v>VIX</v>
      </c>
      <c r="AP6" s="108">
        <f t="shared" si="11"/>
        <v>17.440000000000001</v>
      </c>
      <c r="AQ6" s="91">
        <f>ABS(C15-AP6)</f>
        <v>1.9400000000000013</v>
      </c>
      <c r="AR6" s="91">
        <f>ABS(E15-AP6)</f>
        <v>1.5400000000000009</v>
      </c>
      <c r="AS6" s="91">
        <f>ABS(AP6-G15)</f>
        <v>0.92000000000000171</v>
      </c>
      <c r="AT6" s="92" t="s">
        <v>40</v>
      </c>
      <c r="AU6" s="9"/>
      <c r="AV6" s="9"/>
      <c r="BA6" s="9"/>
    </row>
    <row r="7" spans="1:56" ht="14.4" x14ac:dyDescent="0.3">
      <c r="A7" s="109" t="s">
        <v>17</v>
      </c>
      <c r="B7" s="110">
        <v>262.77999999999997</v>
      </c>
      <c r="C7" s="111">
        <v>264</v>
      </c>
      <c r="D7" s="111">
        <v>263.39999999999998</v>
      </c>
      <c r="E7" s="111">
        <v>263</v>
      </c>
      <c r="F7" s="111">
        <v>262.5</v>
      </c>
      <c r="G7" s="111">
        <v>260.5</v>
      </c>
      <c r="H7" s="112">
        <v>264.10000000000002</v>
      </c>
      <c r="I7" s="395">
        <v>258.27</v>
      </c>
      <c r="K7" s="2" t="s">
        <v>41</v>
      </c>
      <c r="M7" s="501" t="str">
        <f>G1</f>
        <v>Kimi 2.5</v>
      </c>
      <c r="N7" s="502">
        <f>100-ABS((($K12-G2)/($K12)))*100</f>
        <v>99.551781080443504</v>
      </c>
      <c r="O7" s="503">
        <f t="shared" si="0"/>
        <v>0.12491859570185306</v>
      </c>
      <c r="P7" s="504">
        <f>100-ABS((($K13-G3)/($K13)))*100</f>
        <v>99.473272673685742</v>
      </c>
      <c r="Q7" s="505">
        <f t="shared" si="1"/>
        <v>0.12510811440629624</v>
      </c>
      <c r="R7" s="505">
        <f>100-ABS((($K14-G4)/($K14)))*100</f>
        <v>99.193257837562086</v>
      </c>
      <c r="S7" s="505">
        <f t="shared" si="2"/>
        <v>0.12503333355131843</v>
      </c>
      <c r="T7" s="505">
        <f>100-ABS((($K15-G5)/($K15)))*100</f>
        <v>94.954128440366958</v>
      </c>
      <c r="U7" s="505">
        <f t="shared" si="3"/>
        <v>0.12525527569775358</v>
      </c>
      <c r="V7" s="506">
        <f>100-ABS((($K16-G6)/($K16)))*100</f>
        <v>98.250438194477951</v>
      </c>
      <c r="W7" s="507">
        <f t="shared" si="4"/>
        <v>0.12520004672025836</v>
      </c>
      <c r="X7" s="508">
        <f>100-ABS((($K17-G7)/($K17)))*100</f>
        <v>99.606906119932177</v>
      </c>
      <c r="Y7" s="48">
        <f t="shared" si="5"/>
        <v>0.12603439784269835</v>
      </c>
      <c r="Z7" s="29"/>
      <c r="AA7" s="73">
        <f t="shared" si="6"/>
        <v>97.967774286523195</v>
      </c>
      <c r="AB7" s="74">
        <f t="shared" si="7"/>
        <v>98.504964057744743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115" t="s">
        <v>96</v>
      </c>
      <c r="AH7" s="116">
        <f>MAX(X2:X9)</f>
        <v>99.606906119932177</v>
      </c>
      <c r="AJ7" s="114" t="str">
        <f t="shared" si="8"/>
        <v>AAPL</v>
      </c>
      <c r="AK7" s="117">
        <v>245.25</v>
      </c>
      <c r="AL7" s="118">
        <f t="shared" si="9"/>
        <v>94.515954986896858</v>
      </c>
      <c r="AN7" s="9"/>
      <c r="AO7" s="79" t="str">
        <f t="shared" si="10"/>
        <v>QQQ</v>
      </c>
      <c r="AP7" s="119">
        <f t="shared" si="11"/>
        <v>621.87</v>
      </c>
      <c r="AQ7" s="91">
        <f>ABS(C16-AP7)</f>
        <v>13.42999999999995</v>
      </c>
      <c r="AR7" s="91">
        <f>ABS(E16-AP7)</f>
        <v>15.629999999999995</v>
      </c>
      <c r="AS7" s="91">
        <f>ABS(AP7-G16)</f>
        <v>13.330000000000041</v>
      </c>
      <c r="AT7" s="92" t="s">
        <v>43</v>
      </c>
      <c r="AU7" s="9"/>
      <c r="AV7" s="9"/>
      <c r="AW7" s="9"/>
      <c r="AX7" s="120"/>
      <c r="AY7" s="120"/>
      <c r="AZ7" s="9"/>
      <c r="BA7" s="9"/>
    </row>
    <row r="8" spans="1:56" ht="14.25" customHeight="1" x14ac:dyDescent="0.3">
      <c r="K8" s="485">
        <v>64</v>
      </c>
      <c r="M8" s="501" t="str">
        <f>H1</f>
        <v>Qwen3 Max</v>
      </c>
      <c r="N8" s="502">
        <f>100-ABS((($K12-H2)/($K12)))*100</f>
        <v>99.622552488794526</v>
      </c>
      <c r="O8" s="503">
        <f t="shared" si="0"/>
        <v>0.12500740039074063</v>
      </c>
      <c r="P8" s="504">
        <f>100-ABS((($K13-H3)/($K13)))*100</f>
        <v>99.517042194841054</v>
      </c>
      <c r="Q8" s="505">
        <f t="shared" si="1"/>
        <v>0.12516316358798116</v>
      </c>
      <c r="R8" s="505">
        <f>100-ABS((($K14-H4)/($K14)))*100</f>
        <v>99.190375586177879</v>
      </c>
      <c r="S8" s="505">
        <f t="shared" si="2"/>
        <v>0.12502970046670606</v>
      </c>
      <c r="T8" s="505">
        <f>100-ABS((($K15-H5)/($K15)))*100</f>
        <v>95.068807339449521</v>
      </c>
      <c r="U8" s="505">
        <f t="shared" si="3"/>
        <v>0.12540655018531124</v>
      </c>
      <c r="V8" s="506">
        <f>100-ABS((($K16-H6)/($K16)))*100</f>
        <v>97.663498802000419</v>
      </c>
      <c r="W8" s="507">
        <f t="shared" si="4"/>
        <v>0.12445211275975336</v>
      </c>
      <c r="X8" s="508">
        <f>100-ABS((($K17-H7)/($K17)))*100</f>
        <v>98.219515954986889</v>
      </c>
      <c r="Y8" s="48">
        <f t="shared" si="5"/>
        <v>0.1242789082805467</v>
      </c>
      <c r="Z8" s="29"/>
      <c r="AA8" s="73">
        <f t="shared" si="6"/>
        <v>97.859930980617207</v>
      </c>
      <c r="AB8" s="74">
        <f t="shared" si="7"/>
        <v>98.213632061041721</v>
      </c>
      <c r="AC8" s="51" t="str">
        <f>IF($AA8=MAX(AA2:AA9),"TOP","")</f>
        <v/>
      </c>
      <c r="AD8" s="51" t="str">
        <f>IF($AB8=MAX(AB2:AB9),"TOP","")</f>
        <v/>
      </c>
      <c r="AE8" s="52"/>
      <c r="AF8" s="4"/>
      <c r="AG8" s="4"/>
      <c r="AH8" s="5"/>
      <c r="AL8" s="8"/>
      <c r="AN8" s="9"/>
      <c r="AO8" s="79" t="str">
        <f t="shared" si="10"/>
        <v>AAPL</v>
      </c>
      <c r="AP8" s="122">
        <f t="shared" si="11"/>
        <v>259.48</v>
      </c>
      <c r="AQ8" s="122">
        <f>ABS(C35-AP8)</f>
        <v>1.5199999999999818</v>
      </c>
      <c r="AR8" s="122">
        <f>ABS(E35-K17)</f>
        <v>1.8199999999999932</v>
      </c>
      <c r="AS8" s="122">
        <f>ABS(AP8-G35)</f>
        <v>8.0000000000040927E-2</v>
      </c>
      <c r="AT8" s="81" t="s">
        <v>33</v>
      </c>
      <c r="AU8" s="9"/>
      <c r="AV8" s="9"/>
      <c r="AW8" s="9"/>
      <c r="AX8" s="9"/>
      <c r="AY8" s="9"/>
      <c r="AZ8" s="9"/>
      <c r="BA8" s="9"/>
    </row>
    <row r="9" spans="1:56" ht="14.4" x14ac:dyDescent="0.3">
      <c r="M9" s="509" t="str">
        <f>I1</f>
        <v>LeChat</v>
      </c>
      <c r="N9" s="510">
        <f>100-ABS((($K12-I2)/($K12)))*100</f>
        <v>99.622552488794526</v>
      </c>
      <c r="O9" s="511">
        <f t="shared" si="0"/>
        <v>0.12500740039074063</v>
      </c>
      <c r="P9" s="512">
        <f>100-ABS((($K13-I3)/($K13)))*100</f>
        <v>99.516980835699243</v>
      </c>
      <c r="Q9" s="513">
        <f t="shared" si="1"/>
        <v>0.12516308641623114</v>
      </c>
      <c r="R9" s="513">
        <f>100-ABS((($K14-I4)/($K14)))*100</f>
        <v>99.12148977809548</v>
      </c>
      <c r="S9" s="513">
        <f t="shared" si="2"/>
        <v>0.12494286974447064</v>
      </c>
      <c r="T9" s="514">
        <f>100-ABS((($K15-I5)/($K15)))*100</f>
        <v>93.520642201834846</v>
      </c>
      <c r="U9" s="513">
        <f t="shared" si="3"/>
        <v>0.12336434460328265</v>
      </c>
      <c r="V9" s="515">
        <f>100-ABS((($K16-I6)/($K16)))*100</f>
        <v>98.488430057729104</v>
      </c>
      <c r="W9" s="516">
        <f t="shared" si="4"/>
        <v>0.12550331857273708</v>
      </c>
      <c r="X9" s="517">
        <f>100-ABS((($K17-I7)/($K17)))*100</f>
        <v>99.533682750115602</v>
      </c>
      <c r="Y9" s="124">
        <f t="shared" si="5"/>
        <v>0.1259417470046959</v>
      </c>
      <c r="Z9" s="29"/>
      <c r="AA9" s="139">
        <f t="shared" si="6"/>
        <v>97.661885718339661</v>
      </c>
      <c r="AB9" s="140">
        <f t="shared" si="7"/>
        <v>98.300629685378127</v>
      </c>
      <c r="AC9" s="51" t="str">
        <f>IF($AA9=MAX(AA2:AA9),"TOP","")</f>
        <v/>
      </c>
      <c r="AD9" s="51" t="str">
        <f>IF($AB9=MAX(AB2:AB9),"TOP","")</f>
        <v/>
      </c>
      <c r="AE9" s="52"/>
      <c r="AF9" s="1319" t="s">
        <v>44</v>
      </c>
      <c r="AG9" s="1319"/>
      <c r="AH9" s="125">
        <f>AVERAGE(AH3:AH6)</f>
        <v>98.541317127760991</v>
      </c>
      <c r="AJ9" s="1310" t="s">
        <v>44</v>
      </c>
      <c r="AK9" s="1310"/>
      <c r="AL9" s="126">
        <f>AVERAGE(AL3:AL6)</f>
        <v>96.43893251076301</v>
      </c>
      <c r="AN9" s="9"/>
      <c r="AP9" s="79">
        <v>0</v>
      </c>
      <c r="AQ9" s="33">
        <v>2.16</v>
      </c>
      <c r="AR9" s="33">
        <v>2.2400000000000002</v>
      </c>
      <c r="AS9" s="33">
        <v>1.79</v>
      </c>
      <c r="AT9" s="127" t="s">
        <v>45</v>
      </c>
      <c r="AU9" s="9"/>
      <c r="AV9" s="9"/>
      <c r="AW9" s="9"/>
      <c r="AX9" s="9"/>
      <c r="AY9" s="9"/>
      <c r="AZ9" s="9"/>
      <c r="BA9" s="9"/>
    </row>
    <row r="10" spans="1:56" ht="14.4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98.958097360254285</v>
      </c>
      <c r="AJ10" s="1311" t="s">
        <v>51</v>
      </c>
      <c r="AK10" s="1311"/>
      <c r="AL10" s="142">
        <f>AVERAGE(AL2:AL7)</f>
        <v>96.668698310999176</v>
      </c>
      <c r="AN10" s="9"/>
      <c r="AP10" s="79">
        <v>0</v>
      </c>
      <c r="AQ10" s="33">
        <v>5.28</v>
      </c>
      <c r="AR10" s="33">
        <v>5.33</v>
      </c>
      <c r="AS10" s="33">
        <v>5.0999999999999996</v>
      </c>
      <c r="AT10" s="143" t="s">
        <v>52</v>
      </c>
      <c r="AU10" s="9"/>
      <c r="AV10" s="9"/>
      <c r="AW10" s="9"/>
      <c r="AX10" s="9"/>
      <c r="AY10" s="9"/>
      <c r="AZ10" s="9"/>
      <c r="BA10" s="9"/>
    </row>
    <row r="11" spans="1:56" ht="14.4" x14ac:dyDescent="0.3">
      <c r="B11" s="3" t="s">
        <v>46</v>
      </c>
      <c r="C11" s="1312" t="s">
        <v>47</v>
      </c>
      <c r="D11" s="1312"/>
      <c r="E11" s="1312">
        <v>85520</v>
      </c>
      <c r="F11" s="1312"/>
      <c r="G11" s="1312" t="s">
        <v>48</v>
      </c>
      <c r="H11" s="1312"/>
      <c r="I11" s="486" t="s">
        <v>36</v>
      </c>
      <c r="J11" s="486" t="s">
        <v>49</v>
      </c>
      <c r="K11" s="130" t="s">
        <v>50</v>
      </c>
      <c r="M11" s="19" t="s">
        <v>53</v>
      </c>
      <c r="N11" s="487" t="s">
        <v>12</v>
      </c>
      <c r="O11" s="21">
        <f>SUM(N12:N19)</f>
        <v>715</v>
      </c>
      <c r="P11" s="157" t="s">
        <v>13</v>
      </c>
      <c r="Q11" s="158">
        <f>SUM(P12:P19)</f>
        <v>660</v>
      </c>
      <c r="R11" s="159" t="s">
        <v>14</v>
      </c>
      <c r="S11" s="158">
        <f>SUM(R12:R19)</f>
        <v>600</v>
      </c>
      <c r="T11" s="159" t="s">
        <v>15</v>
      </c>
      <c r="U11" s="158">
        <f>SUM(T12:T19)</f>
        <v>270</v>
      </c>
      <c r="V11" s="159" t="s">
        <v>16</v>
      </c>
      <c r="W11" s="26">
        <f>SUM(V12:V19)</f>
        <v>510</v>
      </c>
      <c r="X11" s="488" t="s">
        <v>17</v>
      </c>
      <c r="Y11" s="28">
        <f>SUM(X12:X19)</f>
        <v>585</v>
      </c>
      <c r="Z11" s="29"/>
      <c r="AA11" s="161" t="s">
        <v>54</v>
      </c>
      <c r="AB11" s="162" t="s">
        <v>55</v>
      </c>
      <c r="AF11" s="150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6" ht="14.4" x14ac:dyDescent="0.3">
      <c r="A12" s="53" t="s">
        <v>12</v>
      </c>
      <c r="B12" s="144">
        <v>4.2229999999999999</v>
      </c>
      <c r="C12" s="145">
        <v>4.2300000000000004</v>
      </c>
      <c r="D12" s="146" t="str">
        <f t="shared" ref="D12:D17" si="12">IF(ABS(K12-I12)&lt;ABS(C12-K12),$I$11,$C$11)</f>
        <v>RD</v>
      </c>
      <c r="E12" s="145">
        <v>4.2300000000000004</v>
      </c>
      <c r="F12" s="146">
        <f t="shared" ref="F12:F17" si="13">IF(ABS(K12-I12)&lt;ABS(K12-E12),$I$11,$E$11)</f>
        <v>85520</v>
      </c>
      <c r="G12" s="145">
        <v>4.24</v>
      </c>
      <c r="H12" s="146" t="str">
        <f t="shared" ref="H12:H17" si="14">IF(ABS(I12-K12)&lt;ABS(K12-G12),$I$11,$G$11)</f>
        <v>MICH</v>
      </c>
      <c r="I12" s="407">
        <f>(B2*O22)+(C2*O23)+(D2*O24)+(E2*O25)+(F2*O26)+(G2*O27)+(H2*O28)+(I2*O29)</f>
        <v>4.2257303149606296</v>
      </c>
      <c r="J12" s="408">
        <v>4.2301132877263603</v>
      </c>
      <c r="K12" s="468">
        <v>4.2389999999999999</v>
      </c>
      <c r="M12" s="410" t="str">
        <f t="shared" ref="M12:M19" si="15">M2</f>
        <v>O 5.2</v>
      </c>
      <c r="N12" s="489">
        <f t="shared" ref="N12:N19" si="16">IF(N2=0,0, LOOKUP(N2-0.000000000001,$AA$12:$AA$28,$AB$12:$AB$28))</f>
        <v>95</v>
      </c>
      <c r="O12" s="412">
        <f t="shared" ref="O12:O19" si="17">N12/$O$11</f>
        <v>0.13286713286713286</v>
      </c>
      <c r="P12" s="413">
        <f t="shared" ref="P12:P19" si="18">IF(P2=0,0, LOOKUP(P2-0.000000000001,$AA$12:$AA$28,$AB$12:$AB$28))</f>
        <v>90</v>
      </c>
      <c r="Q12" s="414">
        <f t="shared" ref="Q12:Q19" si="19">P12/$Q$11</f>
        <v>0.13636363636363635</v>
      </c>
      <c r="R12" s="414">
        <f t="shared" ref="R12:R19" si="20">IF(R2=0,0, LOOKUP(R2-0.000000000001,$AA$12:$AA$28,$AB$12:$AB$28))</f>
        <v>75</v>
      </c>
      <c r="S12" s="414">
        <f t="shared" ref="S12:S19" si="21">R12/$S$11</f>
        <v>0.125</v>
      </c>
      <c r="T12" s="414">
        <f t="shared" ref="T12:T19" si="22">IF(T2=0,0, LOOKUP(T2-0.000000000001,$AA$12:$AA$28,$AB$12:$AB$28))</f>
        <v>30</v>
      </c>
      <c r="U12" s="414">
        <f t="shared" ref="U12:U19" si="23">T12/$U$11</f>
        <v>0.1111111111111111</v>
      </c>
      <c r="V12" s="414">
        <f t="shared" ref="V12:V19" si="24">IF(V2=0,0, LOOKUP(V2-0.000000000001,$AA$12:$AA$28,$AB$12:$AB$28))</f>
        <v>65</v>
      </c>
      <c r="W12" s="415">
        <f t="shared" ref="W12:W19" si="25">V12/$W$11</f>
        <v>0.12745098039215685</v>
      </c>
      <c r="X12" s="490">
        <f t="shared" ref="X12:X19" si="26">IF(X2=0,0, LOOKUP(X2-0.000000000001,$AA$12:$AA$28,$AB$12:$AB$28))</f>
        <v>70</v>
      </c>
      <c r="Y12" s="179">
        <f t="shared" ref="Y12:Y19" si="27">X12/$Y$11</f>
        <v>0.11965811965811966</v>
      </c>
      <c r="Z12" s="29"/>
      <c r="AA12" s="180">
        <v>1</v>
      </c>
      <c r="AB12" s="181">
        <v>0.1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6" ht="14.4" x14ac:dyDescent="0.3">
      <c r="A13" s="60" t="s">
        <v>13</v>
      </c>
      <c r="B13" s="469">
        <v>49003.41</v>
      </c>
      <c r="C13" s="61">
        <v>49305</v>
      </c>
      <c r="D13" s="152" t="str">
        <f t="shared" si="12"/>
        <v>LLM</v>
      </c>
      <c r="E13" s="61">
        <v>49341</v>
      </c>
      <c r="F13" s="152" t="str">
        <f t="shared" si="13"/>
        <v>LLM</v>
      </c>
      <c r="G13" s="61">
        <v>49272</v>
      </c>
      <c r="H13" s="152" t="str">
        <f t="shared" si="14"/>
        <v>LLM</v>
      </c>
      <c r="I13" s="417">
        <f>(B3*Q22)+(C3*Q23)+(D3*Q24)+(E3*Q25)+(F3*Q26)+(G3*Q27)+(H3*Q28)+(I3*Q29)</f>
        <v>49192.708895131087</v>
      </c>
      <c r="J13" s="418">
        <v>49130.372665684401</v>
      </c>
      <c r="K13" s="470">
        <v>48892.47</v>
      </c>
      <c r="M13" s="420" t="str">
        <f t="shared" si="15"/>
        <v>Grok 4.1</v>
      </c>
      <c r="N13" s="489">
        <f t="shared" si="16"/>
        <v>80</v>
      </c>
      <c r="O13" s="412">
        <f t="shared" si="17"/>
        <v>0.11188811188811189</v>
      </c>
      <c r="P13" s="413">
        <f t="shared" si="18"/>
        <v>75</v>
      </c>
      <c r="Q13" s="414">
        <f t="shared" si="19"/>
        <v>0.11363636363636363</v>
      </c>
      <c r="R13" s="414">
        <f t="shared" si="20"/>
        <v>75</v>
      </c>
      <c r="S13" s="414">
        <f t="shared" si="21"/>
        <v>0.125</v>
      </c>
      <c r="T13" s="414">
        <f t="shared" si="22"/>
        <v>30</v>
      </c>
      <c r="U13" s="414">
        <f t="shared" si="23"/>
        <v>0.1111111111111111</v>
      </c>
      <c r="V13" s="414">
        <f t="shared" si="24"/>
        <v>60</v>
      </c>
      <c r="W13" s="415">
        <f t="shared" si="25"/>
        <v>0.11764705882352941</v>
      </c>
      <c r="X13" s="490">
        <f t="shared" si="26"/>
        <v>65</v>
      </c>
      <c r="Y13" s="179">
        <f t="shared" si="27"/>
        <v>0.1111111111111111</v>
      </c>
      <c r="Z13" s="29"/>
      <c r="AA13" s="202">
        <v>80</v>
      </c>
      <c r="AB13" s="203">
        <v>1</v>
      </c>
      <c r="AG13" s="1314" t="s">
        <v>68</v>
      </c>
      <c r="AH13" s="1314"/>
      <c r="AJ13" s="4"/>
      <c r="AK13" s="1314" t="s">
        <v>69</v>
      </c>
      <c r="AL13" s="1314"/>
      <c r="AN13" s="9"/>
      <c r="AO13" s="186" t="s">
        <v>13</v>
      </c>
      <c r="AP13" s="187" t="str">
        <f>K11</f>
        <v xml:space="preserve">+3-day </v>
      </c>
      <c r="AQ13" s="33" t="s">
        <v>23</v>
      </c>
      <c r="AR13" s="33" t="s">
        <v>24</v>
      </c>
      <c r="AS13" s="33" t="s">
        <v>25</v>
      </c>
      <c r="AT13" s="188" t="s">
        <v>35</v>
      </c>
      <c r="AU13" s="189">
        <v>893</v>
      </c>
      <c r="AV13" s="190" t="s">
        <v>56</v>
      </c>
      <c r="AW13" s="191" t="s">
        <v>57</v>
      </c>
      <c r="AX13" s="192">
        <v>893</v>
      </c>
      <c r="BA13" s="9"/>
    </row>
    <row r="14" spans="1:56" ht="14.4" x14ac:dyDescent="0.3">
      <c r="A14" s="82" t="s">
        <v>14</v>
      </c>
      <c r="B14" s="471">
        <v>6978.6</v>
      </c>
      <c r="C14" s="83">
        <v>7000</v>
      </c>
      <c r="D14" s="168" t="str">
        <f t="shared" si="12"/>
        <v>LLM</v>
      </c>
      <c r="E14" s="83">
        <v>7005</v>
      </c>
      <c r="F14" s="168" t="str">
        <f t="shared" si="13"/>
        <v>LLM</v>
      </c>
      <c r="G14" s="83">
        <v>6995</v>
      </c>
      <c r="H14" s="168" t="str">
        <f t="shared" si="14"/>
        <v>MICH</v>
      </c>
      <c r="I14" s="421">
        <f>(B4*S22)+(C4*S23)+(D4*S24)+(E4*S25)+(F4*S26)+(G4*S27)+(H4*S28)+(I4*S29)</f>
        <v>6996.8252595155709</v>
      </c>
      <c r="J14" s="422">
        <v>6994.7628018518399</v>
      </c>
      <c r="K14" s="472">
        <v>6939.02</v>
      </c>
      <c r="M14" s="420" t="str">
        <f t="shared" si="15"/>
        <v>Gemini Pro 3</v>
      </c>
      <c r="N14" s="489">
        <f t="shared" si="16"/>
        <v>90</v>
      </c>
      <c r="O14" s="412">
        <f t="shared" si="17"/>
        <v>0.12587412587412589</v>
      </c>
      <c r="P14" s="413">
        <f t="shared" si="18"/>
        <v>80</v>
      </c>
      <c r="Q14" s="414">
        <f t="shared" si="19"/>
        <v>0.12121212121212122</v>
      </c>
      <c r="R14" s="414">
        <f t="shared" si="20"/>
        <v>75</v>
      </c>
      <c r="S14" s="414">
        <f t="shared" si="21"/>
        <v>0.125</v>
      </c>
      <c r="T14" s="414">
        <f t="shared" si="22"/>
        <v>30</v>
      </c>
      <c r="U14" s="414">
        <f t="shared" si="23"/>
        <v>0.1111111111111111</v>
      </c>
      <c r="V14" s="414">
        <f t="shared" si="24"/>
        <v>65</v>
      </c>
      <c r="W14" s="415">
        <f t="shared" si="25"/>
        <v>0.12745098039215685</v>
      </c>
      <c r="X14" s="490">
        <f t="shared" si="26"/>
        <v>65</v>
      </c>
      <c r="Y14" s="179">
        <f t="shared" si="27"/>
        <v>0.1111111111111111</v>
      </c>
      <c r="Z14" s="29"/>
      <c r="AA14" s="202">
        <v>82.5</v>
      </c>
      <c r="AB14" s="203">
        <v>2</v>
      </c>
      <c r="AF14" s="341" t="str">
        <f t="shared" ref="AF14:AF19" si="28">A2</f>
        <v>TNX</v>
      </c>
      <c r="AG14" s="342">
        <f t="shared" ref="AG14:AG19" si="29">C12</f>
        <v>4.2300000000000004</v>
      </c>
      <c r="AH14" s="57">
        <f t="shared" ref="AH14:AH19" si="30">100-ABS(($K12-AG14)/($K12))*100</f>
        <v>99.787685774946937</v>
      </c>
      <c r="AJ14" s="53" t="str">
        <f t="shared" ref="AJ14:AJ19" si="31">AF14</f>
        <v>TNX</v>
      </c>
      <c r="AK14" s="342">
        <f t="shared" ref="AK14:AK19" si="32">E12</f>
        <v>4.2300000000000004</v>
      </c>
      <c r="AL14" s="57">
        <f t="shared" ref="AL14:AL19" si="33">100-ABS(($K12-AK14)/($K12))*100</f>
        <v>99.787685774946937</v>
      </c>
      <c r="AN14" s="9"/>
      <c r="AO14" s="9"/>
      <c r="AP14" s="187">
        <v>0</v>
      </c>
      <c r="AQ14" s="204">
        <f>AQ15/AT15</f>
        <v>0.46195968645016666</v>
      </c>
      <c r="AR14" s="204">
        <f>AR15/AT15</f>
        <v>0.50227323628219356</v>
      </c>
      <c r="AS14" s="204">
        <f>AS15/AT15</f>
        <v>0.42500559910414204</v>
      </c>
      <c r="AT14" s="187">
        <v>5</v>
      </c>
      <c r="AU14" s="205">
        <v>1</v>
      </c>
      <c r="AV14" s="190" t="s">
        <v>58</v>
      </c>
      <c r="AW14" s="191" t="s">
        <v>59</v>
      </c>
      <c r="AX14" s="206">
        <f>AU13/AP4</f>
        <v>1.8264571211067879E-2</v>
      </c>
      <c r="BA14" s="9"/>
    </row>
    <row r="15" spans="1:56" ht="14.4" x14ac:dyDescent="0.3">
      <c r="A15" s="82" t="s">
        <v>15</v>
      </c>
      <c r="B15" s="471">
        <v>16.350000000000001</v>
      </c>
      <c r="C15" s="93">
        <v>15.5</v>
      </c>
      <c r="D15" s="168" t="str">
        <f t="shared" si="12"/>
        <v>LLM</v>
      </c>
      <c r="E15" s="93">
        <v>15.9</v>
      </c>
      <c r="F15" s="168" t="str">
        <f t="shared" si="13"/>
        <v>LLM</v>
      </c>
      <c r="G15" s="93">
        <v>16.52</v>
      </c>
      <c r="H15" s="168" t="str">
        <f t="shared" si="14"/>
        <v>MICH</v>
      </c>
      <c r="I15" s="423">
        <f>(B5*U22)+(C5*U23)+(D5*U24)+(E5*U25)+(F5*U26)+(G5*U27)+(H5*U28)+(I5*U29)</f>
        <v>16.502054794520546</v>
      </c>
      <c r="J15" s="424">
        <v>16.431265935512201</v>
      </c>
      <c r="K15" s="472">
        <v>17.440000000000001</v>
      </c>
      <c r="M15" s="420" t="str">
        <f t="shared" si="15"/>
        <v>Claude</v>
      </c>
      <c r="N15" s="489">
        <f t="shared" si="16"/>
        <v>90</v>
      </c>
      <c r="O15" s="412">
        <f t="shared" si="17"/>
        <v>0.12587412587412589</v>
      </c>
      <c r="P15" s="413">
        <f t="shared" si="18"/>
        <v>80</v>
      </c>
      <c r="Q15" s="414">
        <f t="shared" si="19"/>
        <v>0.12121212121212122</v>
      </c>
      <c r="R15" s="414">
        <f t="shared" si="20"/>
        <v>75</v>
      </c>
      <c r="S15" s="414">
        <f t="shared" si="21"/>
        <v>0.125</v>
      </c>
      <c r="T15" s="414">
        <f t="shared" si="22"/>
        <v>50</v>
      </c>
      <c r="U15" s="414">
        <f t="shared" si="23"/>
        <v>0.18518518518518517</v>
      </c>
      <c r="V15" s="414">
        <f t="shared" si="24"/>
        <v>65</v>
      </c>
      <c r="W15" s="415">
        <f t="shared" si="25"/>
        <v>0.12745098039215685</v>
      </c>
      <c r="X15" s="490">
        <f t="shared" si="26"/>
        <v>70</v>
      </c>
      <c r="Y15" s="179">
        <f t="shared" si="27"/>
        <v>0.11965811965811966</v>
      </c>
      <c r="Z15" s="29"/>
      <c r="AA15" s="202">
        <v>85</v>
      </c>
      <c r="AB15" s="203">
        <v>5</v>
      </c>
      <c r="AF15" s="343" t="str">
        <f t="shared" si="28"/>
        <v>DJI</v>
      </c>
      <c r="AG15" s="344">
        <f t="shared" si="29"/>
        <v>49305</v>
      </c>
      <c r="AH15" s="78">
        <f t="shared" si="30"/>
        <v>99.156250441018841</v>
      </c>
      <c r="AJ15" s="60" t="str">
        <f t="shared" si="31"/>
        <v>DJI</v>
      </c>
      <c r="AK15" s="344">
        <f t="shared" si="32"/>
        <v>49341</v>
      </c>
      <c r="AL15" s="78">
        <f t="shared" si="33"/>
        <v>99.082619470851029</v>
      </c>
      <c r="AN15" s="9"/>
      <c r="AO15" s="9"/>
      <c r="AP15" s="212">
        <v>0</v>
      </c>
      <c r="AQ15" s="213">
        <f>AQ4</f>
        <v>412.52999999999884</v>
      </c>
      <c r="AR15" s="213">
        <f>AR4</f>
        <v>448.52999999999884</v>
      </c>
      <c r="AS15" s="213">
        <f>AS4</f>
        <v>379.52999999999884</v>
      </c>
      <c r="AT15" s="213">
        <f>AU14*AU13</f>
        <v>893</v>
      </c>
      <c r="AV15" s="214"/>
      <c r="AW15" s="13"/>
      <c r="AX15" s="13"/>
      <c r="BA15" s="9"/>
    </row>
    <row r="16" spans="1:56" ht="14.4" x14ac:dyDescent="0.3">
      <c r="A16" s="99" t="s">
        <v>16</v>
      </c>
      <c r="B16" s="473">
        <v>631.13</v>
      </c>
      <c r="C16" s="100">
        <v>635.29999999999995</v>
      </c>
      <c r="D16" s="208" t="str">
        <f t="shared" si="12"/>
        <v>LLM</v>
      </c>
      <c r="E16" s="100">
        <v>637.5</v>
      </c>
      <c r="F16" s="208" t="str">
        <f t="shared" si="13"/>
        <v>LLM</v>
      </c>
      <c r="G16" s="100">
        <v>635.20000000000005</v>
      </c>
      <c r="H16" s="208" t="str">
        <f t="shared" si="14"/>
        <v>LLM</v>
      </c>
      <c r="I16" s="425">
        <f>(B6*W22)+(C6*W23)+(D6*W24)+(E6*W25)+(F6*W26)+(G6*W27)+(H6*W28)+(I6*W29)</f>
        <v>633.72699999999998</v>
      </c>
      <c r="J16" s="426">
        <v>632.68081623921705</v>
      </c>
      <c r="K16" s="474">
        <v>621.87</v>
      </c>
      <c r="M16" s="420" t="str">
        <f t="shared" si="15"/>
        <v>GLM-4.7</v>
      </c>
      <c r="N16" s="489">
        <f t="shared" si="16"/>
        <v>90</v>
      </c>
      <c r="O16" s="412">
        <f t="shared" si="17"/>
        <v>0.12587412587412589</v>
      </c>
      <c r="P16" s="413">
        <f t="shared" si="18"/>
        <v>75</v>
      </c>
      <c r="Q16" s="414">
        <f t="shared" si="19"/>
        <v>0.11363636363636363</v>
      </c>
      <c r="R16" s="414">
        <f t="shared" si="20"/>
        <v>75</v>
      </c>
      <c r="S16" s="414">
        <f t="shared" si="21"/>
        <v>0.125</v>
      </c>
      <c r="T16" s="414">
        <f t="shared" si="22"/>
        <v>30</v>
      </c>
      <c r="U16" s="414">
        <f t="shared" si="23"/>
        <v>0.1111111111111111</v>
      </c>
      <c r="V16" s="414">
        <f t="shared" si="24"/>
        <v>65</v>
      </c>
      <c r="W16" s="415">
        <f t="shared" si="25"/>
        <v>0.12745098039215685</v>
      </c>
      <c r="X16" s="490">
        <f t="shared" si="26"/>
        <v>70</v>
      </c>
      <c r="Y16" s="179">
        <f t="shared" si="27"/>
        <v>0.11965811965811966</v>
      </c>
      <c r="Z16" s="29"/>
      <c r="AA16" s="202">
        <v>87.5</v>
      </c>
      <c r="AB16" s="203">
        <v>10</v>
      </c>
      <c r="AF16" s="345" t="str">
        <f t="shared" si="28"/>
        <v>SPX</v>
      </c>
      <c r="AG16" s="346">
        <f t="shared" si="29"/>
        <v>7000</v>
      </c>
      <c r="AH16" s="89">
        <f t="shared" si="30"/>
        <v>99.121201552957046</v>
      </c>
      <c r="AJ16" s="82" t="str">
        <f t="shared" si="31"/>
        <v>SPX</v>
      </c>
      <c r="AK16" s="346">
        <f t="shared" si="32"/>
        <v>7005</v>
      </c>
      <c r="AL16" s="89">
        <f t="shared" si="33"/>
        <v>99.049145268352021</v>
      </c>
      <c r="AN16" s="9"/>
      <c r="AO16" s="6"/>
      <c r="AP16" s="120"/>
      <c r="AQ16" s="120"/>
      <c r="AR16" s="120"/>
      <c r="AS16" s="120"/>
      <c r="AT16" s="120"/>
      <c r="AU16" s="120"/>
      <c r="AV16" s="190"/>
      <c r="AW16" s="221"/>
      <c r="AX16" s="222"/>
      <c r="BA16" s="9"/>
      <c r="BD16" s="8"/>
    </row>
    <row r="17" spans="1:55" ht="14.4" x14ac:dyDescent="0.3">
      <c r="A17" s="114" t="s">
        <v>17</v>
      </c>
      <c r="B17" s="475">
        <v>258.27</v>
      </c>
      <c r="C17" s="216">
        <v>261</v>
      </c>
      <c r="D17" s="217" t="str">
        <f t="shared" si="12"/>
        <v>RD</v>
      </c>
      <c r="E17" s="216">
        <v>261.3</v>
      </c>
      <c r="F17" s="217">
        <f t="shared" si="13"/>
        <v>85520</v>
      </c>
      <c r="G17" s="216">
        <v>259.39999999999998</v>
      </c>
      <c r="H17" s="217" t="str">
        <f t="shared" si="14"/>
        <v>MICH</v>
      </c>
      <c r="I17" s="428">
        <f>(B7*Y22)+(C7*Y23)+(D7*Y24)+(E7*Y25)+(F7*Y26)+(G7*Y27)+(H7*Y28)+(I7*Y29)</f>
        <v>262.26928571428573</v>
      </c>
      <c r="J17" s="429">
        <v>260.66647028688601</v>
      </c>
      <c r="K17" s="476">
        <v>259.48</v>
      </c>
      <c r="M17" s="420" t="str">
        <f t="shared" si="15"/>
        <v>Kimi 2.5</v>
      </c>
      <c r="N17" s="489">
        <f t="shared" si="16"/>
        <v>90</v>
      </c>
      <c r="O17" s="412">
        <f t="shared" si="17"/>
        <v>0.12587412587412589</v>
      </c>
      <c r="P17" s="413">
        <f t="shared" si="18"/>
        <v>80</v>
      </c>
      <c r="Q17" s="414">
        <f t="shared" si="19"/>
        <v>0.12121212121212122</v>
      </c>
      <c r="R17" s="414">
        <f t="shared" si="20"/>
        <v>75</v>
      </c>
      <c r="S17" s="414">
        <f t="shared" si="21"/>
        <v>0.125</v>
      </c>
      <c r="T17" s="414">
        <f t="shared" si="22"/>
        <v>30</v>
      </c>
      <c r="U17" s="414">
        <f t="shared" si="23"/>
        <v>0.1111111111111111</v>
      </c>
      <c r="V17" s="414">
        <f t="shared" si="24"/>
        <v>65</v>
      </c>
      <c r="W17" s="415">
        <f t="shared" si="25"/>
        <v>0.12745098039215685</v>
      </c>
      <c r="X17" s="490">
        <f t="shared" si="26"/>
        <v>90</v>
      </c>
      <c r="Y17" s="179">
        <f t="shared" si="27"/>
        <v>0.15384615384615385</v>
      </c>
      <c r="Z17" s="29"/>
      <c r="AA17" s="202">
        <v>90</v>
      </c>
      <c r="AB17" s="203">
        <v>20</v>
      </c>
      <c r="AF17" s="345" t="str">
        <f t="shared" si="28"/>
        <v>VIX</v>
      </c>
      <c r="AG17" s="347">
        <f t="shared" si="29"/>
        <v>15.5</v>
      </c>
      <c r="AH17" s="89">
        <f t="shared" si="30"/>
        <v>88.876146788990823</v>
      </c>
      <c r="AJ17" s="82" t="str">
        <f t="shared" si="31"/>
        <v>VIX</v>
      </c>
      <c r="AK17" s="347">
        <f t="shared" si="32"/>
        <v>15.9</v>
      </c>
      <c r="AL17" s="89">
        <f t="shared" si="33"/>
        <v>91.169724770642205</v>
      </c>
      <c r="AN17" s="9"/>
      <c r="AO17" s="186" t="s">
        <v>14</v>
      </c>
      <c r="AP17" s="187" t="str">
        <f>AP13</f>
        <v xml:space="preserve">+3-day </v>
      </c>
      <c r="AQ17" s="187" t="str">
        <f>AQ13</f>
        <v>User1</v>
      </c>
      <c r="AR17" s="187" t="str">
        <f>AR13</f>
        <v>User2</v>
      </c>
      <c r="AS17" s="187" t="str">
        <f>AS13</f>
        <v>User3</v>
      </c>
      <c r="AT17" s="188" t="s">
        <v>38</v>
      </c>
      <c r="AU17" s="227">
        <v>225.6</v>
      </c>
      <c r="AV17" s="190" t="str">
        <f>AV13</f>
        <v>TEST</v>
      </c>
      <c r="AW17" s="191" t="str">
        <f>AW13</f>
        <v>BEST =</v>
      </c>
      <c r="AX17" s="192">
        <v>225.6</v>
      </c>
      <c r="BA17" s="9"/>
    </row>
    <row r="18" spans="1:55" ht="14.4" x14ac:dyDescent="0.3">
      <c r="M18" s="420" t="str">
        <f t="shared" si="15"/>
        <v>Qwen3 Max</v>
      </c>
      <c r="N18" s="489">
        <f t="shared" si="16"/>
        <v>90</v>
      </c>
      <c r="O18" s="412">
        <f t="shared" si="17"/>
        <v>0.12587412587412589</v>
      </c>
      <c r="P18" s="413">
        <f t="shared" si="18"/>
        <v>90</v>
      </c>
      <c r="Q18" s="414">
        <f t="shared" si="19"/>
        <v>0.13636363636363635</v>
      </c>
      <c r="R18" s="414">
        <f t="shared" si="20"/>
        <v>75</v>
      </c>
      <c r="S18" s="414">
        <f t="shared" si="21"/>
        <v>0.125</v>
      </c>
      <c r="T18" s="414">
        <f t="shared" si="22"/>
        <v>40</v>
      </c>
      <c r="U18" s="414">
        <f t="shared" si="23"/>
        <v>0.14814814814814814</v>
      </c>
      <c r="V18" s="414">
        <f t="shared" si="24"/>
        <v>60</v>
      </c>
      <c r="W18" s="415">
        <f t="shared" si="25"/>
        <v>0.11764705882352941</v>
      </c>
      <c r="X18" s="490">
        <f t="shared" si="26"/>
        <v>65</v>
      </c>
      <c r="Y18" s="179">
        <f t="shared" si="27"/>
        <v>0.1111111111111111</v>
      </c>
      <c r="Z18" s="29"/>
      <c r="AA18" s="202">
        <v>92.5</v>
      </c>
      <c r="AB18" s="203">
        <v>30</v>
      </c>
      <c r="AF18" s="348" t="str">
        <f t="shared" si="28"/>
        <v>QQQ</v>
      </c>
      <c r="AG18" s="349">
        <f t="shared" si="29"/>
        <v>635.29999999999995</v>
      </c>
      <c r="AH18" s="107">
        <f t="shared" si="30"/>
        <v>97.840384646308721</v>
      </c>
      <c r="AJ18" s="99" t="str">
        <f t="shared" si="31"/>
        <v>QQQ</v>
      </c>
      <c r="AK18" s="349">
        <f t="shared" si="32"/>
        <v>637.5</v>
      </c>
      <c r="AL18" s="107">
        <f t="shared" si="33"/>
        <v>97.486612957692117</v>
      </c>
      <c r="AN18" s="9"/>
      <c r="AO18" s="9"/>
      <c r="AP18" s="187">
        <v>0</v>
      </c>
      <c r="AQ18" s="204">
        <f>AQ19/AT19</f>
        <v>0.27030141843971439</v>
      </c>
      <c r="AR18" s="204">
        <f>AR19/AT19</f>
        <v>0.2924645390070903</v>
      </c>
      <c r="AS18" s="204">
        <f>AS19/AT19</f>
        <v>0.24813829787233849</v>
      </c>
      <c r="AT18" s="187">
        <v>5</v>
      </c>
      <c r="AU18" s="229">
        <f>AU14</f>
        <v>1</v>
      </c>
      <c r="AV18" s="190" t="str">
        <f>AV14</f>
        <v>Scale</v>
      </c>
      <c r="AW18" s="191" t="str">
        <f>AW14</f>
        <v>RANGE  =</v>
      </c>
      <c r="AX18" s="206">
        <f>AU17/AP5</f>
        <v>3.2511795613789841E-2</v>
      </c>
      <c r="BA18" s="9"/>
    </row>
    <row r="19" spans="1:55" ht="14.4" x14ac:dyDescent="0.3">
      <c r="M19" s="431" t="str">
        <f t="shared" si="15"/>
        <v>LeChat</v>
      </c>
      <c r="N19" s="491">
        <f t="shared" si="16"/>
        <v>90</v>
      </c>
      <c r="O19" s="433">
        <f t="shared" si="17"/>
        <v>0.12587412587412589</v>
      </c>
      <c r="P19" s="434">
        <f t="shared" si="18"/>
        <v>90</v>
      </c>
      <c r="Q19" s="435">
        <f t="shared" si="19"/>
        <v>0.13636363636363635</v>
      </c>
      <c r="R19" s="435">
        <f t="shared" si="20"/>
        <v>75</v>
      </c>
      <c r="S19" s="435">
        <f t="shared" si="21"/>
        <v>0.125</v>
      </c>
      <c r="T19" s="435">
        <f t="shared" si="22"/>
        <v>30</v>
      </c>
      <c r="U19" s="435">
        <f t="shared" si="23"/>
        <v>0.1111111111111111</v>
      </c>
      <c r="V19" s="435">
        <f t="shared" si="24"/>
        <v>65</v>
      </c>
      <c r="W19" s="436">
        <f t="shared" si="25"/>
        <v>0.12745098039215685</v>
      </c>
      <c r="X19" s="492">
        <f t="shared" si="26"/>
        <v>90</v>
      </c>
      <c r="Y19" s="235">
        <f t="shared" si="27"/>
        <v>0.15384615384615385</v>
      </c>
      <c r="Z19" s="29"/>
      <c r="AA19" s="202">
        <v>95</v>
      </c>
      <c r="AB19" s="203">
        <v>40</v>
      </c>
      <c r="AF19" s="350" t="str">
        <f t="shared" si="28"/>
        <v>AAPL</v>
      </c>
      <c r="AG19" s="351">
        <f t="shared" si="29"/>
        <v>261</v>
      </c>
      <c r="AH19" s="118">
        <f t="shared" si="30"/>
        <v>99.414213041467562</v>
      </c>
      <c r="AJ19" s="114" t="str">
        <f t="shared" si="31"/>
        <v>AAPL</v>
      </c>
      <c r="AK19" s="351">
        <f t="shared" si="32"/>
        <v>261.3</v>
      </c>
      <c r="AL19" s="118">
        <f t="shared" si="33"/>
        <v>99.298597194388776</v>
      </c>
      <c r="AN19" s="9"/>
      <c r="AO19" s="9"/>
      <c r="AP19" s="212">
        <v>0</v>
      </c>
      <c r="AQ19" s="213">
        <f>AQ5</f>
        <v>60.979999999999563</v>
      </c>
      <c r="AR19" s="213">
        <f>AR5</f>
        <v>65.979999999999563</v>
      </c>
      <c r="AS19" s="213">
        <f>AS5</f>
        <v>55.979999999999563</v>
      </c>
      <c r="AT19" s="213">
        <f>AU18*AU17</f>
        <v>225.6</v>
      </c>
      <c r="AV19" s="214"/>
      <c r="AW19" s="13"/>
      <c r="AX19" s="13"/>
      <c r="BA19" s="9"/>
    </row>
    <row r="20" spans="1:55" ht="14.4" x14ac:dyDescent="0.3">
      <c r="A20" s="2" t="s">
        <v>0</v>
      </c>
      <c r="B20" s="230" t="str">
        <f t="shared" ref="B20:B26" si="34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35">G11</f>
        <v>MICH</v>
      </c>
      <c r="H20" s="1312"/>
      <c r="I20" s="1313" t="s">
        <v>50</v>
      </c>
      <c r="J20" s="1313"/>
      <c r="AA20" s="202">
        <v>96</v>
      </c>
      <c r="AB20" s="203">
        <v>50</v>
      </c>
      <c r="AH20" s="9"/>
      <c r="AN20" s="9"/>
      <c r="AO20" s="9"/>
      <c r="AP20" s="120"/>
      <c r="AQ20" s="120"/>
      <c r="AR20" s="120"/>
      <c r="AS20" s="120"/>
      <c r="AT20" s="120"/>
      <c r="AU20" s="120"/>
      <c r="AV20" s="190"/>
      <c r="AW20" s="221"/>
      <c r="AX20" s="222"/>
      <c r="BA20" s="9"/>
    </row>
    <row r="21" spans="1:55" ht="14.4" x14ac:dyDescent="0.3">
      <c r="A21" s="35" t="s">
        <v>12</v>
      </c>
      <c r="B21" s="231">
        <f t="shared" si="34"/>
        <v>4.2229999999999999</v>
      </c>
      <c r="C21" s="232">
        <f t="shared" ref="C21:C26" si="36">C12</f>
        <v>4.2300000000000004</v>
      </c>
      <c r="D21" s="146" t="str">
        <f t="shared" ref="D21:D26" si="37">CONCATENATE(TEXT(AI28,"0.00%"),"  ",AJ28)</f>
        <v>0.17%  ↑</v>
      </c>
      <c r="E21" s="232">
        <f t="shared" ref="E21:E26" si="38">E12</f>
        <v>4.2300000000000004</v>
      </c>
      <c r="F21" s="146" t="str">
        <f t="shared" ref="F21:F26" si="39">CONCATENATE(TEXT(AK28,"0.00%"),"  ",AL28)</f>
        <v>0.17%  ↑</v>
      </c>
      <c r="G21" s="232">
        <f t="shared" si="35"/>
        <v>4.24</v>
      </c>
      <c r="H21" s="146" t="str">
        <f t="shared" ref="H21:H26" si="40">CONCATENATE(TEXT(AM28,"0.00%"),"  ",AN28)</f>
        <v>0.40%  ↑</v>
      </c>
      <c r="I21" s="438">
        <f t="shared" ref="I21:I26" si="41">K12</f>
        <v>4.2389999999999999</v>
      </c>
      <c r="J21" s="439" t="str">
        <f t="shared" ref="J21:J26" si="42">CONCATENATE(TEXT(AG28,"0.00%"),"  ",AH28)</f>
        <v>0.38%  ↑</v>
      </c>
      <c r="M21" s="19" t="s">
        <v>60</v>
      </c>
      <c r="N21" s="518" t="s">
        <v>12</v>
      </c>
      <c r="O21" s="254">
        <f>SUM(N22:N29)</f>
        <v>635</v>
      </c>
      <c r="P21" s="255" t="s">
        <v>13</v>
      </c>
      <c r="Q21" s="256">
        <f>SUM(P22:P29)</f>
        <v>667.5</v>
      </c>
      <c r="R21" s="257" t="s">
        <v>14</v>
      </c>
      <c r="S21" s="256">
        <f>SUM(R22:R29)</f>
        <v>722.5</v>
      </c>
      <c r="T21" s="257" t="s">
        <v>15</v>
      </c>
      <c r="U21" s="256">
        <f>SUM(T22:T29)</f>
        <v>182.5</v>
      </c>
      <c r="V21" s="257" t="s">
        <v>16</v>
      </c>
      <c r="W21" s="258">
        <f>SUM(V22:V29)</f>
        <v>625</v>
      </c>
      <c r="X21" s="519" t="s">
        <v>17</v>
      </c>
      <c r="Y21" s="28">
        <f>SUM(X22:X29)</f>
        <v>560</v>
      </c>
      <c r="Z21" s="29"/>
      <c r="AA21" s="202">
        <v>97</v>
      </c>
      <c r="AB21" s="203">
        <v>60</v>
      </c>
      <c r="AF21" s="1310" t="s">
        <v>44</v>
      </c>
      <c r="AG21" s="1310"/>
      <c r="AH21" s="126">
        <f>AVERAGE(AH15:AH18)</f>
        <v>96.248495857318858</v>
      </c>
      <c r="AJ21" s="1310" t="s">
        <v>44</v>
      </c>
      <c r="AK21" s="1310"/>
      <c r="AL21" s="126">
        <f>AVERAGE(AL15:AL18)</f>
        <v>96.697025616884346</v>
      </c>
      <c r="AN21" s="9"/>
      <c r="AO21" s="186" t="s">
        <v>15</v>
      </c>
      <c r="AP21" s="187" t="str">
        <f>AP17</f>
        <v xml:space="preserve">+3-day </v>
      </c>
      <c r="AQ21" s="187" t="str">
        <f>AQ17</f>
        <v>User1</v>
      </c>
      <c r="AR21" s="187" t="str">
        <f>AR17</f>
        <v>User2</v>
      </c>
      <c r="AS21" s="187" t="str">
        <f>AS17</f>
        <v>User3</v>
      </c>
      <c r="AT21" s="188" t="s">
        <v>40</v>
      </c>
      <c r="AU21" s="247">
        <v>3.3</v>
      </c>
      <c r="AV21" s="190" t="str">
        <f>AV17</f>
        <v>TEST</v>
      </c>
      <c r="AW21" s="191" t="str">
        <f>AW17</f>
        <v>BEST =</v>
      </c>
      <c r="AX21" s="192">
        <v>3.3</v>
      </c>
      <c r="BA21" s="9"/>
    </row>
    <row r="22" spans="1:55" ht="14.4" x14ac:dyDescent="0.3">
      <c r="A22" s="60" t="s">
        <v>13</v>
      </c>
      <c r="B22" s="477">
        <f t="shared" si="34"/>
        <v>49003.41</v>
      </c>
      <c r="C22" s="237">
        <f t="shared" si="36"/>
        <v>49305</v>
      </c>
      <c r="D22" s="152" t="str">
        <f t="shared" si="37"/>
        <v>0.62%  ↑</v>
      </c>
      <c r="E22" s="237">
        <f t="shared" si="38"/>
        <v>49341</v>
      </c>
      <c r="F22" s="152" t="str">
        <f t="shared" si="39"/>
        <v>0.69%  ↑</v>
      </c>
      <c r="G22" s="237">
        <f t="shared" si="35"/>
        <v>49272</v>
      </c>
      <c r="H22" s="152" t="str">
        <f t="shared" si="40"/>
        <v>0.55%  ↑</v>
      </c>
      <c r="I22" s="440">
        <f t="shared" si="41"/>
        <v>48892.47</v>
      </c>
      <c r="J22" s="441" t="str">
        <f t="shared" si="42"/>
        <v>-0.23%  ↓</v>
      </c>
      <c r="M22" s="410" t="str">
        <f t="shared" ref="M22:M29" si="43">M12</f>
        <v>O 5.2</v>
      </c>
      <c r="N22" s="520">
        <v>81.25</v>
      </c>
      <c r="O22" s="443">
        <f t="shared" ref="O22:O29" si="44">N22/$O$21</f>
        <v>0.12795275590551181</v>
      </c>
      <c r="P22" s="444">
        <v>83.75</v>
      </c>
      <c r="Q22" s="445">
        <f t="shared" ref="Q22:Q29" si="45">P22/$Q$21</f>
        <v>0.12546816479400749</v>
      </c>
      <c r="R22" s="445">
        <v>91.25</v>
      </c>
      <c r="S22" s="445">
        <f t="shared" ref="S22:S29" si="46">R22/$S$21</f>
        <v>0.12629757785467127</v>
      </c>
      <c r="T22" s="445">
        <v>20</v>
      </c>
      <c r="U22" s="445">
        <f t="shared" ref="U22:U29" si="47">T22/$U$21</f>
        <v>0.1095890410958904</v>
      </c>
      <c r="V22" s="445">
        <v>80</v>
      </c>
      <c r="W22" s="446">
        <f t="shared" ref="W22:W29" si="48">V22/$W$21</f>
        <v>0.128</v>
      </c>
      <c r="X22" s="521">
        <v>66.25</v>
      </c>
      <c r="Y22" s="48">
        <f t="shared" ref="Y22:Y29" si="49">X22/$Y$21</f>
        <v>0.11830357142857142</v>
      </c>
      <c r="Z22" s="29"/>
      <c r="AA22" s="202">
        <v>98</v>
      </c>
      <c r="AB22" s="203">
        <v>65</v>
      </c>
      <c r="AF22" s="1311" t="s">
        <v>51</v>
      </c>
      <c r="AG22" s="1311"/>
      <c r="AH22" s="142">
        <f>AVERAGE(AH14:AH19)</f>
        <v>97.365980374281648</v>
      </c>
      <c r="AJ22" s="1311" t="s">
        <v>51</v>
      </c>
      <c r="AK22" s="1311"/>
      <c r="AL22" s="142">
        <f>AVERAGE(AL14:AL19)</f>
        <v>97.645730906145516</v>
      </c>
      <c r="AN22" s="9"/>
      <c r="AO22" s="9"/>
      <c r="AP22" s="187">
        <v>0</v>
      </c>
      <c r="AQ22" s="204">
        <f>AQ23/AT23</f>
        <v>0.58787878787878833</v>
      </c>
      <c r="AR22" s="204">
        <f>AR23/AT23</f>
        <v>0.46666666666666695</v>
      </c>
      <c r="AS22" s="204">
        <f>AS23/AT23</f>
        <v>0.27878787878787931</v>
      </c>
      <c r="AT22" s="187">
        <v>5</v>
      </c>
      <c r="AU22" s="229">
        <f>AU18</f>
        <v>1</v>
      </c>
      <c r="AV22" s="190" t="str">
        <f>AV18</f>
        <v>Scale</v>
      </c>
      <c r="AW22" s="191" t="str">
        <f>AW18</f>
        <v>RANGE  =</v>
      </c>
      <c r="AX22" s="206">
        <f>AU21/AP6</f>
        <v>0.18922018348623851</v>
      </c>
      <c r="BA22" s="120"/>
      <c r="BB22" s="251"/>
      <c r="BC22" s="251"/>
    </row>
    <row r="23" spans="1:55" ht="14.4" x14ac:dyDescent="0.3">
      <c r="A23" s="82" t="s">
        <v>14</v>
      </c>
      <c r="B23" s="478">
        <f t="shared" si="34"/>
        <v>6978.6</v>
      </c>
      <c r="C23" s="249">
        <f t="shared" si="36"/>
        <v>7000</v>
      </c>
      <c r="D23" s="168" t="str">
        <f t="shared" si="37"/>
        <v>0.31%  ↑</v>
      </c>
      <c r="E23" s="249">
        <f t="shared" si="38"/>
        <v>7005</v>
      </c>
      <c r="F23" s="168" t="str">
        <f t="shared" si="39"/>
        <v>0.38%  ↑</v>
      </c>
      <c r="G23" s="249">
        <f t="shared" si="35"/>
        <v>6995</v>
      </c>
      <c r="H23" s="168" t="str">
        <f t="shared" si="40"/>
        <v>0.24%  ↑</v>
      </c>
      <c r="I23" s="448">
        <f t="shared" si="41"/>
        <v>6939.02</v>
      </c>
      <c r="J23" s="441" t="str">
        <f t="shared" si="42"/>
        <v>-0.57%  ↓</v>
      </c>
      <c r="M23" s="420" t="str">
        <f t="shared" si="43"/>
        <v>Grok 4.1</v>
      </c>
      <c r="N23" s="520">
        <v>78.75</v>
      </c>
      <c r="O23" s="443">
        <f t="shared" si="44"/>
        <v>0.12401574803149606</v>
      </c>
      <c r="P23" s="444">
        <v>85</v>
      </c>
      <c r="Q23" s="445">
        <f t="shared" si="45"/>
        <v>0.12734082397003746</v>
      </c>
      <c r="R23" s="445">
        <v>92.5</v>
      </c>
      <c r="S23" s="445">
        <f t="shared" si="46"/>
        <v>0.12802768166089964</v>
      </c>
      <c r="T23" s="445">
        <v>17.5</v>
      </c>
      <c r="U23" s="445">
        <f t="shared" si="47"/>
        <v>9.5890410958904104E-2</v>
      </c>
      <c r="V23" s="445">
        <v>77.5</v>
      </c>
      <c r="W23" s="446">
        <f t="shared" si="48"/>
        <v>0.124</v>
      </c>
      <c r="X23" s="521">
        <v>72.5</v>
      </c>
      <c r="Y23" s="48">
        <f t="shared" si="49"/>
        <v>0.12946428571428573</v>
      </c>
      <c r="Z23" s="29"/>
      <c r="AA23" s="202">
        <v>98.5</v>
      </c>
      <c r="AB23" s="203">
        <v>70</v>
      </c>
      <c r="AI23" s="449"/>
      <c r="AN23" s="9"/>
      <c r="AO23" s="6"/>
      <c r="AP23" s="212">
        <v>0</v>
      </c>
      <c r="AQ23" s="213">
        <f>AQ6</f>
        <v>1.9400000000000013</v>
      </c>
      <c r="AR23" s="213">
        <f>AR6</f>
        <v>1.5400000000000009</v>
      </c>
      <c r="AS23" s="213">
        <f>AS6</f>
        <v>0.92000000000000171</v>
      </c>
      <c r="AT23" s="213">
        <f>AU22*AU21</f>
        <v>3.3</v>
      </c>
      <c r="AV23" s="214"/>
      <c r="AW23" s="13"/>
      <c r="AX23" s="13"/>
      <c r="BA23" s="9"/>
    </row>
    <row r="24" spans="1:55" ht="14.4" x14ac:dyDescent="0.3">
      <c r="A24" s="82" t="s">
        <v>15</v>
      </c>
      <c r="B24" s="478">
        <f t="shared" si="34"/>
        <v>16.350000000000001</v>
      </c>
      <c r="C24" s="252">
        <f t="shared" si="36"/>
        <v>15.5</v>
      </c>
      <c r="D24" s="168" t="str">
        <f t="shared" si="37"/>
        <v>-5.20%  ↓</v>
      </c>
      <c r="E24" s="252">
        <f t="shared" si="38"/>
        <v>15.9</v>
      </c>
      <c r="F24" s="168" t="str">
        <f t="shared" si="39"/>
        <v>-2.75%  ↓</v>
      </c>
      <c r="G24" s="252">
        <f t="shared" si="35"/>
        <v>16.52</v>
      </c>
      <c r="H24" s="168" t="str">
        <f t="shared" si="40"/>
        <v>1.04%  ↑</v>
      </c>
      <c r="I24" s="448">
        <f t="shared" si="41"/>
        <v>17.440000000000001</v>
      </c>
      <c r="J24" s="441" t="str">
        <f t="shared" si="42"/>
        <v>6.67%  ↑</v>
      </c>
      <c r="M24" s="420" t="str">
        <f t="shared" si="43"/>
        <v>Gemini Pro 3</v>
      </c>
      <c r="N24" s="520">
        <v>77.5</v>
      </c>
      <c r="O24" s="443">
        <f t="shared" si="44"/>
        <v>0.12204724409448819</v>
      </c>
      <c r="P24" s="444">
        <v>83.75</v>
      </c>
      <c r="Q24" s="445">
        <f t="shared" si="45"/>
        <v>0.12546816479400749</v>
      </c>
      <c r="R24" s="445">
        <v>92.5</v>
      </c>
      <c r="S24" s="445">
        <f t="shared" si="46"/>
        <v>0.12802768166089964</v>
      </c>
      <c r="T24" s="445">
        <v>25</v>
      </c>
      <c r="U24" s="445">
        <f t="shared" si="47"/>
        <v>0.13698630136986301</v>
      </c>
      <c r="V24" s="445">
        <v>76.25</v>
      </c>
      <c r="W24" s="446">
        <f t="shared" si="48"/>
        <v>0.122</v>
      </c>
      <c r="X24" s="521">
        <v>71.25</v>
      </c>
      <c r="Y24" s="48">
        <f t="shared" si="49"/>
        <v>0.12723214285714285</v>
      </c>
      <c r="Z24" s="29"/>
      <c r="AA24" s="202">
        <v>99</v>
      </c>
      <c r="AB24" s="203">
        <v>75</v>
      </c>
      <c r="AI24" s="449"/>
      <c r="AM24" s="450"/>
      <c r="AN24" s="9"/>
      <c r="AO24" s="9"/>
      <c r="AP24" s="120"/>
      <c r="AQ24" s="120"/>
      <c r="AR24" s="120"/>
      <c r="AS24" s="120"/>
      <c r="AT24" s="120"/>
      <c r="AU24" s="120"/>
      <c r="AV24" s="190"/>
      <c r="AW24" s="221"/>
      <c r="AX24" s="222"/>
      <c r="BA24" s="9"/>
    </row>
    <row r="25" spans="1:55" ht="14.4" x14ac:dyDescent="0.3">
      <c r="A25" s="99" t="s">
        <v>16</v>
      </c>
      <c r="B25" s="479">
        <f t="shared" si="34"/>
        <v>631.13</v>
      </c>
      <c r="C25" s="261">
        <f t="shared" si="36"/>
        <v>635.29999999999995</v>
      </c>
      <c r="D25" s="208" t="str">
        <f t="shared" si="37"/>
        <v>0.66%  ↑</v>
      </c>
      <c r="E25" s="261">
        <f t="shared" si="38"/>
        <v>637.5</v>
      </c>
      <c r="F25" s="208" t="str">
        <f t="shared" si="39"/>
        <v>1.01%  ↑</v>
      </c>
      <c r="G25" s="261">
        <f t="shared" si="35"/>
        <v>635.20000000000005</v>
      </c>
      <c r="H25" s="208" t="str">
        <f t="shared" si="40"/>
        <v>0.64%  ↑</v>
      </c>
      <c r="I25" s="451">
        <f t="shared" si="41"/>
        <v>621.87</v>
      </c>
      <c r="J25" s="441" t="str">
        <f t="shared" si="42"/>
        <v>-1.47%  ↓</v>
      </c>
      <c r="M25" s="420" t="str">
        <f t="shared" si="43"/>
        <v>Claude</v>
      </c>
      <c r="N25" s="520">
        <v>78.75</v>
      </c>
      <c r="O25" s="443">
        <f t="shared" si="44"/>
        <v>0.12401574803149606</v>
      </c>
      <c r="P25" s="444">
        <v>85</v>
      </c>
      <c r="Q25" s="445">
        <f t="shared" si="45"/>
        <v>0.12734082397003746</v>
      </c>
      <c r="R25" s="445">
        <v>88.75</v>
      </c>
      <c r="S25" s="445">
        <f t="shared" si="46"/>
        <v>0.12283737024221453</v>
      </c>
      <c r="T25" s="445">
        <v>20</v>
      </c>
      <c r="U25" s="445">
        <f t="shared" si="47"/>
        <v>0.1095890410958904</v>
      </c>
      <c r="V25" s="445">
        <v>77.5</v>
      </c>
      <c r="W25" s="446">
        <f t="shared" si="48"/>
        <v>0.124</v>
      </c>
      <c r="X25" s="521">
        <v>66.25</v>
      </c>
      <c r="Y25" s="48">
        <f t="shared" si="49"/>
        <v>0.11830357142857142</v>
      </c>
      <c r="Z25" s="29"/>
      <c r="AA25" s="202">
        <v>99.25</v>
      </c>
      <c r="AB25" s="203">
        <v>80</v>
      </c>
      <c r="AI25" s="4"/>
      <c r="AK25" s="4"/>
      <c r="AM25" s="4"/>
      <c r="AN25" s="9"/>
      <c r="AO25" s="186" t="s">
        <v>16</v>
      </c>
      <c r="AP25" s="187" t="str">
        <f>AP21</f>
        <v xml:space="preserve">+3-day </v>
      </c>
      <c r="AQ25" s="187" t="str">
        <f>AQ21</f>
        <v>User1</v>
      </c>
      <c r="AR25" s="187" t="str">
        <f>AR21</f>
        <v>User2</v>
      </c>
      <c r="AS25" s="187" t="str">
        <f>AS21</f>
        <v>User3</v>
      </c>
      <c r="AT25" s="188" t="s">
        <v>43</v>
      </c>
      <c r="AU25" s="247">
        <v>16</v>
      </c>
      <c r="AV25" s="190" t="str">
        <f>AV21</f>
        <v>TEST</v>
      </c>
      <c r="AW25" s="191" t="str">
        <f>AW21</f>
        <v>BEST =</v>
      </c>
      <c r="AX25" s="192">
        <v>16</v>
      </c>
      <c r="BA25" s="9"/>
    </row>
    <row r="26" spans="1:55" ht="14.4" x14ac:dyDescent="0.3">
      <c r="A26" s="109" t="s">
        <v>17</v>
      </c>
      <c r="B26" s="480">
        <f t="shared" si="34"/>
        <v>258.27</v>
      </c>
      <c r="C26" s="274">
        <f t="shared" si="36"/>
        <v>261</v>
      </c>
      <c r="D26" s="217" t="str">
        <f t="shared" si="37"/>
        <v>1.06%  ↑</v>
      </c>
      <c r="E26" s="274">
        <f t="shared" si="38"/>
        <v>261.3</v>
      </c>
      <c r="F26" s="217" t="str">
        <f t="shared" si="39"/>
        <v>1.17%  ↑</v>
      </c>
      <c r="G26" s="274">
        <f t="shared" si="35"/>
        <v>259.39999999999998</v>
      </c>
      <c r="H26" s="217" t="str">
        <f t="shared" si="40"/>
        <v>0.44%  ↑</v>
      </c>
      <c r="I26" s="452">
        <f t="shared" si="41"/>
        <v>259.48</v>
      </c>
      <c r="J26" s="453" t="str">
        <f t="shared" si="42"/>
        <v>0.47%  ↑</v>
      </c>
      <c r="M26" s="420" t="str">
        <f t="shared" si="43"/>
        <v>GLM-4.7</v>
      </c>
      <c r="N26" s="520">
        <v>76.25</v>
      </c>
      <c r="O26" s="443">
        <f t="shared" si="44"/>
        <v>0.12007874015748031</v>
      </c>
      <c r="P26" s="444">
        <v>83.75</v>
      </c>
      <c r="Q26" s="445">
        <f t="shared" si="45"/>
        <v>0.12546816479400749</v>
      </c>
      <c r="R26" s="445">
        <v>88.75</v>
      </c>
      <c r="S26" s="445">
        <f t="shared" si="46"/>
        <v>0.12283737024221453</v>
      </c>
      <c r="T26" s="445">
        <v>17.5</v>
      </c>
      <c r="U26" s="445">
        <f t="shared" si="47"/>
        <v>9.5890410958904104E-2</v>
      </c>
      <c r="V26" s="445">
        <v>81.25</v>
      </c>
      <c r="W26" s="446">
        <f t="shared" si="48"/>
        <v>0.13</v>
      </c>
      <c r="X26" s="521">
        <v>71.25</v>
      </c>
      <c r="Y26" s="48">
        <f t="shared" si="49"/>
        <v>0.12723214285714285</v>
      </c>
      <c r="Z26" s="29"/>
      <c r="AA26" s="202">
        <v>99.5</v>
      </c>
      <c r="AB26" s="203">
        <v>90</v>
      </c>
      <c r="AI26" s="4"/>
      <c r="AK26" s="4"/>
      <c r="AM26" s="4"/>
      <c r="AN26" s="9"/>
      <c r="AO26" s="9"/>
      <c r="AP26" s="187">
        <v>0</v>
      </c>
      <c r="AQ26" s="204">
        <f>AQ27/AT27</f>
        <v>0.83937499999999687</v>
      </c>
      <c r="AR26" s="204">
        <f>AR27/AT27</f>
        <v>0.97687499999999972</v>
      </c>
      <c r="AS26" s="204">
        <f>AS27/AT27</f>
        <v>0.83312500000000256</v>
      </c>
      <c r="AT26" s="187">
        <v>5</v>
      </c>
      <c r="AU26" s="229">
        <f>AU22</f>
        <v>1</v>
      </c>
      <c r="AV26" s="190" t="str">
        <f>AV22</f>
        <v>Scale</v>
      </c>
      <c r="AW26" s="191" t="str">
        <f>AW22</f>
        <v>RANGE  =</v>
      </c>
      <c r="AX26" s="206">
        <f>AU25/AP7</f>
        <v>2.5728850081206681E-2</v>
      </c>
      <c r="BA26" s="9"/>
    </row>
    <row r="27" spans="1:55" ht="14.4" x14ac:dyDescent="0.3">
      <c r="M27" s="420" t="str">
        <f t="shared" si="43"/>
        <v>Kimi 2.5</v>
      </c>
      <c r="N27" s="520">
        <v>83.75</v>
      </c>
      <c r="O27" s="443">
        <f t="shared" si="44"/>
        <v>0.13188976377952755</v>
      </c>
      <c r="P27" s="444">
        <v>82.5</v>
      </c>
      <c r="Q27" s="445">
        <f t="shared" si="45"/>
        <v>0.12359550561797752</v>
      </c>
      <c r="R27" s="445">
        <v>91.25</v>
      </c>
      <c r="S27" s="445">
        <f t="shared" si="46"/>
        <v>0.12629757785467127</v>
      </c>
      <c r="T27" s="445">
        <v>22.5</v>
      </c>
      <c r="U27" s="445">
        <f t="shared" si="47"/>
        <v>0.12328767123287671</v>
      </c>
      <c r="V27" s="445">
        <v>77.5</v>
      </c>
      <c r="W27" s="446">
        <f t="shared" si="48"/>
        <v>0.124</v>
      </c>
      <c r="X27" s="521">
        <v>71.25</v>
      </c>
      <c r="Y27" s="48">
        <f t="shared" si="49"/>
        <v>0.12723214285714285</v>
      </c>
      <c r="Z27" s="29"/>
      <c r="AA27" s="202">
        <v>99.75</v>
      </c>
      <c r="AB27" s="203">
        <v>95</v>
      </c>
      <c r="AI27" s="4"/>
      <c r="AK27" s="4"/>
      <c r="AM27" s="4"/>
      <c r="AN27" s="9"/>
      <c r="AO27" s="9"/>
      <c r="AP27" s="212">
        <v>0</v>
      </c>
      <c r="AQ27" s="213">
        <f>AQ7</f>
        <v>13.42999999999995</v>
      </c>
      <c r="AR27" s="213">
        <f>AR7</f>
        <v>15.629999999999995</v>
      </c>
      <c r="AS27" s="213">
        <f>AS7</f>
        <v>13.330000000000041</v>
      </c>
      <c r="AT27" s="213">
        <f>AU26*AU25</f>
        <v>16</v>
      </c>
      <c r="BA27" s="9"/>
    </row>
    <row r="28" spans="1:55" ht="14.25" customHeight="1" x14ac:dyDescent="0.3">
      <c r="M28" s="420" t="str">
        <f t="shared" si="43"/>
        <v>Qwen3 Max</v>
      </c>
      <c r="N28" s="520">
        <v>80</v>
      </c>
      <c r="O28" s="443">
        <f t="shared" si="44"/>
        <v>0.12598425196850394</v>
      </c>
      <c r="P28" s="444">
        <v>82.5</v>
      </c>
      <c r="Q28" s="445">
        <f t="shared" si="45"/>
        <v>0.12359550561797752</v>
      </c>
      <c r="R28" s="445">
        <v>90</v>
      </c>
      <c r="S28" s="445">
        <f t="shared" si="46"/>
        <v>0.1245674740484429</v>
      </c>
      <c r="T28" s="445">
        <v>17.5</v>
      </c>
      <c r="U28" s="445">
        <f t="shared" si="47"/>
        <v>9.5890410958904104E-2</v>
      </c>
      <c r="V28" s="445">
        <v>77.5</v>
      </c>
      <c r="W28" s="446">
        <f t="shared" si="48"/>
        <v>0.124</v>
      </c>
      <c r="X28" s="521">
        <v>66.25</v>
      </c>
      <c r="Y28" s="48">
        <f t="shared" si="49"/>
        <v>0.11830357142857142</v>
      </c>
      <c r="Z28" s="29"/>
      <c r="AA28" s="299">
        <v>99.99</v>
      </c>
      <c r="AB28" s="300">
        <v>100</v>
      </c>
      <c r="AF28" s="1315" t="str">
        <f>B20</f>
        <v>Close YF</v>
      </c>
      <c r="AG28" s="163">
        <f t="shared" ref="AG28:AG33" si="50">(I21-B21)/B21</f>
        <v>3.7887757518351916E-3</v>
      </c>
      <c r="AH28" s="164" t="str">
        <f>IF(K12-B21&gt;0,"↑","↓")</f>
        <v>↑</v>
      </c>
      <c r="AI28" s="165">
        <f t="shared" ref="AI28:AI33" si="51">(C21-B21)/B21</f>
        <v>1.6575893914280279E-3</v>
      </c>
      <c r="AJ28" s="166" t="str">
        <f t="shared" ref="AJ28:AJ33" si="52">IF(C21-B21&gt;0,"↑","↓")</f>
        <v>↑</v>
      </c>
      <c r="AK28" s="163">
        <f t="shared" ref="AK28:AK33" si="53">(E21-B21)/B21</f>
        <v>1.6575893914280279E-3</v>
      </c>
      <c r="AL28" s="164" t="str">
        <f t="shared" ref="AL28:AL33" si="54">IF(E21-B21&gt;0,"↑","↓")</f>
        <v>↑</v>
      </c>
      <c r="AM28" s="163">
        <f t="shared" ref="AM28:AM33" si="55">(G21-B21)/B21</f>
        <v>4.0255742363249705E-3</v>
      </c>
      <c r="AN28" s="164" t="str">
        <f t="shared" ref="AN28:AN33" si="56">IF(G21-B21&gt;0,"↑","↓")</f>
        <v>↑</v>
      </c>
      <c r="AP28" s="120"/>
      <c r="AQ28" s="120"/>
      <c r="AR28" s="120"/>
      <c r="AS28" s="120"/>
      <c r="AT28" s="120"/>
      <c r="AU28" s="251"/>
      <c r="AV28" s="251"/>
      <c r="AW28" s="295"/>
      <c r="AX28" s="296"/>
      <c r="AY28" s="297"/>
    </row>
    <row r="29" spans="1:55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57">G20</f>
        <v>MICH</v>
      </c>
      <c r="H29" s="1312"/>
      <c r="I29" s="1313" t="s">
        <v>50</v>
      </c>
      <c r="J29" s="1313"/>
      <c r="M29" s="431" t="str">
        <f t="shared" si="43"/>
        <v>LeChat</v>
      </c>
      <c r="N29" s="522">
        <v>78.75</v>
      </c>
      <c r="O29" s="455">
        <f t="shared" si="44"/>
        <v>0.12401574803149606</v>
      </c>
      <c r="P29" s="456">
        <v>81.25</v>
      </c>
      <c r="Q29" s="457">
        <f t="shared" si="45"/>
        <v>0.12172284644194757</v>
      </c>
      <c r="R29" s="457">
        <v>87.5</v>
      </c>
      <c r="S29" s="457">
        <f t="shared" si="46"/>
        <v>0.12110726643598616</v>
      </c>
      <c r="T29" s="457">
        <v>42.5</v>
      </c>
      <c r="U29" s="457">
        <f t="shared" si="47"/>
        <v>0.23287671232876711</v>
      </c>
      <c r="V29" s="457">
        <v>77.5</v>
      </c>
      <c r="W29" s="458">
        <f t="shared" si="48"/>
        <v>0.124</v>
      </c>
      <c r="X29" s="523">
        <v>75</v>
      </c>
      <c r="Y29" s="124">
        <f t="shared" si="49"/>
        <v>0.13392857142857142</v>
      </c>
      <c r="Z29" s="29"/>
      <c r="AF29" s="1315"/>
      <c r="AG29" s="182">
        <f t="shared" si="50"/>
        <v>-2.2639240820180131E-3</v>
      </c>
      <c r="AH29" s="183" t="str">
        <f>IF(I22-B22&gt;0,"↑","↓")</f>
        <v>↓</v>
      </c>
      <c r="AI29" s="184">
        <f t="shared" si="51"/>
        <v>6.1544696583359501E-3</v>
      </c>
      <c r="AJ29" s="185" t="str">
        <f t="shared" si="52"/>
        <v>↑</v>
      </c>
      <c r="AK29" s="182">
        <f t="shared" si="53"/>
        <v>6.8891124107484866E-3</v>
      </c>
      <c r="AL29" s="183" t="str">
        <f t="shared" si="54"/>
        <v>↑</v>
      </c>
      <c r="AM29" s="182">
        <f t="shared" si="55"/>
        <v>5.4810471352911257E-3</v>
      </c>
      <c r="AN29" s="183" t="str">
        <f t="shared" si="56"/>
        <v>↑</v>
      </c>
      <c r="AP29" s="120"/>
      <c r="AQ29" s="305" t="s">
        <v>23</v>
      </c>
      <c r="AR29" s="305" t="s">
        <v>24</v>
      </c>
      <c r="AS29" s="305" t="s">
        <v>25</v>
      </c>
      <c r="AT29" s="120"/>
      <c r="AU29" s="251"/>
      <c r="AV29" s="251"/>
      <c r="AW29" s="295"/>
      <c r="AX29" s="296"/>
      <c r="AY29" s="297"/>
    </row>
    <row r="30" spans="1:55" ht="14.25" customHeight="1" x14ac:dyDescent="0.3">
      <c r="A30" s="35" t="s">
        <v>12</v>
      </c>
      <c r="B30" s="298">
        <v>4.2270000000000003</v>
      </c>
      <c r="C30" s="232">
        <f t="shared" ref="C30:C35" si="58">C21</f>
        <v>4.2300000000000004</v>
      </c>
      <c r="D30" s="146" t="str">
        <f t="shared" ref="D30:D35" si="59">CONCATENATE(TEXT(AI35,"0.00%"),"  ",AJ35)</f>
        <v>0.07%  ↑</v>
      </c>
      <c r="E30" s="232">
        <f t="shared" ref="E30:E35" si="60">E21</f>
        <v>4.2300000000000004</v>
      </c>
      <c r="F30" s="146" t="str">
        <f t="shared" ref="F30:F35" si="61">CONCATENATE(TEXT(AK35,"0.00%"),"  ",AL35)</f>
        <v>0.07%  ↑</v>
      </c>
      <c r="G30" s="232">
        <f t="shared" si="57"/>
        <v>4.24</v>
      </c>
      <c r="H30" s="146" t="str">
        <f t="shared" ref="H30:H35" si="62">CONCATENATE(TEXT(AM35,"0.00%"),"  ",AN35)</f>
        <v>0.31%  ↑</v>
      </c>
      <c r="I30" s="438">
        <f t="shared" ref="I30:I35" si="63">I21</f>
        <v>4.2389999999999999</v>
      </c>
      <c r="J30" s="439" t="str">
        <f t="shared" ref="J30:J35" si="64">CONCATENATE(TEXT(AG35,"0.00%"),"  ",AH35)</f>
        <v>0.28%  ↑</v>
      </c>
      <c r="AF30" s="1315"/>
      <c r="AG30" s="182">
        <f t="shared" si="50"/>
        <v>-5.6716246811681316E-3</v>
      </c>
      <c r="AH30" s="183" t="str">
        <f>IF(I23-B23&gt;0,"↑","↓")</f>
        <v>↓</v>
      </c>
      <c r="AI30" s="184">
        <f t="shared" si="51"/>
        <v>3.0665176396411364E-3</v>
      </c>
      <c r="AJ30" s="185" t="str">
        <f t="shared" si="52"/>
        <v>↑</v>
      </c>
      <c r="AK30" s="182">
        <f t="shared" si="53"/>
        <v>3.7829937236694517E-3</v>
      </c>
      <c r="AL30" s="183" t="str">
        <f t="shared" si="54"/>
        <v>↑</v>
      </c>
      <c r="AM30" s="182">
        <f t="shared" si="55"/>
        <v>2.3500415556128216E-3</v>
      </c>
      <c r="AN30" s="183" t="str">
        <f t="shared" si="56"/>
        <v>↑</v>
      </c>
      <c r="AP30" s="307"/>
      <c r="AQ30" s="308">
        <f>SUM(AQ14,AQ18,AQ22,AQ26)</f>
        <v>2.1595148927686663</v>
      </c>
      <c r="AR30" s="308">
        <f>SUM(AR14,AR18,AR22,AR26)</f>
        <v>2.2382794419559504</v>
      </c>
      <c r="AS30" s="308">
        <f>SUM(AS14,AS18,AS22,AS26)</f>
        <v>1.7850567757643623</v>
      </c>
      <c r="AT30" s="309" t="s">
        <v>62</v>
      </c>
      <c r="AU30" s="251"/>
      <c r="AV30" s="251"/>
      <c r="AW30" s="295"/>
      <c r="AX30" s="296"/>
      <c r="AY30" s="297"/>
    </row>
    <row r="31" spans="1:55" ht="14.25" customHeight="1" x14ac:dyDescent="0.3">
      <c r="A31" s="60" t="s">
        <v>13</v>
      </c>
      <c r="B31" s="481">
        <v>49406.61</v>
      </c>
      <c r="C31" s="237">
        <f t="shared" si="58"/>
        <v>49305</v>
      </c>
      <c r="D31" s="152" t="str">
        <f t="shared" si="59"/>
        <v>-0.21%  ↓</v>
      </c>
      <c r="E31" s="237">
        <f t="shared" si="60"/>
        <v>49341</v>
      </c>
      <c r="F31" s="152" t="str">
        <f t="shared" si="61"/>
        <v>-0.13%  ↓</v>
      </c>
      <c r="G31" s="237">
        <f t="shared" si="57"/>
        <v>49272</v>
      </c>
      <c r="H31" s="152" t="str">
        <f t="shared" si="62"/>
        <v>-0.27%  ↓</v>
      </c>
      <c r="I31" s="440">
        <f t="shared" si="63"/>
        <v>48892.47</v>
      </c>
      <c r="J31" s="441" t="str">
        <f t="shared" si="64"/>
        <v>-1.04%  ↓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F31" s="1315"/>
      <c r="AG31" s="182">
        <f t="shared" si="50"/>
        <v>6.6666666666666652E-2</v>
      </c>
      <c r="AH31" s="183" t="str">
        <f>IF(I24-B24&gt;0,"↑","↓")</f>
        <v>↑</v>
      </c>
      <c r="AI31" s="184">
        <f t="shared" si="51"/>
        <v>-5.1987767584097941E-2</v>
      </c>
      <c r="AJ31" s="185" t="str">
        <f t="shared" si="52"/>
        <v>↓</v>
      </c>
      <c r="AK31" s="182">
        <f t="shared" si="53"/>
        <v>-2.7522935779816578E-2</v>
      </c>
      <c r="AL31" s="183" t="str">
        <f t="shared" si="54"/>
        <v>↓</v>
      </c>
      <c r="AM31" s="182">
        <f t="shared" si="55"/>
        <v>1.0397553516819457E-2</v>
      </c>
      <c r="AN31" s="183" t="str">
        <f t="shared" si="56"/>
        <v>↑</v>
      </c>
      <c r="AQ31" s="187">
        <f>AQ9</f>
        <v>2.16</v>
      </c>
      <c r="AR31" s="187">
        <f>AR9</f>
        <v>2.2400000000000002</v>
      </c>
      <c r="AS31" s="187">
        <f>AS9</f>
        <v>1.79</v>
      </c>
      <c r="AT31" s="316" t="s">
        <v>61</v>
      </c>
      <c r="AU31" s="251"/>
      <c r="AV31" s="251"/>
      <c r="AW31" s="295"/>
      <c r="AX31" s="296"/>
      <c r="AY31" s="297"/>
    </row>
    <row r="32" spans="1:55" ht="14.25" customHeight="1" x14ac:dyDescent="0.3">
      <c r="A32" s="82" t="s">
        <v>14</v>
      </c>
      <c r="B32" s="482">
        <v>6955.55</v>
      </c>
      <c r="C32" s="249">
        <f t="shared" si="58"/>
        <v>7000</v>
      </c>
      <c r="D32" s="168" t="str">
        <f t="shared" si="59"/>
        <v>0.64%  ↑</v>
      </c>
      <c r="E32" s="249">
        <f t="shared" si="60"/>
        <v>7005</v>
      </c>
      <c r="F32" s="168" t="str">
        <f t="shared" si="61"/>
        <v>0.71%  ↑</v>
      </c>
      <c r="G32" s="249">
        <f t="shared" si="57"/>
        <v>6995</v>
      </c>
      <c r="H32" s="168" t="str">
        <f t="shared" si="62"/>
        <v>0.57%  ↑</v>
      </c>
      <c r="I32" s="448">
        <f t="shared" si="63"/>
        <v>6939.02</v>
      </c>
      <c r="J32" s="441" t="str">
        <f t="shared" si="64"/>
        <v>-0.24%  ↓</v>
      </c>
      <c r="N32" s="53" t="s">
        <v>12</v>
      </c>
      <c r="P32" s="287">
        <f t="shared" ref="P32:P37" si="65">100-ABS(($K12-C12)/($K12))*100</f>
        <v>99.787685774946937</v>
      </c>
      <c r="Q32" s="328"/>
      <c r="R32" s="288">
        <f t="shared" ref="R32:R37" si="66">100-ABS(($K12-E12)/($K12))*100</f>
        <v>99.787685774946937</v>
      </c>
      <c r="S32" s="328"/>
      <c r="T32" s="288">
        <f t="shared" ref="T32:T37" si="67">100-ABS(($K12-G12)/($K12))*100</f>
        <v>99.976409530549645</v>
      </c>
      <c r="U32" s="328"/>
      <c r="V32" s="461">
        <f t="shared" ref="V32:V37" si="68">100-ABS((($K12-J12)/($K12)))*100</f>
        <v>99.790358285594721</v>
      </c>
      <c r="X32" s="290">
        <f t="shared" ref="X32:X37" si="69">100-ABS((($K12-I12)/($K12)))*100</f>
        <v>99.686961900463075</v>
      </c>
      <c r="AF32" s="1315"/>
      <c r="AG32" s="182">
        <f t="shared" si="50"/>
        <v>-1.4672096081631345E-2</v>
      </c>
      <c r="AH32" s="183" t="str">
        <f>IF(I25-B25&gt;0,"↑","↓")</f>
        <v>↓</v>
      </c>
      <c r="AI32" s="184">
        <f t="shared" si="51"/>
        <v>6.6071966155941868E-3</v>
      </c>
      <c r="AJ32" s="185" t="str">
        <f t="shared" si="52"/>
        <v>↑</v>
      </c>
      <c r="AK32" s="182">
        <f t="shared" si="53"/>
        <v>1.0093007779696742E-2</v>
      </c>
      <c r="AL32" s="183" t="str">
        <f t="shared" si="54"/>
        <v>↑</v>
      </c>
      <c r="AM32" s="182">
        <f t="shared" si="55"/>
        <v>6.4487506535896725E-3</v>
      </c>
      <c r="AN32" s="183" t="str">
        <f t="shared" si="56"/>
        <v>↑</v>
      </c>
      <c r="AO32" s="4"/>
      <c r="AU32" s="251"/>
      <c r="AV32" s="251"/>
      <c r="AW32" s="295"/>
      <c r="AX32" s="296"/>
      <c r="AY32" s="297"/>
    </row>
    <row r="33" spans="1:40" ht="14.25" customHeight="1" x14ac:dyDescent="0.3">
      <c r="A33" s="82" t="s">
        <v>15</v>
      </c>
      <c r="B33" s="482">
        <v>16.149999999999999</v>
      </c>
      <c r="C33" s="252">
        <f t="shared" si="58"/>
        <v>15.5</v>
      </c>
      <c r="D33" s="168" t="str">
        <f t="shared" si="59"/>
        <v>-4.02%  ↓</v>
      </c>
      <c r="E33" s="252">
        <f t="shared" si="60"/>
        <v>15.9</v>
      </c>
      <c r="F33" s="168" t="str">
        <f t="shared" si="61"/>
        <v>-1.55%  ↓</v>
      </c>
      <c r="G33" s="252">
        <f t="shared" si="57"/>
        <v>16.52</v>
      </c>
      <c r="H33" s="168" t="str">
        <f t="shared" si="62"/>
        <v>2.29%  ↑</v>
      </c>
      <c r="I33" s="448">
        <f t="shared" si="63"/>
        <v>17.440000000000001</v>
      </c>
      <c r="J33" s="441" t="str">
        <f t="shared" si="64"/>
        <v>7.99%  ↑</v>
      </c>
      <c r="N33" s="60" t="s">
        <v>13</v>
      </c>
      <c r="P33" s="291">
        <f t="shared" si="65"/>
        <v>99.156250441018841</v>
      </c>
      <c r="Q33" s="328"/>
      <c r="R33" s="292">
        <f t="shared" si="66"/>
        <v>99.082619470851029</v>
      </c>
      <c r="S33" s="328"/>
      <c r="T33" s="292">
        <f t="shared" si="67"/>
        <v>99.223745497005979</v>
      </c>
      <c r="U33" s="328"/>
      <c r="V33" s="462">
        <f t="shared" si="68"/>
        <v>99.513416553337564</v>
      </c>
      <c r="X33" s="294">
        <f t="shared" si="69"/>
        <v>99.385919968594166</v>
      </c>
      <c r="AF33" s="1315"/>
      <c r="AG33" s="223">
        <f t="shared" si="50"/>
        <v>4.6850195531809207E-3</v>
      </c>
      <c r="AH33" s="224" t="str">
        <f>IF(I26-B26&gt;0,"↑","↓")</f>
        <v>↑</v>
      </c>
      <c r="AI33" s="225">
        <f t="shared" si="51"/>
        <v>1.0570333372052574E-2</v>
      </c>
      <c r="AJ33" s="226" t="str">
        <f t="shared" si="52"/>
        <v>↑</v>
      </c>
      <c r="AK33" s="223">
        <f t="shared" si="53"/>
        <v>1.1731908467882564E-2</v>
      </c>
      <c r="AL33" s="224" t="str">
        <f t="shared" si="54"/>
        <v>↑</v>
      </c>
      <c r="AM33" s="223">
        <f t="shared" si="55"/>
        <v>4.3752661942927772E-3</v>
      </c>
      <c r="AN33" s="224" t="str">
        <f t="shared" si="56"/>
        <v>↑</v>
      </c>
    </row>
    <row r="34" spans="1:40" ht="14.25" customHeight="1" x14ac:dyDescent="0.3">
      <c r="A34" s="99" t="s">
        <v>16</v>
      </c>
      <c r="B34" s="483">
        <v>632.04</v>
      </c>
      <c r="C34" s="261">
        <f t="shared" si="58"/>
        <v>635.29999999999995</v>
      </c>
      <c r="D34" s="208" t="str">
        <f t="shared" si="59"/>
        <v>0.52%  ↑</v>
      </c>
      <c r="E34" s="261">
        <f t="shared" si="60"/>
        <v>637.5</v>
      </c>
      <c r="F34" s="208" t="str">
        <f t="shared" si="61"/>
        <v>0.86%  ↑</v>
      </c>
      <c r="G34" s="261">
        <f t="shared" si="57"/>
        <v>635.20000000000005</v>
      </c>
      <c r="H34" s="208" t="str">
        <f t="shared" si="62"/>
        <v>0.50%  ↑</v>
      </c>
      <c r="I34" s="451">
        <f t="shared" si="63"/>
        <v>621.87</v>
      </c>
      <c r="J34" s="441" t="str">
        <f t="shared" si="64"/>
        <v>-1.61%  ↓</v>
      </c>
      <c r="N34" s="82" t="s">
        <v>14</v>
      </c>
      <c r="P34" s="301">
        <f t="shared" si="65"/>
        <v>99.121201552957046</v>
      </c>
      <c r="Q34" s="328"/>
      <c r="R34" s="302">
        <f t="shared" si="66"/>
        <v>99.049145268352021</v>
      </c>
      <c r="S34" s="328"/>
      <c r="T34" s="302">
        <f t="shared" si="67"/>
        <v>99.193257837562086</v>
      </c>
      <c r="U34" s="328"/>
      <c r="V34" s="463">
        <f t="shared" si="68"/>
        <v>99.196676161016399</v>
      </c>
      <c r="X34" s="304">
        <f t="shared" si="69"/>
        <v>99.166953553735681</v>
      </c>
      <c r="AF34" s="228"/>
      <c r="AG34" s="1316" t="str">
        <f>K11</f>
        <v xml:space="preserve">+3-day </v>
      </c>
      <c r="AH34" s="1316"/>
      <c r="AI34" s="1317" t="str">
        <f>C11</f>
        <v>RD</v>
      </c>
      <c r="AJ34" s="1317"/>
      <c r="AK34" s="1318">
        <f>E11</f>
        <v>85520</v>
      </c>
      <c r="AL34" s="1318"/>
      <c r="AM34" s="1318" t="str">
        <f>G11</f>
        <v>MICH</v>
      </c>
      <c r="AN34" s="1318"/>
    </row>
    <row r="35" spans="1:40" ht="14.25" customHeight="1" x14ac:dyDescent="0.3">
      <c r="A35" s="109" t="s">
        <v>17</v>
      </c>
      <c r="B35" s="484">
        <v>258.27</v>
      </c>
      <c r="C35" s="274">
        <f t="shared" si="58"/>
        <v>261</v>
      </c>
      <c r="D35" s="217" t="str">
        <f t="shared" si="59"/>
        <v>1.06%  ↑</v>
      </c>
      <c r="E35" s="274">
        <f t="shared" si="60"/>
        <v>261.3</v>
      </c>
      <c r="F35" s="217" t="str">
        <f t="shared" si="61"/>
        <v>1.17%  ↑</v>
      </c>
      <c r="G35" s="274">
        <f t="shared" si="57"/>
        <v>259.39999999999998</v>
      </c>
      <c r="H35" s="217" t="str">
        <f t="shared" si="62"/>
        <v>0.44%  ↑</v>
      </c>
      <c r="I35" s="452">
        <f t="shared" si="63"/>
        <v>259.48</v>
      </c>
      <c r="J35" s="453" t="str">
        <f t="shared" si="64"/>
        <v>0.47%  ↑</v>
      </c>
      <c r="N35" s="82" t="s">
        <v>15</v>
      </c>
      <c r="P35" s="301">
        <f t="shared" si="65"/>
        <v>88.876146788990823</v>
      </c>
      <c r="Q35" s="328"/>
      <c r="R35" s="302">
        <f t="shared" si="66"/>
        <v>91.169724770642205</v>
      </c>
      <c r="S35" s="328"/>
      <c r="T35" s="302">
        <f t="shared" si="67"/>
        <v>94.724770642201833</v>
      </c>
      <c r="U35" s="328"/>
      <c r="V35" s="463">
        <f t="shared" si="68"/>
        <v>94.21597440087271</v>
      </c>
      <c r="X35" s="304">
        <f t="shared" si="69"/>
        <v>94.621873821792121</v>
      </c>
      <c r="AF35" s="1315" t="str">
        <f>B29</f>
        <v>Oraclum</v>
      </c>
      <c r="AG35" s="163">
        <f t="shared" ref="AG35:AG40" si="70">(I30-B30)/B30</f>
        <v>2.838892831795497E-3</v>
      </c>
      <c r="AH35" s="164" t="str">
        <f t="shared" ref="AH35:AH40" si="71">IF(I30-B30&gt;0,"↑","↓")</f>
        <v>↑</v>
      </c>
      <c r="AI35" s="165">
        <f t="shared" ref="AI35:AI40" si="72">(C30-B30)/B30</f>
        <v>7.0972320794892674E-4</v>
      </c>
      <c r="AJ35" s="166" t="str">
        <f t="shared" ref="AJ35:AJ40" si="73">IF(C30-B30&gt;0,"↑","↓")</f>
        <v>↑</v>
      </c>
      <c r="AK35" s="163">
        <f t="shared" ref="AK35:AK40" si="74">(E30-B30)/B30</f>
        <v>7.0972320794892674E-4</v>
      </c>
      <c r="AL35" s="164" t="str">
        <f t="shared" ref="AL35:AL40" si="75">IF(E30-B30&gt;0,"↑","↓")</f>
        <v>↑</v>
      </c>
      <c r="AM35" s="163">
        <f t="shared" ref="AM35:AM40" si="76">(G30-B30)/B30</f>
        <v>3.0754672344452095E-3</v>
      </c>
      <c r="AN35" s="164" t="str">
        <f t="shared" ref="AN35:AN40" si="77">IF(G30-B30&gt;0,"↑","↓")</f>
        <v>↑</v>
      </c>
    </row>
    <row r="36" spans="1:40" ht="14.25" customHeight="1" x14ac:dyDescent="0.3">
      <c r="N36" s="99" t="s">
        <v>16</v>
      </c>
      <c r="P36" s="312">
        <f t="shared" si="65"/>
        <v>97.840384646308721</v>
      </c>
      <c r="Q36" s="328"/>
      <c r="R36" s="313">
        <f t="shared" si="66"/>
        <v>97.486612957692117</v>
      </c>
      <c r="S36" s="328"/>
      <c r="T36" s="313">
        <f t="shared" si="67"/>
        <v>97.856465177609465</v>
      </c>
      <c r="U36" s="328"/>
      <c r="V36" s="464">
        <f t="shared" si="68"/>
        <v>98.261563310785689</v>
      </c>
      <c r="X36" s="315">
        <f t="shared" si="69"/>
        <v>98.09333140366958</v>
      </c>
      <c r="AF36" s="1315"/>
      <c r="AG36" s="182">
        <f t="shared" si="70"/>
        <v>-1.0406299885784502E-2</v>
      </c>
      <c r="AH36" s="183" t="str">
        <f t="shared" si="71"/>
        <v>↓</v>
      </c>
      <c r="AI36" s="184">
        <f t="shared" si="72"/>
        <v>-2.0566074053654073E-3</v>
      </c>
      <c r="AJ36" s="185" t="str">
        <f t="shared" si="73"/>
        <v>↓</v>
      </c>
      <c r="AK36" s="182">
        <f t="shared" si="74"/>
        <v>-1.3279599632518924E-3</v>
      </c>
      <c r="AL36" s="183" t="str">
        <f t="shared" si="75"/>
        <v>↓</v>
      </c>
      <c r="AM36" s="182">
        <f t="shared" si="76"/>
        <v>-2.7245342273027958E-3</v>
      </c>
      <c r="AN36" s="183" t="str">
        <f t="shared" si="77"/>
        <v>↓</v>
      </c>
    </row>
    <row r="37" spans="1:40" ht="14.25" customHeight="1" x14ac:dyDescent="0.3">
      <c r="N37" s="114" t="s">
        <v>17</v>
      </c>
      <c r="P37" s="323">
        <f t="shared" si="65"/>
        <v>99.414213041467562</v>
      </c>
      <c r="Q37" s="328"/>
      <c r="R37" s="324">
        <f t="shared" si="66"/>
        <v>99.298597194388776</v>
      </c>
      <c r="S37" s="328"/>
      <c r="T37" s="324">
        <f t="shared" si="67"/>
        <v>99.969169107445651</v>
      </c>
      <c r="U37" s="328"/>
      <c r="V37" s="465">
        <f t="shared" si="68"/>
        <v>99.542750775826278</v>
      </c>
      <c r="X37" s="326">
        <f t="shared" si="69"/>
        <v>98.925047897993792</v>
      </c>
      <c r="AF37" s="1315"/>
      <c r="AG37" s="182">
        <f t="shared" si="70"/>
        <v>-2.3765194700634379E-3</v>
      </c>
      <c r="AH37" s="183" t="str">
        <f t="shared" si="71"/>
        <v>↓</v>
      </c>
      <c r="AI37" s="184">
        <f t="shared" si="72"/>
        <v>6.3905801841694495E-3</v>
      </c>
      <c r="AJ37" s="185" t="str">
        <f t="shared" si="73"/>
        <v>↑</v>
      </c>
      <c r="AK37" s="182">
        <f t="shared" si="74"/>
        <v>7.109430598586714E-3</v>
      </c>
      <c r="AL37" s="183" t="str">
        <f t="shared" si="75"/>
        <v>↑</v>
      </c>
      <c r="AM37" s="182">
        <f t="shared" si="76"/>
        <v>5.671729769752186E-3</v>
      </c>
      <c r="AN37" s="183" t="str">
        <f t="shared" si="77"/>
        <v>↑</v>
      </c>
    </row>
    <row r="38" spans="1:40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1315"/>
      <c r="AG38" s="182">
        <f t="shared" si="70"/>
        <v>7.987616099071225E-2</v>
      </c>
      <c r="AH38" s="183" t="str">
        <f t="shared" si="71"/>
        <v>↑</v>
      </c>
      <c r="AI38" s="184">
        <f t="shared" si="72"/>
        <v>-4.0247678018575768E-2</v>
      </c>
      <c r="AJ38" s="185" t="str">
        <f t="shared" si="73"/>
        <v>↓</v>
      </c>
      <c r="AK38" s="182">
        <f t="shared" si="74"/>
        <v>-1.5479876160990603E-2</v>
      </c>
      <c r="AL38" s="183" t="str">
        <f t="shared" si="75"/>
        <v>↓</v>
      </c>
      <c r="AM38" s="182">
        <f t="shared" si="76"/>
        <v>2.2910216718266319E-2</v>
      </c>
      <c r="AN38" s="183" t="str">
        <f t="shared" si="77"/>
        <v>↑</v>
      </c>
    </row>
    <row r="39" spans="1:40" ht="14.25" customHeight="1" x14ac:dyDescent="0.3">
      <c r="N39" s="331" t="str">
        <f>AA1</f>
        <v>AVR-4</v>
      </c>
      <c r="P39" s="332">
        <f t="array" ref="P39">SUM(P33:P36/4)</f>
        <v>96.248495857318858</v>
      </c>
      <c r="Q39" s="328"/>
      <c r="R39" s="333">
        <f t="array" ref="R39">SUM(R33:R36/4)</f>
        <v>96.697025616884346</v>
      </c>
      <c r="S39" s="328"/>
      <c r="T39" s="333">
        <f t="array" ref="T39">SUM(T33:T36/4)</f>
        <v>97.749559788594837</v>
      </c>
      <c r="U39" s="328"/>
      <c r="V39" s="466">
        <f t="array" ref="V39">SUM(V33:V36/4)</f>
        <v>97.796907606503083</v>
      </c>
      <c r="X39" s="335">
        <f t="array" ref="X39">SUM(X33:X36/4)</f>
        <v>97.817019686947887</v>
      </c>
      <c r="AF39" s="1315"/>
      <c r="AG39" s="182">
        <f t="shared" si="70"/>
        <v>-1.6090753749762609E-2</v>
      </c>
      <c r="AH39" s="183" t="str">
        <f t="shared" si="71"/>
        <v>↓</v>
      </c>
      <c r="AI39" s="184">
        <f t="shared" si="72"/>
        <v>5.1579013986456411E-3</v>
      </c>
      <c r="AJ39" s="185" t="str">
        <f t="shared" si="73"/>
        <v>↑</v>
      </c>
      <c r="AK39" s="182">
        <f t="shared" si="74"/>
        <v>8.6386937535599586E-3</v>
      </c>
      <c r="AL39" s="183" t="str">
        <f t="shared" si="75"/>
        <v>↑</v>
      </c>
      <c r="AM39" s="182">
        <f t="shared" si="76"/>
        <v>4.9996835643315012E-3</v>
      </c>
      <c r="AN39" s="183" t="str">
        <f t="shared" si="77"/>
        <v>↑</v>
      </c>
    </row>
    <row r="40" spans="1:40" ht="14.25" customHeight="1" x14ac:dyDescent="0.3">
      <c r="N40" s="336" t="str">
        <f>AB1</f>
        <v>AVR-6</v>
      </c>
      <c r="P40" s="337">
        <f t="array" ref="P40">SUM(P32:P37/6)</f>
        <v>97.365980374281662</v>
      </c>
      <c r="Q40" s="328"/>
      <c r="R40" s="338">
        <f t="array" ref="R40">SUM(R32:R37/6)</f>
        <v>97.645730906145516</v>
      </c>
      <c r="S40" s="328"/>
      <c r="T40" s="338">
        <f t="array" ref="T40">SUM(T32:T37/6)</f>
        <v>98.490636298729115</v>
      </c>
      <c r="U40" s="328"/>
      <c r="V40" s="467">
        <f t="array" ref="V40">SUM(V32:V37/6)</f>
        <v>98.420123247905565</v>
      </c>
      <c r="X40" s="340">
        <f t="array" ref="X40">SUM(X32:X37/6)</f>
        <v>98.313348091041405</v>
      </c>
      <c r="AF40" s="1315"/>
      <c r="AG40" s="269">
        <f t="shared" si="70"/>
        <v>4.6850195531809207E-3</v>
      </c>
      <c r="AH40" s="270" t="str">
        <f t="shared" si="71"/>
        <v>↑</v>
      </c>
      <c r="AI40" s="271">
        <f t="shared" si="72"/>
        <v>1.0570333372052574E-2</v>
      </c>
      <c r="AJ40" s="272" t="str">
        <f t="shared" si="73"/>
        <v>↑</v>
      </c>
      <c r="AK40" s="269">
        <f t="shared" si="74"/>
        <v>1.1731908467882564E-2</v>
      </c>
      <c r="AL40" s="270" t="str">
        <f t="shared" si="75"/>
        <v>↑</v>
      </c>
      <c r="AM40" s="269">
        <f t="shared" si="76"/>
        <v>4.3752661942927772E-3</v>
      </c>
      <c r="AN40" s="270" t="str">
        <f t="shared" si="77"/>
        <v>↑</v>
      </c>
    </row>
    <row r="46" spans="1:40" ht="14.25" customHeight="1" x14ac:dyDescent="0.3">
      <c r="AI46" s="4"/>
      <c r="AK46" s="4"/>
      <c r="AM46" s="4"/>
    </row>
    <row r="47" spans="1:40" ht="14.25" customHeight="1" x14ac:dyDescent="0.3">
      <c r="AI47" s="4"/>
      <c r="AK47" s="4"/>
      <c r="AM47" s="4"/>
    </row>
    <row r="48" spans="1:40" ht="14.25" customHeight="1" x14ac:dyDescent="0.3">
      <c r="F48" s="6"/>
      <c r="AI48" s="4"/>
      <c r="AK48" s="4"/>
      <c r="AM48" s="4"/>
    </row>
  </sheetData>
  <mergeCells count="29">
    <mergeCell ref="AG1:AH1"/>
    <mergeCell ref="AK1:AL1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F28:AF33"/>
    <mergeCell ref="C29:D29"/>
    <mergeCell ref="E29:F29"/>
    <mergeCell ref="G29:H29"/>
    <mergeCell ref="I29:J29"/>
    <mergeCell ref="AG34:AH34"/>
    <mergeCell ref="AI34:AJ34"/>
    <mergeCell ref="AK34:AL34"/>
    <mergeCell ref="AM34:AN34"/>
    <mergeCell ref="AF35:AF40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48"/>
  <sheetViews>
    <sheetView zoomScale="140" zoomScaleNormal="140" workbookViewId="0">
      <selection activeCell="K5" sqref="K5"/>
    </sheetView>
  </sheetViews>
  <sheetFormatPr defaultColWidth="8.77734375" defaultRowHeight="14.25" customHeight="1" x14ac:dyDescent="0.3"/>
  <cols>
    <col min="1" max="1" width="7.33203125" style="4" customWidth="1"/>
    <col min="2" max="10" width="8.44140625" style="4" customWidth="1"/>
    <col min="11" max="11" width="9.33203125" style="4" customWidth="1"/>
    <col min="12" max="12" width="3.218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6.77734375" style="5" customWidth="1"/>
    <col min="25" max="25" width="3.33203125" style="4" hidden="1" customWidth="1"/>
    <col min="26" max="26" width="3.21875" style="4" customWidth="1"/>
    <col min="27" max="27" width="7.109375" style="6" customWidth="1"/>
    <col min="28" max="28" width="7.109375" style="7" customWidth="1"/>
    <col min="29" max="30" width="3.5546875" style="6" customWidth="1"/>
    <col min="31" max="31" width="3.5546875" style="4" customWidth="1"/>
    <col min="32" max="32" width="6" style="8" customWidth="1"/>
    <col min="33" max="37" width="7.21875" style="8" customWidth="1"/>
    <col min="38" max="38" width="7.21875" style="9" customWidth="1"/>
    <col min="39" max="40" width="7.21875" style="8" customWidth="1"/>
    <col min="41" max="41" width="6.21875" style="8" customWidth="1"/>
    <col min="42" max="42" width="7.44140625" customWidth="1"/>
    <col min="43" max="46" width="7.44140625" style="10" customWidth="1"/>
    <col min="47" max="50" width="7.44140625" customWidth="1"/>
    <col min="51" max="51" width="7.6640625" customWidth="1"/>
    <col min="57" max="57" width="9.77734375" style="11" customWidth="1"/>
    <col min="58" max="61" width="9.77734375" style="9" customWidth="1"/>
    <col min="62" max="63" width="9.77734375" customWidth="1"/>
    <col min="64" max="64" width="9.77734375" style="12" customWidth="1"/>
    <col min="65" max="65" width="9.77734375" style="13" customWidth="1"/>
    <col min="66" max="66" width="8.77734375" style="14"/>
    <col min="16371" max="16384" width="13.44140625" customWidth="1"/>
  </cols>
  <sheetData>
    <row r="1" spans="1:56" ht="14.4" x14ac:dyDescent="0.3">
      <c r="A1" s="2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7</v>
      </c>
      <c r="G1" s="16" t="s">
        <v>104</v>
      </c>
      <c r="H1" s="16" t="s">
        <v>101</v>
      </c>
      <c r="I1" s="368" t="s">
        <v>8</v>
      </c>
      <c r="K1" s="18" t="s">
        <v>105</v>
      </c>
      <c r="M1" s="19" t="s">
        <v>11</v>
      </c>
      <c r="N1" s="20" t="s">
        <v>12</v>
      </c>
      <c r="O1" s="21">
        <f>SUM(N2:N9)</f>
        <v>789.67147246513832</v>
      </c>
      <c r="P1" s="22" t="s">
        <v>13</v>
      </c>
      <c r="Q1" s="23">
        <f>SUM(P2:P9)</f>
        <v>793.03246460039384</v>
      </c>
      <c r="R1" s="24" t="s">
        <v>14</v>
      </c>
      <c r="S1" s="23">
        <f>SUM(R2:R9)</f>
        <v>789.58936436646331</v>
      </c>
      <c r="T1" s="24" t="s">
        <v>15</v>
      </c>
      <c r="U1" s="23">
        <f>SUM(T2:T9)</f>
        <v>595.39465506525789</v>
      </c>
      <c r="V1" s="25" t="s">
        <v>16</v>
      </c>
      <c r="W1" s="26">
        <f>SUM(V2:V9)</f>
        <v>787.91591726618708</v>
      </c>
      <c r="X1" s="27" t="s">
        <v>17</v>
      </c>
      <c r="Y1" s="28">
        <f>SUM(X2:X9)</f>
        <v>790.24350911143358</v>
      </c>
      <c r="Z1" s="29"/>
      <c r="AA1" s="30" t="s">
        <v>18</v>
      </c>
      <c r="AB1" s="31" t="s">
        <v>19</v>
      </c>
      <c r="AG1" s="1314" t="s">
        <v>20</v>
      </c>
      <c r="AH1" s="1314"/>
      <c r="AJ1" s="4"/>
      <c r="AK1" s="1314" t="s">
        <v>21</v>
      </c>
      <c r="AL1" s="1314"/>
      <c r="AN1" s="32" t="s">
        <v>22</v>
      </c>
      <c r="AO1" s="9">
        <v>2</v>
      </c>
      <c r="AP1" s="33" t="str">
        <f>K11</f>
        <v xml:space="preserve">+3-day </v>
      </c>
      <c r="AQ1" s="34" t="s">
        <v>23</v>
      </c>
      <c r="AR1" s="34" t="s">
        <v>24</v>
      </c>
      <c r="AS1" s="34" t="s">
        <v>25</v>
      </c>
      <c r="AT1" s="9"/>
      <c r="AU1" s="9"/>
      <c r="AV1" s="9"/>
      <c r="AW1" s="9"/>
      <c r="AX1" s="9"/>
      <c r="AY1" s="9"/>
      <c r="AZ1" s="9"/>
      <c r="BA1" s="9"/>
    </row>
    <row r="2" spans="1:56" ht="14.4" x14ac:dyDescent="0.3">
      <c r="A2" s="35" t="s">
        <v>12</v>
      </c>
      <c r="B2" s="36">
        <v>4.2699999999999996</v>
      </c>
      <c r="C2" s="37">
        <v>4.29</v>
      </c>
      <c r="D2" s="37">
        <v>4.29</v>
      </c>
      <c r="E2" s="37">
        <v>4.2699999999999996</v>
      </c>
      <c r="F2" s="37">
        <v>4.28</v>
      </c>
      <c r="G2" s="37">
        <v>4.29</v>
      </c>
      <c r="H2" s="38">
        <v>4.2949999999999999</v>
      </c>
      <c r="I2" s="369">
        <v>4.3</v>
      </c>
      <c r="M2" s="493" t="str">
        <f>B1</f>
        <v>O 5.2</v>
      </c>
      <c r="N2" s="494">
        <f>100-ABS((($K12-B2)/($K12)))*100</f>
        <v>99.078232096431108</v>
      </c>
      <c r="O2" s="495">
        <f t="shared" ref="O2:O9" si="0">N2/$O$1</f>
        <v>0.12546766035138127</v>
      </c>
      <c r="P2" s="496">
        <f>100-ABS((($K13-B3)/($K13)))*100</f>
        <v>99.004637800056258</v>
      </c>
      <c r="Q2" s="497">
        <f t="shared" ref="Q2:Q9" si="1">P2/$Q$1</f>
        <v>0.1248431082199697</v>
      </c>
      <c r="R2" s="497">
        <f>100-ABS((($K14-B4)/($K14)))*100</f>
        <v>98.718553072609538</v>
      </c>
      <c r="S2" s="497">
        <f t="shared" ref="S2:S9" si="2">R2/$S$1</f>
        <v>0.12502518084424499</v>
      </c>
      <c r="T2" s="497">
        <f>100-ABS((($K15-B5)/($K15)))*100</f>
        <v>77.936606587942819</v>
      </c>
      <c r="U2" s="497">
        <f t="shared" ref="U2:U9" si="3">T2/$U$1</f>
        <v>0.13089906992766104</v>
      </c>
      <c r="V2" s="498">
        <f>100-ABS((($K16-B6)/($K16)))*100</f>
        <v>98.360418807810888</v>
      </c>
      <c r="W2" s="499">
        <f t="shared" ref="W2:W9" si="4">V2/$W$1</f>
        <v>0.12483618702499331</v>
      </c>
      <c r="X2" s="500">
        <f>100-ABS((($K17-B7)/($K17)))*100</f>
        <v>99.161425576519918</v>
      </c>
      <c r="Y2" s="48">
        <f t="shared" ref="Y2:Y9" si="5">X2/$Y$1</f>
        <v>0.12548211333999959</v>
      </c>
      <c r="Z2" s="29"/>
      <c r="AA2" s="49">
        <f t="shared" ref="AA2:AA9" si="6">(P2+R2+T2+V2)/4</f>
        <v>93.505054067104879</v>
      </c>
      <c r="AB2" s="50">
        <f t="shared" ref="AB2:AB9" si="7">(N2+P2+R2+T2+V2+X2)/6</f>
        <v>95.376645656895093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4" t="s">
        <v>42</v>
      </c>
      <c r="AH2" s="55">
        <f>MAX(N2:N9)</f>
        <v>99.078232096431108</v>
      </c>
      <c r="AJ2" s="53" t="str">
        <f t="shared" ref="AJ2:AJ7" si="8">AF2</f>
        <v>TNX</v>
      </c>
      <c r="AK2" s="56">
        <v>4.25</v>
      </c>
      <c r="AL2" s="57">
        <f t="shared" ref="AL2:AL7" si="9">100-ABS(($K12-AK2)/($K12))*100</f>
        <v>99.550933585440788</v>
      </c>
      <c r="AN2" s="9"/>
      <c r="AO2" s="33" t="s">
        <v>27</v>
      </c>
      <c r="AP2" s="33" t="s">
        <v>28</v>
      </c>
      <c r="AQ2" s="58" t="s">
        <v>29</v>
      </c>
      <c r="AR2" s="34" t="str">
        <f>AQ2</f>
        <v>∆</v>
      </c>
      <c r="AS2" s="34" t="str">
        <f>AR2</f>
        <v>∆</v>
      </c>
      <c r="AT2" s="59" t="s">
        <v>30</v>
      </c>
      <c r="AU2" s="9"/>
      <c r="AV2" s="9"/>
      <c r="AW2" s="9"/>
      <c r="AX2" s="9"/>
      <c r="AY2" s="9"/>
      <c r="AZ2" s="9"/>
      <c r="BA2" s="9"/>
    </row>
    <row r="3" spans="1:56" ht="14.4" x14ac:dyDescent="0.3">
      <c r="A3" s="60" t="s">
        <v>13</v>
      </c>
      <c r="B3" s="61">
        <v>48610</v>
      </c>
      <c r="C3" s="62">
        <v>48650</v>
      </c>
      <c r="D3" s="62">
        <v>48650</v>
      </c>
      <c r="E3" s="62">
        <v>48650</v>
      </c>
      <c r="F3" s="62">
        <v>48750</v>
      </c>
      <c r="G3" s="62">
        <v>48650</v>
      </c>
      <c r="H3" s="62">
        <v>48608.71</v>
      </c>
      <c r="I3" s="379">
        <v>48800</v>
      </c>
      <c r="K3" s="64" t="s">
        <v>106</v>
      </c>
      <c r="M3" s="501" t="str">
        <f>C1</f>
        <v>Grok 4.1</v>
      </c>
      <c r="N3" s="502">
        <f>100-ABS((($K12-C2)/($K12)))*100</f>
        <v>98.605530607421414</v>
      </c>
      <c r="O3" s="503">
        <f t="shared" si="0"/>
        <v>0.12486905510161324</v>
      </c>
      <c r="P3" s="504">
        <f>100-ABS((($K13-C3)/($K13)))*100</f>
        <v>99.086106335583978</v>
      </c>
      <c r="Q3" s="505">
        <f t="shared" si="1"/>
        <v>0.12494583861142823</v>
      </c>
      <c r="R3" s="505">
        <f>100-ABS((($K14-C4)/($K14)))*100</f>
        <v>98.877613287022712</v>
      </c>
      <c r="S3" s="505">
        <f t="shared" si="2"/>
        <v>0.12522662759820527</v>
      </c>
      <c r="T3" s="505">
        <f>100-ABS((($K15-C5)/($K15)))*100</f>
        <v>73.834679925419508</v>
      </c>
      <c r="U3" s="505">
        <f t="shared" si="3"/>
        <v>0.12400964519462625</v>
      </c>
      <c r="V3" s="506">
        <f>100-ABS((($K16-C6)/($K16)))*100</f>
        <v>98.679984583761552</v>
      </c>
      <c r="W3" s="507">
        <f t="shared" si="4"/>
        <v>0.12524177062718714</v>
      </c>
      <c r="X3" s="508">
        <f>100-ABS((($K17-C7)/($K17)))*100</f>
        <v>96.387679406547335</v>
      </c>
      <c r="Y3" s="48">
        <f t="shared" si="5"/>
        <v>0.12197212415566396</v>
      </c>
      <c r="Z3" s="29"/>
      <c r="AA3" s="73">
        <f t="shared" si="6"/>
        <v>92.61959603294693</v>
      </c>
      <c r="AB3" s="74">
        <f t="shared" si="7"/>
        <v>94.245265690959414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75" t="s">
        <v>42</v>
      </c>
      <c r="AH3" s="76">
        <f>MAX(P2:P9)</f>
        <v>99.391613343812907</v>
      </c>
      <c r="AJ3" s="60" t="str">
        <f t="shared" si="8"/>
        <v>DJI</v>
      </c>
      <c r="AK3" s="77">
        <v>48833</v>
      </c>
      <c r="AL3" s="78">
        <f t="shared" si="9"/>
        <v>99.458824885623272</v>
      </c>
      <c r="AN3" s="9"/>
      <c r="AO3" s="79" t="str">
        <f t="shared" ref="AO3:AO8" si="10">AF2</f>
        <v>TNX</v>
      </c>
      <c r="AP3" s="80">
        <f t="shared" ref="AP3:AP8" si="11">K12</f>
        <v>4.2309999999999999</v>
      </c>
      <c r="AQ3" s="80">
        <f>ABS(C30-AP3)</f>
        <v>9.0000000000003411E-3</v>
      </c>
      <c r="AR3" s="80">
        <f>ABS(E30-K12)</f>
        <v>1.9000000000000128E-2</v>
      </c>
      <c r="AS3" s="80">
        <f>ABS(AP3-G30)</f>
        <v>4.9000000000000377E-2</v>
      </c>
      <c r="AT3" s="81" t="s">
        <v>33</v>
      </c>
      <c r="AU3" s="9"/>
      <c r="AV3" s="9"/>
      <c r="AW3" s="9"/>
      <c r="AX3" s="9"/>
      <c r="AY3" s="9"/>
      <c r="AZ3" s="9"/>
      <c r="BA3" s="9"/>
    </row>
    <row r="4" spans="1:56" ht="14.4" x14ac:dyDescent="0.3">
      <c r="A4" s="82" t="s">
        <v>14</v>
      </c>
      <c r="B4" s="83">
        <v>6827</v>
      </c>
      <c r="C4" s="84">
        <v>6838</v>
      </c>
      <c r="D4" s="84">
        <v>6838</v>
      </c>
      <c r="E4" s="84">
        <v>6820</v>
      </c>
      <c r="F4" s="84">
        <v>6820</v>
      </c>
      <c r="G4" s="84">
        <v>6811</v>
      </c>
      <c r="H4" s="84">
        <v>6811</v>
      </c>
      <c r="I4" s="389">
        <v>6840</v>
      </c>
      <c r="M4" s="501" t="str">
        <f>D1</f>
        <v>Gemini Pro 3</v>
      </c>
      <c r="N4" s="502">
        <f>100-ABS((($K12-D2)/($K12)))*100</f>
        <v>98.605530607421414</v>
      </c>
      <c r="O4" s="503">
        <f t="shared" si="0"/>
        <v>0.12486905510161324</v>
      </c>
      <c r="P4" s="504">
        <f>100-ABS((($K13-D3)/($K13)))*100</f>
        <v>99.086106335583978</v>
      </c>
      <c r="Q4" s="505">
        <f t="shared" si="1"/>
        <v>0.12494583861142823</v>
      </c>
      <c r="R4" s="505">
        <f>100-ABS((($K14-D4)/($K14)))*100</f>
        <v>98.877613287022712</v>
      </c>
      <c r="S4" s="505">
        <f t="shared" si="2"/>
        <v>0.12522662759820527</v>
      </c>
      <c r="T4" s="505">
        <f>100-ABS((($K15-D5)/($K15)))*100</f>
        <v>73.828464885021759</v>
      </c>
      <c r="U4" s="505">
        <f t="shared" si="3"/>
        <v>0.12399920667230349</v>
      </c>
      <c r="V4" s="506">
        <f>100-ABS((($K16-D6)/($K16)))*100</f>
        <v>98.679984583761552</v>
      </c>
      <c r="W4" s="507">
        <f t="shared" si="4"/>
        <v>0.12524177062718714</v>
      </c>
      <c r="X4" s="508">
        <f>100-ABS((($K17-D7)/($K17)))*100</f>
        <v>96.387679406547335</v>
      </c>
      <c r="Y4" s="48">
        <f t="shared" si="5"/>
        <v>0.12197212415566396</v>
      </c>
      <c r="Z4" s="29"/>
      <c r="AA4" s="73">
        <f t="shared" si="6"/>
        <v>92.618042272847504</v>
      </c>
      <c r="AB4" s="74">
        <f t="shared" si="7"/>
        <v>94.244229850893134</v>
      </c>
      <c r="AC4" s="51" t="str">
        <f>IF($AA4=MAX(AA2:AA9),"TOP","")</f>
        <v/>
      </c>
      <c r="AD4" s="51" t="str">
        <f>IF($AB4=MAX(AB2:AB9),"TOP","")</f>
        <v/>
      </c>
      <c r="AE4" s="52"/>
      <c r="AF4" s="82" t="s">
        <v>14</v>
      </c>
      <c r="AG4" s="86" t="s">
        <v>37</v>
      </c>
      <c r="AH4" s="87">
        <f>MAX(R2:R9)</f>
        <v>98.906533326006922</v>
      </c>
      <c r="AJ4" s="82" t="str">
        <f t="shared" si="8"/>
        <v>SPX</v>
      </c>
      <c r="AK4" s="88">
        <v>6810</v>
      </c>
      <c r="AL4" s="89">
        <f t="shared" si="9"/>
        <v>98.472732741243732</v>
      </c>
      <c r="AN4" s="9"/>
      <c r="AO4" s="79" t="str">
        <f t="shared" si="10"/>
        <v>DJI</v>
      </c>
      <c r="AP4" s="90">
        <f t="shared" si="11"/>
        <v>49098.71</v>
      </c>
      <c r="AQ4" s="91">
        <f>ABS(C13-AP4)</f>
        <v>274.70999999999913</v>
      </c>
      <c r="AR4" s="91">
        <f>ABS(E13-AP4)</f>
        <v>240.70999999999913</v>
      </c>
      <c r="AS4" s="91">
        <f>ABS(AP4-G13)</f>
        <v>558.70999999999913</v>
      </c>
      <c r="AT4" s="92" t="s">
        <v>35</v>
      </c>
      <c r="AU4" s="9"/>
      <c r="AV4" s="9"/>
      <c r="BA4" s="9"/>
    </row>
    <row r="5" spans="1:56" ht="14.4" x14ac:dyDescent="0.3">
      <c r="A5" s="82" t="s">
        <v>15</v>
      </c>
      <c r="B5" s="93">
        <v>19.64</v>
      </c>
      <c r="C5" s="94">
        <v>20.3</v>
      </c>
      <c r="D5" s="94">
        <v>20.300999999999998</v>
      </c>
      <c r="E5" s="94">
        <v>19.5</v>
      </c>
      <c r="F5" s="94">
        <v>19.5</v>
      </c>
      <c r="G5" s="94">
        <v>20.2</v>
      </c>
      <c r="H5" s="95">
        <v>20.2</v>
      </c>
      <c r="I5" s="391">
        <v>22</v>
      </c>
      <c r="K5" s="2" t="s">
        <v>36</v>
      </c>
      <c r="M5" s="501" t="str">
        <f>E1</f>
        <v>Claude</v>
      </c>
      <c r="N5" s="502">
        <f>100-ABS((($K12-E2)/($K12)))*100</f>
        <v>99.078232096431108</v>
      </c>
      <c r="O5" s="503">
        <f t="shared" si="0"/>
        <v>0.12546766035138127</v>
      </c>
      <c r="P5" s="504">
        <f>100-ABS((($K13-E3)/($K13)))*100</f>
        <v>99.086106335583978</v>
      </c>
      <c r="Q5" s="505">
        <f t="shared" si="1"/>
        <v>0.12494583861142823</v>
      </c>
      <c r="R5" s="505">
        <f>100-ABS((($K14-E4)/($K14)))*100</f>
        <v>98.6173329361648</v>
      </c>
      <c r="S5" s="505">
        <f t="shared" si="2"/>
        <v>0.12489698745536121</v>
      </c>
      <c r="T5" s="505">
        <f>100-ABS((($K15-E5)/($K15)))*100</f>
        <v>78.806712243629576</v>
      </c>
      <c r="U5" s="505">
        <f t="shared" si="3"/>
        <v>0.13236046305285024</v>
      </c>
      <c r="V5" s="506">
        <f>100-ABS((($K16-E6)/($K16)))*100</f>
        <v>98.198227132579646</v>
      </c>
      <c r="W5" s="507">
        <f t="shared" si="4"/>
        <v>0.1246303380610658</v>
      </c>
      <c r="X5" s="508">
        <f>100-ABS((($K17-E7)/($K17)))*100</f>
        <v>99.580712788259959</v>
      </c>
      <c r="Y5" s="48">
        <f t="shared" si="5"/>
        <v>0.12601269310042243</v>
      </c>
      <c r="Z5" s="29"/>
      <c r="AA5" s="73">
        <f t="shared" si="6"/>
        <v>93.6770946619895</v>
      </c>
      <c r="AB5" s="74">
        <f t="shared" si="7"/>
        <v>95.561220588774844</v>
      </c>
      <c r="AC5" s="51" t="str">
        <f>IF($AA5=MAX(AA2:AA9),"TOP","")</f>
        <v/>
      </c>
      <c r="AD5" s="51" t="str">
        <f>IF($AB5=MAX(AB2:AB9),"TOP","")</f>
        <v>TOP</v>
      </c>
      <c r="AE5" s="52"/>
      <c r="AF5" s="82" t="s">
        <v>15</v>
      </c>
      <c r="AG5" s="97" t="s">
        <v>95</v>
      </c>
      <c r="AH5" s="87">
        <f>MAX(T2:T9)</f>
        <v>78.806712243629576</v>
      </c>
      <c r="AJ5" s="82" t="str">
        <f t="shared" si="8"/>
        <v>VIX</v>
      </c>
      <c r="AK5" s="98">
        <v>19.100000000000001</v>
      </c>
      <c r="AL5" s="89">
        <f t="shared" si="9"/>
        <v>81.29272840273461</v>
      </c>
      <c r="AN5" s="9"/>
      <c r="AO5" s="79" t="str">
        <f t="shared" si="10"/>
        <v>SPX</v>
      </c>
      <c r="AP5" s="90">
        <f t="shared" si="11"/>
        <v>6915.62</v>
      </c>
      <c r="AQ5" s="91">
        <f>ABS(C14-AP5)</f>
        <v>104.61999999999989</v>
      </c>
      <c r="AR5" s="91">
        <f>ABS(E14-AP5)</f>
        <v>101.61999999999989</v>
      </c>
      <c r="AS5" s="91">
        <f>ABS(AP5-G14)</f>
        <v>113.61999999999989</v>
      </c>
      <c r="AT5" s="92" t="s">
        <v>38</v>
      </c>
      <c r="AU5" s="9"/>
      <c r="AV5" s="9"/>
      <c r="BA5" s="9"/>
    </row>
    <row r="6" spans="1:56" ht="14.4" x14ac:dyDescent="0.3">
      <c r="A6" s="99" t="s">
        <v>16</v>
      </c>
      <c r="B6" s="100">
        <v>612.51</v>
      </c>
      <c r="C6" s="101">
        <v>614.5</v>
      </c>
      <c r="D6" s="101">
        <v>614.5</v>
      </c>
      <c r="E6" s="101">
        <v>611.5</v>
      </c>
      <c r="F6" s="101">
        <v>611.5</v>
      </c>
      <c r="G6" s="101">
        <v>611</v>
      </c>
      <c r="H6" s="102">
        <v>611</v>
      </c>
      <c r="I6" s="393">
        <v>620</v>
      </c>
      <c r="M6" s="501" t="str">
        <f>F1</f>
        <v>Minimax 2.1</v>
      </c>
      <c r="N6" s="502">
        <f>100-ABS((($K12-F2)/($K12)))*100</f>
        <v>98.841881351926247</v>
      </c>
      <c r="O6" s="503">
        <f t="shared" si="0"/>
        <v>0.12516835772649723</v>
      </c>
      <c r="P6" s="504">
        <f>100-ABS((($K13-F3)/($K13)))*100</f>
        <v>99.289777674403254</v>
      </c>
      <c r="Q6" s="505">
        <f t="shared" si="1"/>
        <v>0.12520266459007451</v>
      </c>
      <c r="R6" s="505">
        <f>100-ABS((($K14-F4)/($K14)))*100</f>
        <v>98.6173329361648</v>
      </c>
      <c r="S6" s="505">
        <f t="shared" si="2"/>
        <v>0.12489698745536121</v>
      </c>
      <c r="T6" s="505">
        <f>100-ABS((($K15-F5)/($K15)))*100</f>
        <v>78.806712243629576</v>
      </c>
      <c r="U6" s="505">
        <f t="shared" si="3"/>
        <v>0.13236046305285024</v>
      </c>
      <c r="V6" s="506">
        <f>100-ABS((($K16-F6)/($K16)))*100</f>
        <v>98.198227132579646</v>
      </c>
      <c r="W6" s="507">
        <f t="shared" si="4"/>
        <v>0.1246303380610658</v>
      </c>
      <c r="X6" s="508">
        <f>100-ABS((($K17-F7)/($K17)))*100</f>
        <v>99.580712788259959</v>
      </c>
      <c r="Y6" s="48">
        <f t="shared" si="5"/>
        <v>0.12601269310042243</v>
      </c>
      <c r="Z6" s="29"/>
      <c r="AA6" s="73">
        <f t="shared" si="6"/>
        <v>93.728012496694319</v>
      </c>
      <c r="AB6" s="74">
        <f t="shared" si="7"/>
        <v>95.555774021160573</v>
      </c>
      <c r="AC6" s="11" t="str">
        <f>IF($AA6=MAX(AA2:AA9),"TOP","")</f>
        <v>TOP</v>
      </c>
      <c r="AD6" s="11" t="str">
        <f>IF($AB6=MAX(AB2:AB9),"TOP","")</f>
        <v/>
      </c>
      <c r="AE6" s="52"/>
      <c r="AF6" s="99" t="s">
        <v>16</v>
      </c>
      <c r="AG6" s="104" t="s">
        <v>39</v>
      </c>
      <c r="AH6" s="105">
        <f>MAX(V2:V9)</f>
        <v>99.563206577595068</v>
      </c>
      <c r="AJ6" s="99" t="str">
        <f t="shared" si="8"/>
        <v>QQQ</v>
      </c>
      <c r="AK6" s="106">
        <v>604.79999999999995</v>
      </c>
      <c r="AL6" s="107">
        <f t="shared" si="9"/>
        <v>97.122302158273371</v>
      </c>
      <c r="AN6" s="9"/>
      <c r="AO6" s="79" t="str">
        <f t="shared" si="10"/>
        <v>VIX</v>
      </c>
      <c r="AP6" s="108">
        <f t="shared" si="11"/>
        <v>16.09</v>
      </c>
      <c r="AQ6" s="91">
        <f>ABS(C15-AP6)</f>
        <v>2.91</v>
      </c>
      <c r="AR6" s="91">
        <f>ABS(E15-AP6)</f>
        <v>2.6799999999999997</v>
      </c>
      <c r="AS6" s="91">
        <f>ABS(AP6-G15)</f>
        <v>2.6499999999999986</v>
      </c>
      <c r="AT6" s="92" t="s">
        <v>40</v>
      </c>
      <c r="AU6" s="9"/>
      <c r="AV6" s="9"/>
      <c r="BA6" s="9"/>
    </row>
    <row r="7" spans="1:56" ht="14.4" x14ac:dyDescent="0.3">
      <c r="A7" s="109" t="s">
        <v>17</v>
      </c>
      <c r="B7" s="110">
        <v>250.12</v>
      </c>
      <c r="C7" s="111">
        <v>257</v>
      </c>
      <c r="D7" s="111">
        <v>257</v>
      </c>
      <c r="E7" s="111">
        <v>247</v>
      </c>
      <c r="F7" s="111">
        <v>247</v>
      </c>
      <c r="G7" s="111">
        <v>247</v>
      </c>
      <c r="H7" s="112">
        <v>247</v>
      </c>
      <c r="I7" s="395">
        <v>248</v>
      </c>
      <c r="K7" s="2" t="s">
        <v>41</v>
      </c>
      <c r="M7" s="501" t="str">
        <f>G1</f>
        <v>Kimi 2</v>
      </c>
      <c r="N7" s="502">
        <f>100-ABS((($K12-G2)/($K12)))*100</f>
        <v>98.605530607421414</v>
      </c>
      <c r="O7" s="503">
        <f t="shared" si="0"/>
        <v>0.12486905510161324</v>
      </c>
      <c r="P7" s="504">
        <f>100-ABS((($K13-G3)/($K13)))*100</f>
        <v>99.086106335583978</v>
      </c>
      <c r="Q7" s="505">
        <f t="shared" si="1"/>
        <v>0.12494583861142823</v>
      </c>
      <c r="R7" s="505">
        <f>100-ABS((($K14-G4)/($K14)))*100</f>
        <v>98.487192760735837</v>
      </c>
      <c r="S7" s="505">
        <f t="shared" si="2"/>
        <v>0.12473216738393918</v>
      </c>
      <c r="T7" s="505">
        <f>100-ABS((($K15-G5)/($K15)))*100</f>
        <v>74.456183965195777</v>
      </c>
      <c r="U7" s="505">
        <f t="shared" si="3"/>
        <v>0.12505349742690425</v>
      </c>
      <c r="V7" s="506">
        <f>100-ABS((($K16-G6)/($K16)))*100</f>
        <v>98.117934224049321</v>
      </c>
      <c r="W7" s="507">
        <f t="shared" si="4"/>
        <v>0.1245284326333789</v>
      </c>
      <c r="X7" s="508">
        <f>100-ABS((($K17-G7)/($K17)))*100</f>
        <v>99.580712788259959</v>
      </c>
      <c r="Y7" s="48">
        <f t="shared" si="5"/>
        <v>0.12601269310042243</v>
      </c>
      <c r="Z7" s="29"/>
      <c r="AA7" s="73">
        <f t="shared" si="6"/>
        <v>92.536854321391246</v>
      </c>
      <c r="AB7" s="74">
        <f t="shared" si="7"/>
        <v>94.722276780207721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115" t="s">
        <v>96</v>
      </c>
      <c r="AH7" s="116">
        <f>MAX(X2:X9)</f>
        <v>99.983873568779231</v>
      </c>
      <c r="AJ7" s="114" t="str">
        <f t="shared" si="8"/>
        <v>AAPL</v>
      </c>
      <c r="AK7" s="117">
        <v>245.25</v>
      </c>
      <c r="AL7" s="118">
        <f t="shared" si="9"/>
        <v>98.875181422351233</v>
      </c>
      <c r="AN7" s="9"/>
      <c r="AO7" s="79" t="str">
        <f t="shared" si="10"/>
        <v>QQQ</v>
      </c>
      <c r="AP7" s="119">
        <f t="shared" si="11"/>
        <v>622.72</v>
      </c>
      <c r="AQ7" s="91">
        <f>ABS(C16-AP7)</f>
        <v>18</v>
      </c>
      <c r="AR7" s="91">
        <f>ABS(E16-AP7)</f>
        <v>19.259999999999991</v>
      </c>
      <c r="AS7" s="91">
        <f>ABS(AP7-G16)</f>
        <v>15.019999999999982</v>
      </c>
      <c r="AT7" s="92" t="s">
        <v>43</v>
      </c>
      <c r="AU7" s="9"/>
      <c r="AV7" s="9"/>
      <c r="AW7" s="9"/>
      <c r="AX7" s="120"/>
      <c r="AY7" s="120"/>
      <c r="AZ7" s="9"/>
      <c r="BA7" s="9"/>
    </row>
    <row r="8" spans="1:56" ht="14.25" customHeight="1" x14ac:dyDescent="0.3">
      <c r="K8" s="485">
        <v>54</v>
      </c>
      <c r="M8" s="501" t="str">
        <f>H1</f>
        <v>Qwen3 Max</v>
      </c>
      <c r="N8" s="502">
        <f>100-ABS((($K12-H2)/($K12)))*100</f>
        <v>98.487355235168991</v>
      </c>
      <c r="O8" s="503">
        <f t="shared" si="0"/>
        <v>0.12471940378917122</v>
      </c>
      <c r="P8" s="504">
        <f>100-ABS((($K13-H3)/($K13)))*100</f>
        <v>99.002010439785479</v>
      </c>
      <c r="Q8" s="505">
        <f t="shared" si="1"/>
        <v>0.12483979516484515</v>
      </c>
      <c r="R8" s="505">
        <f>100-ABS((($K14-H4)/($K14)))*100</f>
        <v>98.487192760735837</v>
      </c>
      <c r="S8" s="505">
        <f t="shared" si="2"/>
        <v>0.12473216738393918</v>
      </c>
      <c r="T8" s="505">
        <f>100-ABS((($K15-H5)/($K15)))*100</f>
        <v>74.456183965195777</v>
      </c>
      <c r="U8" s="505">
        <f t="shared" si="3"/>
        <v>0.12505349742690425</v>
      </c>
      <c r="V8" s="506">
        <f>100-ABS((($K16-H6)/($K16)))*100</f>
        <v>98.117934224049321</v>
      </c>
      <c r="W8" s="507">
        <f t="shared" si="4"/>
        <v>0.1245284326333789</v>
      </c>
      <c r="X8" s="508">
        <f>100-ABS((($K17-H7)/($K17)))*100</f>
        <v>99.580712788259959</v>
      </c>
      <c r="Y8" s="48">
        <f t="shared" si="5"/>
        <v>0.12601269310042243</v>
      </c>
      <c r="Z8" s="29"/>
      <c r="AA8" s="73">
        <f t="shared" si="6"/>
        <v>92.515830347441607</v>
      </c>
      <c r="AB8" s="74">
        <f t="shared" si="7"/>
        <v>94.688564902199232</v>
      </c>
      <c r="AC8" s="51" t="str">
        <f>IF($AA8=MAX(AA2:AA9),"TOP","")</f>
        <v/>
      </c>
      <c r="AD8" s="51" t="str">
        <f>IF($AB8=MAX(AB2:AB9),"TOP","")</f>
        <v/>
      </c>
      <c r="AE8" s="52"/>
      <c r="AF8" s="4"/>
      <c r="AG8" s="4"/>
      <c r="AH8" s="5"/>
      <c r="AL8" s="8"/>
      <c r="AN8" s="9"/>
      <c r="AO8" s="79" t="str">
        <f t="shared" si="10"/>
        <v>AAPL</v>
      </c>
      <c r="AP8" s="122">
        <f t="shared" si="11"/>
        <v>248.04</v>
      </c>
      <c r="AQ8" s="122">
        <f>ABS(C35-AP8)</f>
        <v>4.039999999999992</v>
      </c>
      <c r="AR8" s="122">
        <f>ABS(E35-K17)</f>
        <v>3.039999999999992</v>
      </c>
      <c r="AS8" s="122">
        <f>ABS(AP8-G35)</f>
        <v>1.8400000000000034</v>
      </c>
      <c r="AT8" s="81" t="s">
        <v>33</v>
      </c>
      <c r="AU8" s="9"/>
      <c r="AV8" s="9"/>
      <c r="AW8" s="9"/>
      <c r="AX8" s="9"/>
      <c r="AY8" s="9"/>
      <c r="AZ8" s="9"/>
      <c r="BA8" s="9"/>
    </row>
    <row r="9" spans="1:56" ht="14.4" x14ac:dyDescent="0.3">
      <c r="M9" s="509" t="str">
        <f>I1</f>
        <v>LeChat</v>
      </c>
      <c r="N9" s="510">
        <f>100-ABS((($K12-I2)/($K12)))*100</f>
        <v>98.369179862916567</v>
      </c>
      <c r="O9" s="511">
        <f t="shared" si="0"/>
        <v>0.12456975247672922</v>
      </c>
      <c r="P9" s="512">
        <f>100-ABS((($K13-I3)/($K13)))*100</f>
        <v>99.391613343812907</v>
      </c>
      <c r="Q9" s="513">
        <f t="shared" si="1"/>
        <v>0.12533107757939768</v>
      </c>
      <c r="R9" s="513">
        <f>100-ABS((($K14-I4)/($K14)))*100</f>
        <v>98.906533326006922</v>
      </c>
      <c r="S9" s="513">
        <f t="shared" si="2"/>
        <v>0.1252632542807435</v>
      </c>
      <c r="T9" s="514">
        <f>100-ABS((($K15-I5)/($K15)))*100</f>
        <v>63.269111249223123</v>
      </c>
      <c r="U9" s="513">
        <f t="shared" si="3"/>
        <v>0.10626415724590028</v>
      </c>
      <c r="V9" s="515">
        <f>100-ABS((($K16-I6)/($K16)))*100</f>
        <v>99.563206577595068</v>
      </c>
      <c r="W9" s="516">
        <f t="shared" si="4"/>
        <v>0.12636273033174292</v>
      </c>
      <c r="X9" s="517">
        <f>100-ABS((($K17-I7)/($K17)))*100</f>
        <v>99.983873568779231</v>
      </c>
      <c r="Y9" s="124">
        <f t="shared" si="5"/>
        <v>0.12652286594698284</v>
      </c>
      <c r="Z9" s="29"/>
      <c r="AA9" s="139">
        <f t="shared" si="6"/>
        <v>90.282616124159503</v>
      </c>
      <c r="AB9" s="140">
        <f t="shared" si="7"/>
        <v>93.247252988055621</v>
      </c>
      <c r="AC9" s="51" t="str">
        <f>IF($AA9=MAX(AA2:AA9),"TOP","")</f>
        <v/>
      </c>
      <c r="AD9" s="51" t="str">
        <f>IF($AB9=MAX(AB2:AB9),"TOP","")</f>
        <v/>
      </c>
      <c r="AE9" s="52"/>
      <c r="AF9" s="1319" t="s">
        <v>44</v>
      </c>
      <c r="AG9" s="1319"/>
      <c r="AH9" s="125">
        <f>AVERAGE(AH3:AH6)</f>
        <v>94.167016372761111</v>
      </c>
      <c r="AJ9" s="1310" t="s">
        <v>44</v>
      </c>
      <c r="AK9" s="1310"/>
      <c r="AL9" s="126">
        <f>AVERAGE(AL3:AL6)</f>
        <v>94.08664704696875</v>
      </c>
      <c r="AN9" s="9"/>
      <c r="AP9" s="79">
        <v>0</v>
      </c>
      <c r="AQ9" s="33">
        <v>2.17</v>
      </c>
      <c r="AR9" s="33">
        <v>2.14</v>
      </c>
      <c r="AS9" s="33">
        <v>2.19</v>
      </c>
      <c r="AT9" s="127" t="s">
        <v>45</v>
      </c>
      <c r="AU9" s="9"/>
      <c r="AV9" s="9"/>
      <c r="AW9" s="9"/>
      <c r="AX9" s="9"/>
      <c r="AY9" s="9"/>
      <c r="AZ9" s="9"/>
      <c r="BA9" s="9"/>
    </row>
    <row r="10" spans="1:56" ht="14.4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95.955028526042454</v>
      </c>
      <c r="AJ10" s="1311" t="s">
        <v>51</v>
      </c>
      <c r="AK10" s="1311"/>
      <c r="AL10" s="142">
        <f>AVERAGE(AL2:AL7)</f>
        <v>95.795450532611156</v>
      </c>
      <c r="AN10" s="9"/>
      <c r="AP10" s="79">
        <v>0</v>
      </c>
      <c r="AQ10" s="33">
        <v>3.12</v>
      </c>
      <c r="AR10" s="33">
        <v>3.09</v>
      </c>
      <c r="AS10" s="33">
        <v>3.31</v>
      </c>
      <c r="AT10" s="143" t="s">
        <v>52</v>
      </c>
      <c r="AU10" s="9"/>
      <c r="AV10" s="9"/>
      <c r="AW10" s="9"/>
      <c r="AX10" s="9"/>
      <c r="AY10" s="9"/>
      <c r="AZ10" s="9"/>
      <c r="BA10" s="9"/>
    </row>
    <row r="11" spans="1:56" ht="14.4" x14ac:dyDescent="0.3">
      <c r="B11" s="3" t="s">
        <v>46</v>
      </c>
      <c r="C11" s="1312" t="s">
        <v>47</v>
      </c>
      <c r="D11" s="1312"/>
      <c r="E11" s="1312">
        <v>85520</v>
      </c>
      <c r="F11" s="1312"/>
      <c r="G11" s="1312" t="s">
        <v>48</v>
      </c>
      <c r="H11" s="1312"/>
      <c r="I11" s="486" t="s">
        <v>36</v>
      </c>
      <c r="J11" s="486" t="s">
        <v>49</v>
      </c>
      <c r="K11" s="130" t="s">
        <v>50</v>
      </c>
      <c r="M11" s="19" t="s">
        <v>53</v>
      </c>
      <c r="N11" s="487" t="s">
        <v>12</v>
      </c>
      <c r="O11" s="21">
        <f>SUM(N12:N19)</f>
        <v>560</v>
      </c>
      <c r="P11" s="157" t="s">
        <v>13</v>
      </c>
      <c r="Q11" s="158">
        <f>SUM(P12:P19)</f>
        <v>610</v>
      </c>
      <c r="R11" s="159" t="s">
        <v>14</v>
      </c>
      <c r="S11" s="158">
        <f>SUM(R12:R19)</f>
        <v>550</v>
      </c>
      <c r="T11" s="159" t="s">
        <v>15</v>
      </c>
      <c r="U11" s="158">
        <f>SUM(T12:T19)</f>
        <v>0.79999999999999993</v>
      </c>
      <c r="V11" s="159" t="s">
        <v>16</v>
      </c>
      <c r="W11" s="26">
        <f>SUM(V12:V19)</f>
        <v>555</v>
      </c>
      <c r="X11" s="488" t="s">
        <v>17</v>
      </c>
      <c r="Y11" s="28">
        <f>SUM(X12:X19)</f>
        <v>630</v>
      </c>
      <c r="Z11" s="29"/>
      <c r="AA11" s="30" t="s">
        <v>54</v>
      </c>
      <c r="AB11" s="524" t="s">
        <v>55</v>
      </c>
      <c r="AF11" s="150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6" ht="14.4" x14ac:dyDescent="0.3">
      <c r="A12" s="53" t="s">
        <v>12</v>
      </c>
      <c r="B12" s="144">
        <v>4.3</v>
      </c>
      <c r="C12" s="145">
        <v>4.24</v>
      </c>
      <c r="D12" s="146" t="str">
        <f t="shared" ref="D12:D17" si="12">IF(ABS(K12-I12)&lt;ABS(C12-K12),$I$11,$C$11)</f>
        <v>RD</v>
      </c>
      <c r="E12" s="145">
        <v>4.25</v>
      </c>
      <c r="F12" s="146">
        <f t="shared" ref="F12:F17" si="13">IF(ABS(K12-I12)&lt;ABS(K12-E12),$I$11,$E$11)</f>
        <v>85520</v>
      </c>
      <c r="G12" s="145">
        <v>4.28</v>
      </c>
      <c r="H12" s="146" t="str">
        <f t="shared" ref="H12:H17" si="14">IF(ABS(I12-K12)&lt;ABS(K12-G12),$I$11,$G$11)</f>
        <v>MICH</v>
      </c>
      <c r="I12" s="407">
        <f>(B2*O22)+(C2*O23)+(D2*O24)+(E2*O25)+(F2*O26)+(G2*O27)+(H2*O28)+(I2*O29)</f>
        <v>4.2856715063520872</v>
      </c>
      <c r="J12" s="408">
        <v>4.28776321138211</v>
      </c>
      <c r="K12" s="468">
        <v>4.2309999999999999</v>
      </c>
      <c r="M12" s="410" t="str">
        <f t="shared" ref="M12:M19" si="15">M2</f>
        <v>O 5.2</v>
      </c>
      <c r="N12" s="489">
        <f t="shared" ref="N12:N19" si="16">IF(N2=0,0, LOOKUP(N2-0.000000000001,$AA$12:$AA$28,$AB$12:$AB$28))</f>
        <v>75</v>
      </c>
      <c r="O12" s="412">
        <f t="shared" ref="O12:O19" si="17">N12/$O$11</f>
        <v>0.13392857142857142</v>
      </c>
      <c r="P12" s="413">
        <f t="shared" ref="P12:P19" si="18">IF(P2=0,0, LOOKUP(P2-0.000000000001,$AA$12:$AA$28,$AB$12:$AB$28))</f>
        <v>75</v>
      </c>
      <c r="Q12" s="414">
        <f t="shared" ref="Q12:Q19" si="19">P12/$Q$11</f>
        <v>0.12295081967213115</v>
      </c>
      <c r="R12" s="414">
        <f t="shared" ref="R12:R19" si="20">IF(R2=0,0, LOOKUP(R2-0.000000000001,$AA$12:$AA$28,$AB$12:$AB$28))</f>
        <v>70</v>
      </c>
      <c r="S12" s="414">
        <f t="shared" ref="S12:S19" si="21">R12/$S$11</f>
        <v>0.12727272727272726</v>
      </c>
      <c r="T12" s="414">
        <f t="shared" ref="T12:T19" si="22">IF(T2=0,0, LOOKUP(T2-0.000000000001,$AA$12:$AA$28,$AB$12:$AB$28))</f>
        <v>0.1</v>
      </c>
      <c r="U12" s="414">
        <f t="shared" ref="U12:U19" si="23">T12/$U$11</f>
        <v>0.12500000000000003</v>
      </c>
      <c r="V12" s="414">
        <f t="shared" ref="V12:V19" si="24">IF(V2=0,0, LOOKUP(V2-0.000000000001,$AA$12:$AA$28,$AB$12:$AB$28))</f>
        <v>65</v>
      </c>
      <c r="W12" s="415">
        <f t="shared" ref="W12:W19" si="25">V12/$W$11</f>
        <v>0.11711711711711711</v>
      </c>
      <c r="X12" s="490">
        <f t="shared" ref="X12:X19" si="26">IF(X2=0,0, LOOKUP(X2-0.000000000001,$AA$12:$AA$28,$AB$12:$AB$28))</f>
        <v>75</v>
      </c>
      <c r="Y12" s="179">
        <f t="shared" ref="Y12:Y19" si="27">X12/$Y$11</f>
        <v>0.11904761904761904</v>
      </c>
      <c r="Z12" s="29"/>
      <c r="AA12" s="49">
        <v>1</v>
      </c>
      <c r="AB12" s="525">
        <v>0.1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6" ht="14.4" x14ac:dyDescent="0.3">
      <c r="A13" s="60" t="s">
        <v>13</v>
      </c>
      <c r="B13" s="469">
        <v>48488.47</v>
      </c>
      <c r="C13" s="61">
        <v>48824</v>
      </c>
      <c r="D13" s="152" t="str">
        <f t="shared" si="12"/>
        <v>RD</v>
      </c>
      <c r="E13" s="61">
        <v>48858</v>
      </c>
      <c r="F13" s="152">
        <f t="shared" si="13"/>
        <v>85520</v>
      </c>
      <c r="G13" s="61">
        <v>48540</v>
      </c>
      <c r="H13" s="152" t="str">
        <f t="shared" si="14"/>
        <v>LLM</v>
      </c>
      <c r="I13" s="417">
        <f>(B3*Q22)+(C3*Q23)+(D3*Q24)+(E3*Q25)+(F3*Q26)+(G3*Q27)+(H3*Q28)+(I3*Q29)</f>
        <v>48671.148923076922</v>
      </c>
      <c r="J13" s="418">
        <v>48545.100215439903</v>
      </c>
      <c r="K13" s="470">
        <v>49098.71</v>
      </c>
      <c r="M13" s="420" t="str">
        <f t="shared" si="15"/>
        <v>Grok 4.1</v>
      </c>
      <c r="N13" s="489">
        <f t="shared" si="16"/>
        <v>70</v>
      </c>
      <c r="O13" s="412">
        <f t="shared" si="17"/>
        <v>0.125</v>
      </c>
      <c r="P13" s="413">
        <f t="shared" si="18"/>
        <v>75</v>
      </c>
      <c r="Q13" s="414">
        <f t="shared" si="19"/>
        <v>0.12295081967213115</v>
      </c>
      <c r="R13" s="414">
        <f t="shared" si="20"/>
        <v>70</v>
      </c>
      <c r="S13" s="414">
        <f t="shared" si="21"/>
        <v>0.12727272727272726</v>
      </c>
      <c r="T13" s="414">
        <f t="shared" si="22"/>
        <v>0.1</v>
      </c>
      <c r="U13" s="414">
        <f t="shared" si="23"/>
        <v>0.12500000000000003</v>
      </c>
      <c r="V13" s="414">
        <f t="shared" si="24"/>
        <v>70</v>
      </c>
      <c r="W13" s="415">
        <f t="shared" si="25"/>
        <v>0.12612612612612611</v>
      </c>
      <c r="X13" s="490">
        <f t="shared" si="26"/>
        <v>50</v>
      </c>
      <c r="Y13" s="179">
        <f t="shared" si="27"/>
        <v>7.9365079365079361E-2</v>
      </c>
      <c r="Z13" s="29"/>
      <c r="AA13" s="73">
        <v>80</v>
      </c>
      <c r="AB13" s="526">
        <v>1</v>
      </c>
      <c r="AG13" s="1314" t="s">
        <v>68</v>
      </c>
      <c r="AH13" s="1314"/>
      <c r="AJ13" s="4"/>
      <c r="AK13" s="1314" t="s">
        <v>69</v>
      </c>
      <c r="AL13" s="1314"/>
      <c r="AN13" s="9"/>
      <c r="AO13" s="186" t="s">
        <v>13</v>
      </c>
      <c r="AP13" s="187" t="str">
        <f>K11</f>
        <v xml:space="preserve">+3-day </v>
      </c>
      <c r="AQ13" s="33" t="s">
        <v>23</v>
      </c>
      <c r="AR13" s="33" t="s">
        <v>24</v>
      </c>
      <c r="AS13" s="33" t="s">
        <v>25</v>
      </c>
      <c r="AT13" s="188" t="s">
        <v>35</v>
      </c>
      <c r="AU13" s="189">
        <v>1361</v>
      </c>
      <c r="AV13" s="190" t="s">
        <v>56</v>
      </c>
      <c r="AW13" s="191" t="s">
        <v>57</v>
      </c>
      <c r="AX13" s="192">
        <v>1361</v>
      </c>
      <c r="BA13" s="9"/>
    </row>
    <row r="14" spans="1:56" ht="14.4" x14ac:dyDescent="0.3">
      <c r="A14" s="82" t="s">
        <v>14</v>
      </c>
      <c r="B14" s="471">
        <v>6794.06</v>
      </c>
      <c r="C14" s="83">
        <v>6811</v>
      </c>
      <c r="D14" s="168" t="str">
        <f t="shared" si="12"/>
        <v>LLM</v>
      </c>
      <c r="E14" s="83">
        <v>6814</v>
      </c>
      <c r="F14" s="168" t="str">
        <f t="shared" si="13"/>
        <v>LLM</v>
      </c>
      <c r="G14" s="83">
        <v>6802</v>
      </c>
      <c r="H14" s="168" t="str">
        <f t="shared" si="14"/>
        <v>LLM</v>
      </c>
      <c r="I14" s="421">
        <f>(B4*S22)+(C4*S23)+(D4*S24)+(E4*S25)+(F4*S26)+(G4*S27)+(H4*S28)+(I4*S29)</f>
        <v>6825.7403314917128</v>
      </c>
      <c r="J14" s="422">
        <v>6863.9781639344301</v>
      </c>
      <c r="K14" s="472">
        <v>6915.62</v>
      </c>
      <c r="M14" s="420" t="str">
        <f t="shared" si="15"/>
        <v>Gemini Pro 3</v>
      </c>
      <c r="N14" s="489">
        <f t="shared" si="16"/>
        <v>70</v>
      </c>
      <c r="O14" s="412">
        <f t="shared" si="17"/>
        <v>0.125</v>
      </c>
      <c r="P14" s="413">
        <f t="shared" si="18"/>
        <v>75</v>
      </c>
      <c r="Q14" s="414">
        <f t="shared" si="19"/>
        <v>0.12295081967213115</v>
      </c>
      <c r="R14" s="414">
        <f t="shared" si="20"/>
        <v>70</v>
      </c>
      <c r="S14" s="414">
        <f t="shared" si="21"/>
        <v>0.12727272727272726</v>
      </c>
      <c r="T14" s="414">
        <f t="shared" si="22"/>
        <v>0.1</v>
      </c>
      <c r="U14" s="414">
        <f t="shared" si="23"/>
        <v>0.12500000000000003</v>
      </c>
      <c r="V14" s="414">
        <f t="shared" si="24"/>
        <v>70</v>
      </c>
      <c r="W14" s="415">
        <f t="shared" si="25"/>
        <v>0.12612612612612611</v>
      </c>
      <c r="X14" s="490">
        <f t="shared" si="26"/>
        <v>50</v>
      </c>
      <c r="Y14" s="179">
        <f t="shared" si="27"/>
        <v>7.9365079365079361E-2</v>
      </c>
      <c r="Z14" s="29"/>
      <c r="AA14" s="73">
        <v>82.5</v>
      </c>
      <c r="AB14" s="526">
        <v>2</v>
      </c>
      <c r="AF14" s="341" t="str">
        <f t="shared" ref="AF14:AF19" si="28">A2</f>
        <v>TNX</v>
      </c>
      <c r="AG14" s="342">
        <f t="shared" ref="AG14:AG19" si="29">C12</f>
        <v>4.24</v>
      </c>
      <c r="AH14" s="57">
        <f t="shared" ref="AH14:AH19" si="30">100-ABS(($K12-AG14)/($K12))*100</f>
        <v>99.787284329945635</v>
      </c>
      <c r="AJ14" s="53" t="str">
        <f t="shared" ref="AJ14:AJ19" si="31">AF14</f>
        <v>TNX</v>
      </c>
      <c r="AK14" s="342">
        <f t="shared" ref="AK14:AK19" si="32">E12</f>
        <v>4.25</v>
      </c>
      <c r="AL14" s="57">
        <f t="shared" ref="AL14:AL19" si="33">100-ABS(($K12-AK14)/($K12))*100</f>
        <v>99.550933585440788</v>
      </c>
      <c r="AN14" s="9"/>
      <c r="AO14" s="9"/>
      <c r="AP14" s="187">
        <v>0</v>
      </c>
      <c r="AQ14" s="204">
        <f>AQ15/AT15</f>
        <v>0.20184423218221831</v>
      </c>
      <c r="AR14" s="204">
        <f>AR15/AT15</f>
        <v>0.17686260102865475</v>
      </c>
      <c r="AS14" s="204">
        <f>AS15/AT15</f>
        <v>0.41051432770021978</v>
      </c>
      <c r="AT14" s="187">
        <v>5</v>
      </c>
      <c r="AU14" s="205">
        <v>1</v>
      </c>
      <c r="AV14" s="190" t="s">
        <v>58</v>
      </c>
      <c r="AW14" s="191" t="s">
        <v>59</v>
      </c>
      <c r="AX14" s="206">
        <f>AU13/AP4</f>
        <v>2.7719669213305199E-2</v>
      </c>
      <c r="BA14" s="9"/>
    </row>
    <row r="15" spans="1:56" ht="14.4" x14ac:dyDescent="0.3">
      <c r="A15" s="82" t="s">
        <v>15</v>
      </c>
      <c r="B15" s="471">
        <v>20.85</v>
      </c>
      <c r="C15" s="93">
        <v>19</v>
      </c>
      <c r="D15" s="168" t="str">
        <f t="shared" si="12"/>
        <v>RD</v>
      </c>
      <c r="E15" s="93">
        <v>18.77</v>
      </c>
      <c r="F15" s="168">
        <f t="shared" si="13"/>
        <v>85520</v>
      </c>
      <c r="G15" s="93">
        <v>18.739999999999998</v>
      </c>
      <c r="H15" s="168" t="str">
        <f t="shared" si="14"/>
        <v>MICH</v>
      </c>
      <c r="I15" s="423">
        <f>(B5*U22)+(C5*U23)+(D5*U24)+(E5*U25)+(F5*U26)+(G5*U27)+(H5*U28)+(I5*U29)</f>
        <v>20.411216931216931</v>
      </c>
      <c r="J15" s="424">
        <v>20.3653228653721</v>
      </c>
      <c r="K15" s="472">
        <v>16.09</v>
      </c>
      <c r="M15" s="420" t="str">
        <f t="shared" si="15"/>
        <v>Claude</v>
      </c>
      <c r="N15" s="489">
        <f t="shared" si="16"/>
        <v>75</v>
      </c>
      <c r="O15" s="412">
        <f t="shared" si="17"/>
        <v>0.13392857142857142</v>
      </c>
      <c r="P15" s="413">
        <f t="shared" si="18"/>
        <v>75</v>
      </c>
      <c r="Q15" s="414">
        <f t="shared" si="19"/>
        <v>0.12295081967213115</v>
      </c>
      <c r="R15" s="414">
        <f t="shared" si="20"/>
        <v>70</v>
      </c>
      <c r="S15" s="414">
        <f t="shared" si="21"/>
        <v>0.12727272727272726</v>
      </c>
      <c r="T15" s="414">
        <f t="shared" si="22"/>
        <v>0.1</v>
      </c>
      <c r="U15" s="414">
        <f t="shared" si="23"/>
        <v>0.12500000000000003</v>
      </c>
      <c r="V15" s="414">
        <f t="shared" si="24"/>
        <v>65</v>
      </c>
      <c r="W15" s="415">
        <f t="shared" si="25"/>
        <v>0.11711711711711711</v>
      </c>
      <c r="X15" s="490">
        <f t="shared" si="26"/>
        <v>90</v>
      </c>
      <c r="Y15" s="179">
        <f t="shared" si="27"/>
        <v>0.14285714285714285</v>
      </c>
      <c r="Z15" s="29"/>
      <c r="AA15" s="73">
        <v>85</v>
      </c>
      <c r="AB15" s="526">
        <v>5</v>
      </c>
      <c r="AF15" s="343" t="str">
        <f t="shared" si="28"/>
        <v>DJI</v>
      </c>
      <c r="AG15" s="344">
        <f t="shared" si="29"/>
        <v>48824</v>
      </c>
      <c r="AH15" s="78">
        <f t="shared" si="30"/>
        <v>99.440494465129532</v>
      </c>
      <c r="AJ15" s="60" t="str">
        <f t="shared" si="31"/>
        <v>DJI</v>
      </c>
      <c r="AK15" s="344">
        <f t="shared" si="32"/>
        <v>48858</v>
      </c>
      <c r="AL15" s="78">
        <f t="shared" si="33"/>
        <v>99.509742720328092</v>
      </c>
      <c r="AN15" s="9"/>
      <c r="AO15" s="9"/>
      <c r="AP15" s="212">
        <v>0</v>
      </c>
      <c r="AQ15" s="213">
        <f>AQ4</f>
        <v>274.70999999999913</v>
      </c>
      <c r="AR15" s="213">
        <f>AR4</f>
        <v>240.70999999999913</v>
      </c>
      <c r="AS15" s="213">
        <f>AS4</f>
        <v>558.70999999999913</v>
      </c>
      <c r="AT15" s="213">
        <f>AU14*AU13</f>
        <v>1361</v>
      </c>
      <c r="AV15" s="214"/>
      <c r="AW15" s="13"/>
      <c r="AX15" s="13"/>
      <c r="BA15" s="9"/>
    </row>
    <row r="16" spans="1:56" ht="14.4" x14ac:dyDescent="0.3">
      <c r="A16" s="99" t="s">
        <v>16</v>
      </c>
      <c r="B16" s="473">
        <v>608.05999999999995</v>
      </c>
      <c r="C16" s="100">
        <v>604.72</v>
      </c>
      <c r="D16" s="208" t="str">
        <f t="shared" si="12"/>
        <v>LLM</v>
      </c>
      <c r="E16" s="100">
        <v>603.46</v>
      </c>
      <c r="F16" s="208" t="str">
        <f t="shared" si="13"/>
        <v>LLM</v>
      </c>
      <c r="G16" s="100">
        <v>607.70000000000005</v>
      </c>
      <c r="H16" s="208" t="str">
        <f t="shared" si="14"/>
        <v>LLM</v>
      </c>
      <c r="I16" s="425">
        <f>(B6*W22)+(C6*W23)+(D6*W24)+(E6*W25)+(F6*W26)+(G6*W27)+(H6*W28)+(I6*W29)</f>
        <v>613.30043032786875</v>
      </c>
      <c r="J16" s="426">
        <v>550.25737547892697</v>
      </c>
      <c r="K16" s="474">
        <v>622.72</v>
      </c>
      <c r="M16" s="420" t="str">
        <f t="shared" si="15"/>
        <v>Minimax 2.1</v>
      </c>
      <c r="N16" s="489">
        <f t="shared" si="16"/>
        <v>70</v>
      </c>
      <c r="O16" s="412">
        <f t="shared" si="17"/>
        <v>0.125</v>
      </c>
      <c r="P16" s="413">
        <f t="shared" si="18"/>
        <v>80</v>
      </c>
      <c r="Q16" s="414">
        <f t="shared" si="19"/>
        <v>0.13114754098360656</v>
      </c>
      <c r="R16" s="414">
        <f t="shared" si="20"/>
        <v>70</v>
      </c>
      <c r="S16" s="414">
        <f t="shared" si="21"/>
        <v>0.12727272727272726</v>
      </c>
      <c r="T16" s="414">
        <f t="shared" si="22"/>
        <v>0.1</v>
      </c>
      <c r="U16" s="414">
        <f t="shared" si="23"/>
        <v>0.12500000000000003</v>
      </c>
      <c r="V16" s="414">
        <f t="shared" si="24"/>
        <v>65</v>
      </c>
      <c r="W16" s="415">
        <f t="shared" si="25"/>
        <v>0.11711711711711711</v>
      </c>
      <c r="X16" s="490">
        <f t="shared" si="26"/>
        <v>90</v>
      </c>
      <c r="Y16" s="179">
        <f t="shared" si="27"/>
        <v>0.14285714285714285</v>
      </c>
      <c r="Z16" s="29"/>
      <c r="AA16" s="73">
        <v>87.5</v>
      </c>
      <c r="AB16" s="526">
        <v>10</v>
      </c>
      <c r="AF16" s="345" t="str">
        <f t="shared" si="28"/>
        <v>SPX</v>
      </c>
      <c r="AG16" s="346">
        <f t="shared" si="29"/>
        <v>6811</v>
      </c>
      <c r="AH16" s="89">
        <f t="shared" si="30"/>
        <v>98.487192760735837</v>
      </c>
      <c r="AJ16" s="82" t="str">
        <f t="shared" si="31"/>
        <v>SPX</v>
      </c>
      <c r="AK16" s="346">
        <f t="shared" si="32"/>
        <v>6814</v>
      </c>
      <c r="AL16" s="89">
        <f t="shared" si="33"/>
        <v>98.530572819212168</v>
      </c>
      <c r="AN16" s="9"/>
      <c r="AO16" s="6"/>
      <c r="AP16" s="120"/>
      <c r="AQ16" s="120"/>
      <c r="AR16" s="120"/>
      <c r="AS16" s="120"/>
      <c r="AT16" s="120"/>
      <c r="AU16" s="120"/>
      <c r="AV16" s="190"/>
      <c r="AW16" s="221"/>
      <c r="AX16" s="222"/>
      <c r="BA16" s="9"/>
      <c r="BD16" s="8"/>
    </row>
    <row r="17" spans="1:55" ht="14.4" x14ac:dyDescent="0.3">
      <c r="A17" s="114" t="s">
        <v>17</v>
      </c>
      <c r="B17" s="475">
        <v>246.7</v>
      </c>
      <c r="C17" s="216">
        <v>244</v>
      </c>
      <c r="D17" s="217" t="str">
        <f t="shared" si="12"/>
        <v>LLM</v>
      </c>
      <c r="E17" s="216">
        <v>245</v>
      </c>
      <c r="F17" s="217" t="str">
        <f t="shared" si="13"/>
        <v>LLM</v>
      </c>
      <c r="G17" s="216">
        <v>246.2</v>
      </c>
      <c r="H17" s="217" t="str">
        <f t="shared" si="14"/>
        <v>MICH</v>
      </c>
      <c r="I17" s="428">
        <f>(B7*Y22)+(C7*Y23)+(D7*Y24)+(E7*Y25)+(F7*Y26)+(G7*Y27)+(H7*Y28)+(I7*Y29)</f>
        <v>250.06946534653463</v>
      </c>
      <c r="J17" s="429">
        <v>251.119682220062</v>
      </c>
      <c r="K17" s="476">
        <v>248.04</v>
      </c>
      <c r="M17" s="420" t="str">
        <f t="shared" si="15"/>
        <v>Kimi 2</v>
      </c>
      <c r="N17" s="489">
        <f t="shared" si="16"/>
        <v>70</v>
      </c>
      <c r="O17" s="412">
        <f t="shared" si="17"/>
        <v>0.125</v>
      </c>
      <c r="P17" s="413">
        <f t="shared" si="18"/>
        <v>75</v>
      </c>
      <c r="Q17" s="414">
        <f t="shared" si="19"/>
        <v>0.12295081967213115</v>
      </c>
      <c r="R17" s="414">
        <f t="shared" si="20"/>
        <v>65</v>
      </c>
      <c r="S17" s="414">
        <f t="shared" si="21"/>
        <v>0.11818181818181818</v>
      </c>
      <c r="T17" s="414">
        <f t="shared" si="22"/>
        <v>0.1</v>
      </c>
      <c r="U17" s="414">
        <f t="shared" si="23"/>
        <v>0.12500000000000003</v>
      </c>
      <c r="V17" s="414">
        <f t="shared" si="24"/>
        <v>65</v>
      </c>
      <c r="W17" s="415">
        <f t="shared" si="25"/>
        <v>0.11711711711711711</v>
      </c>
      <c r="X17" s="490">
        <f t="shared" si="26"/>
        <v>90</v>
      </c>
      <c r="Y17" s="179">
        <f t="shared" si="27"/>
        <v>0.14285714285714285</v>
      </c>
      <c r="Z17" s="29"/>
      <c r="AA17" s="73">
        <v>90</v>
      </c>
      <c r="AB17" s="526">
        <v>20</v>
      </c>
      <c r="AF17" s="345" t="str">
        <f t="shared" si="28"/>
        <v>VIX</v>
      </c>
      <c r="AG17" s="347">
        <f t="shared" si="29"/>
        <v>19</v>
      </c>
      <c r="AH17" s="89">
        <f t="shared" si="30"/>
        <v>81.91423244251088</v>
      </c>
      <c r="AJ17" s="82" t="str">
        <f t="shared" si="31"/>
        <v>VIX</v>
      </c>
      <c r="AK17" s="347">
        <f t="shared" si="32"/>
        <v>18.77</v>
      </c>
      <c r="AL17" s="89">
        <f t="shared" si="33"/>
        <v>83.34369173399628</v>
      </c>
      <c r="AN17" s="9"/>
      <c r="AO17" s="186" t="s">
        <v>14</v>
      </c>
      <c r="AP17" s="187" t="str">
        <f>AP13</f>
        <v xml:space="preserve">+3-day </v>
      </c>
      <c r="AQ17" s="187" t="str">
        <f>AQ13</f>
        <v>User1</v>
      </c>
      <c r="AR17" s="187" t="str">
        <f>AR13</f>
        <v>User2</v>
      </c>
      <c r="AS17" s="187" t="str">
        <f>AS13</f>
        <v>User3</v>
      </c>
      <c r="AT17" s="188" t="s">
        <v>38</v>
      </c>
      <c r="AU17" s="227">
        <v>378</v>
      </c>
      <c r="AV17" s="190" t="str">
        <f>AV13</f>
        <v>TEST</v>
      </c>
      <c r="AW17" s="191" t="str">
        <f>AW13</f>
        <v>BEST =</v>
      </c>
      <c r="AX17" s="192">
        <v>378</v>
      </c>
      <c r="BA17" s="9"/>
    </row>
    <row r="18" spans="1:55" ht="14.4" x14ac:dyDescent="0.3">
      <c r="M18" s="420" t="str">
        <f t="shared" si="15"/>
        <v>Qwen3 Max</v>
      </c>
      <c r="N18" s="489">
        <f t="shared" si="16"/>
        <v>65</v>
      </c>
      <c r="O18" s="412">
        <f t="shared" si="17"/>
        <v>0.11607142857142858</v>
      </c>
      <c r="P18" s="413">
        <f t="shared" si="18"/>
        <v>75</v>
      </c>
      <c r="Q18" s="414">
        <f t="shared" si="19"/>
        <v>0.12295081967213115</v>
      </c>
      <c r="R18" s="414">
        <f t="shared" si="20"/>
        <v>65</v>
      </c>
      <c r="S18" s="414">
        <f t="shared" si="21"/>
        <v>0.11818181818181818</v>
      </c>
      <c r="T18" s="414">
        <f t="shared" si="22"/>
        <v>0.1</v>
      </c>
      <c r="U18" s="414">
        <f t="shared" si="23"/>
        <v>0.12500000000000003</v>
      </c>
      <c r="V18" s="414">
        <f t="shared" si="24"/>
        <v>65</v>
      </c>
      <c r="W18" s="415">
        <f t="shared" si="25"/>
        <v>0.11711711711711711</v>
      </c>
      <c r="X18" s="490">
        <f t="shared" si="26"/>
        <v>90</v>
      </c>
      <c r="Y18" s="179">
        <f t="shared" si="27"/>
        <v>0.14285714285714285</v>
      </c>
      <c r="Z18" s="29"/>
      <c r="AA18" s="73">
        <v>92.5</v>
      </c>
      <c r="AB18" s="526">
        <v>30</v>
      </c>
      <c r="AF18" s="348" t="str">
        <f t="shared" si="28"/>
        <v>QQQ</v>
      </c>
      <c r="AG18" s="349">
        <f t="shared" si="29"/>
        <v>604.72</v>
      </c>
      <c r="AH18" s="107">
        <f t="shared" si="30"/>
        <v>97.109455292908535</v>
      </c>
      <c r="AJ18" s="99" t="str">
        <f t="shared" si="31"/>
        <v>QQQ</v>
      </c>
      <c r="AK18" s="349">
        <f t="shared" si="32"/>
        <v>603.46</v>
      </c>
      <c r="AL18" s="107">
        <f t="shared" si="33"/>
        <v>96.907117163412124</v>
      </c>
      <c r="AN18" s="9"/>
      <c r="AO18" s="9"/>
      <c r="AP18" s="187">
        <v>0</v>
      </c>
      <c r="AQ18" s="204">
        <f>AQ19/AT19</f>
        <v>0.2767724867724865</v>
      </c>
      <c r="AR18" s="204">
        <f>AR19/AT19</f>
        <v>0.26883597883597854</v>
      </c>
      <c r="AS18" s="204">
        <f>AS19/AT19</f>
        <v>0.30058201058201028</v>
      </c>
      <c r="AT18" s="187">
        <v>5</v>
      </c>
      <c r="AU18" s="229">
        <f>AU14</f>
        <v>1</v>
      </c>
      <c r="AV18" s="190" t="str">
        <f>AV14</f>
        <v>Scale</v>
      </c>
      <c r="AW18" s="191" t="str">
        <f>AW14</f>
        <v>RANGE  =</v>
      </c>
      <c r="AX18" s="206">
        <f>AU17/AP5</f>
        <v>5.4658873680161722E-2</v>
      </c>
      <c r="BA18" s="9"/>
    </row>
    <row r="19" spans="1:55" ht="14.4" x14ac:dyDescent="0.3">
      <c r="M19" s="431" t="str">
        <f t="shared" si="15"/>
        <v>LeChat</v>
      </c>
      <c r="N19" s="491">
        <f t="shared" si="16"/>
        <v>65</v>
      </c>
      <c r="O19" s="433">
        <f t="shared" si="17"/>
        <v>0.11607142857142858</v>
      </c>
      <c r="P19" s="434">
        <f t="shared" si="18"/>
        <v>80</v>
      </c>
      <c r="Q19" s="435">
        <f t="shared" si="19"/>
        <v>0.13114754098360656</v>
      </c>
      <c r="R19" s="435">
        <f t="shared" si="20"/>
        <v>70</v>
      </c>
      <c r="S19" s="435">
        <f t="shared" si="21"/>
        <v>0.12727272727272726</v>
      </c>
      <c r="T19" s="435">
        <f t="shared" si="22"/>
        <v>0.1</v>
      </c>
      <c r="U19" s="435">
        <f t="shared" si="23"/>
        <v>0.12500000000000003</v>
      </c>
      <c r="V19" s="435">
        <f t="shared" si="24"/>
        <v>90</v>
      </c>
      <c r="W19" s="436">
        <f t="shared" si="25"/>
        <v>0.16216216216216217</v>
      </c>
      <c r="X19" s="492">
        <f t="shared" si="26"/>
        <v>95</v>
      </c>
      <c r="Y19" s="235">
        <f t="shared" si="27"/>
        <v>0.15079365079365079</v>
      </c>
      <c r="Z19" s="29"/>
      <c r="AA19" s="73">
        <v>95</v>
      </c>
      <c r="AB19" s="526">
        <v>40</v>
      </c>
      <c r="AF19" s="350" t="str">
        <f t="shared" si="28"/>
        <v>AAPL</v>
      </c>
      <c r="AG19" s="351">
        <f t="shared" si="29"/>
        <v>244</v>
      </c>
      <c r="AH19" s="118">
        <f t="shared" si="30"/>
        <v>98.371230446702143</v>
      </c>
      <c r="AJ19" s="114" t="str">
        <f t="shared" si="31"/>
        <v>AAPL</v>
      </c>
      <c r="AK19" s="351">
        <f t="shared" si="32"/>
        <v>245</v>
      </c>
      <c r="AL19" s="118">
        <f t="shared" si="33"/>
        <v>98.774391227221415</v>
      </c>
      <c r="AN19" s="9"/>
      <c r="AO19" s="9"/>
      <c r="AP19" s="212">
        <v>0</v>
      </c>
      <c r="AQ19" s="213">
        <f>AQ5</f>
        <v>104.61999999999989</v>
      </c>
      <c r="AR19" s="213">
        <f>AR5</f>
        <v>101.61999999999989</v>
      </c>
      <c r="AS19" s="213">
        <f>AS5</f>
        <v>113.61999999999989</v>
      </c>
      <c r="AT19" s="213">
        <f>AU18*AU17</f>
        <v>378</v>
      </c>
      <c r="AV19" s="214"/>
      <c r="AW19" s="13"/>
      <c r="AX19" s="13"/>
      <c r="BA19" s="9"/>
    </row>
    <row r="20" spans="1:55" ht="14.4" x14ac:dyDescent="0.3">
      <c r="A20" s="2" t="s">
        <v>0</v>
      </c>
      <c r="B20" s="230" t="str">
        <f t="shared" ref="B20:B26" si="34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35">G11</f>
        <v>MICH</v>
      </c>
      <c r="H20" s="1312"/>
      <c r="I20" s="1313" t="s">
        <v>50</v>
      </c>
      <c r="J20" s="1313"/>
      <c r="AA20" s="73">
        <v>96</v>
      </c>
      <c r="AB20" s="526">
        <v>50</v>
      </c>
      <c r="AH20" s="9"/>
      <c r="AN20" s="9"/>
      <c r="AO20" s="9"/>
      <c r="AP20" s="120"/>
      <c r="AQ20" s="120"/>
      <c r="AR20" s="120"/>
      <c r="AS20" s="120"/>
      <c r="AT20" s="120"/>
      <c r="AU20" s="120"/>
      <c r="AV20" s="190"/>
      <c r="AW20" s="221"/>
      <c r="AX20" s="222"/>
      <c r="BA20" s="9"/>
    </row>
    <row r="21" spans="1:55" ht="14.4" x14ac:dyDescent="0.3">
      <c r="A21" s="35" t="s">
        <v>12</v>
      </c>
      <c r="B21" s="231">
        <f t="shared" si="34"/>
        <v>4.3</v>
      </c>
      <c r="C21" s="232">
        <f t="shared" ref="C21:C26" si="36">C12</f>
        <v>4.24</v>
      </c>
      <c r="D21" s="146" t="str">
        <f t="shared" ref="D21:D26" si="37">CONCATENATE(TEXT(AI28,"0.00%"),"  ",AJ28)</f>
        <v>-1.40%  ↓</v>
      </c>
      <c r="E21" s="232">
        <f t="shared" ref="E21:E26" si="38">E12</f>
        <v>4.25</v>
      </c>
      <c r="F21" s="146" t="str">
        <f t="shared" ref="F21:F26" si="39">CONCATENATE(TEXT(AK28,"0.00%"),"  ",AL28)</f>
        <v>-1.16%  ↓</v>
      </c>
      <c r="G21" s="232">
        <f t="shared" si="35"/>
        <v>4.28</v>
      </c>
      <c r="H21" s="146" t="str">
        <f t="shared" ref="H21:H26" si="40">CONCATENATE(TEXT(AM28,"0.00%"),"  ",AN28)</f>
        <v>-0.47%  ↓</v>
      </c>
      <c r="I21" s="438">
        <f t="shared" ref="I21:I26" si="41">K12</f>
        <v>4.2309999999999999</v>
      </c>
      <c r="J21" s="439" t="str">
        <f t="shared" ref="J21:J26" si="42">CONCATENATE(TEXT(AG28,"0.00%"),"  ",AH28)</f>
        <v>-1.60%  ↓</v>
      </c>
      <c r="M21" s="19" t="s">
        <v>60</v>
      </c>
      <c r="N21" s="518" t="s">
        <v>12</v>
      </c>
      <c r="O21" s="254">
        <f>SUM(N22:N29)</f>
        <v>688.75</v>
      </c>
      <c r="P21" s="255" t="s">
        <v>13</v>
      </c>
      <c r="Q21" s="256">
        <f>SUM(P22:P29)</f>
        <v>650</v>
      </c>
      <c r="R21" s="257" t="s">
        <v>14</v>
      </c>
      <c r="S21" s="256">
        <f>SUM(R22:R29)</f>
        <v>678.75</v>
      </c>
      <c r="T21" s="257" t="s">
        <v>15</v>
      </c>
      <c r="U21" s="256">
        <f>SUM(T22:T29)</f>
        <v>141.75</v>
      </c>
      <c r="V21" s="257" t="s">
        <v>16</v>
      </c>
      <c r="W21" s="258">
        <f>SUM(V22:V29)</f>
        <v>610</v>
      </c>
      <c r="X21" s="519" t="s">
        <v>17</v>
      </c>
      <c r="Y21" s="28">
        <f>SUM(X22:X29)</f>
        <v>631.25</v>
      </c>
      <c r="Z21" s="29"/>
      <c r="AA21" s="73">
        <v>97</v>
      </c>
      <c r="AB21" s="526">
        <v>60</v>
      </c>
      <c r="AF21" s="1310" t="s">
        <v>44</v>
      </c>
      <c r="AG21" s="1310"/>
      <c r="AH21" s="126">
        <f>AVERAGE(AH15:AH18)</f>
        <v>94.237843740321196</v>
      </c>
      <c r="AJ21" s="1310" t="s">
        <v>44</v>
      </c>
      <c r="AK21" s="1310"/>
      <c r="AL21" s="126">
        <f>AVERAGE(AL15:AL18)</f>
        <v>94.57278110923717</v>
      </c>
      <c r="AN21" s="9"/>
      <c r="AO21" s="186" t="s">
        <v>15</v>
      </c>
      <c r="AP21" s="187" t="str">
        <f>AP17</f>
        <v xml:space="preserve">+3-day </v>
      </c>
      <c r="AQ21" s="187" t="str">
        <f>AQ17</f>
        <v>User1</v>
      </c>
      <c r="AR21" s="187" t="str">
        <f>AR17</f>
        <v>User2</v>
      </c>
      <c r="AS21" s="187" t="str">
        <f>AS17</f>
        <v>User3</v>
      </c>
      <c r="AT21" s="188" t="s">
        <v>40</v>
      </c>
      <c r="AU21" s="247">
        <v>3.53</v>
      </c>
      <c r="AV21" s="190" t="str">
        <f>AV17</f>
        <v>TEST</v>
      </c>
      <c r="AW21" s="191" t="str">
        <f>AW17</f>
        <v>BEST =</v>
      </c>
      <c r="AX21" s="192">
        <v>3.53</v>
      </c>
      <c r="BA21" s="9"/>
    </row>
    <row r="22" spans="1:55" ht="14.4" x14ac:dyDescent="0.3">
      <c r="A22" s="60" t="s">
        <v>13</v>
      </c>
      <c r="B22" s="477">
        <f t="shared" si="34"/>
        <v>48488.47</v>
      </c>
      <c r="C22" s="237">
        <f t="shared" si="36"/>
        <v>48824</v>
      </c>
      <c r="D22" s="152" t="str">
        <f t="shared" si="37"/>
        <v>0.69%  ↑</v>
      </c>
      <c r="E22" s="237">
        <f t="shared" si="38"/>
        <v>48858</v>
      </c>
      <c r="F22" s="152" t="str">
        <f t="shared" si="39"/>
        <v>0.76%  ↑</v>
      </c>
      <c r="G22" s="237">
        <f t="shared" si="35"/>
        <v>48540</v>
      </c>
      <c r="H22" s="152" t="str">
        <f t="shared" si="40"/>
        <v>0.11%  ↑</v>
      </c>
      <c r="I22" s="440">
        <f t="shared" si="41"/>
        <v>49098.71</v>
      </c>
      <c r="J22" s="441" t="str">
        <f t="shared" si="42"/>
        <v>1.26%  ↑</v>
      </c>
      <c r="M22" s="410" t="str">
        <f t="shared" ref="M22:M29" si="43">M12</f>
        <v>O 5.2</v>
      </c>
      <c r="N22" s="520">
        <v>87.5</v>
      </c>
      <c r="O22" s="443">
        <f t="shared" ref="O22:O29" si="44">N22/$O$21</f>
        <v>0.12704174228675136</v>
      </c>
      <c r="P22" s="444">
        <v>80</v>
      </c>
      <c r="Q22" s="445">
        <f t="shared" ref="Q22:Q29" si="45">P22/$Q$21</f>
        <v>0.12307692307692308</v>
      </c>
      <c r="R22" s="445">
        <v>85</v>
      </c>
      <c r="S22" s="445">
        <f t="shared" ref="S22:S29" si="46">R22/$S$21</f>
        <v>0.12523020257826889</v>
      </c>
      <c r="T22" s="445">
        <v>16.25</v>
      </c>
      <c r="U22" s="445">
        <f t="shared" ref="U22:U29" si="47">T22/$U$21</f>
        <v>0.1146384479717813</v>
      </c>
      <c r="V22" s="445">
        <v>76.25</v>
      </c>
      <c r="W22" s="446">
        <f t="shared" ref="W22:W29" si="48">V22/$W$21</f>
        <v>0.125</v>
      </c>
      <c r="X22" s="521">
        <v>73.75</v>
      </c>
      <c r="Y22" s="48">
        <f t="shared" ref="Y22:Y29" si="49">X22/$Y$21</f>
        <v>0.11683168316831684</v>
      </c>
      <c r="Z22" s="29"/>
      <c r="AA22" s="73">
        <v>98</v>
      </c>
      <c r="AB22" s="526">
        <v>65</v>
      </c>
      <c r="AF22" s="1311" t="s">
        <v>51</v>
      </c>
      <c r="AG22" s="1311"/>
      <c r="AH22" s="142">
        <f>AVERAGE(AH14:AH19)</f>
        <v>95.851648289655415</v>
      </c>
      <c r="AJ22" s="1311" t="s">
        <v>51</v>
      </c>
      <c r="AK22" s="1311"/>
      <c r="AL22" s="142">
        <f>AVERAGE(AL14:AL19)</f>
        <v>96.102741541601816</v>
      </c>
      <c r="AN22" s="9"/>
      <c r="AO22" s="9"/>
      <c r="AP22" s="187">
        <v>0</v>
      </c>
      <c r="AQ22" s="204">
        <f>AQ23/AT23</f>
        <v>0.82436260623229474</v>
      </c>
      <c r="AR22" s="204">
        <f>AR23/AT23</f>
        <v>0.75920679886685549</v>
      </c>
      <c r="AS22" s="204">
        <f>AS23/AT23</f>
        <v>0.75070821529745002</v>
      </c>
      <c r="AT22" s="187">
        <v>5</v>
      </c>
      <c r="AU22" s="229">
        <f>AU18</f>
        <v>1</v>
      </c>
      <c r="AV22" s="190" t="str">
        <f>AV18</f>
        <v>Scale</v>
      </c>
      <c r="AW22" s="191" t="str">
        <f>AW18</f>
        <v>RANGE  =</v>
      </c>
      <c r="AX22" s="206">
        <f>AU21/AP6</f>
        <v>0.21939092604101926</v>
      </c>
      <c r="BA22" s="120"/>
      <c r="BB22" s="251"/>
      <c r="BC22" s="251"/>
    </row>
    <row r="23" spans="1:55" ht="14.4" x14ac:dyDescent="0.3">
      <c r="A23" s="82" t="s">
        <v>14</v>
      </c>
      <c r="B23" s="478">
        <f t="shared" si="34"/>
        <v>6794.06</v>
      </c>
      <c r="C23" s="249">
        <f t="shared" si="36"/>
        <v>6811</v>
      </c>
      <c r="D23" s="168" t="str">
        <f t="shared" si="37"/>
        <v>0.25%  ↑</v>
      </c>
      <c r="E23" s="249">
        <f t="shared" si="38"/>
        <v>6814</v>
      </c>
      <c r="F23" s="168" t="str">
        <f t="shared" si="39"/>
        <v>0.29%  ↑</v>
      </c>
      <c r="G23" s="249">
        <f t="shared" si="35"/>
        <v>6802</v>
      </c>
      <c r="H23" s="168" t="str">
        <f t="shared" si="40"/>
        <v>0.12%  ↑</v>
      </c>
      <c r="I23" s="448">
        <f t="shared" si="41"/>
        <v>6915.62</v>
      </c>
      <c r="J23" s="441" t="str">
        <f t="shared" si="42"/>
        <v>1.79%  ↑</v>
      </c>
      <c r="M23" s="420" t="str">
        <f t="shared" si="43"/>
        <v>Grok 4.1</v>
      </c>
      <c r="N23" s="520">
        <v>86.25</v>
      </c>
      <c r="O23" s="443">
        <f t="shared" si="44"/>
        <v>0.12522686025408347</v>
      </c>
      <c r="P23" s="444">
        <v>85</v>
      </c>
      <c r="Q23" s="445">
        <f t="shared" si="45"/>
        <v>0.13076923076923078</v>
      </c>
      <c r="R23" s="445">
        <v>88.75</v>
      </c>
      <c r="S23" s="445">
        <f t="shared" si="46"/>
        <v>0.13075506445672191</v>
      </c>
      <c r="T23" s="445">
        <v>17.5</v>
      </c>
      <c r="U23" s="445">
        <f t="shared" si="47"/>
        <v>0.12345679012345678</v>
      </c>
      <c r="V23" s="445">
        <v>75</v>
      </c>
      <c r="W23" s="446">
        <f t="shared" si="48"/>
        <v>0.12295081967213115</v>
      </c>
      <c r="X23" s="521">
        <v>80</v>
      </c>
      <c r="Y23" s="48">
        <f t="shared" si="49"/>
        <v>0.12673267326732673</v>
      </c>
      <c r="Z23" s="29"/>
      <c r="AA23" s="73">
        <v>98.5</v>
      </c>
      <c r="AB23" s="526">
        <v>70</v>
      </c>
      <c r="AI23" s="449"/>
      <c r="AN23" s="9"/>
      <c r="AO23" s="6"/>
      <c r="AP23" s="212">
        <v>0</v>
      </c>
      <c r="AQ23" s="213">
        <f>AQ6</f>
        <v>2.91</v>
      </c>
      <c r="AR23" s="213">
        <f>AR6</f>
        <v>2.6799999999999997</v>
      </c>
      <c r="AS23" s="213">
        <f>AS6</f>
        <v>2.6499999999999986</v>
      </c>
      <c r="AT23" s="213">
        <f>AU22*AU21</f>
        <v>3.53</v>
      </c>
      <c r="AV23" s="214"/>
      <c r="AW23" s="13"/>
      <c r="AX23" s="13"/>
      <c r="BA23" s="9"/>
    </row>
    <row r="24" spans="1:55" ht="14.4" x14ac:dyDescent="0.3">
      <c r="A24" s="82" t="s">
        <v>15</v>
      </c>
      <c r="B24" s="478">
        <f t="shared" si="34"/>
        <v>20.85</v>
      </c>
      <c r="C24" s="252">
        <f t="shared" si="36"/>
        <v>19</v>
      </c>
      <c r="D24" s="168" t="str">
        <f t="shared" si="37"/>
        <v>-8.87%  ↓</v>
      </c>
      <c r="E24" s="252">
        <f t="shared" si="38"/>
        <v>18.77</v>
      </c>
      <c r="F24" s="168" t="str">
        <f t="shared" si="39"/>
        <v>-9.98%  ↓</v>
      </c>
      <c r="G24" s="252">
        <f t="shared" si="35"/>
        <v>18.739999999999998</v>
      </c>
      <c r="H24" s="168" t="str">
        <f t="shared" si="40"/>
        <v>-10.12%  ↓</v>
      </c>
      <c r="I24" s="448">
        <f t="shared" si="41"/>
        <v>16.09</v>
      </c>
      <c r="J24" s="441" t="str">
        <f t="shared" si="42"/>
        <v>-22.83%  ↓</v>
      </c>
      <c r="M24" s="420" t="str">
        <f t="shared" si="43"/>
        <v>Gemini Pro 3</v>
      </c>
      <c r="N24" s="520">
        <v>85</v>
      </c>
      <c r="O24" s="443">
        <f t="shared" si="44"/>
        <v>0.12341197822141561</v>
      </c>
      <c r="P24" s="444">
        <v>82.5</v>
      </c>
      <c r="Q24" s="445">
        <f t="shared" si="45"/>
        <v>0.12692307692307692</v>
      </c>
      <c r="R24" s="445">
        <v>88.75</v>
      </c>
      <c r="S24" s="445">
        <f t="shared" si="46"/>
        <v>0.13075506445672191</v>
      </c>
      <c r="T24" s="445">
        <v>15</v>
      </c>
      <c r="U24" s="445">
        <f t="shared" si="47"/>
        <v>0.10582010582010581</v>
      </c>
      <c r="V24" s="445">
        <v>75</v>
      </c>
      <c r="W24" s="446">
        <f t="shared" si="48"/>
        <v>0.12295081967213115</v>
      </c>
      <c r="X24" s="521">
        <v>82.5</v>
      </c>
      <c r="Y24" s="48">
        <f t="shared" si="49"/>
        <v>0.1306930693069307</v>
      </c>
      <c r="Z24" s="29"/>
      <c r="AA24" s="73">
        <v>99</v>
      </c>
      <c r="AB24" s="526">
        <v>75</v>
      </c>
      <c r="AI24" s="449"/>
      <c r="AM24" s="450"/>
      <c r="AN24" s="9"/>
      <c r="AO24" s="9"/>
      <c r="AP24" s="120"/>
      <c r="AQ24" s="120"/>
      <c r="AR24" s="120"/>
      <c r="AS24" s="120"/>
      <c r="AT24" s="120"/>
      <c r="AU24" s="120"/>
      <c r="AV24" s="190"/>
      <c r="AW24" s="221"/>
      <c r="AX24" s="222"/>
      <c r="BA24" s="9"/>
    </row>
    <row r="25" spans="1:55" ht="14.4" x14ac:dyDescent="0.3">
      <c r="A25" s="99" t="s">
        <v>16</v>
      </c>
      <c r="B25" s="479">
        <f t="shared" si="34"/>
        <v>608.05999999999995</v>
      </c>
      <c r="C25" s="261">
        <f t="shared" si="36"/>
        <v>604.72</v>
      </c>
      <c r="D25" s="208" t="str">
        <f t="shared" si="37"/>
        <v>-0.55%  ↓</v>
      </c>
      <c r="E25" s="261">
        <f t="shared" si="38"/>
        <v>603.46</v>
      </c>
      <c r="F25" s="208" t="str">
        <f t="shared" si="39"/>
        <v>-0.76%  ↓</v>
      </c>
      <c r="G25" s="261">
        <f t="shared" si="35"/>
        <v>607.70000000000005</v>
      </c>
      <c r="H25" s="208" t="str">
        <f t="shared" si="40"/>
        <v>-0.06%  ↓</v>
      </c>
      <c r="I25" s="451">
        <f t="shared" si="41"/>
        <v>622.72</v>
      </c>
      <c r="J25" s="441" t="str">
        <f t="shared" si="42"/>
        <v>2.41%  ↑</v>
      </c>
      <c r="M25" s="420" t="str">
        <f t="shared" si="43"/>
        <v>Claude</v>
      </c>
      <c r="N25" s="520">
        <v>83.75</v>
      </c>
      <c r="O25" s="443">
        <f t="shared" si="44"/>
        <v>0.12159709618874773</v>
      </c>
      <c r="P25" s="444">
        <v>81.25</v>
      </c>
      <c r="Q25" s="445">
        <f t="shared" si="45"/>
        <v>0.125</v>
      </c>
      <c r="R25" s="445">
        <v>82.5</v>
      </c>
      <c r="S25" s="445">
        <f t="shared" si="46"/>
        <v>0.12154696132596685</v>
      </c>
      <c r="T25" s="445">
        <v>16.25</v>
      </c>
      <c r="U25" s="445">
        <f t="shared" si="47"/>
        <v>0.1146384479717813</v>
      </c>
      <c r="V25" s="445">
        <v>75</v>
      </c>
      <c r="W25" s="446">
        <f t="shared" si="48"/>
        <v>0.12295081967213115</v>
      </c>
      <c r="X25" s="521">
        <v>75</v>
      </c>
      <c r="Y25" s="48">
        <f t="shared" si="49"/>
        <v>0.11881188118811881</v>
      </c>
      <c r="Z25" s="29"/>
      <c r="AA25" s="73">
        <v>99.25</v>
      </c>
      <c r="AB25" s="526">
        <v>80</v>
      </c>
      <c r="AI25" s="4"/>
      <c r="AK25" s="4"/>
      <c r="AM25" s="4"/>
      <c r="AN25" s="9"/>
      <c r="AO25" s="186" t="s">
        <v>16</v>
      </c>
      <c r="AP25" s="187" t="str">
        <f>AP21</f>
        <v xml:space="preserve">+3-day </v>
      </c>
      <c r="AQ25" s="187" t="str">
        <f>AQ21</f>
        <v>User1</v>
      </c>
      <c r="AR25" s="187" t="str">
        <f>AR21</f>
        <v>User2</v>
      </c>
      <c r="AS25" s="187" t="str">
        <f>AS21</f>
        <v>User3</v>
      </c>
      <c r="AT25" s="188" t="s">
        <v>43</v>
      </c>
      <c r="AU25" s="247">
        <v>20.66</v>
      </c>
      <c r="AV25" s="190" t="str">
        <f>AV21</f>
        <v>TEST</v>
      </c>
      <c r="AW25" s="191" t="str">
        <f>AW21</f>
        <v>BEST =</v>
      </c>
      <c r="AX25" s="192">
        <v>20.66</v>
      </c>
      <c r="BA25" s="9"/>
    </row>
    <row r="26" spans="1:55" ht="14.4" x14ac:dyDescent="0.3">
      <c r="A26" s="109" t="s">
        <v>17</v>
      </c>
      <c r="B26" s="480">
        <f t="shared" si="34"/>
        <v>246.7</v>
      </c>
      <c r="C26" s="274">
        <f t="shared" si="36"/>
        <v>244</v>
      </c>
      <c r="D26" s="217" t="str">
        <f t="shared" si="37"/>
        <v>-1.09%  ↓</v>
      </c>
      <c r="E26" s="274">
        <f t="shared" si="38"/>
        <v>245</v>
      </c>
      <c r="F26" s="217" t="str">
        <f t="shared" si="39"/>
        <v>-0.69%  ↓</v>
      </c>
      <c r="G26" s="274">
        <f t="shared" si="35"/>
        <v>246.2</v>
      </c>
      <c r="H26" s="217" t="str">
        <f t="shared" si="40"/>
        <v>-0.20%  ↓</v>
      </c>
      <c r="I26" s="452">
        <f t="shared" si="41"/>
        <v>248.04</v>
      </c>
      <c r="J26" s="453" t="str">
        <f t="shared" si="42"/>
        <v>0.54%  ↑</v>
      </c>
      <c r="M26" s="420" t="str">
        <f t="shared" si="43"/>
        <v>Minimax 2.1</v>
      </c>
      <c r="N26" s="520">
        <v>83.75</v>
      </c>
      <c r="O26" s="443">
        <f t="shared" si="44"/>
        <v>0.12159709618874773</v>
      </c>
      <c r="P26" s="444">
        <v>82.5</v>
      </c>
      <c r="Q26" s="445">
        <f t="shared" si="45"/>
        <v>0.12692307692307692</v>
      </c>
      <c r="R26" s="445">
        <v>83.75</v>
      </c>
      <c r="S26" s="445">
        <f t="shared" si="46"/>
        <v>0.12338858195211787</v>
      </c>
      <c r="T26" s="445">
        <v>13</v>
      </c>
      <c r="U26" s="445">
        <f t="shared" si="47"/>
        <v>9.1710758377425039E-2</v>
      </c>
      <c r="V26" s="445">
        <v>78.75</v>
      </c>
      <c r="W26" s="446">
        <f t="shared" si="48"/>
        <v>0.12909836065573771</v>
      </c>
      <c r="X26" s="521">
        <v>80</v>
      </c>
      <c r="Y26" s="48">
        <f t="shared" si="49"/>
        <v>0.12673267326732673</v>
      </c>
      <c r="Z26" s="29"/>
      <c r="AA26" s="73">
        <v>99.5</v>
      </c>
      <c r="AB26" s="526">
        <v>90</v>
      </c>
      <c r="AI26" s="4"/>
      <c r="AK26" s="4"/>
      <c r="AM26" s="4"/>
      <c r="AN26" s="9"/>
      <c r="AO26" s="9"/>
      <c r="AP26" s="187">
        <v>0</v>
      </c>
      <c r="AQ26" s="204">
        <f>AQ27/AT27</f>
        <v>0.8712487899322362</v>
      </c>
      <c r="AR26" s="204">
        <f>AR27/AT27</f>
        <v>0.93223620522749229</v>
      </c>
      <c r="AS26" s="204">
        <f>AS27/AT27</f>
        <v>0.72700871248789845</v>
      </c>
      <c r="AT26" s="187">
        <v>5</v>
      </c>
      <c r="AU26" s="229">
        <f>AU22</f>
        <v>1</v>
      </c>
      <c r="AV26" s="190" t="str">
        <f>AV22</f>
        <v>Scale</v>
      </c>
      <c r="AW26" s="191" t="str">
        <f>AW22</f>
        <v>RANGE  =</v>
      </c>
      <c r="AX26" s="206">
        <f>AU25/AP7</f>
        <v>3.3177029804727642E-2</v>
      </c>
      <c r="BA26" s="9"/>
    </row>
    <row r="27" spans="1:55" ht="14.4" x14ac:dyDescent="0.3">
      <c r="M27" s="420" t="str">
        <f t="shared" si="43"/>
        <v>Kimi 2</v>
      </c>
      <c r="N27" s="520">
        <v>90</v>
      </c>
      <c r="O27" s="443">
        <f t="shared" si="44"/>
        <v>0.1306715063520871</v>
      </c>
      <c r="P27" s="444">
        <v>78.75</v>
      </c>
      <c r="Q27" s="445">
        <f t="shared" si="45"/>
        <v>0.12115384615384615</v>
      </c>
      <c r="R27" s="445">
        <v>85</v>
      </c>
      <c r="S27" s="445">
        <f t="shared" si="46"/>
        <v>0.12523020257826889</v>
      </c>
      <c r="T27" s="445">
        <v>18.75</v>
      </c>
      <c r="U27" s="445">
        <f t="shared" si="47"/>
        <v>0.13227513227513227</v>
      </c>
      <c r="V27" s="445">
        <v>75</v>
      </c>
      <c r="W27" s="446">
        <f t="shared" si="48"/>
        <v>0.12295081967213115</v>
      </c>
      <c r="X27" s="521">
        <v>80</v>
      </c>
      <c r="Y27" s="48">
        <f t="shared" si="49"/>
        <v>0.12673267326732673</v>
      </c>
      <c r="Z27" s="29"/>
      <c r="AA27" s="73">
        <v>99.75</v>
      </c>
      <c r="AB27" s="526">
        <v>95</v>
      </c>
      <c r="AI27" s="4"/>
      <c r="AK27" s="4"/>
      <c r="AM27" s="4"/>
      <c r="AN27" s="9"/>
      <c r="AO27" s="9"/>
      <c r="AP27" s="212">
        <v>0</v>
      </c>
      <c r="AQ27" s="213">
        <f>AQ7</f>
        <v>18</v>
      </c>
      <c r="AR27" s="213">
        <f>AR7</f>
        <v>19.259999999999991</v>
      </c>
      <c r="AS27" s="213">
        <f>AS7</f>
        <v>15.019999999999982</v>
      </c>
      <c r="AT27" s="213">
        <f>AU26*AU25</f>
        <v>20.66</v>
      </c>
      <c r="BA27" s="9"/>
    </row>
    <row r="28" spans="1:55" ht="14.25" customHeight="1" x14ac:dyDescent="0.3">
      <c r="M28" s="420" t="str">
        <f t="shared" si="43"/>
        <v>Qwen3 Max</v>
      </c>
      <c r="N28" s="520">
        <v>88.75</v>
      </c>
      <c r="O28" s="443">
        <f t="shared" si="44"/>
        <v>0.12885662431941924</v>
      </c>
      <c r="P28" s="444">
        <v>80</v>
      </c>
      <c r="Q28" s="445">
        <f t="shared" si="45"/>
        <v>0.12307692307692308</v>
      </c>
      <c r="R28" s="445">
        <v>83.75</v>
      </c>
      <c r="S28" s="445">
        <f t="shared" si="46"/>
        <v>0.12338858195211787</v>
      </c>
      <c r="T28" s="445">
        <v>13.75</v>
      </c>
      <c r="U28" s="445">
        <f t="shared" si="47"/>
        <v>9.700176366843033E-2</v>
      </c>
      <c r="V28" s="445">
        <v>78.75</v>
      </c>
      <c r="W28" s="446">
        <f t="shared" si="48"/>
        <v>0.12909836065573771</v>
      </c>
      <c r="X28" s="521">
        <v>77.5</v>
      </c>
      <c r="Y28" s="48">
        <f t="shared" si="49"/>
        <v>0.12277227722772277</v>
      </c>
      <c r="Z28" s="29"/>
      <c r="AA28" s="139">
        <v>99.99</v>
      </c>
      <c r="AB28" s="527">
        <v>100</v>
      </c>
      <c r="AF28" s="1315" t="str">
        <f>B20</f>
        <v>Close YF</v>
      </c>
      <c r="AG28" s="163">
        <f t="shared" ref="AG28:AG33" si="50">(I21-B21)/B21</f>
        <v>-1.6046511627906965E-2</v>
      </c>
      <c r="AH28" s="164" t="str">
        <f>IF(K12-B21&gt;0,"↑","↓")</f>
        <v>↓</v>
      </c>
      <c r="AI28" s="165">
        <f t="shared" ref="AI28:AI33" si="51">(C21-B21)/B21</f>
        <v>-1.3953488372092933E-2</v>
      </c>
      <c r="AJ28" s="166" t="str">
        <f t="shared" ref="AJ28:AJ33" si="52">IF(C21-B21&gt;0,"↑","↓")</f>
        <v>↓</v>
      </c>
      <c r="AK28" s="163">
        <f t="shared" ref="AK28:AK33" si="53">(E21-B21)/B21</f>
        <v>-1.1627906976744146E-2</v>
      </c>
      <c r="AL28" s="164" t="str">
        <f t="shared" ref="AL28:AL33" si="54">IF(E21-B21&gt;0,"↑","↓")</f>
        <v>↓</v>
      </c>
      <c r="AM28" s="163">
        <f t="shared" ref="AM28:AM33" si="55">(G21-B21)/B21</f>
        <v>-4.6511627906975755E-3</v>
      </c>
      <c r="AN28" s="164" t="str">
        <f t="shared" ref="AN28:AN33" si="56">IF(G21-B21&gt;0,"↑","↓")</f>
        <v>↓</v>
      </c>
      <c r="AP28" s="120"/>
      <c r="AQ28" s="120"/>
      <c r="AR28" s="120"/>
      <c r="AS28" s="120"/>
      <c r="AT28" s="120"/>
      <c r="AU28" s="251"/>
      <c r="AV28" s="251"/>
      <c r="AW28" s="295"/>
      <c r="AX28" s="296"/>
      <c r="AY28" s="297"/>
    </row>
    <row r="29" spans="1:55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57">G20</f>
        <v>MICH</v>
      </c>
      <c r="H29" s="1312"/>
      <c r="I29" s="1313" t="s">
        <v>50</v>
      </c>
      <c r="J29" s="1313"/>
      <c r="M29" s="431" t="str">
        <f t="shared" si="43"/>
        <v>LeChat</v>
      </c>
      <c r="N29" s="522">
        <v>83.75</v>
      </c>
      <c r="O29" s="455">
        <f t="shared" si="44"/>
        <v>0.12159709618874773</v>
      </c>
      <c r="P29" s="456">
        <v>80</v>
      </c>
      <c r="Q29" s="457">
        <f t="shared" si="45"/>
        <v>0.12307692307692308</v>
      </c>
      <c r="R29" s="457">
        <v>81.25</v>
      </c>
      <c r="S29" s="457">
        <f t="shared" si="46"/>
        <v>0.11970534069981584</v>
      </c>
      <c r="T29" s="457">
        <v>31.25</v>
      </c>
      <c r="U29" s="457">
        <f t="shared" si="47"/>
        <v>0.22045855379188711</v>
      </c>
      <c r="V29" s="457">
        <v>76.25</v>
      </c>
      <c r="W29" s="458">
        <f t="shared" si="48"/>
        <v>0.125</v>
      </c>
      <c r="X29" s="523">
        <v>82.5</v>
      </c>
      <c r="Y29" s="124">
        <f t="shared" si="49"/>
        <v>0.1306930693069307</v>
      </c>
      <c r="Z29" s="29"/>
      <c r="AF29" s="1315"/>
      <c r="AG29" s="182">
        <f t="shared" si="50"/>
        <v>1.258525995973884E-2</v>
      </c>
      <c r="AH29" s="183" t="str">
        <f>IF(I22-B22&gt;0,"↑","↓")</f>
        <v>↑</v>
      </c>
      <c r="AI29" s="184">
        <f t="shared" si="51"/>
        <v>6.9197893849816013E-3</v>
      </c>
      <c r="AJ29" s="185" t="str">
        <f t="shared" si="52"/>
        <v>↑</v>
      </c>
      <c r="AK29" s="182">
        <f t="shared" si="53"/>
        <v>7.620987009901505E-3</v>
      </c>
      <c r="AL29" s="183" t="str">
        <f t="shared" si="54"/>
        <v>↑</v>
      </c>
      <c r="AM29" s="182">
        <f t="shared" si="55"/>
        <v>1.0627268709447594E-3</v>
      </c>
      <c r="AN29" s="183" t="str">
        <f t="shared" si="56"/>
        <v>↑</v>
      </c>
      <c r="AP29" s="120"/>
      <c r="AQ29" s="305" t="s">
        <v>23</v>
      </c>
      <c r="AR29" s="305" t="s">
        <v>24</v>
      </c>
      <c r="AS29" s="305" t="s">
        <v>25</v>
      </c>
      <c r="AT29" s="120"/>
      <c r="AU29" s="251"/>
      <c r="AV29" s="251"/>
      <c r="AW29" s="295"/>
      <c r="AX29" s="296"/>
      <c r="AY29" s="297"/>
    </row>
    <row r="30" spans="1:55" ht="14.25" customHeight="1" x14ac:dyDescent="0.3">
      <c r="A30" s="35" t="s">
        <v>12</v>
      </c>
      <c r="B30" s="298">
        <v>4.2949999999999999</v>
      </c>
      <c r="C30" s="232">
        <f t="shared" ref="C30:C35" si="58">C21</f>
        <v>4.24</v>
      </c>
      <c r="D30" s="146" t="str">
        <f t="shared" ref="D30:D35" si="59">CONCATENATE(TEXT(AI35,"0.00%"),"  ",AJ35)</f>
        <v>-1.28%  ↓</v>
      </c>
      <c r="E30" s="232">
        <f t="shared" ref="E30:E35" si="60">E21</f>
        <v>4.25</v>
      </c>
      <c r="F30" s="146" t="str">
        <f t="shared" ref="F30:F35" si="61">CONCATENATE(TEXT(AK35,"0.00%"),"  ",AL35)</f>
        <v>-1.05%  ↓</v>
      </c>
      <c r="G30" s="232">
        <f t="shared" si="57"/>
        <v>4.28</v>
      </c>
      <c r="H30" s="146" t="str">
        <f t="shared" ref="H30:H35" si="62">CONCATENATE(TEXT(AM35,"0.00%"),"  ",AN35)</f>
        <v>-0.35%  ↓</v>
      </c>
      <c r="I30" s="438">
        <f t="shared" ref="I30:I35" si="63">I21</f>
        <v>4.2309999999999999</v>
      </c>
      <c r="J30" s="439" t="str">
        <f t="shared" ref="J30:J35" si="64">CONCATENATE(TEXT(AG35,"0.00%"),"  ",AH35)</f>
        <v>-1.49%  ↓</v>
      </c>
      <c r="AF30" s="1315"/>
      <c r="AG30" s="182">
        <f t="shared" si="50"/>
        <v>1.7892099863704394E-2</v>
      </c>
      <c r="AH30" s="183" t="str">
        <f>IF(I23-B23&gt;0,"↑","↓")</f>
        <v>↑</v>
      </c>
      <c r="AI30" s="184">
        <f t="shared" si="51"/>
        <v>2.4933544890683329E-3</v>
      </c>
      <c r="AJ30" s="185" t="str">
        <f t="shared" si="52"/>
        <v>↑</v>
      </c>
      <c r="AK30" s="182">
        <f t="shared" si="53"/>
        <v>2.9349166772150376E-3</v>
      </c>
      <c r="AL30" s="183" t="str">
        <f t="shared" si="54"/>
        <v>↑</v>
      </c>
      <c r="AM30" s="182">
        <f t="shared" si="55"/>
        <v>1.1686679246282192E-3</v>
      </c>
      <c r="AN30" s="183" t="str">
        <f t="shared" si="56"/>
        <v>↑</v>
      </c>
      <c r="AP30" s="307"/>
      <c r="AQ30" s="308">
        <f>SUM(AQ14,AQ18,AQ22,AQ26)</f>
        <v>2.1742281151192357</v>
      </c>
      <c r="AR30" s="308">
        <f>SUM(AR14,AR18,AR22,AR26)</f>
        <v>2.1371415839589809</v>
      </c>
      <c r="AS30" s="308">
        <f>SUM(AS14,AS18,AS22,AS26)</f>
        <v>2.1888132660675788</v>
      </c>
      <c r="AT30" s="309" t="s">
        <v>62</v>
      </c>
      <c r="AU30" s="251"/>
      <c r="AV30" s="251"/>
      <c r="AW30" s="295"/>
      <c r="AX30" s="296"/>
      <c r="AY30" s="297"/>
    </row>
    <row r="31" spans="1:55" ht="14.25" customHeight="1" x14ac:dyDescent="0.3">
      <c r="A31" s="60" t="s">
        <v>13</v>
      </c>
      <c r="B31" s="481">
        <v>49358.18</v>
      </c>
      <c r="C31" s="237">
        <f t="shared" si="58"/>
        <v>48824</v>
      </c>
      <c r="D31" s="152" t="str">
        <f t="shared" si="59"/>
        <v>-1.08%  ↓</v>
      </c>
      <c r="E31" s="237">
        <f t="shared" si="60"/>
        <v>48858</v>
      </c>
      <c r="F31" s="152" t="str">
        <f t="shared" si="61"/>
        <v>-1.01%  ↓</v>
      </c>
      <c r="G31" s="237">
        <f t="shared" si="57"/>
        <v>48540</v>
      </c>
      <c r="H31" s="152" t="str">
        <f t="shared" si="62"/>
        <v>-1.66%  ↓</v>
      </c>
      <c r="I31" s="440">
        <f t="shared" si="63"/>
        <v>49098.71</v>
      </c>
      <c r="J31" s="441" t="str">
        <f t="shared" si="64"/>
        <v>-0.53%  ↓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F31" s="1315"/>
      <c r="AG31" s="182">
        <f t="shared" si="50"/>
        <v>-0.22829736211031182</v>
      </c>
      <c r="AH31" s="183" t="str">
        <f>IF(I24-B24&gt;0,"↑","↓")</f>
        <v>↓</v>
      </c>
      <c r="AI31" s="184">
        <f t="shared" si="51"/>
        <v>-8.8729016786570802E-2</v>
      </c>
      <c r="AJ31" s="185" t="str">
        <f t="shared" si="52"/>
        <v>↓</v>
      </c>
      <c r="AK31" s="182">
        <f t="shared" si="53"/>
        <v>-9.9760191846522864E-2</v>
      </c>
      <c r="AL31" s="183" t="str">
        <f t="shared" si="54"/>
        <v>↓</v>
      </c>
      <c r="AM31" s="182">
        <f t="shared" si="55"/>
        <v>-0.10119904076738623</v>
      </c>
      <c r="AN31" s="183" t="str">
        <f t="shared" si="56"/>
        <v>↓</v>
      </c>
      <c r="AQ31" s="187">
        <f>AQ9</f>
        <v>2.17</v>
      </c>
      <c r="AR31" s="187">
        <f>AR9</f>
        <v>2.14</v>
      </c>
      <c r="AS31" s="187">
        <f>AS9</f>
        <v>2.19</v>
      </c>
      <c r="AT31" s="316" t="s">
        <v>61</v>
      </c>
      <c r="AU31" s="251"/>
      <c r="AV31" s="251"/>
      <c r="AW31" s="295"/>
      <c r="AX31" s="296"/>
      <c r="AY31" s="297"/>
    </row>
    <row r="32" spans="1:55" ht="14.25" customHeight="1" x14ac:dyDescent="0.3">
      <c r="A32" s="82" t="s">
        <v>14</v>
      </c>
      <c r="B32" s="482">
        <v>6940</v>
      </c>
      <c r="C32" s="249">
        <f t="shared" si="58"/>
        <v>6811</v>
      </c>
      <c r="D32" s="168" t="str">
        <f t="shared" si="59"/>
        <v>-1.86%  ↓</v>
      </c>
      <c r="E32" s="249">
        <f t="shared" si="60"/>
        <v>6814</v>
      </c>
      <c r="F32" s="168" t="str">
        <f t="shared" si="61"/>
        <v>-1.82%  ↓</v>
      </c>
      <c r="G32" s="249">
        <f t="shared" si="57"/>
        <v>6802</v>
      </c>
      <c r="H32" s="168" t="str">
        <f t="shared" si="62"/>
        <v>-1.99%  ↓</v>
      </c>
      <c r="I32" s="448">
        <f t="shared" si="63"/>
        <v>6915.62</v>
      </c>
      <c r="J32" s="441" t="str">
        <f t="shared" si="64"/>
        <v>-0.35%  ↓</v>
      </c>
      <c r="N32" s="53" t="s">
        <v>12</v>
      </c>
      <c r="P32" s="287">
        <f t="shared" ref="P32:P37" si="65">100-ABS(($K12-C12)/($K12))*100</f>
        <v>99.787284329945635</v>
      </c>
      <c r="Q32" s="328"/>
      <c r="R32" s="288">
        <f t="shared" ref="R32:R37" si="66">100-ABS(($K12-E12)/($K12))*100</f>
        <v>99.550933585440788</v>
      </c>
      <c r="S32" s="328"/>
      <c r="T32" s="288">
        <f t="shared" ref="T32:T37" si="67">100-ABS(($K12-G12)/($K12))*100</f>
        <v>98.841881351926247</v>
      </c>
      <c r="U32" s="328"/>
      <c r="V32" s="461">
        <f t="shared" ref="V32:V37" si="68">100-ABS((($K12-J12)/($K12)))*100</f>
        <v>98.658397272935233</v>
      </c>
      <c r="X32" s="290">
        <f t="shared" ref="X32:X37" si="69">100-ABS((($K12-I12)/($K12)))*100</f>
        <v>98.707834877048285</v>
      </c>
      <c r="AF32" s="1315"/>
      <c r="AG32" s="182">
        <f t="shared" si="50"/>
        <v>2.4109462881952575E-2</v>
      </c>
      <c r="AH32" s="183" t="str">
        <f>IF(I25-B25&gt;0,"↑","↓")</f>
        <v>↑</v>
      </c>
      <c r="AI32" s="184">
        <f t="shared" si="51"/>
        <v>-5.4928789922045829E-3</v>
      </c>
      <c r="AJ32" s="185" t="str">
        <f t="shared" si="52"/>
        <v>↓</v>
      </c>
      <c r="AK32" s="182">
        <f t="shared" si="53"/>
        <v>-7.5650429233955685E-3</v>
      </c>
      <c r="AL32" s="183" t="str">
        <f t="shared" si="54"/>
        <v>↓</v>
      </c>
      <c r="AM32" s="182">
        <f t="shared" si="55"/>
        <v>-5.9204683748297863E-4</v>
      </c>
      <c r="AN32" s="183" t="str">
        <f t="shared" si="56"/>
        <v>↓</v>
      </c>
      <c r="AO32" s="4"/>
      <c r="AU32" s="251"/>
      <c r="AV32" s="251"/>
      <c r="AW32" s="295"/>
      <c r="AX32" s="296"/>
      <c r="AY32" s="297"/>
    </row>
    <row r="33" spans="1:40" ht="14.25" customHeight="1" x14ac:dyDescent="0.3">
      <c r="A33" s="82" t="s">
        <v>15</v>
      </c>
      <c r="B33" s="482">
        <v>20.239999999999998</v>
      </c>
      <c r="C33" s="252">
        <f t="shared" si="58"/>
        <v>19</v>
      </c>
      <c r="D33" s="168" t="str">
        <f t="shared" si="59"/>
        <v>-6.13%  ↓</v>
      </c>
      <c r="E33" s="252">
        <f t="shared" si="60"/>
        <v>18.77</v>
      </c>
      <c r="F33" s="168" t="str">
        <f t="shared" si="61"/>
        <v>-7.26%  ↓</v>
      </c>
      <c r="G33" s="252">
        <f t="shared" si="57"/>
        <v>18.739999999999998</v>
      </c>
      <c r="H33" s="168" t="str">
        <f t="shared" si="62"/>
        <v>-7.41%  ↓</v>
      </c>
      <c r="I33" s="448">
        <f t="shared" si="63"/>
        <v>16.09</v>
      </c>
      <c r="J33" s="441" t="str">
        <f t="shared" si="64"/>
        <v>-20.50%  ↓</v>
      </c>
      <c r="N33" s="60" t="s">
        <v>13</v>
      </c>
      <c r="P33" s="291">
        <f t="shared" si="65"/>
        <v>99.440494465129532</v>
      </c>
      <c r="Q33" s="328"/>
      <c r="R33" s="292">
        <f t="shared" si="66"/>
        <v>99.509742720328092</v>
      </c>
      <c r="S33" s="328"/>
      <c r="T33" s="292">
        <f t="shared" si="67"/>
        <v>98.862067862882753</v>
      </c>
      <c r="U33" s="328"/>
      <c r="V33" s="462">
        <f t="shared" si="68"/>
        <v>98.872455539951872</v>
      </c>
      <c r="X33" s="294">
        <f t="shared" si="69"/>
        <v>99.129180630360594</v>
      </c>
      <c r="AF33" s="1315"/>
      <c r="AG33" s="223">
        <f t="shared" si="50"/>
        <v>5.4316984191325642E-3</v>
      </c>
      <c r="AH33" s="224" t="str">
        <f>IF(I26-B26&gt;0,"↑","↓")</f>
        <v>↑</v>
      </c>
      <c r="AI33" s="225">
        <f t="shared" si="51"/>
        <v>-1.0944466963923748E-2</v>
      </c>
      <c r="AJ33" s="226" t="str">
        <f t="shared" si="52"/>
        <v>↓</v>
      </c>
      <c r="AK33" s="223">
        <f t="shared" si="53"/>
        <v>-6.8909606809890098E-3</v>
      </c>
      <c r="AL33" s="224" t="str">
        <f t="shared" si="54"/>
        <v>↓</v>
      </c>
      <c r="AM33" s="223">
        <f t="shared" si="55"/>
        <v>-2.0267531414673696E-3</v>
      </c>
      <c r="AN33" s="224" t="str">
        <f t="shared" si="56"/>
        <v>↓</v>
      </c>
    </row>
    <row r="34" spans="1:40" ht="14.25" customHeight="1" x14ac:dyDescent="0.3">
      <c r="A34" s="99" t="s">
        <v>16</v>
      </c>
      <c r="B34" s="483">
        <v>608.01</v>
      </c>
      <c r="C34" s="261">
        <f t="shared" si="58"/>
        <v>604.72</v>
      </c>
      <c r="D34" s="208" t="str">
        <f t="shared" si="59"/>
        <v>-0.54%  ↓</v>
      </c>
      <c r="E34" s="261">
        <f t="shared" si="60"/>
        <v>603.46</v>
      </c>
      <c r="F34" s="208" t="str">
        <f t="shared" si="61"/>
        <v>-0.75%  ↓</v>
      </c>
      <c r="G34" s="261">
        <f t="shared" si="57"/>
        <v>607.70000000000005</v>
      </c>
      <c r="H34" s="208" t="str">
        <f t="shared" si="62"/>
        <v>-0.05%  ↓</v>
      </c>
      <c r="I34" s="451">
        <f t="shared" si="63"/>
        <v>622.72</v>
      </c>
      <c r="J34" s="441" t="str">
        <f t="shared" si="64"/>
        <v>2.42%  ↑</v>
      </c>
      <c r="N34" s="82" t="s">
        <v>14</v>
      </c>
      <c r="P34" s="301">
        <f t="shared" si="65"/>
        <v>98.487192760735837</v>
      </c>
      <c r="Q34" s="328"/>
      <c r="R34" s="302">
        <f t="shared" si="66"/>
        <v>98.530572819212168</v>
      </c>
      <c r="S34" s="328"/>
      <c r="T34" s="302">
        <f t="shared" si="67"/>
        <v>98.357052585306889</v>
      </c>
      <c r="U34" s="328"/>
      <c r="V34" s="463">
        <f t="shared" si="68"/>
        <v>99.253258043883704</v>
      </c>
      <c r="X34" s="304">
        <f t="shared" si="69"/>
        <v>98.700338241426124</v>
      </c>
      <c r="AF34" s="228"/>
      <c r="AG34" s="1316" t="str">
        <f>K11</f>
        <v xml:space="preserve">+3-day </v>
      </c>
      <c r="AH34" s="1316"/>
      <c r="AI34" s="1317" t="str">
        <f>C11</f>
        <v>RD</v>
      </c>
      <c r="AJ34" s="1317"/>
      <c r="AK34" s="1318">
        <f>E11</f>
        <v>85520</v>
      </c>
      <c r="AL34" s="1318"/>
      <c r="AM34" s="1318" t="str">
        <f>G11</f>
        <v>MICH</v>
      </c>
      <c r="AN34" s="1318"/>
    </row>
    <row r="35" spans="1:40" ht="14.25" customHeight="1" x14ac:dyDescent="0.3">
      <c r="A35" s="109" t="s">
        <v>17</v>
      </c>
      <c r="B35" s="484">
        <v>246.88</v>
      </c>
      <c r="C35" s="274">
        <f t="shared" si="58"/>
        <v>244</v>
      </c>
      <c r="D35" s="217" t="str">
        <f t="shared" si="59"/>
        <v>-1.17%  ↓</v>
      </c>
      <c r="E35" s="274">
        <f t="shared" si="60"/>
        <v>245</v>
      </c>
      <c r="F35" s="217" t="str">
        <f t="shared" si="61"/>
        <v>-0.76%  ↓</v>
      </c>
      <c r="G35" s="274">
        <f t="shared" si="57"/>
        <v>246.2</v>
      </c>
      <c r="H35" s="217" t="str">
        <f t="shared" si="62"/>
        <v>-0.28%  ↓</v>
      </c>
      <c r="I35" s="452">
        <f t="shared" si="63"/>
        <v>248.04</v>
      </c>
      <c r="J35" s="453" t="str">
        <f t="shared" si="64"/>
        <v>0.47%  ↑</v>
      </c>
      <c r="N35" s="82" t="s">
        <v>15</v>
      </c>
      <c r="P35" s="301">
        <f t="shared" si="65"/>
        <v>81.91423244251088</v>
      </c>
      <c r="Q35" s="328"/>
      <c r="R35" s="302">
        <f t="shared" si="66"/>
        <v>83.34369173399628</v>
      </c>
      <c r="S35" s="328"/>
      <c r="T35" s="302">
        <f t="shared" si="67"/>
        <v>83.530142945929157</v>
      </c>
      <c r="U35" s="328"/>
      <c r="V35" s="463">
        <f t="shared" si="68"/>
        <v>73.428695678234305</v>
      </c>
      <c r="X35" s="304">
        <f t="shared" si="69"/>
        <v>73.14346220499111</v>
      </c>
      <c r="AF35" s="1315" t="str">
        <f>B29</f>
        <v>Oraclum</v>
      </c>
      <c r="AG35" s="163">
        <f t="shared" ref="AG35:AG40" si="70">(I30-B30)/B30</f>
        <v>-1.4901047729918524E-2</v>
      </c>
      <c r="AH35" s="164" t="str">
        <f t="shared" ref="AH35:AH40" si="71">IF(I30-B30&gt;0,"↑","↓")</f>
        <v>↓</v>
      </c>
      <c r="AI35" s="165">
        <f t="shared" ref="AI35:AI40" si="72">(C30-B30)/B30</f>
        <v>-1.2805587892898653E-2</v>
      </c>
      <c r="AJ35" s="166" t="str">
        <f t="shared" ref="AJ35:AJ40" si="73">IF(C30-B30&gt;0,"↑","↓")</f>
        <v>↓</v>
      </c>
      <c r="AK35" s="163">
        <f t="shared" ref="AK35:AK40" si="74">(E30-B30)/B30</f>
        <v>-1.0477299185098935E-2</v>
      </c>
      <c r="AL35" s="164" t="str">
        <f t="shared" ref="AL35:AL40" si="75">IF(E30-B30&gt;0,"↑","↓")</f>
        <v>↓</v>
      </c>
      <c r="AM35" s="163">
        <f t="shared" ref="AM35:AM40" si="76">(G30-B30)/B30</f>
        <v>-3.4924330616995765E-3</v>
      </c>
      <c r="AN35" s="164" t="str">
        <f t="shared" ref="AN35:AN40" si="77">IF(G30-B30&gt;0,"↑","↓")</f>
        <v>↓</v>
      </c>
    </row>
    <row r="36" spans="1:40" ht="14.25" customHeight="1" x14ac:dyDescent="0.3">
      <c r="N36" s="99" t="s">
        <v>16</v>
      </c>
      <c r="P36" s="312">
        <f t="shared" si="65"/>
        <v>97.109455292908535</v>
      </c>
      <c r="Q36" s="328"/>
      <c r="R36" s="313">
        <f t="shared" si="66"/>
        <v>96.907117163412124</v>
      </c>
      <c r="S36" s="328"/>
      <c r="T36" s="313">
        <f t="shared" si="67"/>
        <v>97.588001027749229</v>
      </c>
      <c r="U36" s="328"/>
      <c r="V36" s="464">
        <f t="shared" si="68"/>
        <v>88.363530234925321</v>
      </c>
      <c r="X36" s="315">
        <f t="shared" si="69"/>
        <v>98.487350707841202</v>
      </c>
      <c r="AF36" s="1315"/>
      <c r="AG36" s="182">
        <f t="shared" si="70"/>
        <v>-5.2568794068176983E-3</v>
      </c>
      <c r="AH36" s="183" t="str">
        <f t="shared" si="71"/>
        <v>↓</v>
      </c>
      <c r="AI36" s="184">
        <f t="shared" si="72"/>
        <v>-1.082252222427975E-2</v>
      </c>
      <c r="AJ36" s="185" t="str">
        <f t="shared" si="73"/>
        <v>↓</v>
      </c>
      <c r="AK36" s="182">
        <f t="shared" si="74"/>
        <v>-1.0133679969561282E-2</v>
      </c>
      <c r="AL36" s="183" t="str">
        <f t="shared" si="75"/>
        <v>↓</v>
      </c>
      <c r="AM36" s="182">
        <f t="shared" si="76"/>
        <v>-1.6576381057810483E-2</v>
      </c>
      <c r="AN36" s="183" t="str">
        <f t="shared" si="77"/>
        <v>↓</v>
      </c>
    </row>
    <row r="37" spans="1:40" ht="14.25" customHeight="1" x14ac:dyDescent="0.3">
      <c r="N37" s="114" t="s">
        <v>17</v>
      </c>
      <c r="P37" s="323">
        <f t="shared" si="65"/>
        <v>98.371230446702143</v>
      </c>
      <c r="Q37" s="328"/>
      <c r="R37" s="324">
        <f t="shared" si="66"/>
        <v>98.774391227221415</v>
      </c>
      <c r="S37" s="328"/>
      <c r="T37" s="324">
        <f t="shared" si="67"/>
        <v>99.258184163844547</v>
      </c>
      <c r="U37" s="328"/>
      <c r="V37" s="465">
        <f t="shared" si="68"/>
        <v>98.758392912408482</v>
      </c>
      <c r="X37" s="326">
        <f t="shared" si="69"/>
        <v>99.18179916685429</v>
      </c>
      <c r="AF37" s="1315"/>
      <c r="AG37" s="182">
        <f t="shared" si="70"/>
        <v>-3.5129682997118313E-3</v>
      </c>
      <c r="AH37" s="183" t="str">
        <f t="shared" si="71"/>
        <v>↓</v>
      </c>
      <c r="AI37" s="184">
        <f t="shared" si="72"/>
        <v>-1.8587896253602305E-2</v>
      </c>
      <c r="AJ37" s="185" t="str">
        <f t="shared" si="73"/>
        <v>↓</v>
      </c>
      <c r="AK37" s="182">
        <f t="shared" si="74"/>
        <v>-1.8155619596541786E-2</v>
      </c>
      <c r="AL37" s="183" t="str">
        <f t="shared" si="75"/>
        <v>↓</v>
      </c>
      <c r="AM37" s="182">
        <f t="shared" si="76"/>
        <v>-1.988472622478386E-2</v>
      </c>
      <c r="AN37" s="183" t="str">
        <f t="shared" si="77"/>
        <v>↓</v>
      </c>
    </row>
    <row r="38" spans="1:40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1315"/>
      <c r="AG38" s="182">
        <f t="shared" si="70"/>
        <v>-0.20503952569169956</v>
      </c>
      <c r="AH38" s="183" t="str">
        <f t="shared" si="71"/>
        <v>↓</v>
      </c>
      <c r="AI38" s="184">
        <f t="shared" si="72"/>
        <v>-6.1264822134387283E-2</v>
      </c>
      <c r="AJ38" s="185" t="str">
        <f t="shared" si="73"/>
        <v>↓</v>
      </c>
      <c r="AK38" s="182">
        <f t="shared" si="74"/>
        <v>-7.2628458498023671E-2</v>
      </c>
      <c r="AL38" s="183" t="str">
        <f t="shared" si="75"/>
        <v>↓</v>
      </c>
      <c r="AM38" s="182">
        <f t="shared" si="76"/>
        <v>-7.4110671936758896E-2</v>
      </c>
      <c r="AN38" s="183" t="str">
        <f t="shared" si="77"/>
        <v>↓</v>
      </c>
    </row>
    <row r="39" spans="1:40" ht="14.25" customHeight="1" x14ac:dyDescent="0.3">
      <c r="N39" s="331" t="str">
        <f>AA1</f>
        <v>AVR-4</v>
      </c>
      <c r="P39" s="332">
        <f t="array" ref="P39">SUM(P33:P36/4)</f>
        <v>94.237843740321196</v>
      </c>
      <c r="Q39" s="328"/>
      <c r="R39" s="333">
        <f t="array" ref="R39">SUM(R33:R36/4)</f>
        <v>94.57278110923717</v>
      </c>
      <c r="S39" s="328"/>
      <c r="T39" s="333">
        <f t="array" ref="T39">SUM(T33:T36/4)</f>
        <v>94.584316105466996</v>
      </c>
      <c r="U39" s="328"/>
      <c r="V39" s="466">
        <f t="array" ref="V39">SUM(V33:V36/4)</f>
        <v>89.979484874248811</v>
      </c>
      <c r="X39" s="335">
        <f t="array" ref="X39">SUM(X33:X36/4)</f>
        <v>92.365082946154757</v>
      </c>
      <c r="AF39" s="1315"/>
      <c r="AG39" s="182">
        <f t="shared" si="70"/>
        <v>2.4193681024983201E-2</v>
      </c>
      <c r="AH39" s="183" t="str">
        <f t="shared" si="71"/>
        <v>↑</v>
      </c>
      <c r="AI39" s="184">
        <f t="shared" si="72"/>
        <v>-5.4110952122497389E-3</v>
      </c>
      <c r="AJ39" s="185" t="str">
        <f t="shared" si="73"/>
        <v>↓</v>
      </c>
      <c r="AK39" s="182">
        <f t="shared" si="74"/>
        <v>-7.4834295488560298E-3</v>
      </c>
      <c r="AL39" s="183" t="str">
        <f t="shared" si="75"/>
        <v>↓</v>
      </c>
      <c r="AM39" s="182">
        <f t="shared" si="76"/>
        <v>-5.0986003519669983E-4</v>
      </c>
      <c r="AN39" s="183" t="str">
        <f t="shared" si="77"/>
        <v>↓</v>
      </c>
    </row>
    <row r="40" spans="1:40" ht="14.25" customHeight="1" x14ac:dyDescent="0.3">
      <c r="N40" s="336" t="str">
        <f>AB1</f>
        <v>AVR-6</v>
      </c>
      <c r="P40" s="337">
        <f t="array" ref="P40">SUM(P32:P37/6)</f>
        <v>95.851648289655429</v>
      </c>
      <c r="Q40" s="328"/>
      <c r="R40" s="338">
        <f t="array" ref="R40">SUM(R32:R37/6)</f>
        <v>96.102741541601802</v>
      </c>
      <c r="S40" s="328"/>
      <c r="T40" s="338">
        <f t="array" ref="T40">SUM(T32:T37/6)</f>
        <v>96.072888322939804</v>
      </c>
      <c r="U40" s="328"/>
      <c r="V40" s="467">
        <f t="array" ref="V40">SUM(V32:V37/6)</f>
        <v>92.889121613723162</v>
      </c>
      <c r="X40" s="340">
        <f t="array" ref="X40">SUM(X32:X37/6)</f>
        <v>94.558327638086936</v>
      </c>
      <c r="AF40" s="1315"/>
      <c r="AG40" s="269">
        <f t="shared" si="70"/>
        <v>4.6986390149060132E-3</v>
      </c>
      <c r="AH40" s="270" t="str">
        <f t="shared" si="71"/>
        <v>↑</v>
      </c>
      <c r="AI40" s="271">
        <f t="shared" si="72"/>
        <v>-1.1665586519766669E-2</v>
      </c>
      <c r="AJ40" s="272" t="str">
        <f t="shared" si="73"/>
        <v>↓</v>
      </c>
      <c r="AK40" s="269">
        <f t="shared" si="74"/>
        <v>-7.6150356448476814E-3</v>
      </c>
      <c r="AL40" s="270" t="str">
        <f t="shared" si="75"/>
        <v>↓</v>
      </c>
      <c r="AM40" s="269">
        <f t="shared" si="76"/>
        <v>-2.7543745949449401E-3</v>
      </c>
      <c r="AN40" s="270" t="str">
        <f t="shared" si="77"/>
        <v>↓</v>
      </c>
    </row>
    <row r="46" spans="1:40" ht="14.25" customHeight="1" x14ac:dyDescent="0.3">
      <c r="AI46" s="4"/>
      <c r="AK46" s="4"/>
      <c r="AM46" s="4"/>
    </row>
    <row r="47" spans="1:40" ht="14.25" customHeight="1" x14ac:dyDescent="0.3">
      <c r="AI47" s="4"/>
      <c r="AK47" s="4"/>
      <c r="AM47" s="4"/>
    </row>
    <row r="48" spans="1:40" ht="14.25" customHeight="1" x14ac:dyDescent="0.3">
      <c r="F48" s="6"/>
      <c r="AI48" s="4"/>
      <c r="AK48" s="4"/>
      <c r="AM48" s="4"/>
    </row>
  </sheetData>
  <mergeCells count="29">
    <mergeCell ref="AG1:AH1"/>
    <mergeCell ref="AK1:AL1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F28:AF33"/>
    <mergeCell ref="C29:D29"/>
    <mergeCell ref="E29:F29"/>
    <mergeCell ref="G29:H29"/>
    <mergeCell ref="I29:J29"/>
    <mergeCell ref="AG34:AH34"/>
    <mergeCell ref="AI34:AJ34"/>
    <mergeCell ref="AK34:AL34"/>
    <mergeCell ref="AM34:AN34"/>
    <mergeCell ref="AF35:AF40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B48"/>
  <sheetViews>
    <sheetView zoomScale="140" zoomScaleNormal="140" workbookViewId="0">
      <selection activeCell="AU21" sqref="AU21"/>
    </sheetView>
  </sheetViews>
  <sheetFormatPr defaultColWidth="8.77734375" defaultRowHeight="14.25" customHeight="1" x14ac:dyDescent="0.3"/>
  <cols>
    <col min="1" max="1" width="7.33203125" style="4" customWidth="1"/>
    <col min="2" max="10" width="8.44140625" style="4" customWidth="1"/>
    <col min="11" max="11" width="9.33203125" style="4" customWidth="1"/>
    <col min="12" max="12" width="3.218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6.77734375" style="5" customWidth="1"/>
    <col min="25" max="25" width="3.33203125" style="4" hidden="1" customWidth="1"/>
    <col min="26" max="26" width="3.21875" style="4" customWidth="1"/>
    <col min="27" max="27" width="7.109375" style="6" customWidth="1"/>
    <col min="28" max="28" width="7.109375" style="7" customWidth="1"/>
    <col min="29" max="30" width="3.5546875" style="6" customWidth="1"/>
    <col min="31" max="31" width="3.5546875" style="4" customWidth="1"/>
    <col min="32" max="32" width="6" style="8" customWidth="1"/>
    <col min="33" max="37" width="7.21875" style="8" customWidth="1"/>
    <col min="38" max="38" width="7.21875" style="9" customWidth="1"/>
    <col min="39" max="40" width="7.21875" style="8" customWidth="1"/>
    <col min="41" max="41" width="6.21875" style="8" customWidth="1"/>
    <col min="42" max="50" width="7.44140625" customWidth="1"/>
  </cols>
  <sheetData>
    <row r="1" spans="1:53" ht="14.4" x14ac:dyDescent="0.3">
      <c r="A1" s="2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7</v>
      </c>
      <c r="G1" s="16" t="s">
        <v>104</v>
      </c>
      <c r="H1" s="16" t="s">
        <v>101</v>
      </c>
      <c r="I1" s="368" t="s">
        <v>8</v>
      </c>
      <c r="K1" s="18" t="s">
        <v>107</v>
      </c>
      <c r="M1" s="19" t="s">
        <v>11</v>
      </c>
      <c r="N1" s="20" t="s">
        <v>12</v>
      </c>
      <c r="O1" s="21">
        <f>SUM(N2:N9)</f>
        <v>788.484275242374</v>
      </c>
      <c r="P1" s="22" t="s">
        <v>13</v>
      </c>
      <c r="Q1" s="23">
        <f>SUM(P2:P9)</f>
        <v>798.87075047412509</v>
      </c>
      <c r="R1" s="24" t="s">
        <v>14</v>
      </c>
      <c r="S1" s="23">
        <f>SUM(R2:R9)</f>
        <v>799.75090508308415</v>
      </c>
      <c r="T1" s="24" t="s">
        <v>15</v>
      </c>
      <c r="U1" s="23">
        <f>SUM(T2:T9)</f>
        <v>740.5863192182411</v>
      </c>
      <c r="V1" s="25" t="s">
        <v>16</v>
      </c>
      <c r="W1" s="26">
        <f>SUM(V2:V9)</f>
        <v>792.91922866432742</v>
      </c>
      <c r="X1" s="27" t="s">
        <v>17</v>
      </c>
      <c r="Y1" s="28">
        <f>SUM(X2:X9)</f>
        <v>780.58544984933258</v>
      </c>
      <c r="Z1" s="29"/>
      <c r="AA1" s="30" t="s">
        <v>18</v>
      </c>
      <c r="AB1" s="31" t="s">
        <v>19</v>
      </c>
      <c r="AG1" s="1314" t="s">
        <v>20</v>
      </c>
      <c r="AH1" s="1314"/>
      <c r="AJ1" s="4"/>
      <c r="AK1" s="1314" t="s">
        <v>21</v>
      </c>
      <c r="AL1" s="1314"/>
      <c r="AN1" s="32" t="s">
        <v>22</v>
      </c>
      <c r="AO1" s="9">
        <v>2</v>
      </c>
      <c r="AP1" s="33" t="str">
        <f>K11</f>
        <v xml:space="preserve">+3-day </v>
      </c>
      <c r="AQ1" s="34" t="s">
        <v>23</v>
      </c>
      <c r="AR1" s="34" t="s">
        <v>24</v>
      </c>
      <c r="AS1" s="34" t="s">
        <v>25</v>
      </c>
      <c r="AT1" s="9"/>
      <c r="AU1" s="9"/>
      <c r="AV1" s="9"/>
      <c r="AW1" s="9"/>
      <c r="AX1" s="9"/>
    </row>
    <row r="2" spans="1:53" ht="14.4" x14ac:dyDescent="0.3">
      <c r="A2" s="35" t="s">
        <v>12</v>
      </c>
      <c r="B2" s="528">
        <v>4.17</v>
      </c>
      <c r="C2" s="528">
        <v>4.17</v>
      </c>
      <c r="D2" s="529">
        <v>4.17</v>
      </c>
      <c r="E2" s="529">
        <v>4.1710000000000003</v>
      </c>
      <c r="F2" s="529">
        <v>4.17</v>
      </c>
      <c r="G2" s="529">
        <v>4.1769999999999996</v>
      </c>
      <c r="H2" s="530">
        <v>4.1399999999999997</v>
      </c>
      <c r="I2" s="531">
        <v>4.1769999999999996</v>
      </c>
      <c r="M2" s="493" t="str">
        <f>B1</f>
        <v>O 5.2</v>
      </c>
      <c r="N2" s="494">
        <f>100-ABS((($K12-B2)/($K12)))*100</f>
        <v>98.604871127926216</v>
      </c>
      <c r="O2" s="495">
        <f t="shared" ref="O2:O9" si="0">N2/$O$1</f>
        <v>0.12505623031938823</v>
      </c>
      <c r="P2" s="496">
        <f>100-ABS((($K13-B3)/($K13)))*100</f>
        <v>99.934500731675243</v>
      </c>
      <c r="Q2" s="497">
        <f t="shared" ref="Q2:Q9" si="1">P2/$Q$1</f>
        <v>0.12509470483474919</v>
      </c>
      <c r="R2" s="497">
        <f>100-ABS((($K14-B4)/($K14)))*100</f>
        <v>99.989394117461586</v>
      </c>
      <c r="S2" s="497">
        <f t="shared" ref="S2:S9" si="2">R2/$S$1</f>
        <v>0.1250256717209641</v>
      </c>
      <c r="T2" s="497">
        <f>100-ABS((($K15-B5)/($K15)))*100</f>
        <v>91.205211726384363</v>
      </c>
      <c r="U2" s="497">
        <f t="shared" ref="U2:U9" si="3">T2/$U$1</f>
        <v>0.1231527093596059</v>
      </c>
      <c r="V2" s="498">
        <f>100-ABS((($K16-B6)/($K16)))*100</f>
        <v>99.320735279915013</v>
      </c>
      <c r="W2" s="499">
        <f t="shared" ref="W2:W9" si="4">V2/$W$1</f>
        <v>0.1252595872182603</v>
      </c>
      <c r="X2" s="500">
        <f>100-ABS((($K17-B7)/($K17)))*100</f>
        <v>97.839783978397833</v>
      </c>
      <c r="Y2" s="48">
        <f t="shared" ref="Y2:Y9" si="5">X2/$Y$1</f>
        <v>0.12534154204037842</v>
      </c>
      <c r="Z2" s="29"/>
      <c r="AA2" s="49">
        <f t="shared" ref="AA2:AA9" si="6">(P2+R2+T2+V2)/4</f>
        <v>97.612460463859051</v>
      </c>
      <c r="AB2" s="50">
        <f t="shared" ref="AB2:AB9" si="7">(N2+P2+R2+T2+V2+X2)/6</f>
        <v>97.815749493626711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4" t="s">
        <v>42</v>
      </c>
      <c r="AH2" s="55">
        <f>MAX(N2:N9)</f>
        <v>98.770394892409541</v>
      </c>
      <c r="AJ2" s="53" t="str">
        <f t="shared" ref="AJ2:AJ7" si="8">AF2</f>
        <v>TNX</v>
      </c>
      <c r="AK2" s="56">
        <v>4.25</v>
      </c>
      <c r="AL2" s="57">
        <f t="shared" ref="AL2:AL7" si="9">100-ABS(($K12-AK2)/($K12))*100</f>
        <v>99.503428706550011</v>
      </c>
      <c r="AO2" s="33" t="s">
        <v>27</v>
      </c>
      <c r="AP2" s="33" t="s">
        <v>28</v>
      </c>
      <c r="AQ2" s="58" t="s">
        <v>29</v>
      </c>
      <c r="AR2" s="34" t="str">
        <f>AQ2</f>
        <v>∆</v>
      </c>
      <c r="AS2" s="34" t="str">
        <f>AR2</f>
        <v>∆</v>
      </c>
      <c r="AT2" s="59" t="s">
        <v>30</v>
      </c>
      <c r="AU2" s="9"/>
      <c r="AV2" s="9"/>
      <c r="AW2" s="9"/>
      <c r="AX2" s="9"/>
    </row>
    <row r="3" spans="1:53" ht="14.4" x14ac:dyDescent="0.3">
      <c r="A3" s="60" t="s">
        <v>13</v>
      </c>
      <c r="B3" s="532">
        <v>49327</v>
      </c>
      <c r="C3" s="532">
        <v>49327</v>
      </c>
      <c r="D3" s="533">
        <v>49437</v>
      </c>
      <c r="E3" s="533">
        <v>49327</v>
      </c>
      <c r="F3" s="533">
        <v>49327</v>
      </c>
      <c r="G3" s="533">
        <v>49328</v>
      </c>
      <c r="H3" s="533">
        <v>49600</v>
      </c>
      <c r="I3" s="534">
        <v>49437.73</v>
      </c>
      <c r="K3" s="64" t="s">
        <v>108</v>
      </c>
      <c r="M3" s="501" t="str">
        <f>C1</f>
        <v>Grok 4.1</v>
      </c>
      <c r="N3" s="502">
        <f>100-ABS((($K12-C2)/($K12)))*100</f>
        <v>98.604871127926216</v>
      </c>
      <c r="O3" s="503">
        <f t="shared" si="0"/>
        <v>0.12505623031938823</v>
      </c>
      <c r="P3" s="504">
        <f>100-ABS((($K13-C3)/($K13)))*100</f>
        <v>99.934500731675243</v>
      </c>
      <c r="Q3" s="505">
        <f t="shared" si="1"/>
        <v>0.12509470483474919</v>
      </c>
      <c r="R3" s="505">
        <f>100-ABS((($K14-C4)/($K14)))*100</f>
        <v>99.989394117461586</v>
      </c>
      <c r="S3" s="505">
        <f t="shared" si="2"/>
        <v>0.1250256717209641</v>
      </c>
      <c r="T3" s="505">
        <f>100-ABS((($K15-C5)/($K15)))*100</f>
        <v>91.205211726384363</v>
      </c>
      <c r="U3" s="505">
        <f t="shared" si="3"/>
        <v>0.1231527093596059</v>
      </c>
      <c r="V3" s="506">
        <f>100-ABS((($K16-C6)/($K16)))*100</f>
        <v>99.397997617744579</v>
      </c>
      <c r="W3" s="507">
        <f t="shared" si="4"/>
        <v>0.12535702758171285</v>
      </c>
      <c r="X3" s="508">
        <f>100-ABS((($K17-C7)/($K17)))*100</f>
        <v>97.859351152506562</v>
      </c>
      <c r="Y3" s="48">
        <f t="shared" si="5"/>
        <v>0.12536660934609431</v>
      </c>
      <c r="Z3" s="29"/>
      <c r="AA3" s="73">
        <f t="shared" si="6"/>
        <v>97.631776048316439</v>
      </c>
      <c r="AB3" s="74">
        <f t="shared" si="7"/>
        <v>97.831887745616427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75" t="s">
        <v>42</v>
      </c>
      <c r="AH3" s="76">
        <f>MAX(P2:P9)</f>
        <v>99.936526691103779</v>
      </c>
      <c r="AJ3" s="60" t="str">
        <f t="shared" si="8"/>
        <v>DJI</v>
      </c>
      <c r="AK3" s="77">
        <v>48833</v>
      </c>
      <c r="AL3" s="78">
        <f t="shared" si="9"/>
        <v>98.933676773975662</v>
      </c>
      <c r="AO3" s="79" t="str">
        <f t="shared" ref="AO3:AO8" si="10">AF2</f>
        <v>TNX</v>
      </c>
      <c r="AP3" s="80">
        <f t="shared" ref="AP3:AP8" si="11">K12</f>
        <v>4.2290000000000001</v>
      </c>
      <c r="AQ3" s="80">
        <f>ABS(C30-AP3)</f>
        <v>5.9000000000000163E-2</v>
      </c>
      <c r="AR3" s="80">
        <f>ABS(E30-K12)</f>
        <v>5.9000000000000163E-2</v>
      </c>
      <c r="AS3" s="80">
        <f>ABS(AP3-G30)</f>
        <v>5.9000000000000163E-2</v>
      </c>
      <c r="AT3" s="81" t="s">
        <v>33</v>
      </c>
      <c r="AU3" s="9"/>
      <c r="AV3" s="9"/>
      <c r="AW3" s="9"/>
      <c r="AX3" s="9"/>
    </row>
    <row r="4" spans="1:53" ht="14.4" x14ac:dyDescent="0.3">
      <c r="A4" s="82" t="s">
        <v>14</v>
      </c>
      <c r="B4" s="535">
        <v>6978</v>
      </c>
      <c r="C4" s="535">
        <v>6978</v>
      </c>
      <c r="D4" s="536">
        <v>6980</v>
      </c>
      <c r="E4" s="536">
        <v>6978</v>
      </c>
      <c r="F4" s="536">
        <v>6978</v>
      </c>
      <c r="G4" s="536">
        <v>6978</v>
      </c>
      <c r="H4" s="536">
        <v>6985</v>
      </c>
      <c r="I4" s="537">
        <v>6980.46</v>
      </c>
      <c r="M4" s="501" t="str">
        <f>D1</f>
        <v>Gemini Pro 3</v>
      </c>
      <c r="N4" s="502">
        <f>100-ABS((($K12-D2)/($K12)))*100</f>
        <v>98.604871127926216</v>
      </c>
      <c r="O4" s="503">
        <f t="shared" si="0"/>
        <v>0.12505623031938823</v>
      </c>
      <c r="P4" s="504">
        <f>100-ABS((($K13-D3)/($K13)))*100</f>
        <v>99.842643731185177</v>
      </c>
      <c r="Q4" s="505">
        <f t="shared" si="1"/>
        <v>0.12497972127772754</v>
      </c>
      <c r="R4" s="505">
        <f>100-ABS((($K14-D4)/($K14)))*100</f>
        <v>99.960729570060451</v>
      </c>
      <c r="S4" s="505">
        <f t="shared" si="2"/>
        <v>0.12498982987668614</v>
      </c>
      <c r="T4" s="505">
        <f>100-ABS((($K15-D5)/($K15)))*100</f>
        <v>96.351791530944624</v>
      </c>
      <c r="U4" s="505">
        <f t="shared" si="3"/>
        <v>0.13010204081632651</v>
      </c>
      <c r="V4" s="506">
        <f>100-ABS((($K16-D6)/($K16)))*100</f>
        <v>99.003637768406136</v>
      </c>
      <c r="W4" s="507">
        <f t="shared" si="4"/>
        <v>0.12485967572659044</v>
      </c>
      <c r="X4" s="508">
        <f>100-ABS((($K17-D7)/($K17)))*100</f>
        <v>96.880992447070795</v>
      </c>
      <c r="Y4" s="48">
        <f t="shared" si="5"/>
        <v>0.12411324406030194</v>
      </c>
      <c r="Z4" s="29"/>
      <c r="AA4" s="73">
        <f t="shared" si="6"/>
        <v>98.789700650149101</v>
      </c>
      <c r="AB4" s="74">
        <f t="shared" si="7"/>
        <v>98.440777695932226</v>
      </c>
      <c r="AC4" s="51" t="str">
        <f>IF($AA4=MAX(AA2:AA9),"TOP","")</f>
        <v>TOP</v>
      </c>
      <c r="AD4" s="51" t="str">
        <f>IF($AB4=MAX(AB2:AB9),"TOP","")</f>
        <v/>
      </c>
      <c r="AE4" s="52"/>
      <c r="AF4" s="82" t="s">
        <v>14</v>
      </c>
      <c r="AG4" s="86" t="s">
        <v>37</v>
      </c>
      <c r="AH4" s="87">
        <f>MAX(R2:R9)</f>
        <v>99.989394117461586</v>
      </c>
      <c r="AJ4" s="82" t="str">
        <f t="shared" si="8"/>
        <v>SPX</v>
      </c>
      <c r="AK4" s="88">
        <v>6810</v>
      </c>
      <c r="AL4" s="89">
        <f t="shared" si="9"/>
        <v>97.60278390084359</v>
      </c>
      <c r="AO4" s="79" t="str">
        <f t="shared" si="10"/>
        <v>DJI</v>
      </c>
      <c r="AP4" s="90">
        <f t="shared" si="11"/>
        <v>49359.33</v>
      </c>
      <c r="AQ4" s="91">
        <f>ABS(C13-AP4)</f>
        <v>14.669999999998254</v>
      </c>
      <c r="AR4" s="91">
        <f>ABS(E13-AP4)</f>
        <v>35.669999999998254</v>
      </c>
      <c r="AS4" s="91">
        <f>ABS(AP4-G13)</f>
        <v>30.669999999998254</v>
      </c>
      <c r="AT4" s="92" t="s">
        <v>35</v>
      </c>
      <c r="AU4" s="9"/>
      <c r="AV4" s="9"/>
    </row>
    <row r="5" spans="1:53" ht="14.4" x14ac:dyDescent="0.3">
      <c r="A5" s="82" t="s">
        <v>15</v>
      </c>
      <c r="B5" s="538">
        <v>16.7</v>
      </c>
      <c r="C5" s="538">
        <v>16.7</v>
      </c>
      <c r="D5" s="539">
        <v>15.91</v>
      </c>
      <c r="E5" s="539">
        <v>16.7</v>
      </c>
      <c r="F5" s="539">
        <v>16.7</v>
      </c>
      <c r="G5" s="539">
        <v>16.7</v>
      </c>
      <c r="H5" s="540">
        <v>16.600000000000001</v>
      </c>
      <c r="I5" s="541">
        <v>15.91</v>
      </c>
      <c r="K5" s="2" t="s">
        <v>36</v>
      </c>
      <c r="M5" s="501" t="str">
        <f>E1</f>
        <v>Claude</v>
      </c>
      <c r="N5" s="502">
        <f>100-ABS((($K12-E2)/($K12)))*100</f>
        <v>98.628517379995273</v>
      </c>
      <c r="O5" s="503">
        <f t="shared" si="0"/>
        <v>0.12508621982306195</v>
      </c>
      <c r="P5" s="504">
        <f>100-ABS((($K13-E3)/($K13)))*100</f>
        <v>99.934500731675243</v>
      </c>
      <c r="Q5" s="505">
        <f t="shared" si="1"/>
        <v>0.12509470483474919</v>
      </c>
      <c r="R5" s="505">
        <f>100-ABS((($K14-E4)/($K14)))*100</f>
        <v>99.989394117461586</v>
      </c>
      <c r="S5" s="505">
        <f t="shared" si="2"/>
        <v>0.1250256717209641</v>
      </c>
      <c r="T5" s="505">
        <f>100-ABS((($K15-E5)/($K15)))*100</f>
        <v>91.205211726384363</v>
      </c>
      <c r="U5" s="505">
        <f t="shared" si="3"/>
        <v>0.1231527093596059</v>
      </c>
      <c r="V5" s="506">
        <f>100-ABS((($K16-E6)/($K16)))*100</f>
        <v>99.320735279915013</v>
      </c>
      <c r="W5" s="507">
        <f t="shared" si="4"/>
        <v>0.1252595872182603</v>
      </c>
      <c r="X5" s="508">
        <f>100-ABS((($K17-E7)/($K17)))*100</f>
        <v>97.839783978397833</v>
      </c>
      <c r="Y5" s="48">
        <f t="shared" si="5"/>
        <v>0.12534154204037842</v>
      </c>
      <c r="Z5" s="29"/>
      <c r="AA5" s="73">
        <f t="shared" si="6"/>
        <v>97.612460463859051</v>
      </c>
      <c r="AB5" s="74">
        <f t="shared" si="7"/>
        <v>97.81969053563823</v>
      </c>
      <c r="AC5" s="51" t="str">
        <f>IF($AA5=MAX(AA2:AA9),"TOP","")</f>
        <v/>
      </c>
      <c r="AD5" s="51" t="str">
        <f>IF($AB5=MAX(AB2:AB9),"TOP","")</f>
        <v/>
      </c>
      <c r="AE5" s="52"/>
      <c r="AF5" s="82" t="s">
        <v>15</v>
      </c>
      <c r="AG5" s="97" t="s">
        <v>95</v>
      </c>
      <c r="AH5" s="87">
        <f>MAX(T2:T9)</f>
        <v>96.351791530944624</v>
      </c>
      <c r="AJ5" s="82" t="str">
        <f t="shared" si="8"/>
        <v>VIX</v>
      </c>
      <c r="AK5" s="98">
        <v>19.100000000000001</v>
      </c>
      <c r="AL5" s="89">
        <f t="shared" si="9"/>
        <v>75.570032573289893</v>
      </c>
      <c r="AO5" s="79" t="str">
        <f t="shared" si="10"/>
        <v>SPX</v>
      </c>
      <c r="AP5" s="90">
        <f t="shared" si="11"/>
        <v>6977.26</v>
      </c>
      <c r="AQ5" s="91">
        <f>ABS(C14-AP5)</f>
        <v>7.7399999999997817</v>
      </c>
      <c r="AR5" s="91">
        <f>ABS(E14-AP5)</f>
        <v>9.7399999999997817</v>
      </c>
      <c r="AS5" s="91">
        <f>ABS(AP5-G14)</f>
        <v>7.7399999999997817</v>
      </c>
      <c r="AT5" s="92" t="s">
        <v>38</v>
      </c>
      <c r="AU5" s="9"/>
      <c r="AV5" s="9"/>
    </row>
    <row r="6" spans="1:53" ht="14.4" x14ac:dyDescent="0.3">
      <c r="A6" s="99" t="s">
        <v>16</v>
      </c>
      <c r="B6" s="542">
        <v>625.48</v>
      </c>
      <c r="C6" s="542">
        <v>625</v>
      </c>
      <c r="D6" s="543">
        <v>627.45000000000005</v>
      </c>
      <c r="E6" s="543">
        <v>625.48</v>
      </c>
      <c r="F6" s="543">
        <v>625.48</v>
      </c>
      <c r="G6" s="543">
        <v>625.48</v>
      </c>
      <c r="H6" s="544">
        <v>632.25</v>
      </c>
      <c r="I6" s="545">
        <v>627.45000000000005</v>
      </c>
      <c r="M6" s="501" t="str">
        <f>F1</f>
        <v>Minimax 2.1</v>
      </c>
      <c r="N6" s="502">
        <f>100-ABS((($K12-F2)/($K12)))*100</f>
        <v>98.604871127926216</v>
      </c>
      <c r="O6" s="503">
        <f t="shared" si="0"/>
        <v>0.12505623031938823</v>
      </c>
      <c r="P6" s="504">
        <f>100-ABS((($K13-F3)/($K13)))*100</f>
        <v>99.934500731675243</v>
      </c>
      <c r="Q6" s="505">
        <f t="shared" si="1"/>
        <v>0.12509470483474919</v>
      </c>
      <c r="R6" s="505">
        <f>100-ABS((($K14-F4)/($K14)))*100</f>
        <v>99.989394117461586</v>
      </c>
      <c r="S6" s="505">
        <f t="shared" si="2"/>
        <v>0.1250256717209641</v>
      </c>
      <c r="T6" s="505">
        <f>100-ABS((($K15-F5)/($K15)))*100</f>
        <v>91.205211726384363</v>
      </c>
      <c r="U6" s="505">
        <f t="shared" si="3"/>
        <v>0.1231527093596059</v>
      </c>
      <c r="V6" s="506">
        <f>100-ABS((($K16-F6)/($K16)))*100</f>
        <v>99.320735279915013</v>
      </c>
      <c r="W6" s="507">
        <f t="shared" si="4"/>
        <v>0.1252595872182603</v>
      </c>
      <c r="X6" s="508">
        <f>100-ABS((($K17-F7)/($K17)))*100</f>
        <v>97.839783978397833</v>
      </c>
      <c r="Y6" s="48">
        <f t="shared" si="5"/>
        <v>0.12534154204037842</v>
      </c>
      <c r="Z6" s="29"/>
      <c r="AA6" s="73">
        <f t="shared" si="6"/>
        <v>97.612460463859051</v>
      </c>
      <c r="AB6" s="74">
        <f t="shared" si="7"/>
        <v>97.815749493626711</v>
      </c>
      <c r="AC6" s="11" t="str">
        <f>IF($AA6=MAX(AA2:AA9),"TOP","")</f>
        <v/>
      </c>
      <c r="AD6" s="11" t="str">
        <f>IF($AB6=MAX(AB2:AB9),"TOP","")</f>
        <v/>
      </c>
      <c r="AE6" s="52"/>
      <c r="AF6" s="99" t="s">
        <v>16</v>
      </c>
      <c r="AG6" s="104" t="s">
        <v>39</v>
      </c>
      <c r="AH6" s="105">
        <f>MAX(V2:V9)</f>
        <v>99.397997617744579</v>
      </c>
      <c r="AJ6" s="99" t="str">
        <f t="shared" si="8"/>
        <v>QQQ</v>
      </c>
      <c r="AK6" s="106">
        <v>604.79999999999995</v>
      </c>
      <c r="AL6" s="107">
        <f t="shared" si="9"/>
        <v>97.35054566526091</v>
      </c>
      <c r="AO6" s="79" t="str">
        <f t="shared" si="10"/>
        <v>VIX</v>
      </c>
      <c r="AP6" s="108">
        <f t="shared" si="11"/>
        <v>15.35</v>
      </c>
      <c r="AQ6" s="91">
        <f>ABS(C15-AP6)</f>
        <v>0.25999999999999979</v>
      </c>
      <c r="AR6" s="91">
        <f>ABS(E15-AP6)</f>
        <v>0.5600000000000005</v>
      </c>
      <c r="AS6" s="91">
        <f>ABS(AP6-G15)</f>
        <v>1.2099999999999991</v>
      </c>
      <c r="AT6" s="92" t="s">
        <v>40</v>
      </c>
      <c r="AU6" s="9"/>
      <c r="AV6" s="9"/>
    </row>
    <row r="7" spans="1:53" ht="14.4" x14ac:dyDescent="0.3">
      <c r="A7" s="109" t="s">
        <v>17</v>
      </c>
      <c r="B7" s="546">
        <v>261.05</v>
      </c>
      <c r="C7" s="546">
        <v>261</v>
      </c>
      <c r="D7" s="547">
        <v>263.5</v>
      </c>
      <c r="E7" s="547">
        <v>261.05</v>
      </c>
      <c r="F7" s="547">
        <v>261.05</v>
      </c>
      <c r="G7" s="547">
        <v>261.05</v>
      </c>
      <c r="H7" s="548">
        <v>264.10000000000002</v>
      </c>
      <c r="I7" s="549">
        <v>261.05</v>
      </c>
      <c r="K7" s="2" t="s">
        <v>41</v>
      </c>
      <c r="M7" s="501" t="str">
        <f>G1</f>
        <v>Kimi 2</v>
      </c>
      <c r="N7" s="502">
        <f>100-ABS((($K12-G2)/($K12)))*100</f>
        <v>98.770394892409541</v>
      </c>
      <c r="O7" s="503">
        <f t="shared" si="0"/>
        <v>0.12526615684510423</v>
      </c>
      <c r="P7" s="504">
        <f>100-ABS((($K13-G3)/($K13)))*100</f>
        <v>99.936526691103779</v>
      </c>
      <c r="Q7" s="505">
        <f t="shared" si="1"/>
        <v>0.12509724086379684</v>
      </c>
      <c r="R7" s="505">
        <f>100-ABS((($K14-G4)/($K14)))*100</f>
        <v>99.989394117461586</v>
      </c>
      <c r="S7" s="505">
        <f t="shared" si="2"/>
        <v>0.1250256717209641</v>
      </c>
      <c r="T7" s="505">
        <f>100-ABS((($K15-G5)/($K15)))*100</f>
        <v>91.205211726384363</v>
      </c>
      <c r="U7" s="505">
        <f t="shared" si="3"/>
        <v>0.1231527093596059</v>
      </c>
      <c r="V7" s="506">
        <f>100-ABS((($K16-G6)/($K16)))*100</f>
        <v>99.320735279915013</v>
      </c>
      <c r="W7" s="507">
        <f t="shared" si="4"/>
        <v>0.1252595872182603</v>
      </c>
      <c r="X7" s="508">
        <f>100-ABS((($K17-G7)/($K17)))*100</f>
        <v>97.839783978397833</v>
      </c>
      <c r="Y7" s="48">
        <f t="shared" si="5"/>
        <v>0.12534154204037842</v>
      </c>
      <c r="Z7" s="29"/>
      <c r="AA7" s="73">
        <f t="shared" si="6"/>
        <v>97.612966953716196</v>
      </c>
      <c r="AB7" s="74">
        <f t="shared" si="7"/>
        <v>97.843674447612031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115" t="s">
        <v>96</v>
      </c>
      <c r="AH7" s="116">
        <f>MAX(X2:X9)</f>
        <v>97.859351152506562</v>
      </c>
      <c r="AJ7" s="114" t="str">
        <f t="shared" si="8"/>
        <v>AAPL</v>
      </c>
      <c r="AK7" s="117">
        <v>245.25</v>
      </c>
      <c r="AL7" s="118">
        <f t="shared" si="9"/>
        <v>95.97698900324815</v>
      </c>
      <c r="AO7" s="79" t="str">
        <f t="shared" si="10"/>
        <v>QQQ</v>
      </c>
      <c r="AP7" s="119">
        <f t="shared" si="11"/>
        <v>621.26</v>
      </c>
      <c r="AQ7" s="91">
        <f>ABS(C16-AP7)</f>
        <v>5.8400000000000318</v>
      </c>
      <c r="AR7" s="91">
        <f>ABS(E16-AP7)</f>
        <v>6.2400000000000091</v>
      </c>
      <c r="AS7" s="91">
        <f>ABS(AP7-G16)</f>
        <v>5.6399999999999864</v>
      </c>
      <c r="AT7" s="92" t="s">
        <v>43</v>
      </c>
      <c r="AU7" s="9"/>
      <c r="AV7" s="9"/>
      <c r="AW7" s="9"/>
      <c r="AX7" s="120"/>
    </row>
    <row r="8" spans="1:53" ht="14.25" customHeight="1" x14ac:dyDescent="0.3">
      <c r="K8" s="485">
        <v>54</v>
      </c>
      <c r="M8" s="501" t="str">
        <f>H1</f>
        <v>Qwen3 Max</v>
      </c>
      <c r="N8" s="502">
        <f>100-ABS((($K12-H2)/($K12)))*100</f>
        <v>97.895483565854803</v>
      </c>
      <c r="O8" s="503">
        <f t="shared" si="0"/>
        <v>0.12415654520917679</v>
      </c>
      <c r="P8" s="504">
        <f>100-ABS((($K13-H3)/($K13)))*100</f>
        <v>99.512412344332873</v>
      </c>
      <c r="Q8" s="505">
        <f t="shared" si="1"/>
        <v>0.12456634854295622</v>
      </c>
      <c r="R8" s="505">
        <f>100-ABS((($K14-H4)/($K14)))*100</f>
        <v>99.889068201557635</v>
      </c>
      <c r="S8" s="505">
        <f t="shared" si="2"/>
        <v>0.1249002252659913</v>
      </c>
      <c r="T8" s="505">
        <f>100-ABS((($K15-H5)/($K15)))*100</f>
        <v>91.856677524429955</v>
      </c>
      <c r="U8" s="505">
        <f t="shared" si="3"/>
        <v>0.12403237156931736</v>
      </c>
      <c r="V8" s="506">
        <f>100-ABS((($K16-H6)/($K16)))*100</f>
        <v>98.231014390110417</v>
      </c>
      <c r="W8" s="507">
        <f t="shared" si="4"/>
        <v>0.12388527209206489</v>
      </c>
      <c r="X8" s="508">
        <f>100-ABS((($K17-H7)/($K17)))*100</f>
        <v>96.646186357766197</v>
      </c>
      <c r="Y8" s="48">
        <f t="shared" si="5"/>
        <v>0.12381243639171176</v>
      </c>
      <c r="Z8" s="29"/>
      <c r="AA8" s="73">
        <f t="shared" si="6"/>
        <v>97.372293115107723</v>
      </c>
      <c r="AB8" s="74">
        <f t="shared" si="7"/>
        <v>97.338473730675318</v>
      </c>
      <c r="AC8" s="51" t="str">
        <f>IF($AA8=MAX(AA2:AA9),"TOP","")</f>
        <v/>
      </c>
      <c r="AD8" s="51" t="str">
        <f>IF($AB8=MAX(AB2:AB9),"TOP","")</f>
        <v/>
      </c>
      <c r="AE8" s="52"/>
      <c r="AF8" s="4"/>
      <c r="AG8" s="4"/>
      <c r="AH8" s="5"/>
      <c r="AL8" s="8"/>
      <c r="AO8" s="79" t="str">
        <f t="shared" si="10"/>
        <v>AAPL</v>
      </c>
      <c r="AP8" s="122">
        <f t="shared" si="11"/>
        <v>255.53</v>
      </c>
      <c r="AQ8" s="122">
        <f>ABS(C35-AP8)</f>
        <v>6.1699999999999875</v>
      </c>
      <c r="AR8" s="122">
        <f>ABS(E35-K17)</f>
        <v>6.9699999999999989</v>
      </c>
      <c r="AS8" s="122">
        <f>ABS(AP8-G35)</f>
        <v>6.9699999999999989</v>
      </c>
      <c r="AT8" s="81" t="s">
        <v>33</v>
      </c>
      <c r="AU8" s="9"/>
      <c r="AV8" s="9"/>
      <c r="AW8" s="9"/>
      <c r="AX8" s="9"/>
    </row>
    <row r="9" spans="1:53" ht="14.4" x14ac:dyDescent="0.3">
      <c r="M9" s="509" t="str">
        <f>I1</f>
        <v>LeChat</v>
      </c>
      <c r="N9" s="510">
        <f>100-ABS((($K12-I2)/($K12)))*100</f>
        <v>98.770394892409541</v>
      </c>
      <c r="O9" s="511">
        <f t="shared" si="0"/>
        <v>0.12526615684510423</v>
      </c>
      <c r="P9" s="512">
        <f>100-ABS((($K13-I3)/($K13)))*100</f>
        <v>99.84116478080233</v>
      </c>
      <c r="Q9" s="513">
        <f t="shared" si="1"/>
        <v>0.12497786997652272</v>
      </c>
      <c r="R9" s="513">
        <f>100-ABS((($K14-I4)/($K14)))*100</f>
        <v>99.95413672415819</v>
      </c>
      <c r="S9" s="513">
        <f t="shared" si="2"/>
        <v>0.12498158625250221</v>
      </c>
      <c r="T9" s="514">
        <f>100-ABS((($K15-I5)/($K15)))*100</f>
        <v>96.351791530944624</v>
      </c>
      <c r="U9" s="513">
        <f t="shared" si="3"/>
        <v>0.13010204081632651</v>
      </c>
      <c r="V9" s="515">
        <f>100-ABS((($K16-I6)/($K16)))*100</f>
        <v>99.003637768406136</v>
      </c>
      <c r="W9" s="516">
        <f t="shared" si="4"/>
        <v>0.12485967572659044</v>
      </c>
      <c r="X9" s="517">
        <f>100-ABS((($K17-I7)/($K17)))*100</f>
        <v>97.839783978397833</v>
      </c>
      <c r="Y9" s="124">
        <f t="shared" si="5"/>
        <v>0.12534154204037842</v>
      </c>
      <c r="Z9" s="29"/>
      <c r="AA9" s="139">
        <f t="shared" si="6"/>
        <v>98.787682701077813</v>
      </c>
      <c r="AB9" s="140">
        <f t="shared" si="7"/>
        <v>98.626818279186452</v>
      </c>
      <c r="AC9" s="51" t="str">
        <f>IF($AA9=MAX(AA2:AA9),"TOP","")</f>
        <v/>
      </c>
      <c r="AD9" s="51" t="str">
        <f>IF($AB9=MAX(AB2:AB9),"TOP","")</f>
        <v>TOP</v>
      </c>
      <c r="AE9" s="52"/>
      <c r="AF9" s="1319" t="s">
        <v>44</v>
      </c>
      <c r="AG9" s="1319"/>
      <c r="AH9" s="125">
        <f>AVERAGE(AH3:AH6)</f>
        <v>98.918927489313646</v>
      </c>
      <c r="AJ9" s="1310" t="s">
        <v>44</v>
      </c>
      <c r="AK9" s="1310"/>
      <c r="AL9" s="126">
        <f>AVERAGE(AL3:AL6)</f>
        <v>92.364259728342518</v>
      </c>
      <c r="AP9" s="79">
        <v>0</v>
      </c>
      <c r="AQ9" s="33">
        <v>2.17</v>
      </c>
      <c r="AR9" s="33">
        <v>2.14</v>
      </c>
      <c r="AS9" s="33">
        <v>2.19</v>
      </c>
      <c r="AT9" s="127" t="s">
        <v>45</v>
      </c>
      <c r="AU9" s="9"/>
      <c r="AV9" s="9"/>
      <c r="AW9" s="9"/>
      <c r="AX9" s="9"/>
    </row>
    <row r="10" spans="1:53" ht="14.4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98.717576000361774</v>
      </c>
      <c r="AJ10" s="1311" t="s">
        <v>51</v>
      </c>
      <c r="AK10" s="1311"/>
      <c r="AL10" s="142">
        <f>AVERAGE(AL2:AL7)</f>
        <v>94.156242770528038</v>
      </c>
      <c r="AP10" s="79">
        <v>0</v>
      </c>
      <c r="AQ10" s="33">
        <v>3.12</v>
      </c>
      <c r="AR10" s="33">
        <v>3.09</v>
      </c>
      <c r="AS10" s="33">
        <v>3.31</v>
      </c>
      <c r="AT10" s="143" t="s">
        <v>52</v>
      </c>
      <c r="AU10" s="9"/>
      <c r="AV10" s="9"/>
      <c r="AW10" s="9"/>
      <c r="AX10" s="9"/>
    </row>
    <row r="11" spans="1:53" ht="14.4" x14ac:dyDescent="0.3">
      <c r="B11" s="3" t="s">
        <v>46</v>
      </c>
      <c r="C11" s="1312" t="s">
        <v>47</v>
      </c>
      <c r="D11" s="1312"/>
      <c r="E11" s="1312">
        <v>85520</v>
      </c>
      <c r="F11" s="1312"/>
      <c r="G11" s="1312" t="s">
        <v>48</v>
      </c>
      <c r="H11" s="1312"/>
      <c r="I11" s="486" t="s">
        <v>36</v>
      </c>
      <c r="J11" s="486" t="s">
        <v>49</v>
      </c>
      <c r="K11" s="130" t="s">
        <v>50</v>
      </c>
      <c r="M11" s="19" t="s">
        <v>53</v>
      </c>
      <c r="N11" s="487" t="s">
        <v>12</v>
      </c>
      <c r="O11" s="21">
        <f>SUM(N12:N19)</f>
        <v>550</v>
      </c>
      <c r="P11" s="157" t="s">
        <v>13</v>
      </c>
      <c r="Q11" s="158">
        <f>SUM(P12:P19)</f>
        <v>755</v>
      </c>
      <c r="R11" s="159" t="s">
        <v>14</v>
      </c>
      <c r="S11" s="158">
        <f>SUM(R12:R19)</f>
        <v>760</v>
      </c>
      <c r="T11" s="159" t="s">
        <v>15</v>
      </c>
      <c r="U11" s="158">
        <f>SUM(T12:T19)</f>
        <v>220</v>
      </c>
      <c r="V11" s="159" t="s">
        <v>16</v>
      </c>
      <c r="W11" s="26">
        <f>SUM(V12:V19)</f>
        <v>615</v>
      </c>
      <c r="X11" s="488" t="s">
        <v>17</v>
      </c>
      <c r="Y11" s="28">
        <f>SUM(X12:X19)</f>
        <v>460</v>
      </c>
      <c r="Z11" s="29"/>
      <c r="AA11" s="30" t="s">
        <v>54</v>
      </c>
      <c r="AB11" s="524" t="s">
        <v>55</v>
      </c>
      <c r="AF11" s="150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pans="1:53" ht="14.4" x14ac:dyDescent="0.3">
      <c r="A12" s="53" t="s">
        <v>12</v>
      </c>
      <c r="B12" s="550">
        <v>4.1710000000000003</v>
      </c>
      <c r="C12" s="551">
        <v>4.17</v>
      </c>
      <c r="D12" s="552" t="str">
        <f t="shared" ref="D12:D17" si="12">IF(ABS(K12-I12)&lt;ABS(C12-K12),$I$11,$C$11)</f>
        <v>RD</v>
      </c>
      <c r="E12" s="551">
        <v>4.17</v>
      </c>
      <c r="F12" s="552">
        <f t="shared" ref="F12:F17" si="13">IF(ABS(K12-I12)&lt;ABS(K12-E12),$I$11,$E$11)</f>
        <v>85520</v>
      </c>
      <c r="G12" s="551">
        <v>4.17</v>
      </c>
      <c r="H12" s="552" t="str">
        <f t="shared" ref="H12:H17" si="14">IF(ABS(I12-K12)&lt;ABS(K12-G12),$I$11,$G$11)</f>
        <v>MICH</v>
      </c>
      <c r="I12" s="553">
        <f>(B2*O22)+(C2*O23)+(D2*O24)+(E2*O25)+(F2*O26)+(G2*O27)+(H2*O28)+(I2*O29)</f>
        <v>4.168023489617589</v>
      </c>
      <c r="J12" s="554">
        <v>4.1500887591522204</v>
      </c>
      <c r="K12" s="555">
        <v>4.2290000000000001</v>
      </c>
      <c r="M12" s="410" t="str">
        <f t="shared" ref="M12:M19" si="15">M2</f>
        <v>O 5.2</v>
      </c>
      <c r="N12" s="489">
        <f t="shared" ref="N12:N19" si="16">IF(N2=0,0, LOOKUP(N2-0.000000000001,$AA$12:$AA$28,$AB$12:$AB$28))</f>
        <v>70</v>
      </c>
      <c r="O12" s="412">
        <f t="shared" ref="O12:O19" si="17">N12/$O$11</f>
        <v>0.12727272727272726</v>
      </c>
      <c r="P12" s="413">
        <f t="shared" ref="P12:P19" si="18">IF(P2=0,0, LOOKUP(P2-0.000000000001,$AA$12:$AA$28,$AB$12:$AB$28))</f>
        <v>95</v>
      </c>
      <c r="Q12" s="414">
        <f t="shared" ref="Q12:Q19" si="19">P12/$Q$11</f>
        <v>0.12582781456953643</v>
      </c>
      <c r="R12" s="414">
        <f t="shared" ref="R12:R19" si="20">IF(R2=0,0, LOOKUP(R2-0.000000000001,$AA$12:$AA$28,$AB$12:$AB$28))</f>
        <v>95</v>
      </c>
      <c r="S12" s="414">
        <f t="shared" ref="S12:S19" si="21">R12/$S$11</f>
        <v>0.125</v>
      </c>
      <c r="T12" s="414">
        <f t="shared" ref="T12:T19" si="22">IF(T2=0,0, LOOKUP(T2-0.000000000001,$AA$12:$AA$28,$AB$12:$AB$28))</f>
        <v>20</v>
      </c>
      <c r="U12" s="414">
        <f t="shared" ref="U12:U19" si="23">T12/$U$11</f>
        <v>9.0909090909090912E-2</v>
      </c>
      <c r="V12" s="414">
        <f t="shared" ref="V12:V19" si="24">IF(V2=0,0, LOOKUP(V2-0.000000000001,$AA$12:$AA$28,$AB$12:$AB$28))</f>
        <v>80</v>
      </c>
      <c r="W12" s="415">
        <f t="shared" ref="W12:W19" si="25">V12/$W$11</f>
        <v>0.13008130081300814</v>
      </c>
      <c r="X12" s="490">
        <f t="shared" ref="X12:X19" si="26">IF(X2=0,0, LOOKUP(X2-0.000000000001,$AA$12:$AA$28,$AB$12:$AB$28))</f>
        <v>60</v>
      </c>
      <c r="Y12" s="179">
        <f t="shared" ref="Y12:Y19" si="27">X12/$Y$11</f>
        <v>0.13043478260869565</v>
      </c>
      <c r="Z12" s="29"/>
      <c r="AA12" s="49">
        <v>1</v>
      </c>
      <c r="AB12" s="525">
        <v>0.1</v>
      </c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1:53" ht="14.4" x14ac:dyDescent="0.3">
      <c r="A13" s="60" t="s">
        <v>13</v>
      </c>
      <c r="B13" s="556">
        <v>49191.99</v>
      </c>
      <c r="C13" s="532">
        <v>49374</v>
      </c>
      <c r="D13" s="557" t="str">
        <f t="shared" si="12"/>
        <v>RD</v>
      </c>
      <c r="E13" s="532">
        <v>49395</v>
      </c>
      <c r="F13" s="557" t="str">
        <f t="shared" si="13"/>
        <v>LLM</v>
      </c>
      <c r="G13" s="532">
        <v>49390</v>
      </c>
      <c r="H13" s="557" t="str">
        <f t="shared" si="14"/>
        <v>LLM</v>
      </c>
      <c r="I13" s="558">
        <f>(B3*Q22)+(C3*Q23)+(D3*Q24)+(E3*Q25)+(F3*Q26)+(G3*Q27)+(H3*Q28)+(I3*Q29)</f>
        <v>49388.472893936327</v>
      </c>
      <c r="J13" s="559">
        <v>48268.358498634101</v>
      </c>
      <c r="K13" s="560">
        <v>49359.33</v>
      </c>
      <c r="M13" s="420" t="str">
        <f t="shared" si="15"/>
        <v>Grok 4.1</v>
      </c>
      <c r="N13" s="489">
        <f t="shared" si="16"/>
        <v>70</v>
      </c>
      <c r="O13" s="412">
        <f t="shared" si="17"/>
        <v>0.12727272727272726</v>
      </c>
      <c r="P13" s="413">
        <f t="shared" si="18"/>
        <v>95</v>
      </c>
      <c r="Q13" s="414">
        <f t="shared" si="19"/>
        <v>0.12582781456953643</v>
      </c>
      <c r="R13" s="414">
        <f t="shared" si="20"/>
        <v>95</v>
      </c>
      <c r="S13" s="414">
        <f t="shared" si="21"/>
        <v>0.125</v>
      </c>
      <c r="T13" s="414">
        <f t="shared" si="22"/>
        <v>20</v>
      </c>
      <c r="U13" s="414">
        <f t="shared" si="23"/>
        <v>9.0909090909090912E-2</v>
      </c>
      <c r="V13" s="414">
        <f t="shared" si="24"/>
        <v>80</v>
      </c>
      <c r="W13" s="415">
        <f t="shared" si="25"/>
        <v>0.13008130081300814</v>
      </c>
      <c r="X13" s="490">
        <f t="shared" si="26"/>
        <v>60</v>
      </c>
      <c r="Y13" s="179">
        <f t="shared" si="27"/>
        <v>0.13043478260869565</v>
      </c>
      <c r="Z13" s="29"/>
      <c r="AA13" s="73">
        <v>80</v>
      </c>
      <c r="AB13" s="526">
        <v>1</v>
      </c>
      <c r="AG13" s="1314" t="s">
        <v>68</v>
      </c>
      <c r="AH13" s="1314"/>
      <c r="AJ13" s="4"/>
      <c r="AK13" s="1314" t="s">
        <v>69</v>
      </c>
      <c r="AL13" s="1314"/>
      <c r="AO13" s="186" t="s">
        <v>13</v>
      </c>
      <c r="AP13" s="187" t="str">
        <f>K11</f>
        <v xml:space="preserve">+3-day </v>
      </c>
      <c r="AQ13" s="33" t="s">
        <v>23</v>
      </c>
      <c r="AR13" s="33" t="s">
        <v>24</v>
      </c>
      <c r="AS13" s="33" t="s">
        <v>25</v>
      </c>
      <c r="AT13" s="188" t="s">
        <v>35</v>
      </c>
      <c r="AU13" s="189">
        <v>2500</v>
      </c>
      <c r="AV13" s="190" t="s">
        <v>56</v>
      </c>
      <c r="AW13" s="191" t="s">
        <v>57</v>
      </c>
      <c r="AX13" s="192">
        <v>1361</v>
      </c>
    </row>
    <row r="14" spans="1:53" ht="14.4" x14ac:dyDescent="0.3">
      <c r="A14" s="82" t="s">
        <v>14</v>
      </c>
      <c r="B14" s="561">
        <v>6955.82</v>
      </c>
      <c r="C14" s="535">
        <v>6985</v>
      </c>
      <c r="D14" s="562" t="str">
        <f t="shared" si="12"/>
        <v>LLM</v>
      </c>
      <c r="E14" s="535">
        <v>6987</v>
      </c>
      <c r="F14" s="562" t="str">
        <f t="shared" si="13"/>
        <v>LLM</v>
      </c>
      <c r="G14" s="535">
        <v>6985</v>
      </c>
      <c r="H14" s="562" t="str">
        <f t="shared" si="14"/>
        <v>LLM</v>
      </c>
      <c r="I14" s="563">
        <f>(B4*S22)+(C4*S23)+(D4*S24)+(E4*S25)+(F4*S26)+(G4*S27)+(H4*S28)+(I4*S29)</f>
        <v>6979.4132333140988</v>
      </c>
      <c r="J14" s="564">
        <v>6816.1024405872204</v>
      </c>
      <c r="K14" s="565">
        <v>6977.26</v>
      </c>
      <c r="M14" s="420" t="str">
        <f t="shared" si="15"/>
        <v>Gemini Pro 3</v>
      </c>
      <c r="N14" s="489">
        <f t="shared" si="16"/>
        <v>70</v>
      </c>
      <c r="O14" s="412">
        <f t="shared" si="17"/>
        <v>0.12727272727272726</v>
      </c>
      <c r="P14" s="413">
        <f t="shared" si="18"/>
        <v>95</v>
      </c>
      <c r="Q14" s="414">
        <f t="shared" si="19"/>
        <v>0.12582781456953643</v>
      </c>
      <c r="R14" s="414">
        <f t="shared" si="20"/>
        <v>95</v>
      </c>
      <c r="S14" s="414">
        <f t="shared" si="21"/>
        <v>0.125</v>
      </c>
      <c r="T14" s="414">
        <f t="shared" si="22"/>
        <v>50</v>
      </c>
      <c r="U14" s="414">
        <f t="shared" si="23"/>
        <v>0.22727272727272727</v>
      </c>
      <c r="V14" s="414">
        <f t="shared" si="24"/>
        <v>75</v>
      </c>
      <c r="W14" s="415">
        <f t="shared" si="25"/>
        <v>0.12195121951219512</v>
      </c>
      <c r="X14" s="490">
        <f t="shared" si="26"/>
        <v>50</v>
      </c>
      <c r="Y14" s="179">
        <f t="shared" si="27"/>
        <v>0.10869565217391304</v>
      </c>
      <c r="Z14" s="29"/>
      <c r="AA14" s="73">
        <v>82.5</v>
      </c>
      <c r="AB14" s="526">
        <v>2</v>
      </c>
      <c r="AF14" s="341" t="str">
        <f t="shared" ref="AF14:AF19" si="28">A2</f>
        <v>TNX</v>
      </c>
      <c r="AG14" s="342">
        <f t="shared" ref="AG14:AG19" si="29">C12</f>
        <v>4.17</v>
      </c>
      <c r="AH14" s="57">
        <f t="shared" ref="AH14:AH19" si="30">100-ABS(($K12-AG14)/($K12))*100</f>
        <v>98.604871127926216</v>
      </c>
      <c r="AJ14" s="53" t="str">
        <f t="shared" ref="AJ14:AJ19" si="31">AF14</f>
        <v>TNX</v>
      </c>
      <c r="AK14" s="342">
        <f t="shared" ref="AK14:AK19" si="32">E12</f>
        <v>4.17</v>
      </c>
      <c r="AL14" s="57">
        <f t="shared" ref="AL14:AL19" si="33">100-ABS(($K12-AK14)/($K12))*100</f>
        <v>98.604871127926216</v>
      </c>
      <c r="AO14" s="9"/>
      <c r="AP14" s="187">
        <v>0</v>
      </c>
      <c r="AQ14" s="204">
        <f>AQ15/AT15</f>
        <v>5.8679999999993017E-3</v>
      </c>
      <c r="AR14" s="204">
        <f>AR15/AT15</f>
        <v>1.4267999999999302E-2</v>
      </c>
      <c r="AS14" s="204">
        <f>AS15/AT15</f>
        <v>1.2267999999999302E-2</v>
      </c>
      <c r="AT14" s="187">
        <v>5</v>
      </c>
      <c r="AU14" s="205">
        <v>1</v>
      </c>
      <c r="AV14" s="190" t="s">
        <v>58</v>
      </c>
      <c r="AW14" s="191" t="s">
        <v>59</v>
      </c>
      <c r="AX14" s="206">
        <f>AU13/AP4</f>
        <v>5.0648985713541893E-2</v>
      </c>
    </row>
    <row r="15" spans="1:53" ht="14.4" x14ac:dyDescent="0.3">
      <c r="A15" s="82" t="s">
        <v>15</v>
      </c>
      <c r="B15" s="561">
        <v>16.04</v>
      </c>
      <c r="C15" s="538">
        <v>15.61</v>
      </c>
      <c r="D15" s="562" t="str">
        <f t="shared" si="12"/>
        <v>RD</v>
      </c>
      <c r="E15" s="538">
        <v>15.91</v>
      </c>
      <c r="F15" s="562">
        <f t="shared" si="13"/>
        <v>85520</v>
      </c>
      <c r="G15" s="538">
        <v>16.559999999999999</v>
      </c>
      <c r="H15" s="562" t="str">
        <f t="shared" si="14"/>
        <v>LLM</v>
      </c>
      <c r="I15" s="566">
        <f>(B5*U22)+(C5*U23)+(D5*U24)+(E5*U25)+(F5*U26)+(G5*U27)+(H5*U28)+(I5*U29)</f>
        <v>16.449972948602344</v>
      </c>
      <c r="J15" s="567">
        <v>16.474235362279298</v>
      </c>
      <c r="K15" s="565">
        <v>15.35</v>
      </c>
      <c r="M15" s="420" t="str">
        <f t="shared" si="15"/>
        <v>Claude</v>
      </c>
      <c r="N15" s="489">
        <f t="shared" si="16"/>
        <v>70</v>
      </c>
      <c r="O15" s="412">
        <f t="shared" si="17"/>
        <v>0.12727272727272726</v>
      </c>
      <c r="P15" s="413">
        <f t="shared" si="18"/>
        <v>95</v>
      </c>
      <c r="Q15" s="414">
        <f t="shared" si="19"/>
        <v>0.12582781456953643</v>
      </c>
      <c r="R15" s="414">
        <f t="shared" si="20"/>
        <v>95</v>
      </c>
      <c r="S15" s="414">
        <f t="shared" si="21"/>
        <v>0.125</v>
      </c>
      <c r="T15" s="414">
        <f t="shared" si="22"/>
        <v>20</v>
      </c>
      <c r="U15" s="414">
        <f t="shared" si="23"/>
        <v>9.0909090909090912E-2</v>
      </c>
      <c r="V15" s="414">
        <f t="shared" si="24"/>
        <v>80</v>
      </c>
      <c r="W15" s="415">
        <f t="shared" si="25"/>
        <v>0.13008130081300814</v>
      </c>
      <c r="X15" s="490">
        <f t="shared" si="26"/>
        <v>60</v>
      </c>
      <c r="Y15" s="179">
        <f t="shared" si="27"/>
        <v>0.13043478260869565</v>
      </c>
      <c r="Z15" s="29"/>
      <c r="AA15" s="73">
        <v>85</v>
      </c>
      <c r="AB15" s="526">
        <v>5</v>
      </c>
      <c r="AF15" s="343" t="str">
        <f t="shared" si="28"/>
        <v>DJI</v>
      </c>
      <c r="AG15" s="344">
        <f t="shared" si="29"/>
        <v>49374</v>
      </c>
      <c r="AH15" s="78">
        <f t="shared" si="30"/>
        <v>99.970279175183293</v>
      </c>
      <c r="AJ15" s="60" t="str">
        <f t="shared" si="31"/>
        <v>DJI</v>
      </c>
      <c r="AK15" s="344">
        <f t="shared" si="32"/>
        <v>49395</v>
      </c>
      <c r="AL15" s="78">
        <f t="shared" si="33"/>
        <v>99.927734027183917</v>
      </c>
      <c r="AO15" s="9"/>
      <c r="AP15" s="212">
        <v>0</v>
      </c>
      <c r="AQ15" s="213">
        <f>AQ4</f>
        <v>14.669999999998254</v>
      </c>
      <c r="AR15" s="213">
        <f>AR4</f>
        <v>35.669999999998254</v>
      </c>
      <c r="AS15" s="213">
        <f>AS4</f>
        <v>30.669999999998254</v>
      </c>
      <c r="AT15" s="213">
        <f>AU14*AU13</f>
        <v>2500</v>
      </c>
      <c r="AV15" s="214"/>
      <c r="AW15" s="13"/>
      <c r="AX15" s="13"/>
    </row>
    <row r="16" spans="1:53" ht="14.4" x14ac:dyDescent="0.3">
      <c r="A16" s="99" t="s">
        <v>16</v>
      </c>
      <c r="B16" s="568">
        <v>626.24</v>
      </c>
      <c r="C16" s="542">
        <v>627.1</v>
      </c>
      <c r="D16" s="569" t="str">
        <f t="shared" si="12"/>
        <v>LLM</v>
      </c>
      <c r="E16" s="542">
        <v>627.5</v>
      </c>
      <c r="F16" s="569" t="str">
        <f t="shared" si="13"/>
        <v>LLM</v>
      </c>
      <c r="G16" s="542">
        <v>626.9</v>
      </c>
      <c r="H16" s="569" t="str">
        <f t="shared" si="14"/>
        <v>LLM</v>
      </c>
      <c r="I16" s="570">
        <f>(B6*W22)+(C6*W23)+(D6*W24)+(E6*W25)+(F6*W26)+(G6*W27)+(H6*W28)+(I6*W29)</f>
        <v>626.78859970364101</v>
      </c>
      <c r="J16" s="571">
        <v>613.28295282651095</v>
      </c>
      <c r="K16" s="572">
        <v>621.26</v>
      </c>
      <c r="M16" s="420" t="str">
        <f t="shared" si="15"/>
        <v>Minimax 2.1</v>
      </c>
      <c r="N16" s="489">
        <f t="shared" si="16"/>
        <v>70</v>
      </c>
      <c r="O16" s="412">
        <f t="shared" si="17"/>
        <v>0.12727272727272726</v>
      </c>
      <c r="P16" s="413">
        <f t="shared" si="18"/>
        <v>95</v>
      </c>
      <c r="Q16" s="414">
        <f t="shared" si="19"/>
        <v>0.12582781456953643</v>
      </c>
      <c r="R16" s="414">
        <f t="shared" si="20"/>
        <v>95</v>
      </c>
      <c r="S16" s="414">
        <f t="shared" si="21"/>
        <v>0.125</v>
      </c>
      <c r="T16" s="414">
        <f t="shared" si="22"/>
        <v>20</v>
      </c>
      <c r="U16" s="414">
        <f t="shared" si="23"/>
        <v>9.0909090909090912E-2</v>
      </c>
      <c r="V16" s="414">
        <f t="shared" si="24"/>
        <v>80</v>
      </c>
      <c r="W16" s="415">
        <f t="shared" si="25"/>
        <v>0.13008130081300814</v>
      </c>
      <c r="X16" s="490">
        <f t="shared" si="26"/>
        <v>60</v>
      </c>
      <c r="Y16" s="179">
        <f t="shared" si="27"/>
        <v>0.13043478260869565</v>
      </c>
      <c r="Z16" s="29"/>
      <c r="AA16" s="73">
        <v>87.5</v>
      </c>
      <c r="AB16" s="526">
        <v>10</v>
      </c>
      <c r="AF16" s="345" t="str">
        <f t="shared" si="28"/>
        <v>SPX</v>
      </c>
      <c r="AG16" s="346">
        <f t="shared" si="29"/>
        <v>6985</v>
      </c>
      <c r="AH16" s="89">
        <f t="shared" si="30"/>
        <v>99.889068201557635</v>
      </c>
      <c r="AJ16" s="82" t="str">
        <f t="shared" si="31"/>
        <v>SPX</v>
      </c>
      <c r="AK16" s="346">
        <f t="shared" si="32"/>
        <v>6987</v>
      </c>
      <c r="AL16" s="89">
        <f t="shared" si="33"/>
        <v>99.860403654156499</v>
      </c>
      <c r="AO16" s="6"/>
      <c r="AP16" s="120"/>
      <c r="AQ16" s="120"/>
      <c r="AR16" s="120"/>
      <c r="AS16" s="120"/>
      <c r="AT16" s="120"/>
      <c r="AU16" s="120"/>
      <c r="AV16" s="190"/>
      <c r="AW16" s="221"/>
      <c r="AX16" s="222"/>
      <c r="AZ16" s="4"/>
      <c r="BA16" s="4"/>
    </row>
    <row r="17" spans="1:54" ht="14.4" x14ac:dyDescent="0.3">
      <c r="A17" s="114" t="s">
        <v>17</v>
      </c>
      <c r="B17" s="573">
        <v>261.05</v>
      </c>
      <c r="C17" s="574">
        <v>261.7</v>
      </c>
      <c r="D17" s="575" t="str">
        <f t="shared" si="12"/>
        <v>RD</v>
      </c>
      <c r="E17" s="574">
        <v>262.5</v>
      </c>
      <c r="F17" s="575" t="str">
        <f t="shared" si="13"/>
        <v>LLM</v>
      </c>
      <c r="G17" s="574">
        <v>262.5</v>
      </c>
      <c r="H17" s="575" t="str">
        <f t="shared" si="14"/>
        <v>LLM</v>
      </c>
      <c r="I17" s="576">
        <f>(B7*Y22)+(C7*Y23)+(D7*Y24)+(E7*Y25)+(F7*Y26)+(G7*Y27)+(H7*Y28)+(I7*Y29)</f>
        <v>261.7469202898551</v>
      </c>
      <c r="J17" s="577">
        <v>275.30571480769203</v>
      </c>
      <c r="K17" s="578">
        <v>255.53</v>
      </c>
      <c r="M17" s="420" t="str">
        <f t="shared" si="15"/>
        <v>Kimi 2</v>
      </c>
      <c r="N17" s="489">
        <f t="shared" si="16"/>
        <v>70</v>
      </c>
      <c r="O17" s="412">
        <f t="shared" si="17"/>
        <v>0.12727272727272726</v>
      </c>
      <c r="P17" s="413">
        <f t="shared" si="18"/>
        <v>95</v>
      </c>
      <c r="Q17" s="414">
        <f t="shared" si="19"/>
        <v>0.12582781456953643</v>
      </c>
      <c r="R17" s="414">
        <f t="shared" si="20"/>
        <v>95</v>
      </c>
      <c r="S17" s="414">
        <f t="shared" si="21"/>
        <v>0.125</v>
      </c>
      <c r="T17" s="414">
        <f t="shared" si="22"/>
        <v>20</v>
      </c>
      <c r="U17" s="414">
        <f t="shared" si="23"/>
        <v>9.0909090909090912E-2</v>
      </c>
      <c r="V17" s="414">
        <f t="shared" si="24"/>
        <v>80</v>
      </c>
      <c r="W17" s="415">
        <f t="shared" si="25"/>
        <v>0.13008130081300814</v>
      </c>
      <c r="X17" s="490">
        <f t="shared" si="26"/>
        <v>60</v>
      </c>
      <c r="Y17" s="179">
        <f t="shared" si="27"/>
        <v>0.13043478260869565</v>
      </c>
      <c r="Z17" s="29"/>
      <c r="AA17" s="73">
        <v>90</v>
      </c>
      <c r="AB17" s="526">
        <v>20</v>
      </c>
      <c r="AF17" s="345" t="str">
        <f t="shared" si="28"/>
        <v>VIX</v>
      </c>
      <c r="AG17" s="347">
        <f t="shared" si="29"/>
        <v>15.61</v>
      </c>
      <c r="AH17" s="89">
        <f t="shared" si="30"/>
        <v>98.306188925081429</v>
      </c>
      <c r="AJ17" s="82" t="str">
        <f t="shared" si="31"/>
        <v>VIX</v>
      </c>
      <c r="AK17" s="347">
        <f t="shared" si="32"/>
        <v>15.91</v>
      </c>
      <c r="AL17" s="89">
        <f t="shared" si="33"/>
        <v>96.351791530944624</v>
      </c>
      <c r="AO17" s="186" t="s">
        <v>14</v>
      </c>
      <c r="AP17" s="187" t="str">
        <f>AP13</f>
        <v xml:space="preserve">+3-day </v>
      </c>
      <c r="AQ17" s="187" t="str">
        <f>AQ13</f>
        <v>User1</v>
      </c>
      <c r="AR17" s="187" t="str">
        <f>AR13</f>
        <v>User2</v>
      </c>
      <c r="AS17" s="187" t="str">
        <f>AS13</f>
        <v>User3</v>
      </c>
      <c r="AT17" s="188" t="s">
        <v>38</v>
      </c>
      <c r="AU17" s="227">
        <v>500</v>
      </c>
      <c r="AV17" s="190" t="str">
        <f>AV13</f>
        <v>TEST</v>
      </c>
      <c r="AW17" s="191" t="str">
        <f>AW13</f>
        <v>BEST =</v>
      </c>
      <c r="AX17" s="192">
        <v>378</v>
      </c>
      <c r="AZ17" s="4"/>
      <c r="BA17" s="4"/>
    </row>
    <row r="18" spans="1:54" ht="14.4" x14ac:dyDescent="0.3">
      <c r="M18" s="420" t="str">
        <f t="shared" si="15"/>
        <v>Qwen3 Max</v>
      </c>
      <c r="N18" s="489">
        <f t="shared" si="16"/>
        <v>60</v>
      </c>
      <c r="O18" s="412">
        <f t="shared" si="17"/>
        <v>0.10909090909090909</v>
      </c>
      <c r="P18" s="413">
        <f t="shared" si="18"/>
        <v>90</v>
      </c>
      <c r="Q18" s="414">
        <f t="shared" si="19"/>
        <v>0.11920529801324503</v>
      </c>
      <c r="R18" s="414">
        <f t="shared" si="20"/>
        <v>95</v>
      </c>
      <c r="S18" s="414">
        <f t="shared" si="21"/>
        <v>0.125</v>
      </c>
      <c r="T18" s="414">
        <f t="shared" si="22"/>
        <v>20</v>
      </c>
      <c r="U18" s="414">
        <f t="shared" si="23"/>
        <v>9.0909090909090912E-2</v>
      </c>
      <c r="V18" s="414">
        <f t="shared" si="24"/>
        <v>65</v>
      </c>
      <c r="W18" s="415">
        <f t="shared" si="25"/>
        <v>0.10569105691056911</v>
      </c>
      <c r="X18" s="490">
        <f t="shared" si="26"/>
        <v>50</v>
      </c>
      <c r="Y18" s="179">
        <f t="shared" si="27"/>
        <v>0.10869565217391304</v>
      </c>
      <c r="Z18" s="29"/>
      <c r="AA18" s="73">
        <v>92.5</v>
      </c>
      <c r="AB18" s="526">
        <v>30</v>
      </c>
      <c r="AF18" s="348" t="str">
        <f t="shared" si="28"/>
        <v>QQQ</v>
      </c>
      <c r="AG18" s="349">
        <f t="shared" si="29"/>
        <v>627.1</v>
      </c>
      <c r="AH18" s="107">
        <f t="shared" si="30"/>
        <v>99.059974889740204</v>
      </c>
      <c r="AJ18" s="99" t="str">
        <f t="shared" si="31"/>
        <v>QQQ</v>
      </c>
      <c r="AK18" s="349">
        <f t="shared" si="32"/>
        <v>627.5</v>
      </c>
      <c r="AL18" s="107">
        <f t="shared" si="33"/>
        <v>98.995589608215568</v>
      </c>
      <c r="AO18" s="9"/>
      <c r="AP18" s="187">
        <v>0</v>
      </c>
      <c r="AQ18" s="204">
        <f>AQ19/AT19</f>
        <v>1.5479999999999564E-2</v>
      </c>
      <c r="AR18" s="204">
        <f>AR19/AT19</f>
        <v>1.9479999999999564E-2</v>
      </c>
      <c r="AS18" s="204">
        <f>AS19/AT19</f>
        <v>1.5479999999999564E-2</v>
      </c>
      <c r="AT18" s="187">
        <v>5</v>
      </c>
      <c r="AU18" s="229">
        <f>AU14</f>
        <v>1</v>
      </c>
      <c r="AV18" s="190" t="str">
        <f>AV14</f>
        <v>Scale</v>
      </c>
      <c r="AW18" s="191" t="str">
        <f>AW14</f>
        <v>RANGE  =</v>
      </c>
      <c r="AX18" s="206">
        <f>AU17/AP5</f>
        <v>7.1661368502822023E-2</v>
      </c>
      <c r="AZ18" s="4"/>
      <c r="BA18" s="4"/>
    </row>
    <row r="19" spans="1:54" ht="14.4" x14ac:dyDescent="0.3">
      <c r="M19" s="431" t="str">
        <f t="shared" si="15"/>
        <v>LeChat</v>
      </c>
      <c r="N19" s="491">
        <f t="shared" si="16"/>
        <v>70</v>
      </c>
      <c r="O19" s="433">
        <f t="shared" si="17"/>
        <v>0.12727272727272726</v>
      </c>
      <c r="P19" s="434">
        <f t="shared" si="18"/>
        <v>95</v>
      </c>
      <c r="Q19" s="435">
        <f t="shared" si="19"/>
        <v>0.12582781456953643</v>
      </c>
      <c r="R19" s="435">
        <f t="shared" si="20"/>
        <v>95</v>
      </c>
      <c r="S19" s="435">
        <f t="shared" si="21"/>
        <v>0.125</v>
      </c>
      <c r="T19" s="435">
        <f t="shared" si="22"/>
        <v>50</v>
      </c>
      <c r="U19" s="435">
        <f t="shared" si="23"/>
        <v>0.22727272727272727</v>
      </c>
      <c r="V19" s="435">
        <f t="shared" si="24"/>
        <v>75</v>
      </c>
      <c r="W19" s="436">
        <f t="shared" si="25"/>
        <v>0.12195121951219512</v>
      </c>
      <c r="X19" s="492">
        <f t="shared" si="26"/>
        <v>60</v>
      </c>
      <c r="Y19" s="235">
        <f t="shared" si="27"/>
        <v>0.13043478260869565</v>
      </c>
      <c r="Z19" s="29"/>
      <c r="AA19" s="73">
        <v>95</v>
      </c>
      <c r="AB19" s="526">
        <v>40</v>
      </c>
      <c r="AF19" s="350" t="str">
        <f t="shared" si="28"/>
        <v>AAPL</v>
      </c>
      <c r="AG19" s="351">
        <f t="shared" si="29"/>
        <v>261.7</v>
      </c>
      <c r="AH19" s="118">
        <f t="shared" si="30"/>
        <v>97.585410714984548</v>
      </c>
      <c r="AJ19" s="114" t="str">
        <f t="shared" si="31"/>
        <v>AAPL</v>
      </c>
      <c r="AK19" s="351">
        <f t="shared" si="32"/>
        <v>262.5</v>
      </c>
      <c r="AL19" s="118">
        <f t="shared" si="33"/>
        <v>97.272335929245102</v>
      </c>
      <c r="AO19" s="9"/>
      <c r="AP19" s="212">
        <v>0</v>
      </c>
      <c r="AQ19" s="213">
        <f>AQ5</f>
        <v>7.7399999999997817</v>
      </c>
      <c r="AR19" s="213">
        <f>AR5</f>
        <v>9.7399999999997817</v>
      </c>
      <c r="AS19" s="213">
        <f>AS5</f>
        <v>7.7399999999997817</v>
      </c>
      <c r="AT19" s="213">
        <f>AU18*AU17</f>
        <v>500</v>
      </c>
      <c r="AV19" s="214"/>
      <c r="AW19" s="13"/>
      <c r="AX19" s="13"/>
      <c r="AZ19" s="4"/>
      <c r="BA19" s="4"/>
    </row>
    <row r="20" spans="1:54" ht="14.4" x14ac:dyDescent="0.3">
      <c r="A20" s="2" t="s">
        <v>0</v>
      </c>
      <c r="B20" s="230" t="str">
        <f t="shared" ref="B20:B26" si="34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35">G11</f>
        <v>MICH</v>
      </c>
      <c r="H20" s="1312"/>
      <c r="I20" s="1313" t="s">
        <v>50</v>
      </c>
      <c r="J20" s="1313"/>
      <c r="AA20" s="73">
        <v>96</v>
      </c>
      <c r="AB20" s="526">
        <v>50</v>
      </c>
      <c r="AH20" s="9"/>
      <c r="AO20" s="9"/>
      <c r="AP20" s="120"/>
      <c r="AQ20" s="120"/>
      <c r="AR20" s="120"/>
      <c r="AS20" s="120"/>
      <c r="AT20" s="120"/>
      <c r="AU20" s="120"/>
      <c r="AV20" s="190"/>
      <c r="AW20" s="221"/>
      <c r="AX20" s="222"/>
      <c r="AZ20" s="4"/>
      <c r="BA20" s="4"/>
    </row>
    <row r="21" spans="1:54" ht="14.4" x14ac:dyDescent="0.3">
      <c r="A21" s="35" t="s">
        <v>12</v>
      </c>
      <c r="B21" s="231">
        <f t="shared" si="34"/>
        <v>4.1710000000000003</v>
      </c>
      <c r="C21" s="232">
        <f t="shared" ref="C21:C26" si="36">C12</f>
        <v>4.17</v>
      </c>
      <c r="D21" s="146" t="str">
        <f t="shared" ref="D21:D26" si="37">CONCATENATE(TEXT(AI28,"0.00%"),"  ",AJ28)</f>
        <v>-0.02%  ↓</v>
      </c>
      <c r="E21" s="232">
        <f t="shared" ref="E21:E26" si="38">E12</f>
        <v>4.17</v>
      </c>
      <c r="F21" s="146" t="str">
        <f t="shared" ref="F21:F26" si="39">CONCATENATE(TEXT(AK28,"0.00%"),"  ",AL28)</f>
        <v>-0.02%  ↓</v>
      </c>
      <c r="G21" s="232">
        <f t="shared" si="35"/>
        <v>4.17</v>
      </c>
      <c r="H21" s="146" t="str">
        <f t="shared" ref="H21:H26" si="40">CONCATENATE(TEXT(AM28,"0.00%"),"  ",AN28)</f>
        <v>-0.02%  ↓</v>
      </c>
      <c r="I21" s="438">
        <f t="shared" ref="I21:I26" si="41">K12</f>
        <v>4.2290000000000001</v>
      </c>
      <c r="J21" s="439" t="str">
        <f t="shared" ref="J21:J26" si="42">CONCATENATE(TEXT(AG28,"0.00%"),"  ",AH28)</f>
        <v>1.39%  ↑</v>
      </c>
      <c r="M21" s="19" t="s">
        <v>60</v>
      </c>
      <c r="N21" s="518" t="s">
        <v>12</v>
      </c>
      <c r="O21" s="254">
        <f>SUM(N22:N29)</f>
        <v>665.1875</v>
      </c>
      <c r="P21" s="255" t="s">
        <v>13</v>
      </c>
      <c r="Q21" s="256">
        <f>SUM(P22:P29)</f>
        <v>616.375</v>
      </c>
      <c r="R21" s="257" t="s">
        <v>14</v>
      </c>
      <c r="S21" s="256">
        <f>SUM(R22:R29)</f>
        <v>649.875</v>
      </c>
      <c r="T21" s="257" t="s">
        <v>15</v>
      </c>
      <c r="U21" s="256">
        <f>SUM(T22:T29)</f>
        <v>207.9375</v>
      </c>
      <c r="V21" s="257" t="s">
        <v>16</v>
      </c>
      <c r="W21" s="258">
        <f>SUM(V22:V29)</f>
        <v>590.5</v>
      </c>
      <c r="X21" s="519" t="s">
        <v>17</v>
      </c>
      <c r="Y21" s="28">
        <f>SUM(X22:X29)</f>
        <v>586.5</v>
      </c>
      <c r="Z21" s="29"/>
      <c r="AA21" s="73">
        <v>97</v>
      </c>
      <c r="AB21" s="526">
        <v>60</v>
      </c>
      <c r="AF21" s="1310" t="s">
        <v>44</v>
      </c>
      <c r="AG21" s="1310"/>
      <c r="AH21" s="126">
        <f>AVERAGE(AH15:AH18)</f>
        <v>99.306377797890633</v>
      </c>
      <c r="AJ21" s="1310" t="s">
        <v>44</v>
      </c>
      <c r="AK21" s="1310"/>
      <c r="AL21" s="126">
        <f>AVERAGE(AL15:AL18)</f>
        <v>98.783879705125145</v>
      </c>
      <c r="AO21" s="186" t="s">
        <v>15</v>
      </c>
      <c r="AP21" s="187" t="str">
        <f>AP17</f>
        <v xml:space="preserve">+3-day </v>
      </c>
      <c r="AQ21" s="187" t="str">
        <f>AQ17</f>
        <v>User1</v>
      </c>
      <c r="AR21" s="187" t="str">
        <f>AR17</f>
        <v>User2</v>
      </c>
      <c r="AS21" s="187" t="str">
        <f>AS17</f>
        <v>User3</v>
      </c>
      <c r="AT21" s="188" t="s">
        <v>40</v>
      </c>
      <c r="AU21" s="247">
        <v>3.5</v>
      </c>
      <c r="AV21" s="190" t="str">
        <f>AV17</f>
        <v>TEST</v>
      </c>
      <c r="AW21" s="191" t="str">
        <f>AW17</f>
        <v>BEST =</v>
      </c>
      <c r="AX21" s="192">
        <v>3.53</v>
      </c>
      <c r="AZ21" s="4"/>
      <c r="BA21" s="4"/>
    </row>
    <row r="22" spans="1:54" ht="14.4" x14ac:dyDescent="0.3">
      <c r="A22" s="60" t="s">
        <v>13</v>
      </c>
      <c r="B22" s="477">
        <f t="shared" si="34"/>
        <v>49191.99</v>
      </c>
      <c r="C22" s="237">
        <f t="shared" si="36"/>
        <v>49374</v>
      </c>
      <c r="D22" s="152" t="str">
        <f t="shared" si="37"/>
        <v>0.37%  ↑</v>
      </c>
      <c r="E22" s="237">
        <f t="shared" si="38"/>
        <v>49395</v>
      </c>
      <c r="F22" s="152" t="str">
        <f t="shared" si="39"/>
        <v>0.41%  ↑</v>
      </c>
      <c r="G22" s="237">
        <f t="shared" si="35"/>
        <v>49390</v>
      </c>
      <c r="H22" s="152" t="str">
        <f t="shared" si="40"/>
        <v>0.40%  ↑</v>
      </c>
      <c r="I22" s="440">
        <f t="shared" si="41"/>
        <v>49359.33</v>
      </c>
      <c r="J22" s="441" t="str">
        <f t="shared" si="42"/>
        <v>0.34%  ↑</v>
      </c>
      <c r="M22" s="410" t="str">
        <f t="shared" ref="M22:M29" si="43">M12</f>
        <v>O 5.2</v>
      </c>
      <c r="N22" s="520">
        <v>84.625</v>
      </c>
      <c r="O22" s="443">
        <f t="shared" ref="O22:O29" si="44">N22/$O$21</f>
        <v>0.12721976886216294</v>
      </c>
      <c r="P22" s="444">
        <v>75.375</v>
      </c>
      <c r="Q22" s="445">
        <f t="shared" ref="Q22:Q29" si="45">P22/$Q$21</f>
        <v>0.12228756844453458</v>
      </c>
      <c r="R22" s="445">
        <v>79.1875</v>
      </c>
      <c r="S22" s="445">
        <f t="shared" ref="S22:S29" si="46">R22/$S$21</f>
        <v>0.12185035583766109</v>
      </c>
      <c r="T22" s="445">
        <v>26.625</v>
      </c>
      <c r="U22" s="445">
        <f t="shared" ref="U22:U29" si="47">T22/$U$21</f>
        <v>0.12804328223624886</v>
      </c>
      <c r="V22" s="445">
        <v>70.4375</v>
      </c>
      <c r="W22" s="446">
        <f t="shared" ref="W22:W29" si="48">V22/$W$21</f>
        <v>0.11928450465707027</v>
      </c>
      <c r="X22" s="521">
        <v>70.125</v>
      </c>
      <c r="Y22" s="48">
        <f t="shared" ref="Y22:Y29" si="49">X22/$Y$21</f>
        <v>0.11956521739130435</v>
      </c>
      <c r="Z22" s="29"/>
      <c r="AA22" s="73">
        <v>98</v>
      </c>
      <c r="AB22" s="526">
        <v>65</v>
      </c>
      <c r="AF22" s="1311" t="s">
        <v>51</v>
      </c>
      <c r="AG22" s="1311"/>
      <c r="AH22" s="142">
        <f>AVERAGE(AH14:AH19)</f>
        <v>98.902632172412211</v>
      </c>
      <c r="AJ22" s="1311" t="s">
        <v>51</v>
      </c>
      <c r="AK22" s="1311"/>
      <c r="AL22" s="142">
        <f>AVERAGE(AL14:AL19)</f>
        <v>98.502120979611973</v>
      </c>
      <c r="AO22" s="9"/>
      <c r="AP22" s="187">
        <v>0</v>
      </c>
      <c r="AQ22" s="204">
        <f>AQ23/AT23</f>
        <v>7.4285714285714219E-2</v>
      </c>
      <c r="AR22" s="204">
        <f>AR23/AT23</f>
        <v>0.16000000000000014</v>
      </c>
      <c r="AS22" s="204">
        <f>AS23/AT23</f>
        <v>0.34571428571428547</v>
      </c>
      <c r="AT22" s="187">
        <v>5</v>
      </c>
      <c r="AU22" s="229">
        <f>AU18</f>
        <v>1</v>
      </c>
      <c r="AV22" s="190" t="str">
        <f>AV18</f>
        <v>Scale</v>
      </c>
      <c r="AW22" s="191" t="str">
        <f>AW18</f>
        <v>RANGE  =</v>
      </c>
      <c r="AX22" s="206">
        <f>AU21/AP6</f>
        <v>0.22801302931596093</v>
      </c>
      <c r="AZ22" s="4"/>
      <c r="BA22" s="4"/>
    </row>
    <row r="23" spans="1:54" ht="14.4" x14ac:dyDescent="0.3">
      <c r="A23" s="82" t="s">
        <v>14</v>
      </c>
      <c r="B23" s="478">
        <f t="shared" si="34"/>
        <v>6955.82</v>
      </c>
      <c r="C23" s="249">
        <f t="shared" si="36"/>
        <v>6985</v>
      </c>
      <c r="D23" s="168" t="str">
        <f t="shared" si="37"/>
        <v>0.42%  ↑</v>
      </c>
      <c r="E23" s="249">
        <f t="shared" si="38"/>
        <v>6987</v>
      </c>
      <c r="F23" s="168" t="str">
        <f t="shared" si="39"/>
        <v>0.45%  ↑</v>
      </c>
      <c r="G23" s="249">
        <f t="shared" si="35"/>
        <v>6985</v>
      </c>
      <c r="H23" s="168" t="str">
        <f t="shared" si="40"/>
        <v>0.42%  ↑</v>
      </c>
      <c r="I23" s="448">
        <f t="shared" si="41"/>
        <v>6977.26</v>
      </c>
      <c r="J23" s="441" t="str">
        <f t="shared" si="42"/>
        <v>0.31%  ↑</v>
      </c>
      <c r="M23" s="420" t="str">
        <f t="shared" si="43"/>
        <v>Grok 4.1</v>
      </c>
      <c r="N23" s="520">
        <v>82.25</v>
      </c>
      <c r="O23" s="443">
        <f t="shared" si="44"/>
        <v>0.12364934698863103</v>
      </c>
      <c r="P23" s="444">
        <v>80</v>
      </c>
      <c r="Q23" s="445">
        <f t="shared" si="45"/>
        <v>0.12979111742040153</v>
      </c>
      <c r="R23" s="445">
        <v>86</v>
      </c>
      <c r="S23" s="445">
        <f t="shared" si="46"/>
        <v>0.13233314098865168</v>
      </c>
      <c r="T23" s="445">
        <v>26.1875</v>
      </c>
      <c r="U23" s="445">
        <f t="shared" si="47"/>
        <v>0.12593928464081755</v>
      </c>
      <c r="V23" s="445">
        <v>73.9375</v>
      </c>
      <c r="W23" s="446">
        <f t="shared" si="48"/>
        <v>0.12521168501270111</v>
      </c>
      <c r="X23" s="521">
        <v>73.625</v>
      </c>
      <c r="Y23" s="48">
        <f t="shared" si="49"/>
        <v>0.12553282182438194</v>
      </c>
      <c r="Z23" s="29"/>
      <c r="AA23" s="73">
        <v>98.5</v>
      </c>
      <c r="AB23" s="526">
        <v>70</v>
      </c>
      <c r="AI23" s="449"/>
      <c r="AO23" s="6"/>
      <c r="AP23" s="212">
        <v>0</v>
      </c>
      <c r="AQ23" s="213">
        <f>AQ6</f>
        <v>0.25999999999999979</v>
      </c>
      <c r="AR23" s="213">
        <f>AR6</f>
        <v>0.5600000000000005</v>
      </c>
      <c r="AS23" s="213">
        <f>AS6</f>
        <v>1.2099999999999991</v>
      </c>
      <c r="AT23" s="213">
        <f>AU22*AU21</f>
        <v>3.5</v>
      </c>
      <c r="AV23" s="214"/>
      <c r="AW23" s="13"/>
      <c r="AX23" s="13"/>
      <c r="AZ23" s="4"/>
      <c r="BA23" s="4"/>
      <c r="BB23" s="6"/>
    </row>
    <row r="24" spans="1:54" ht="14.4" x14ac:dyDescent="0.3">
      <c r="A24" s="82" t="s">
        <v>15</v>
      </c>
      <c r="B24" s="478">
        <f t="shared" si="34"/>
        <v>16.04</v>
      </c>
      <c r="C24" s="252">
        <f t="shared" si="36"/>
        <v>15.61</v>
      </c>
      <c r="D24" s="168" t="str">
        <f t="shared" si="37"/>
        <v>-2.68%  ↓</v>
      </c>
      <c r="E24" s="252">
        <f t="shared" si="38"/>
        <v>15.91</v>
      </c>
      <c r="F24" s="168" t="str">
        <f t="shared" si="39"/>
        <v>-0.81%  ↓</v>
      </c>
      <c r="G24" s="252">
        <f t="shared" si="35"/>
        <v>16.559999999999999</v>
      </c>
      <c r="H24" s="168" t="str">
        <f t="shared" si="40"/>
        <v>3.24%  ↑</v>
      </c>
      <c r="I24" s="448">
        <f t="shared" si="41"/>
        <v>15.35</v>
      </c>
      <c r="J24" s="441" t="str">
        <f t="shared" si="42"/>
        <v>-4.30%  ↓</v>
      </c>
      <c r="M24" s="420" t="str">
        <f t="shared" si="43"/>
        <v>Gemini Pro 3</v>
      </c>
      <c r="N24" s="520">
        <v>82.125</v>
      </c>
      <c r="O24" s="443">
        <f t="shared" si="44"/>
        <v>0.12346143004791882</v>
      </c>
      <c r="P24" s="444">
        <v>78.5</v>
      </c>
      <c r="Q24" s="445">
        <f t="shared" si="45"/>
        <v>0.127357533968769</v>
      </c>
      <c r="R24" s="445">
        <v>85.1875</v>
      </c>
      <c r="S24" s="445">
        <f t="shared" si="46"/>
        <v>0.13108290055779959</v>
      </c>
      <c r="T24" s="445">
        <v>22.875</v>
      </c>
      <c r="U24" s="445">
        <f t="shared" si="47"/>
        <v>0.11000901713255185</v>
      </c>
      <c r="V24" s="445">
        <v>72.9375</v>
      </c>
      <c r="W24" s="446">
        <f t="shared" si="48"/>
        <v>0.12351820491109229</v>
      </c>
      <c r="X24" s="521">
        <v>75.125</v>
      </c>
      <c r="Y24" s="48">
        <f t="shared" si="49"/>
        <v>0.12809036658141518</v>
      </c>
      <c r="Z24" s="29"/>
      <c r="AA24" s="73">
        <v>99</v>
      </c>
      <c r="AB24" s="526">
        <v>75</v>
      </c>
      <c r="AI24" s="449"/>
      <c r="AM24" s="450"/>
      <c r="AO24" s="9"/>
      <c r="AP24" s="120"/>
      <c r="AQ24" s="120"/>
      <c r="AR24" s="120"/>
      <c r="AS24" s="120"/>
      <c r="AT24" s="120"/>
      <c r="AU24" s="120"/>
      <c r="AV24" s="190"/>
      <c r="AW24" s="221"/>
      <c r="AX24" s="222"/>
      <c r="AZ24" s="4"/>
      <c r="BA24" s="4"/>
      <c r="BB24" s="6"/>
    </row>
    <row r="25" spans="1:54" ht="14.4" x14ac:dyDescent="0.3">
      <c r="A25" s="99" t="s">
        <v>16</v>
      </c>
      <c r="B25" s="479">
        <f t="shared" si="34"/>
        <v>626.24</v>
      </c>
      <c r="C25" s="261">
        <f t="shared" si="36"/>
        <v>627.1</v>
      </c>
      <c r="D25" s="208" t="str">
        <f t="shared" si="37"/>
        <v>0.14%  ↑</v>
      </c>
      <c r="E25" s="261">
        <f t="shared" si="38"/>
        <v>627.5</v>
      </c>
      <c r="F25" s="208" t="str">
        <f t="shared" si="39"/>
        <v>0.20%  ↑</v>
      </c>
      <c r="G25" s="261">
        <f t="shared" si="35"/>
        <v>626.9</v>
      </c>
      <c r="H25" s="208" t="str">
        <f t="shared" si="40"/>
        <v>0.11%  ↑</v>
      </c>
      <c r="I25" s="451">
        <f t="shared" si="41"/>
        <v>621.26</v>
      </c>
      <c r="J25" s="441" t="str">
        <f t="shared" si="42"/>
        <v>-0.80%  ↓</v>
      </c>
      <c r="M25" s="420" t="str">
        <f t="shared" si="43"/>
        <v>Claude</v>
      </c>
      <c r="N25" s="520">
        <v>80.625</v>
      </c>
      <c r="O25" s="443">
        <f t="shared" si="44"/>
        <v>0.12120642675937236</v>
      </c>
      <c r="P25" s="444">
        <v>76.25</v>
      </c>
      <c r="Q25" s="445">
        <f t="shared" si="45"/>
        <v>0.12370715879132022</v>
      </c>
      <c r="R25" s="445">
        <v>80.625</v>
      </c>
      <c r="S25" s="445">
        <f t="shared" si="46"/>
        <v>0.12406231967686093</v>
      </c>
      <c r="T25" s="445">
        <v>22.625</v>
      </c>
      <c r="U25" s="445">
        <f t="shared" si="47"/>
        <v>0.10880673279230538</v>
      </c>
      <c r="V25" s="445">
        <v>71.875</v>
      </c>
      <c r="W25" s="446">
        <f t="shared" si="48"/>
        <v>0.12171888230313294</v>
      </c>
      <c r="X25" s="521">
        <v>71.75</v>
      </c>
      <c r="Y25" s="48">
        <f t="shared" si="49"/>
        <v>0.12233589087809037</v>
      </c>
      <c r="Z25" s="29"/>
      <c r="AA25" s="73">
        <v>99.25</v>
      </c>
      <c r="AB25" s="526">
        <v>80</v>
      </c>
      <c r="AI25" s="4"/>
      <c r="AK25" s="4"/>
      <c r="AM25" s="4"/>
      <c r="AO25" s="186" t="s">
        <v>16</v>
      </c>
      <c r="AP25" s="187" t="str">
        <f>AP21</f>
        <v xml:space="preserve">+3-day </v>
      </c>
      <c r="AQ25" s="187" t="str">
        <f>AQ21</f>
        <v>User1</v>
      </c>
      <c r="AR25" s="187" t="str">
        <f>AR21</f>
        <v>User2</v>
      </c>
      <c r="AS25" s="187" t="str">
        <f>AS21</f>
        <v>User3</v>
      </c>
      <c r="AT25" s="188" t="s">
        <v>43</v>
      </c>
      <c r="AU25" s="247">
        <v>6.8</v>
      </c>
      <c r="AV25" s="190" t="str">
        <f>AV21</f>
        <v>TEST</v>
      </c>
      <c r="AW25" s="191" t="str">
        <f>AW21</f>
        <v>BEST =</v>
      </c>
      <c r="AX25" s="192">
        <v>20.66</v>
      </c>
      <c r="AZ25" s="4"/>
      <c r="BA25" s="4"/>
      <c r="BB25" s="6"/>
    </row>
    <row r="26" spans="1:54" ht="14.4" x14ac:dyDescent="0.3">
      <c r="A26" s="109" t="s">
        <v>17</v>
      </c>
      <c r="B26" s="480">
        <f t="shared" si="34"/>
        <v>261.05</v>
      </c>
      <c r="C26" s="274">
        <f t="shared" si="36"/>
        <v>261.7</v>
      </c>
      <c r="D26" s="217" t="str">
        <f t="shared" si="37"/>
        <v>0.25%  ↑</v>
      </c>
      <c r="E26" s="274">
        <f t="shared" si="38"/>
        <v>262.5</v>
      </c>
      <c r="F26" s="217" t="str">
        <f t="shared" si="39"/>
        <v>0.56%  ↑</v>
      </c>
      <c r="G26" s="274">
        <f t="shared" si="35"/>
        <v>262.5</v>
      </c>
      <c r="H26" s="217" t="str">
        <f t="shared" si="40"/>
        <v>0.56%  ↑</v>
      </c>
      <c r="I26" s="452">
        <f t="shared" si="41"/>
        <v>255.53</v>
      </c>
      <c r="J26" s="453" t="str">
        <f t="shared" si="42"/>
        <v>-2.11%  ↓</v>
      </c>
      <c r="M26" s="420" t="str">
        <f t="shared" si="43"/>
        <v>Minimax 2.1</v>
      </c>
      <c r="N26" s="520">
        <v>82.3125</v>
      </c>
      <c r="O26" s="443">
        <f t="shared" si="44"/>
        <v>0.12374330545898712</v>
      </c>
      <c r="P26" s="444">
        <v>79.375</v>
      </c>
      <c r="Q26" s="445">
        <f t="shared" si="45"/>
        <v>0.12877712431555466</v>
      </c>
      <c r="R26" s="445">
        <v>78.875</v>
      </c>
      <c r="S26" s="445">
        <f t="shared" si="46"/>
        <v>0.12136949413348722</v>
      </c>
      <c r="T26" s="445">
        <v>18.25</v>
      </c>
      <c r="U26" s="445">
        <f t="shared" si="47"/>
        <v>8.7766756837992191E-2</v>
      </c>
      <c r="V26" s="445">
        <v>74.0625</v>
      </c>
      <c r="W26" s="446">
        <f t="shared" si="48"/>
        <v>0.12542337002540221</v>
      </c>
      <c r="X26" s="521">
        <v>72.375</v>
      </c>
      <c r="Y26" s="48">
        <f t="shared" si="49"/>
        <v>0.12340153452685422</v>
      </c>
      <c r="Z26" s="29"/>
      <c r="AA26" s="73">
        <v>99.5</v>
      </c>
      <c r="AB26" s="526">
        <v>90</v>
      </c>
      <c r="AI26" s="4"/>
      <c r="AK26" s="4"/>
      <c r="AM26" s="4"/>
      <c r="AO26" s="9"/>
      <c r="AP26" s="187">
        <v>0</v>
      </c>
      <c r="AQ26" s="204">
        <f>AQ27/AT27</f>
        <v>0.85882352941176943</v>
      </c>
      <c r="AR26" s="204">
        <f>AR27/AT27</f>
        <v>0.91764705882353081</v>
      </c>
      <c r="AS26" s="204">
        <f>AS27/AT27</f>
        <v>0.82941176470588041</v>
      </c>
      <c r="AT26" s="187">
        <v>5</v>
      </c>
      <c r="AU26" s="229">
        <f>AU22</f>
        <v>1</v>
      </c>
      <c r="AV26" s="190" t="str">
        <f>AV22</f>
        <v>Scale</v>
      </c>
      <c r="AW26" s="191" t="str">
        <f>AW22</f>
        <v>RANGE  =</v>
      </c>
      <c r="AX26" s="206">
        <f>AU25/AP7</f>
        <v>1.094549785918939E-2</v>
      </c>
    </row>
    <row r="27" spans="1:54" ht="14.4" x14ac:dyDescent="0.3">
      <c r="M27" s="420" t="str">
        <f t="shared" si="43"/>
        <v>Kimi 2</v>
      </c>
      <c r="N27" s="520">
        <v>86.875</v>
      </c>
      <c r="O27" s="443">
        <f t="shared" si="44"/>
        <v>0.13060227379498263</v>
      </c>
      <c r="P27" s="444">
        <v>74.8125</v>
      </c>
      <c r="Q27" s="445">
        <f t="shared" si="45"/>
        <v>0.12137497465017238</v>
      </c>
      <c r="R27" s="445">
        <v>81.25</v>
      </c>
      <c r="S27" s="445">
        <f t="shared" si="46"/>
        <v>0.1250240430852087</v>
      </c>
      <c r="T27" s="445">
        <v>28.1875</v>
      </c>
      <c r="U27" s="445">
        <f t="shared" si="47"/>
        <v>0.13555755936278929</v>
      </c>
      <c r="V27" s="445">
        <v>76.625</v>
      </c>
      <c r="W27" s="446">
        <f t="shared" si="48"/>
        <v>0.12976291278577476</v>
      </c>
      <c r="X27" s="521">
        <v>73.625</v>
      </c>
      <c r="Y27" s="48">
        <f t="shared" si="49"/>
        <v>0.12553282182438194</v>
      </c>
      <c r="Z27" s="29"/>
      <c r="AA27" s="73">
        <v>99.75</v>
      </c>
      <c r="AB27" s="526">
        <v>95</v>
      </c>
      <c r="AI27" s="4"/>
      <c r="AK27" s="4"/>
      <c r="AM27" s="4"/>
      <c r="AO27" s="9"/>
      <c r="AP27" s="212">
        <v>0</v>
      </c>
      <c r="AQ27" s="213">
        <f>AQ7</f>
        <v>5.8400000000000318</v>
      </c>
      <c r="AR27" s="213">
        <f>AR7</f>
        <v>6.2400000000000091</v>
      </c>
      <c r="AS27" s="213">
        <f>AS7</f>
        <v>5.6399999999999864</v>
      </c>
      <c r="AT27" s="213">
        <f>AU26*AU25</f>
        <v>6.8</v>
      </c>
    </row>
    <row r="28" spans="1:54" ht="14.25" customHeight="1" x14ac:dyDescent="0.3">
      <c r="M28" s="420" t="str">
        <f t="shared" si="43"/>
        <v>Qwen3 Max</v>
      </c>
      <c r="N28" s="520">
        <v>85.625</v>
      </c>
      <c r="O28" s="443">
        <f t="shared" si="44"/>
        <v>0.12872310438786055</v>
      </c>
      <c r="P28" s="444">
        <v>76.0625</v>
      </c>
      <c r="Q28" s="445">
        <f t="shared" si="45"/>
        <v>0.12340296085986616</v>
      </c>
      <c r="R28" s="445">
        <v>78.75</v>
      </c>
      <c r="S28" s="445">
        <f t="shared" si="46"/>
        <v>0.12117714945181765</v>
      </c>
      <c r="T28" s="445">
        <v>23.1875</v>
      </c>
      <c r="U28" s="445">
        <f t="shared" si="47"/>
        <v>0.11151187255785994</v>
      </c>
      <c r="V28" s="445">
        <v>76.625</v>
      </c>
      <c r="W28" s="446">
        <f t="shared" si="48"/>
        <v>0.12976291278577476</v>
      </c>
      <c r="X28" s="521">
        <v>74.875</v>
      </c>
      <c r="Y28" s="48">
        <f t="shared" si="49"/>
        <v>0.12766410912190965</v>
      </c>
      <c r="Z28" s="29"/>
      <c r="AA28" s="139">
        <v>99.99</v>
      </c>
      <c r="AB28" s="527">
        <v>100</v>
      </c>
      <c r="AF28" s="1315" t="str">
        <f>B20</f>
        <v>Close YF</v>
      </c>
      <c r="AG28" s="163">
        <f t="shared" ref="AG28:AG33" si="50">(I21-B21)/B21</f>
        <v>1.3905538240230119E-2</v>
      </c>
      <c r="AH28" s="164" t="str">
        <f>IF(K12-B21&gt;0,"↑","↓")</f>
        <v>↑</v>
      </c>
      <c r="AI28" s="165">
        <f t="shared" ref="AI28:AI33" si="51">(C21-B21)/B21</f>
        <v>-2.3975065931439317E-4</v>
      </c>
      <c r="AJ28" s="166" t="str">
        <f t="shared" ref="AJ28:AJ33" si="52">IF(C21-B21&gt;0,"↑","↓")</f>
        <v>↓</v>
      </c>
      <c r="AK28" s="163">
        <f t="shared" ref="AK28:AK33" si="53">(E21-B21)/B21</f>
        <v>-2.3975065931439317E-4</v>
      </c>
      <c r="AL28" s="164" t="str">
        <f t="shared" ref="AL28:AL33" si="54">IF(E21-B21&gt;0,"↑","↓")</f>
        <v>↓</v>
      </c>
      <c r="AM28" s="163">
        <f t="shared" ref="AM28:AM33" si="55">(G21-B21)/B21</f>
        <v>-2.3975065931439317E-4</v>
      </c>
      <c r="AN28" s="164" t="str">
        <f t="shared" ref="AN28:AN33" si="56">IF(G21-B21&gt;0,"↑","↓")</f>
        <v>↓</v>
      </c>
      <c r="AP28" s="120"/>
      <c r="AQ28" s="120"/>
      <c r="AR28" s="120"/>
      <c r="AS28" s="120"/>
      <c r="AT28" s="120"/>
      <c r="AU28" s="251"/>
      <c r="AV28" s="251"/>
      <c r="AW28" s="295"/>
      <c r="AX28" s="296"/>
    </row>
    <row r="29" spans="1:54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57">G20</f>
        <v>MICH</v>
      </c>
      <c r="H29" s="1312"/>
      <c r="I29" s="1313" t="s">
        <v>50</v>
      </c>
      <c r="J29" s="1313"/>
      <c r="M29" s="431" t="str">
        <f t="shared" si="43"/>
        <v>LeChat</v>
      </c>
      <c r="N29" s="522">
        <v>80.75</v>
      </c>
      <c r="O29" s="455">
        <f t="shared" si="44"/>
        <v>0.12139434370008456</v>
      </c>
      <c r="P29" s="456">
        <v>76</v>
      </c>
      <c r="Q29" s="457">
        <f t="shared" si="45"/>
        <v>0.12330156154938146</v>
      </c>
      <c r="R29" s="457">
        <v>80</v>
      </c>
      <c r="S29" s="457">
        <f t="shared" si="46"/>
        <v>0.12310059626851318</v>
      </c>
      <c r="T29" s="457">
        <v>40</v>
      </c>
      <c r="U29" s="457">
        <f t="shared" si="47"/>
        <v>0.19236549443943493</v>
      </c>
      <c r="V29" s="457">
        <v>74</v>
      </c>
      <c r="W29" s="458">
        <f t="shared" si="48"/>
        <v>0.12531752751905165</v>
      </c>
      <c r="X29" s="523">
        <v>75</v>
      </c>
      <c r="Y29" s="124">
        <f t="shared" si="49"/>
        <v>0.12787723785166241</v>
      </c>
      <c r="Z29" s="29"/>
      <c r="AF29" s="1315"/>
      <c r="AG29" s="182">
        <f t="shared" si="50"/>
        <v>3.4017733374885582E-3</v>
      </c>
      <c r="AH29" s="183" t="str">
        <f>IF(I22-B22&gt;0,"↑","↓")</f>
        <v>↑</v>
      </c>
      <c r="AI29" s="184">
        <f t="shared" si="51"/>
        <v>3.699992620749883E-3</v>
      </c>
      <c r="AJ29" s="185" t="str">
        <f t="shared" si="52"/>
        <v>↑</v>
      </c>
      <c r="AK29" s="182">
        <f t="shared" si="53"/>
        <v>4.1268913902446731E-3</v>
      </c>
      <c r="AL29" s="183" t="str">
        <f t="shared" si="54"/>
        <v>↑</v>
      </c>
      <c r="AM29" s="182">
        <f t="shared" si="55"/>
        <v>4.025248826079247E-3</v>
      </c>
      <c r="AN29" s="183" t="str">
        <f t="shared" si="56"/>
        <v>↑</v>
      </c>
      <c r="AP29" s="120"/>
      <c r="AQ29" s="305" t="s">
        <v>23</v>
      </c>
      <c r="AR29" s="305" t="s">
        <v>24</v>
      </c>
      <c r="AS29" s="305" t="s">
        <v>25</v>
      </c>
      <c r="AT29" s="120"/>
      <c r="AU29" s="251"/>
      <c r="AV29" s="251"/>
      <c r="AW29" s="295"/>
      <c r="AX29" s="296"/>
    </row>
    <row r="30" spans="1:54" ht="14.25" customHeight="1" x14ac:dyDescent="0.3">
      <c r="A30" s="35" t="s">
        <v>12</v>
      </c>
      <c r="B30" s="298">
        <v>4.2949999999999999</v>
      </c>
      <c r="C30" s="232">
        <f t="shared" ref="C30:C35" si="58">C21</f>
        <v>4.17</v>
      </c>
      <c r="D30" s="146" t="str">
        <f t="shared" ref="D30:D35" si="59">CONCATENATE(TEXT(AI35,"0.00%"),"  ",AJ35)</f>
        <v>-2.91%  ↓</v>
      </c>
      <c r="E30" s="232">
        <f t="shared" ref="E30:E35" si="60">E21</f>
        <v>4.17</v>
      </c>
      <c r="F30" s="146" t="str">
        <f t="shared" ref="F30:F35" si="61">CONCATENATE(TEXT(AK35,"0.00%"),"  ",AL35)</f>
        <v>-2.91%  ↓</v>
      </c>
      <c r="G30" s="232">
        <f t="shared" si="57"/>
        <v>4.17</v>
      </c>
      <c r="H30" s="146" t="str">
        <f t="shared" ref="H30:H35" si="62">CONCATENATE(TEXT(AM35,"0.00%"),"  ",AN35)</f>
        <v>-2.91%  ↓</v>
      </c>
      <c r="I30" s="438">
        <f t="shared" ref="I30:I35" si="63">I21</f>
        <v>4.2290000000000001</v>
      </c>
      <c r="J30" s="439" t="str">
        <f t="shared" ref="J30:J35" si="64">CONCATENATE(TEXT(AG35,"0.00%"),"  ",AH35)</f>
        <v>-1.54%  ↓</v>
      </c>
      <c r="AF30" s="1315"/>
      <c r="AG30" s="182">
        <f t="shared" si="50"/>
        <v>3.0823109281149469E-3</v>
      </c>
      <c r="AH30" s="183" t="str">
        <f>IF(I23-B23&gt;0,"↑","↓")</f>
        <v>↑</v>
      </c>
      <c r="AI30" s="184">
        <f t="shared" si="51"/>
        <v>4.1950481754847438E-3</v>
      </c>
      <c r="AJ30" s="185" t="str">
        <f t="shared" si="52"/>
        <v>↑</v>
      </c>
      <c r="AK30" s="182">
        <f t="shared" si="53"/>
        <v>4.4825771799730718E-3</v>
      </c>
      <c r="AL30" s="183" t="str">
        <f t="shared" si="54"/>
        <v>↑</v>
      </c>
      <c r="AM30" s="182">
        <f t="shared" si="55"/>
        <v>4.1950481754847438E-3</v>
      </c>
      <c r="AN30" s="183" t="str">
        <f t="shared" si="56"/>
        <v>↑</v>
      </c>
      <c r="AP30" s="307"/>
      <c r="AQ30" s="308">
        <f>SUM(AQ14,AQ18,AQ22,AQ26)</f>
        <v>0.95445724369748253</v>
      </c>
      <c r="AR30" s="308">
        <f>SUM(AR14,AR18,AR22,AR26)</f>
        <v>1.1113950588235297</v>
      </c>
      <c r="AS30" s="308">
        <f>SUM(AS14,AS18,AS22,AS26)</f>
        <v>1.2028740504201647</v>
      </c>
      <c r="AT30" s="309" t="s">
        <v>62</v>
      </c>
      <c r="AU30" s="251"/>
      <c r="AV30" s="251"/>
      <c r="AW30" s="295"/>
      <c r="AX30" s="296"/>
    </row>
    <row r="31" spans="1:54" ht="14.25" customHeight="1" x14ac:dyDescent="0.3">
      <c r="A31" s="60" t="s">
        <v>13</v>
      </c>
      <c r="B31" s="481">
        <v>49358.18</v>
      </c>
      <c r="C31" s="237">
        <f t="shared" si="58"/>
        <v>49374</v>
      </c>
      <c r="D31" s="152" t="str">
        <f t="shared" si="59"/>
        <v>0.03%  ↑</v>
      </c>
      <c r="E31" s="237">
        <f t="shared" si="60"/>
        <v>49395</v>
      </c>
      <c r="F31" s="152" t="str">
        <f t="shared" si="61"/>
        <v>0.07%  ↑</v>
      </c>
      <c r="G31" s="237">
        <f t="shared" si="57"/>
        <v>49390</v>
      </c>
      <c r="H31" s="152" t="str">
        <f t="shared" si="62"/>
        <v>0.06%  ↑</v>
      </c>
      <c r="I31" s="440">
        <f t="shared" si="63"/>
        <v>49359.33</v>
      </c>
      <c r="J31" s="441" t="str">
        <f t="shared" si="64"/>
        <v>0.00%  ↑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F31" s="1315"/>
      <c r="AG31" s="182">
        <f t="shared" si="50"/>
        <v>-4.3017456359102216E-2</v>
      </c>
      <c r="AH31" s="183" t="str">
        <f>IF(I24-B24&gt;0,"↑","↓")</f>
        <v>↓</v>
      </c>
      <c r="AI31" s="184">
        <f t="shared" si="51"/>
        <v>-2.6807980049875297E-2</v>
      </c>
      <c r="AJ31" s="185" t="str">
        <f t="shared" si="52"/>
        <v>↓</v>
      </c>
      <c r="AK31" s="182">
        <f t="shared" si="53"/>
        <v>-8.1047381546134039E-3</v>
      </c>
      <c r="AL31" s="183" t="str">
        <f t="shared" si="54"/>
        <v>↓</v>
      </c>
      <c r="AM31" s="182">
        <f t="shared" si="55"/>
        <v>3.2418952618453838E-2</v>
      </c>
      <c r="AN31" s="183" t="str">
        <f t="shared" si="56"/>
        <v>↑</v>
      </c>
      <c r="AQ31" s="187">
        <v>0.95</v>
      </c>
      <c r="AR31" s="187">
        <v>0.95</v>
      </c>
      <c r="AS31" s="187">
        <v>1.2</v>
      </c>
      <c r="AT31" s="316" t="s">
        <v>61</v>
      </c>
      <c r="AU31" s="251"/>
      <c r="AV31" s="251"/>
      <c r="AW31" s="295"/>
      <c r="AX31" s="296"/>
    </row>
    <row r="32" spans="1:54" ht="14.25" customHeight="1" x14ac:dyDescent="0.3">
      <c r="A32" s="82" t="s">
        <v>14</v>
      </c>
      <c r="B32" s="482">
        <v>6940</v>
      </c>
      <c r="C32" s="249">
        <f t="shared" si="58"/>
        <v>6985</v>
      </c>
      <c r="D32" s="168" t="str">
        <f t="shared" si="59"/>
        <v>0.65%  ↑</v>
      </c>
      <c r="E32" s="249">
        <f t="shared" si="60"/>
        <v>6987</v>
      </c>
      <c r="F32" s="168" t="str">
        <f t="shared" si="61"/>
        <v>0.68%  ↑</v>
      </c>
      <c r="G32" s="249">
        <f t="shared" si="57"/>
        <v>6985</v>
      </c>
      <c r="H32" s="168" t="str">
        <f t="shared" si="62"/>
        <v>0.65%  ↑</v>
      </c>
      <c r="I32" s="448">
        <f t="shared" si="63"/>
        <v>6977.26</v>
      </c>
      <c r="J32" s="441" t="str">
        <f t="shared" si="64"/>
        <v>0.54%  ↑</v>
      </c>
      <c r="N32" s="53" t="s">
        <v>12</v>
      </c>
      <c r="P32" s="287">
        <f t="shared" ref="P32:P37" si="65">100-ABS(($K12-C12)/($K12))*100</f>
        <v>98.604871127926216</v>
      </c>
      <c r="Q32" s="328"/>
      <c r="R32" s="288">
        <f t="shared" ref="R32:R37" si="66">100-ABS(($K12-E12)/($K12))*100</f>
        <v>98.604871127926216</v>
      </c>
      <c r="S32" s="328"/>
      <c r="T32" s="288">
        <f t="shared" ref="T32:T37" si="67">100-ABS(($K12-G12)/($K12))*100</f>
        <v>98.604871127926216</v>
      </c>
      <c r="U32" s="328"/>
      <c r="V32" s="461">
        <f t="shared" ref="V32:V37" si="68">100-ABS((($K12-J12)/($K12)))*100</f>
        <v>98.13404490783212</v>
      </c>
      <c r="X32" s="290">
        <f t="shared" ref="X32:X37" si="69">100-ABS((($K12-I12)/($K12)))*100</f>
        <v>98.558134065206644</v>
      </c>
      <c r="AF32" s="1315"/>
      <c r="AG32" s="182">
        <f t="shared" si="50"/>
        <v>-7.9522227899846993E-3</v>
      </c>
      <c r="AH32" s="183" t="str">
        <f>IF(I25-B25&gt;0,"↑","↓")</f>
        <v>↓</v>
      </c>
      <c r="AI32" s="184">
        <f t="shared" si="51"/>
        <v>1.3732754215636397E-3</v>
      </c>
      <c r="AJ32" s="185" t="str">
        <f t="shared" si="52"/>
        <v>↑</v>
      </c>
      <c r="AK32" s="182">
        <f t="shared" si="53"/>
        <v>2.0120081757792393E-3</v>
      </c>
      <c r="AL32" s="183" t="str">
        <f t="shared" si="54"/>
        <v>↑</v>
      </c>
      <c r="AM32" s="182">
        <f t="shared" si="55"/>
        <v>1.0539090444557488E-3</v>
      </c>
      <c r="AN32" s="183" t="str">
        <f t="shared" si="56"/>
        <v>↑</v>
      </c>
      <c r="AO32" s="4"/>
      <c r="AQ32" s="10"/>
      <c r="AR32" s="10"/>
      <c r="AS32" s="10"/>
      <c r="AT32" s="10"/>
    </row>
    <row r="33" spans="1:46" ht="14.25" customHeight="1" x14ac:dyDescent="0.3">
      <c r="A33" s="82" t="s">
        <v>15</v>
      </c>
      <c r="B33" s="482">
        <v>20.239999999999998</v>
      </c>
      <c r="C33" s="252">
        <f t="shared" si="58"/>
        <v>15.61</v>
      </c>
      <c r="D33" s="168" t="str">
        <f t="shared" si="59"/>
        <v>-22.88%  ↓</v>
      </c>
      <c r="E33" s="252">
        <f t="shared" si="60"/>
        <v>15.91</v>
      </c>
      <c r="F33" s="168" t="str">
        <f t="shared" si="61"/>
        <v>-21.39%  ↓</v>
      </c>
      <c r="G33" s="252">
        <f t="shared" si="57"/>
        <v>16.559999999999999</v>
      </c>
      <c r="H33" s="168" t="str">
        <f t="shared" si="62"/>
        <v>-18.18%  ↓</v>
      </c>
      <c r="I33" s="448">
        <f t="shared" si="63"/>
        <v>15.35</v>
      </c>
      <c r="J33" s="441" t="str">
        <f t="shared" si="64"/>
        <v>-24.16%  ↓</v>
      </c>
      <c r="N33" s="60" t="s">
        <v>13</v>
      </c>
      <c r="P33" s="291">
        <f t="shared" si="65"/>
        <v>99.970279175183293</v>
      </c>
      <c r="Q33" s="328"/>
      <c r="R33" s="292">
        <f t="shared" si="66"/>
        <v>99.927734027183917</v>
      </c>
      <c r="S33" s="328"/>
      <c r="T33" s="292">
        <f t="shared" si="67"/>
        <v>99.937863824326627</v>
      </c>
      <c r="U33" s="328"/>
      <c r="V33" s="462">
        <f t="shared" si="68"/>
        <v>97.789736000537488</v>
      </c>
      <c r="X33" s="294">
        <f t="shared" si="69"/>
        <v>99.940957679254709</v>
      </c>
      <c r="AF33" s="1315"/>
      <c r="AG33" s="223">
        <f t="shared" si="50"/>
        <v>-2.1145374449339244E-2</v>
      </c>
      <c r="AH33" s="224" t="str">
        <f>IF(I26-B26&gt;0,"↑","↓")</f>
        <v>↓</v>
      </c>
      <c r="AI33" s="225">
        <f t="shared" si="51"/>
        <v>2.4899444550851454E-3</v>
      </c>
      <c r="AJ33" s="226" t="str">
        <f t="shared" si="52"/>
        <v>↑</v>
      </c>
      <c r="AK33" s="223">
        <f t="shared" si="53"/>
        <v>5.5544914767285524E-3</v>
      </c>
      <c r="AL33" s="224" t="str">
        <f t="shared" si="54"/>
        <v>↑</v>
      </c>
      <c r="AM33" s="223">
        <f t="shared" si="55"/>
        <v>5.5544914767285524E-3</v>
      </c>
      <c r="AN33" s="224" t="str">
        <f t="shared" si="56"/>
        <v>↑</v>
      </c>
      <c r="AQ33" s="10"/>
      <c r="AR33" s="10"/>
      <c r="AS33" s="10"/>
      <c r="AT33" s="10"/>
    </row>
    <row r="34" spans="1:46" ht="14.25" customHeight="1" x14ac:dyDescent="0.3">
      <c r="A34" s="99" t="s">
        <v>16</v>
      </c>
      <c r="B34" s="483">
        <v>608.01</v>
      </c>
      <c r="C34" s="261">
        <f t="shared" si="58"/>
        <v>627.1</v>
      </c>
      <c r="D34" s="208" t="str">
        <f t="shared" si="59"/>
        <v>3.14%  ↑</v>
      </c>
      <c r="E34" s="261">
        <f t="shared" si="60"/>
        <v>627.5</v>
      </c>
      <c r="F34" s="208" t="str">
        <f t="shared" si="61"/>
        <v>3.21%  ↑</v>
      </c>
      <c r="G34" s="261">
        <f t="shared" si="57"/>
        <v>626.9</v>
      </c>
      <c r="H34" s="208" t="str">
        <f t="shared" si="62"/>
        <v>3.11%  ↑</v>
      </c>
      <c r="I34" s="451">
        <f t="shared" si="63"/>
        <v>621.26</v>
      </c>
      <c r="J34" s="441" t="str">
        <f t="shared" si="64"/>
        <v>2.18%  ↑</v>
      </c>
      <c r="N34" s="82" t="s">
        <v>14</v>
      </c>
      <c r="P34" s="301">
        <f t="shared" si="65"/>
        <v>99.889068201557635</v>
      </c>
      <c r="Q34" s="328"/>
      <c r="R34" s="302">
        <f t="shared" si="66"/>
        <v>99.860403654156499</v>
      </c>
      <c r="S34" s="328"/>
      <c r="T34" s="302">
        <f t="shared" si="67"/>
        <v>99.889068201557635</v>
      </c>
      <c r="U34" s="328"/>
      <c r="V34" s="463">
        <f t="shared" si="68"/>
        <v>97.690245749581067</v>
      </c>
      <c r="X34" s="304">
        <f t="shared" si="69"/>
        <v>99.969139270801165</v>
      </c>
      <c r="AF34" s="228"/>
      <c r="AG34" s="1316" t="str">
        <f>K11</f>
        <v xml:space="preserve">+3-day </v>
      </c>
      <c r="AH34" s="1316"/>
      <c r="AI34" s="1317" t="str">
        <f>C11</f>
        <v>RD</v>
      </c>
      <c r="AJ34" s="1317"/>
      <c r="AK34" s="1318">
        <f>E11</f>
        <v>85520</v>
      </c>
      <c r="AL34" s="1318"/>
      <c r="AM34" s="1318" t="str">
        <f>G11</f>
        <v>MICH</v>
      </c>
      <c r="AN34" s="1318"/>
      <c r="AQ34" s="10"/>
      <c r="AR34" s="10"/>
      <c r="AS34" s="10"/>
      <c r="AT34" s="10"/>
    </row>
    <row r="35" spans="1:46" ht="14.25" customHeight="1" x14ac:dyDescent="0.3">
      <c r="A35" s="109" t="s">
        <v>17</v>
      </c>
      <c r="B35" s="484">
        <v>246.88</v>
      </c>
      <c r="C35" s="274">
        <f t="shared" si="58"/>
        <v>261.7</v>
      </c>
      <c r="D35" s="217" t="str">
        <f t="shared" si="59"/>
        <v>6.00%  ↑</v>
      </c>
      <c r="E35" s="274">
        <f t="shared" si="60"/>
        <v>262.5</v>
      </c>
      <c r="F35" s="217" t="str">
        <f t="shared" si="61"/>
        <v>6.33%  ↑</v>
      </c>
      <c r="G35" s="274">
        <f t="shared" si="57"/>
        <v>262.5</v>
      </c>
      <c r="H35" s="217" t="str">
        <f t="shared" si="62"/>
        <v>6.33%  ↑</v>
      </c>
      <c r="I35" s="452">
        <f t="shared" si="63"/>
        <v>255.53</v>
      </c>
      <c r="J35" s="453" t="str">
        <f t="shared" si="64"/>
        <v>3.50%  ↑</v>
      </c>
      <c r="N35" s="82" t="s">
        <v>15</v>
      </c>
      <c r="P35" s="301">
        <f t="shared" si="65"/>
        <v>98.306188925081429</v>
      </c>
      <c r="Q35" s="328"/>
      <c r="R35" s="302">
        <f t="shared" si="66"/>
        <v>96.351791530944624</v>
      </c>
      <c r="S35" s="328"/>
      <c r="T35" s="302">
        <f t="shared" si="67"/>
        <v>92.117263843648217</v>
      </c>
      <c r="U35" s="328"/>
      <c r="V35" s="463">
        <f t="shared" si="68"/>
        <v>92.675991125216299</v>
      </c>
      <c r="X35" s="304">
        <f t="shared" si="69"/>
        <v>92.834052452101986</v>
      </c>
      <c r="AF35" s="1315" t="str">
        <f>B29</f>
        <v>Oraclum</v>
      </c>
      <c r="AG35" s="163">
        <f t="shared" ref="AG35:AG40" si="70">(I30-B30)/B30</f>
        <v>-1.5366705471478425E-2</v>
      </c>
      <c r="AH35" s="164" t="str">
        <f t="shared" ref="AH35:AH40" si="71">IF(I30-B30&gt;0,"↑","↓")</f>
        <v>↓</v>
      </c>
      <c r="AI35" s="165">
        <f t="shared" ref="AI35:AI40" si="72">(C30-B30)/B30</f>
        <v>-2.9103608847497089E-2</v>
      </c>
      <c r="AJ35" s="166" t="str">
        <f t="shared" ref="AJ35:AJ40" si="73">IF(C30-B30&gt;0,"↑","↓")</f>
        <v>↓</v>
      </c>
      <c r="AK35" s="163">
        <f t="shared" ref="AK35:AK40" si="74">(E30-B30)/B30</f>
        <v>-2.9103608847497089E-2</v>
      </c>
      <c r="AL35" s="164" t="str">
        <f t="shared" ref="AL35:AL40" si="75">IF(E30-B30&gt;0,"↑","↓")</f>
        <v>↓</v>
      </c>
      <c r="AM35" s="163">
        <f t="shared" ref="AM35:AM40" si="76">(G30-B30)/B30</f>
        <v>-2.9103608847497089E-2</v>
      </c>
      <c r="AN35" s="164" t="str">
        <f t="shared" ref="AN35:AN40" si="77">IF(G30-B30&gt;0,"↑","↓")</f>
        <v>↓</v>
      </c>
      <c r="AQ35" s="10"/>
      <c r="AR35" s="10"/>
      <c r="AS35" s="10"/>
      <c r="AT35" s="10"/>
    </row>
    <row r="36" spans="1:46" ht="14.25" customHeight="1" x14ac:dyDescent="0.3">
      <c r="N36" s="99" t="s">
        <v>16</v>
      </c>
      <c r="P36" s="312">
        <f t="shared" si="65"/>
        <v>99.059974889740204</v>
      </c>
      <c r="Q36" s="328"/>
      <c r="R36" s="313">
        <f t="shared" si="66"/>
        <v>98.995589608215568</v>
      </c>
      <c r="S36" s="328"/>
      <c r="T36" s="313">
        <f t="shared" si="67"/>
        <v>99.092167530502536</v>
      </c>
      <c r="U36" s="328"/>
      <c r="V36" s="464">
        <f t="shared" si="68"/>
        <v>98.715988929998872</v>
      </c>
      <c r="X36" s="315">
        <f t="shared" si="69"/>
        <v>99.110098879110026</v>
      </c>
      <c r="AF36" s="1315"/>
      <c r="AG36" s="182">
        <f t="shared" si="70"/>
        <v>2.3299076262565905E-5</v>
      </c>
      <c r="AH36" s="183" t="str">
        <f t="shared" si="71"/>
        <v>↑</v>
      </c>
      <c r="AI36" s="184">
        <f t="shared" si="72"/>
        <v>3.2051424910723429E-4</v>
      </c>
      <c r="AJ36" s="185" t="str">
        <f t="shared" si="73"/>
        <v>↑</v>
      </c>
      <c r="AK36" s="182">
        <f t="shared" si="74"/>
        <v>7.4597564172746464E-4</v>
      </c>
      <c r="AL36" s="183" t="str">
        <f t="shared" si="75"/>
        <v>↑</v>
      </c>
      <c r="AM36" s="182">
        <f t="shared" si="76"/>
        <v>6.4467531015121931E-4</v>
      </c>
      <c r="AN36" s="183" t="str">
        <f t="shared" si="77"/>
        <v>↑</v>
      </c>
      <c r="AQ36" s="10"/>
      <c r="AR36" s="10"/>
      <c r="AS36" s="10"/>
      <c r="AT36" s="10"/>
    </row>
    <row r="37" spans="1:46" ht="14.25" customHeight="1" x14ac:dyDescent="0.3">
      <c r="N37" s="114" t="s">
        <v>17</v>
      </c>
      <c r="P37" s="323">
        <f t="shared" si="65"/>
        <v>97.585410714984548</v>
      </c>
      <c r="Q37" s="328"/>
      <c r="R37" s="324">
        <f t="shared" si="66"/>
        <v>97.272335929245102</v>
      </c>
      <c r="S37" s="328"/>
      <c r="T37" s="324">
        <f t="shared" si="67"/>
        <v>97.272335929245102</v>
      </c>
      <c r="U37" s="328"/>
      <c r="V37" s="465">
        <f t="shared" si="68"/>
        <v>92.260902904671852</v>
      </c>
      <c r="X37" s="326">
        <f t="shared" si="69"/>
        <v>97.567048765368014</v>
      </c>
      <c r="AF37" s="1315"/>
      <c r="AG37" s="182">
        <f t="shared" si="70"/>
        <v>5.3688760806916737E-3</v>
      </c>
      <c r="AH37" s="183" t="str">
        <f t="shared" si="71"/>
        <v>↑</v>
      </c>
      <c r="AI37" s="184">
        <f t="shared" si="72"/>
        <v>6.4841498559077811E-3</v>
      </c>
      <c r="AJ37" s="185" t="str">
        <f t="shared" si="73"/>
        <v>↑</v>
      </c>
      <c r="AK37" s="182">
        <f t="shared" si="74"/>
        <v>6.7723342939481268E-3</v>
      </c>
      <c r="AL37" s="183" t="str">
        <f t="shared" si="75"/>
        <v>↑</v>
      </c>
      <c r="AM37" s="182">
        <f t="shared" si="76"/>
        <v>6.4841498559077811E-3</v>
      </c>
      <c r="AN37" s="183" t="str">
        <f t="shared" si="77"/>
        <v>↑</v>
      </c>
      <c r="AQ37" s="10"/>
      <c r="AR37" s="10"/>
      <c r="AS37" s="10"/>
      <c r="AT37" s="10"/>
    </row>
    <row r="38" spans="1:46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1315"/>
      <c r="AG38" s="182">
        <f t="shared" si="70"/>
        <v>-0.24160079051383396</v>
      </c>
      <c r="AH38" s="183" t="str">
        <f t="shared" si="71"/>
        <v>↓</v>
      </c>
      <c r="AI38" s="184">
        <f t="shared" si="72"/>
        <v>-0.22875494071146241</v>
      </c>
      <c r="AJ38" s="185" t="str">
        <f t="shared" si="73"/>
        <v>↓</v>
      </c>
      <c r="AK38" s="182">
        <f t="shared" si="74"/>
        <v>-0.2139328063241106</v>
      </c>
      <c r="AL38" s="183" t="str">
        <f t="shared" si="75"/>
        <v>↓</v>
      </c>
      <c r="AM38" s="182">
        <f t="shared" si="76"/>
        <v>-0.18181818181818182</v>
      </c>
      <c r="AN38" s="183" t="str">
        <f t="shared" si="77"/>
        <v>↓</v>
      </c>
      <c r="AQ38" s="10"/>
      <c r="AR38" s="10"/>
      <c r="AS38" s="10"/>
      <c r="AT38" s="10"/>
    </row>
    <row r="39" spans="1:46" ht="14.25" customHeight="1" x14ac:dyDescent="0.3">
      <c r="N39" s="331" t="str">
        <f>AA1</f>
        <v>AVR-4</v>
      </c>
      <c r="P39" s="332">
        <f t="array" ref="P39">SUM(P33:P36/4)</f>
        <v>99.306377797890633</v>
      </c>
      <c r="Q39" s="328"/>
      <c r="R39" s="333">
        <f t="array" ref="R39">SUM(R33:R36/4)</f>
        <v>98.783879705125145</v>
      </c>
      <c r="S39" s="328"/>
      <c r="T39" s="333">
        <f t="array" ref="T39">SUM(T33:T36/4)</f>
        <v>97.759090850008761</v>
      </c>
      <c r="U39" s="328"/>
      <c r="V39" s="466">
        <f t="array" ref="V39">SUM(V33:V36/4)</f>
        <v>96.717990451333435</v>
      </c>
      <c r="X39" s="335">
        <f t="array" ref="X39">SUM(X33:X36/4)</f>
        <v>97.963562070316968</v>
      </c>
      <c r="AF39" s="1315"/>
      <c r="AG39" s="182">
        <f t="shared" si="70"/>
        <v>2.1792404730185358E-2</v>
      </c>
      <c r="AH39" s="183" t="str">
        <f t="shared" si="71"/>
        <v>↑</v>
      </c>
      <c r="AI39" s="184">
        <f t="shared" si="72"/>
        <v>3.1397509909376543E-2</v>
      </c>
      <c r="AJ39" s="185" t="str">
        <f t="shared" si="73"/>
        <v>↑</v>
      </c>
      <c r="AK39" s="182">
        <f t="shared" si="74"/>
        <v>3.2055393825759462E-2</v>
      </c>
      <c r="AL39" s="183" t="str">
        <f t="shared" si="75"/>
        <v>↑</v>
      </c>
      <c r="AM39" s="182">
        <f t="shared" si="76"/>
        <v>3.106856795118499E-2</v>
      </c>
      <c r="AN39" s="183" t="str">
        <f t="shared" si="77"/>
        <v>↑</v>
      </c>
      <c r="AQ39" s="10"/>
      <c r="AR39" s="10"/>
      <c r="AS39" s="10"/>
      <c r="AT39" s="10"/>
    </row>
    <row r="40" spans="1:46" ht="14.25" customHeight="1" x14ac:dyDescent="0.3">
      <c r="N40" s="336" t="str">
        <f>AB1</f>
        <v>AVR-6</v>
      </c>
      <c r="P40" s="337">
        <f t="array" ref="P40">SUM(P32:P37/6)</f>
        <v>98.902632172412211</v>
      </c>
      <c r="Q40" s="328"/>
      <c r="R40" s="338">
        <f t="array" ref="R40">SUM(R32:R37/6)</f>
        <v>98.502120979611988</v>
      </c>
      <c r="S40" s="328"/>
      <c r="T40" s="338">
        <f t="array" ref="T40">SUM(T32:T37/6)</f>
        <v>97.818928409534408</v>
      </c>
      <c r="U40" s="328"/>
      <c r="V40" s="467">
        <f t="array" ref="V40">SUM(V32:V37/6)</f>
        <v>96.211151602972933</v>
      </c>
      <c r="X40" s="340">
        <f t="array" ref="X40">SUM(X32:X37/6)</f>
        <v>97.996571851973755</v>
      </c>
      <c r="AF40" s="1315"/>
      <c r="AG40" s="269">
        <f t="shared" si="70"/>
        <v>3.5037265068049279E-2</v>
      </c>
      <c r="AH40" s="270" t="str">
        <f t="shared" si="71"/>
        <v>↑</v>
      </c>
      <c r="AI40" s="271">
        <f t="shared" si="72"/>
        <v>6.0029163966299391E-2</v>
      </c>
      <c r="AJ40" s="272" t="str">
        <f t="shared" si="73"/>
        <v>↑</v>
      </c>
      <c r="AK40" s="269">
        <f t="shared" si="74"/>
        <v>6.326960466623463E-2</v>
      </c>
      <c r="AL40" s="270" t="str">
        <f t="shared" si="75"/>
        <v>↑</v>
      </c>
      <c r="AM40" s="269">
        <f t="shared" si="76"/>
        <v>6.326960466623463E-2</v>
      </c>
      <c r="AN40" s="270" t="str">
        <f t="shared" si="77"/>
        <v>↑</v>
      </c>
      <c r="AQ40" s="10"/>
      <c r="AR40" s="10"/>
      <c r="AS40" s="10"/>
      <c r="AT40" s="10"/>
    </row>
    <row r="41" spans="1:46" ht="14.25" customHeight="1" x14ac:dyDescent="0.3">
      <c r="AQ41" s="10"/>
      <c r="AR41" s="10"/>
      <c r="AS41" s="10"/>
      <c r="AT41" s="10"/>
    </row>
    <row r="42" spans="1:46" ht="14.25" customHeight="1" x14ac:dyDescent="0.3">
      <c r="AQ42" s="10"/>
      <c r="AR42" s="10"/>
      <c r="AS42" s="10"/>
      <c r="AT42" s="10"/>
    </row>
    <row r="43" spans="1:46" ht="14.25" customHeight="1" x14ac:dyDescent="0.3">
      <c r="AQ43" s="10"/>
      <c r="AR43" s="10"/>
      <c r="AS43" s="10"/>
      <c r="AT43" s="10"/>
    </row>
    <row r="44" spans="1:46" ht="14.25" customHeight="1" x14ac:dyDescent="0.3">
      <c r="AQ44" s="10"/>
      <c r="AR44" s="10"/>
      <c r="AS44" s="10"/>
      <c r="AT44" s="10"/>
    </row>
    <row r="45" spans="1:46" ht="14.25" customHeight="1" x14ac:dyDescent="0.3">
      <c r="AI45" s="4"/>
      <c r="AK45" s="4"/>
      <c r="AM45" s="4"/>
      <c r="AO45" s="4"/>
    </row>
    <row r="46" spans="1:46" ht="14.25" customHeight="1" x14ac:dyDescent="0.3">
      <c r="AI46" s="4"/>
      <c r="AK46" s="4"/>
      <c r="AM46" s="4"/>
    </row>
    <row r="47" spans="1:46" ht="14.25" customHeight="1" x14ac:dyDescent="0.3">
      <c r="AI47" s="4"/>
      <c r="AK47" s="4"/>
      <c r="AM47" s="4"/>
    </row>
    <row r="48" spans="1:46" ht="14.25" customHeight="1" x14ac:dyDescent="0.3">
      <c r="F48" s="6"/>
      <c r="AI48" s="4"/>
      <c r="AK48" s="4"/>
      <c r="AM48" s="4"/>
    </row>
  </sheetData>
  <mergeCells count="29">
    <mergeCell ref="AG1:AH1"/>
    <mergeCell ref="AK1:AL1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F28:AF33"/>
    <mergeCell ref="C29:D29"/>
    <mergeCell ref="E29:F29"/>
    <mergeCell ref="G29:H29"/>
    <mergeCell ref="I29:J29"/>
    <mergeCell ref="AG34:AH34"/>
    <mergeCell ref="AI34:AJ34"/>
    <mergeCell ref="AK34:AL34"/>
    <mergeCell ref="AM34:AN34"/>
    <mergeCell ref="AF35:AF40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B48"/>
  <sheetViews>
    <sheetView zoomScale="140" zoomScaleNormal="140" workbookViewId="0">
      <selection activeCell="B13" sqref="B13"/>
    </sheetView>
  </sheetViews>
  <sheetFormatPr defaultColWidth="8.77734375" defaultRowHeight="14.25" customHeight="1" x14ac:dyDescent="0.3"/>
  <cols>
    <col min="1" max="1" width="7.33203125" style="4" customWidth="1"/>
    <col min="2" max="10" width="8.44140625" style="4" customWidth="1"/>
    <col min="11" max="11" width="9.33203125" style="4" customWidth="1"/>
    <col min="12" max="12" width="3.218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5.88671875" style="5" customWidth="1"/>
    <col min="25" max="25" width="3.33203125" style="4" hidden="1" customWidth="1"/>
    <col min="26" max="26" width="3.21875" style="4" customWidth="1"/>
    <col min="27" max="27" width="7.109375" style="6" customWidth="1"/>
    <col min="28" max="28" width="7.109375" style="7" customWidth="1"/>
    <col min="29" max="30" width="4.33203125" style="6" customWidth="1"/>
    <col min="31" max="31" width="3.21875" style="4" customWidth="1"/>
    <col min="32" max="37" width="6.44140625" style="8" customWidth="1"/>
    <col min="38" max="38" width="7.6640625" style="9" customWidth="1"/>
    <col min="39" max="39" width="6" style="8" customWidth="1"/>
    <col min="40" max="40" width="8.33203125" style="8" customWidth="1"/>
    <col min="41" max="41" width="6.6640625" style="8" customWidth="1"/>
    <col min="42" max="42" width="5.77734375" customWidth="1"/>
    <col min="43" max="43" width="5.88671875" customWidth="1"/>
    <col min="44" max="45" width="7.77734375" customWidth="1"/>
    <col min="46" max="46" width="5.77734375" customWidth="1"/>
  </cols>
  <sheetData>
    <row r="1" spans="1:53" ht="15" customHeight="1" x14ac:dyDescent="0.3">
      <c r="A1" s="2" t="s">
        <v>0</v>
      </c>
      <c r="B1" s="15" t="s">
        <v>109</v>
      </c>
      <c r="C1" s="16" t="s">
        <v>2</v>
      </c>
      <c r="D1" s="16" t="s">
        <v>3</v>
      </c>
      <c r="E1" s="16" t="s">
        <v>4</v>
      </c>
      <c r="F1" s="16" t="s">
        <v>110</v>
      </c>
      <c r="G1" s="16" t="s">
        <v>104</v>
      </c>
      <c r="H1" s="16" t="s">
        <v>101</v>
      </c>
      <c r="I1" s="368" t="s">
        <v>8</v>
      </c>
      <c r="K1" s="18" t="s">
        <v>111</v>
      </c>
      <c r="M1" s="19" t="s">
        <v>11</v>
      </c>
      <c r="N1" s="20" t="s">
        <v>12</v>
      </c>
      <c r="O1" s="21">
        <f>SUM(N2:N9)</f>
        <v>795.84328714763478</v>
      </c>
      <c r="P1" s="22" t="s">
        <v>13</v>
      </c>
      <c r="Q1" s="23">
        <f>SUM(P2:P9)</f>
        <v>788.24213933495059</v>
      </c>
      <c r="R1" s="24" t="s">
        <v>14</v>
      </c>
      <c r="S1" s="23">
        <f>SUM(R2:R9)</f>
        <v>795.74861367837343</v>
      </c>
      <c r="T1" s="24" t="s">
        <v>15</v>
      </c>
      <c r="U1" s="23">
        <f>SUM(T2:T9)</f>
        <v>742.63024142312588</v>
      </c>
      <c r="V1" s="25" t="s">
        <v>16</v>
      </c>
      <c r="W1" s="26">
        <f>SUM(V2:V9)</f>
        <v>782.54783090512046</v>
      </c>
      <c r="X1" s="27" t="s">
        <v>17</v>
      </c>
      <c r="Y1" s="28">
        <f>SUM(X2:X9)</f>
        <v>795.80922258563066</v>
      </c>
      <c r="Z1" s="29"/>
      <c r="AA1" s="30" t="s">
        <v>18</v>
      </c>
      <c r="AB1" s="31" t="s">
        <v>19</v>
      </c>
      <c r="AF1" s="579" t="s">
        <v>20</v>
      </c>
      <c r="AG1" s="4"/>
      <c r="AH1" s="4"/>
      <c r="AK1" s="1314" t="s">
        <v>68</v>
      </c>
      <c r="AL1" s="1314"/>
      <c r="AN1" s="1315" t="str">
        <f>B20</f>
        <v>Close YF</v>
      </c>
      <c r="AO1" s="163">
        <f t="shared" ref="AO1:AO6" si="0">(I21-B21)/B21</f>
        <v>0</v>
      </c>
      <c r="AP1" s="164" t="str">
        <f>IF(K12-B21&gt;0,"↑","↓")</f>
        <v>↓</v>
      </c>
      <c r="AQ1" s="165">
        <f t="shared" ref="AQ1:AQ6" si="1">(C21-B21)/B21</f>
        <v>4.7471105999218133E-3</v>
      </c>
      <c r="AR1" s="166" t="str">
        <f t="shared" ref="AR1:AR6" si="2">IF(C21-B21&gt;0,"↑","↓")</f>
        <v>↑</v>
      </c>
      <c r="AS1" s="163">
        <f t="shared" ref="AS1:AS6" si="3">(E21-B21)/B21</f>
        <v>4.7471105999218133E-3</v>
      </c>
      <c r="AT1" s="164" t="str">
        <f t="shared" ref="AT1:AT6" si="4">IF(E21-B21&gt;0,"↑","↓")</f>
        <v>↑</v>
      </c>
      <c r="AU1" s="163">
        <f t="shared" ref="AU1:AU6" si="5">(G21-B21)/B21</f>
        <v>3.3444816053512265E-3</v>
      </c>
      <c r="AV1" s="164" t="str">
        <f t="shared" ref="AV1:AV6" si="6">IF(G21-B21&gt;0,"↑","↓")</f>
        <v>↑</v>
      </c>
    </row>
    <row r="2" spans="1:53" ht="15" x14ac:dyDescent="0.3">
      <c r="A2" s="35" t="s">
        <v>12</v>
      </c>
      <c r="B2" s="528">
        <v>4.2</v>
      </c>
      <c r="C2" s="529">
        <v>4.21</v>
      </c>
      <c r="D2" s="529">
        <v>4.22</v>
      </c>
      <c r="E2" s="529">
        <v>4.21</v>
      </c>
      <c r="F2" s="529">
        <v>4.2300000000000004</v>
      </c>
      <c r="G2" s="529">
        <v>4.1900000000000004</v>
      </c>
      <c r="H2" s="530">
        <v>4.18</v>
      </c>
      <c r="I2" s="531">
        <v>4.21</v>
      </c>
      <c r="M2" s="493" t="str">
        <f>B1</f>
        <v>o 5.1</v>
      </c>
      <c r="N2" s="494">
        <f>100-ABS((($K12-B2)/($K12)))*100</f>
        <v>99.665551839464882</v>
      </c>
      <c r="O2" s="495">
        <f t="shared" ref="O2:O9" si="7">N2/$O$1</f>
        <v>0.12523263492825842</v>
      </c>
      <c r="P2" s="496">
        <f>100-ABS((($K13-B3)/($K13)))*100</f>
        <v>98.745203325350474</v>
      </c>
      <c r="Q2" s="497">
        <f t="shared" ref="Q2:Q9" si="8">P2/$Q$1</f>
        <v>0.12527267751590013</v>
      </c>
      <c r="R2" s="497">
        <f>100-ABS((($K14-B4)/($K14)))*100</f>
        <v>99.376338353287181</v>
      </c>
      <c r="S2" s="497">
        <f t="shared" ref="S2:S9" si="9">R2/$S$1</f>
        <v>0.12488408606069305</v>
      </c>
      <c r="T2" s="497">
        <f>100-ABS((($K15-B5)/($K15)))*100</f>
        <v>93.265565438373571</v>
      </c>
      <c r="U2" s="497">
        <f t="shared" ref="U2:U9" si="10">T2/$U$1</f>
        <v>0.12558815980836682</v>
      </c>
      <c r="V2" s="498">
        <f>100-ABS((($K16-B6)/($K16)))*100</f>
        <v>97.656530100061929</v>
      </c>
      <c r="W2" s="499">
        <f t="shared" ref="W2:W9" si="11">V2/$W$1</f>
        <v>0.12479304937451451</v>
      </c>
      <c r="X2" s="500">
        <f>100-ABS((($K17-B7)/($K17)))*100</f>
        <v>99.363835675520264</v>
      </c>
      <c r="Y2" s="48">
        <f t="shared" ref="Y2:Y9" si="12">X2/$Y$1</f>
        <v>0.12485886422964709</v>
      </c>
      <c r="Z2" s="29"/>
      <c r="AA2" s="49">
        <f t="shared" ref="AA2:AA9" si="13">(P2+R2+T2+V2)/4</f>
        <v>97.260909304268296</v>
      </c>
      <c r="AB2" s="50">
        <f t="shared" ref="AB2:AB9" si="14">(N2+P2+R2+T2+V2+X2)/6</f>
        <v>98.012170788676386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80" t="s">
        <v>42</v>
      </c>
      <c r="AH2" s="581">
        <f>MAX(N2:N9)</f>
        <v>99.904443382704244</v>
      </c>
      <c r="AJ2" s="341" t="str">
        <f t="shared" ref="AJ2:AJ7" si="15">A2</f>
        <v>TNX</v>
      </c>
      <c r="AK2" s="342">
        <f t="shared" ref="AK2:AK7" si="16">IF(AN27=1,AP27,AP37)</f>
        <v>4.2058714049712727</v>
      </c>
      <c r="AL2" s="57">
        <f t="shared" ref="AL2:AL7" si="17">100-ABS(($K12-AK2)/($K12))*100</f>
        <v>99.525288940007812</v>
      </c>
      <c r="AN2" s="1315"/>
      <c r="AO2" s="182">
        <f t="shared" si="0"/>
        <v>1.8876251595606377E-2</v>
      </c>
      <c r="AP2" s="183" t="str">
        <f>IF(I22-B22&gt;0,"↑","↓")</f>
        <v>↑</v>
      </c>
      <c r="AQ2" s="184">
        <f t="shared" si="1"/>
        <v>4.8430071650301613E-3</v>
      </c>
      <c r="AR2" s="185" t="str">
        <f t="shared" si="2"/>
        <v>↑</v>
      </c>
      <c r="AS2" s="182">
        <f t="shared" si="3"/>
        <v>5.3686557680979723E-3</v>
      </c>
      <c r="AT2" s="183" t="str">
        <f t="shared" si="4"/>
        <v>↑</v>
      </c>
      <c r="AU2" s="182">
        <f t="shared" si="5"/>
        <v>6.2175819365272817E-3</v>
      </c>
      <c r="AV2" s="183" t="str">
        <f t="shared" si="6"/>
        <v>↑</v>
      </c>
    </row>
    <row r="3" spans="1:53" ht="15" x14ac:dyDescent="0.3">
      <c r="A3" s="60" t="s">
        <v>13</v>
      </c>
      <c r="B3" s="532">
        <v>47850</v>
      </c>
      <c r="C3" s="533">
        <v>47750</v>
      </c>
      <c r="D3" s="533">
        <v>47750</v>
      </c>
      <c r="E3" s="533">
        <v>47800</v>
      </c>
      <c r="F3" s="533">
        <v>47750</v>
      </c>
      <c r="G3" s="533">
        <v>47780</v>
      </c>
      <c r="H3" s="533">
        <v>47850</v>
      </c>
      <c r="I3" s="534">
        <v>47436.77</v>
      </c>
      <c r="K3" s="582" t="s">
        <v>112</v>
      </c>
      <c r="M3" s="501" t="str">
        <f>C1</f>
        <v>Grok 4.1</v>
      </c>
      <c r="N3" s="502">
        <f>100-ABS((($K12-C2)/($K12)))*100</f>
        <v>99.426660296225506</v>
      </c>
      <c r="O3" s="503">
        <f t="shared" si="7"/>
        <v>0.12493246082727984</v>
      </c>
      <c r="P3" s="504">
        <f>100-ABS((($K13-C3)/($K13)))*100</f>
        <v>98.538839264064478</v>
      </c>
      <c r="Q3" s="505">
        <f t="shared" si="8"/>
        <v>0.12501087463707902</v>
      </c>
      <c r="R3" s="505">
        <f>100-ABS((($K14-C4)/($K14)))*100</f>
        <v>99.522806565291134</v>
      </c>
      <c r="S3" s="505">
        <f t="shared" si="9"/>
        <v>0.12506814948158537</v>
      </c>
      <c r="T3" s="505">
        <f>100-ABS((($K15-C5)/($K15)))*100</f>
        <v>90.72426937738247</v>
      </c>
      <c r="U3" s="505">
        <f t="shared" si="10"/>
        <v>0.12216613910514158</v>
      </c>
      <c r="V3" s="506">
        <f>100-ABS((($K16-C6)/($K16)))*100</f>
        <v>97.982464717577656</v>
      </c>
      <c r="W3" s="507">
        <f t="shared" si="11"/>
        <v>0.12520955377800733</v>
      </c>
      <c r="X3" s="508">
        <f>100-ABS((($K17-C7)/($K17)))*100</f>
        <v>99.723250548107686</v>
      </c>
      <c r="Y3" s="48">
        <f t="shared" si="12"/>
        <v>0.1253104986947764</v>
      </c>
      <c r="Z3" s="29"/>
      <c r="AA3" s="73">
        <f t="shared" si="13"/>
        <v>96.692094981078938</v>
      </c>
      <c r="AB3" s="74">
        <f t="shared" si="14"/>
        <v>97.653048461441486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583" t="s">
        <v>42</v>
      </c>
      <c r="AH3" s="584">
        <f>MAX(P2:P9)</f>
        <v>98.745203325350474</v>
      </c>
      <c r="AJ3" s="343" t="str">
        <f t="shared" si="15"/>
        <v>DJI</v>
      </c>
      <c r="AK3" s="344">
        <f t="shared" si="16"/>
        <v>47790.624825240913</v>
      </c>
      <c r="AL3" s="78">
        <f t="shared" si="17"/>
        <v>98.622674303321972</v>
      </c>
      <c r="AN3" s="1315"/>
      <c r="AO3" s="182">
        <f t="shared" si="0"/>
        <v>-1.9136000093560488E-3</v>
      </c>
      <c r="AP3" s="183" t="str">
        <f>IF(I23-B23&gt;0,"↑","↓")</f>
        <v>↓</v>
      </c>
      <c r="AQ3" s="184">
        <f t="shared" si="1"/>
        <v>3.9790948453646124E-3</v>
      </c>
      <c r="AR3" s="185" t="str">
        <f t="shared" si="2"/>
        <v>↑</v>
      </c>
      <c r="AS3" s="182">
        <f t="shared" si="3"/>
        <v>4.2714707062287876E-3</v>
      </c>
      <c r="AT3" s="183" t="str">
        <f t="shared" si="4"/>
        <v>↑</v>
      </c>
      <c r="AU3" s="182">
        <f t="shared" si="5"/>
        <v>5.9191493031951975E-3</v>
      </c>
      <c r="AV3" s="183" t="str">
        <f t="shared" si="6"/>
        <v>↑</v>
      </c>
    </row>
    <row r="4" spans="1:53" ht="15" x14ac:dyDescent="0.3">
      <c r="A4" s="82" t="s">
        <v>14</v>
      </c>
      <c r="B4" s="535">
        <v>6870</v>
      </c>
      <c r="C4" s="536">
        <v>6860</v>
      </c>
      <c r="D4" s="536">
        <v>6860</v>
      </c>
      <c r="E4" s="536">
        <v>6870</v>
      </c>
      <c r="F4" s="536">
        <v>6890</v>
      </c>
      <c r="G4" s="536">
        <v>6860</v>
      </c>
      <c r="H4" s="536">
        <v>6870</v>
      </c>
      <c r="I4" s="537">
        <v>6825.22</v>
      </c>
      <c r="M4" s="501" t="str">
        <f>D1</f>
        <v>Gemini Pro 3</v>
      </c>
      <c r="N4" s="502">
        <f>100-ABS((($K12-D2)/($K12)))*100</f>
        <v>99.187768752986145</v>
      </c>
      <c r="O4" s="503">
        <f t="shared" si="7"/>
        <v>0.12463228672630129</v>
      </c>
      <c r="P4" s="504">
        <f>100-ABS((($K13-D3)/($K13)))*100</f>
        <v>98.538839264064478</v>
      </c>
      <c r="Q4" s="505">
        <f t="shared" si="8"/>
        <v>0.12501087463707902</v>
      </c>
      <c r="R4" s="505">
        <f>100-ABS((($K14-D4)/($K14)))*100</f>
        <v>99.522806565291134</v>
      </c>
      <c r="S4" s="505">
        <f t="shared" si="9"/>
        <v>0.12506814948158537</v>
      </c>
      <c r="T4" s="505">
        <f>100-ABS((($K15-D5)/($K15)))*100</f>
        <v>90.08894536213468</v>
      </c>
      <c r="U4" s="505">
        <f t="shared" si="10"/>
        <v>0.12131063392933525</v>
      </c>
      <c r="V4" s="506">
        <f>100-ABS((($K16-D6)/($K16)))*100</f>
        <v>97.575046445683</v>
      </c>
      <c r="W4" s="507">
        <f t="shared" si="11"/>
        <v>0.12468892327364131</v>
      </c>
      <c r="X4" s="508">
        <f>100-ABS((($K17-D7)/($K17)))*100</f>
        <v>99.902957984401397</v>
      </c>
      <c r="Y4" s="48">
        <f t="shared" si="12"/>
        <v>0.12553631592734105</v>
      </c>
      <c r="Z4" s="29"/>
      <c r="AA4" s="73">
        <f t="shared" si="13"/>
        <v>96.431409409293309</v>
      </c>
      <c r="AB4" s="74">
        <f t="shared" si="14"/>
        <v>97.469394062426815</v>
      </c>
      <c r="AC4" s="51" t="str">
        <f>IF($AA4=MAX(AA2:AA9),"TOP","")</f>
        <v/>
      </c>
      <c r="AD4" s="51" t="str">
        <f>IF($AB4=MAX(AB2:AB9),"TOP","")</f>
        <v/>
      </c>
      <c r="AE4" s="52"/>
      <c r="AF4" s="82" t="s">
        <v>14</v>
      </c>
      <c r="AG4" s="585" t="s">
        <v>37</v>
      </c>
      <c r="AH4" s="586">
        <f>MAX(R2:R9)</f>
        <v>99.967776993359138</v>
      </c>
      <c r="AJ4" s="345" t="str">
        <f t="shared" si="15"/>
        <v>SPX</v>
      </c>
      <c r="AK4" s="346">
        <f t="shared" si="16"/>
        <v>6867.7290380806653</v>
      </c>
      <c r="AL4" s="89">
        <f t="shared" si="17"/>
        <v>99.40960072647259</v>
      </c>
      <c r="AN4" s="1315"/>
      <c r="AO4" s="182">
        <f t="shared" si="0"/>
        <v>-7.0838252656434536E-2</v>
      </c>
      <c r="AP4" s="183" t="str">
        <f>IF(I24-B24&gt;0,"↑","↓")</f>
        <v>↓</v>
      </c>
      <c r="AQ4" s="184">
        <f t="shared" si="1"/>
        <v>-6.7819028167190681E-2</v>
      </c>
      <c r="AR4" s="185" t="str">
        <f t="shared" si="2"/>
        <v>↓</v>
      </c>
      <c r="AS4" s="182">
        <f t="shared" si="3"/>
        <v>-8.1396359926340645E-2</v>
      </c>
      <c r="AT4" s="183" t="str">
        <f t="shared" si="4"/>
        <v>↓</v>
      </c>
      <c r="AU4" s="182">
        <f t="shared" si="5"/>
        <v>-3.3057851239669554E-2</v>
      </c>
      <c r="AV4" s="183" t="str">
        <f t="shared" si="6"/>
        <v>↓</v>
      </c>
    </row>
    <row r="5" spans="1:53" ht="15" x14ac:dyDescent="0.3">
      <c r="A5" s="82" t="s">
        <v>15</v>
      </c>
      <c r="B5" s="538">
        <v>16.8</v>
      </c>
      <c r="C5" s="539">
        <v>17.2</v>
      </c>
      <c r="D5" s="539">
        <v>17.3</v>
      </c>
      <c r="E5" s="539">
        <v>16.8</v>
      </c>
      <c r="F5" s="539">
        <v>17.100000000000001</v>
      </c>
      <c r="G5" s="539">
        <v>16.8</v>
      </c>
      <c r="H5" s="540">
        <v>17.149999999999999</v>
      </c>
      <c r="I5" s="541">
        <v>15.68</v>
      </c>
      <c r="K5" s="2" t="s">
        <v>36</v>
      </c>
      <c r="M5" s="501" t="str">
        <f>E1</f>
        <v>Claude</v>
      </c>
      <c r="N5" s="502">
        <f>100-ABS((($K12-E2)/($K12)))*100</f>
        <v>99.426660296225506</v>
      </c>
      <c r="O5" s="503">
        <f t="shared" si="7"/>
        <v>0.12493246082727984</v>
      </c>
      <c r="P5" s="504">
        <f>100-ABS((($K13-E3)/($K13)))*100</f>
        <v>98.642021294707476</v>
      </c>
      <c r="Q5" s="505">
        <f t="shared" si="8"/>
        <v>0.12514177607648957</v>
      </c>
      <c r="R5" s="505">
        <f>100-ABS((($K14-E4)/($K14)))*100</f>
        <v>99.376338353287181</v>
      </c>
      <c r="S5" s="505">
        <f t="shared" si="9"/>
        <v>0.12488408606069305</v>
      </c>
      <c r="T5" s="505">
        <f>100-ABS((($K15-E5)/($K15)))*100</f>
        <v>93.265565438373571</v>
      </c>
      <c r="U5" s="505">
        <f t="shared" si="10"/>
        <v>0.12558815980836682</v>
      </c>
      <c r="V5" s="506">
        <f>100-ABS((($K16-E6)/($K16)))*100</f>
        <v>97.656530100061929</v>
      </c>
      <c r="W5" s="507">
        <f t="shared" si="11"/>
        <v>0.12479304937451451</v>
      </c>
      <c r="X5" s="508">
        <f>100-ABS((($K17-E7)/($K17)))*100</f>
        <v>99.363835675520264</v>
      </c>
      <c r="Y5" s="48">
        <f t="shared" si="12"/>
        <v>0.12485886422964709</v>
      </c>
      <c r="Z5" s="29"/>
      <c r="AA5" s="73">
        <f t="shared" si="13"/>
        <v>97.23511379660755</v>
      </c>
      <c r="AB5" s="74">
        <f t="shared" si="14"/>
        <v>97.955158526362652</v>
      </c>
      <c r="AC5" s="51" t="str">
        <f>IF($AA5=MAX(AA2:AA9),"TOP","")</f>
        <v/>
      </c>
      <c r="AD5" s="51" t="str">
        <f>IF($AB5=MAX(AB2:AB9),"TOP","")</f>
        <v/>
      </c>
      <c r="AE5" s="52"/>
      <c r="AF5" s="82" t="s">
        <v>15</v>
      </c>
      <c r="AG5" s="585" t="s">
        <v>95</v>
      </c>
      <c r="AH5" s="586">
        <f>MAX(T2:T9)</f>
        <v>99.618805590851338</v>
      </c>
      <c r="AJ5" s="345" t="str">
        <f t="shared" si="15"/>
        <v>VIX</v>
      </c>
      <c r="AK5" s="347">
        <f t="shared" si="16"/>
        <v>15.791145662847791</v>
      </c>
      <c r="AL5" s="89">
        <f t="shared" si="17"/>
        <v>99.675059321170323</v>
      </c>
      <c r="AN5" s="1315"/>
      <c r="AO5" s="182">
        <f t="shared" si="0"/>
        <v>-1.828653707703376E-2</v>
      </c>
      <c r="AP5" s="183" t="str">
        <f>IF(I25-B25&gt;0,"↑","↓")</f>
        <v>↓</v>
      </c>
      <c r="AQ5" s="184">
        <f t="shared" si="1"/>
        <v>-1.2835522048950851E-2</v>
      </c>
      <c r="AR5" s="185" t="str">
        <f t="shared" si="2"/>
        <v>↓</v>
      </c>
      <c r="AS5" s="182">
        <f t="shared" si="3"/>
        <v>-1.7635138079668395E-2</v>
      </c>
      <c r="AT5" s="183" t="str">
        <f t="shared" si="4"/>
        <v>↓</v>
      </c>
      <c r="AU5" s="182">
        <f t="shared" si="5"/>
        <v>4.5596352291817025E-3</v>
      </c>
      <c r="AV5" s="183" t="str">
        <f t="shared" si="6"/>
        <v>↑</v>
      </c>
    </row>
    <row r="6" spans="1:53" ht="15" x14ac:dyDescent="0.3">
      <c r="A6" s="99" t="s">
        <v>16</v>
      </c>
      <c r="B6" s="542">
        <v>628</v>
      </c>
      <c r="C6" s="543">
        <v>626</v>
      </c>
      <c r="D6" s="543">
        <v>628.5</v>
      </c>
      <c r="E6" s="543">
        <v>628</v>
      </c>
      <c r="F6" s="543">
        <v>631.5</v>
      </c>
      <c r="G6" s="543">
        <v>625</v>
      </c>
      <c r="H6" s="544">
        <v>628.5</v>
      </c>
      <c r="I6" s="545">
        <v>620.54999999999995</v>
      </c>
      <c r="M6" s="501" t="str">
        <f>F1</f>
        <v>Minimax 2</v>
      </c>
      <c r="N6" s="502">
        <f>100-ABS((($K12-F2)/($K12)))*100</f>
        <v>98.948877209746769</v>
      </c>
      <c r="O6" s="503">
        <f t="shared" si="7"/>
        <v>0.1243321126253227</v>
      </c>
      <c r="P6" s="504">
        <f>100-ABS((($K13-F3)/($K13)))*100</f>
        <v>98.538839264064478</v>
      </c>
      <c r="Q6" s="505">
        <f t="shared" si="8"/>
        <v>0.12501087463707902</v>
      </c>
      <c r="R6" s="505">
        <f>100-ABS((($K14-F4)/($K14)))*100</f>
        <v>99.08340192927929</v>
      </c>
      <c r="S6" s="505">
        <f t="shared" si="9"/>
        <v>0.12451595921890846</v>
      </c>
      <c r="T6" s="505">
        <f>100-ABS((($K15-F5)/($K15)))*100</f>
        <v>91.359593392630231</v>
      </c>
      <c r="U6" s="505">
        <f t="shared" si="10"/>
        <v>0.12302164428094788</v>
      </c>
      <c r="V6" s="506">
        <f>100-ABS((($K16-F6)/($K16)))*100</f>
        <v>97.086144519409402</v>
      </c>
      <c r="W6" s="507">
        <f t="shared" si="11"/>
        <v>0.12406416666840209</v>
      </c>
      <c r="X6" s="508">
        <f>100-ABS((($K17-F7)/($K17)))*100</f>
        <v>99.004420802932827</v>
      </c>
      <c r="Y6" s="48">
        <f t="shared" si="12"/>
        <v>0.12440722976451778</v>
      </c>
      <c r="Z6" s="29"/>
      <c r="AA6" s="73">
        <f t="shared" si="13"/>
        <v>96.516994776345854</v>
      </c>
      <c r="AB6" s="74">
        <f t="shared" si="14"/>
        <v>97.336879519677154</v>
      </c>
      <c r="AC6" s="11" t="str">
        <f>IF($AA6=MAX(AA2:AA9),"TOP","")</f>
        <v/>
      </c>
      <c r="AD6" s="11" t="str">
        <f>IF($AB6=MAX(AB2:AB9),"TOP","")</f>
        <v/>
      </c>
      <c r="AE6" s="52"/>
      <c r="AF6" s="99" t="s">
        <v>16</v>
      </c>
      <c r="AG6" s="587" t="s">
        <v>39</v>
      </c>
      <c r="AH6" s="588">
        <f>MAX(V2:V9)</f>
        <v>98.870636550308021</v>
      </c>
      <c r="AJ6" s="348" t="str">
        <f t="shared" si="15"/>
        <v>QQQ</v>
      </c>
      <c r="AK6" s="349">
        <f t="shared" si="16"/>
        <v>617.02715694330323</v>
      </c>
      <c r="AL6" s="107">
        <f t="shared" si="17"/>
        <v>99.444744802434201</v>
      </c>
      <c r="AN6" s="1315"/>
      <c r="AO6" s="223">
        <f t="shared" si="0"/>
        <v>3.7881521033263994E-3</v>
      </c>
      <c r="AP6" s="224" t="str">
        <f>IF(I26-B26&gt;0,"↑","↓")</f>
        <v>↑</v>
      </c>
      <c r="AQ6" s="225">
        <f t="shared" si="1"/>
        <v>2.60303525464038E-3</v>
      </c>
      <c r="AR6" s="226" t="str">
        <f t="shared" si="2"/>
        <v>↑</v>
      </c>
      <c r="AS6" s="223">
        <f t="shared" si="3"/>
        <v>-1.027876763070186E-4</v>
      </c>
      <c r="AT6" s="224" t="str">
        <f t="shared" si="4"/>
        <v>↓</v>
      </c>
      <c r="AU6" s="223">
        <f t="shared" si="5"/>
        <v>5.1230247492604656E-3</v>
      </c>
      <c r="AV6" s="224" t="str">
        <f t="shared" si="6"/>
        <v>↑</v>
      </c>
    </row>
    <row r="7" spans="1:53" ht="14.4" x14ac:dyDescent="0.3">
      <c r="A7" s="109" t="s">
        <v>17</v>
      </c>
      <c r="B7" s="546">
        <v>280</v>
      </c>
      <c r="C7" s="547">
        <v>279</v>
      </c>
      <c r="D7" s="547">
        <v>278.5</v>
      </c>
      <c r="E7" s="547">
        <v>280</v>
      </c>
      <c r="F7" s="547">
        <v>281</v>
      </c>
      <c r="G7" s="547">
        <v>280.5</v>
      </c>
      <c r="H7" s="548">
        <v>279.5</v>
      </c>
      <c r="I7" s="549">
        <v>279</v>
      </c>
      <c r="K7" s="2" t="s">
        <v>41</v>
      </c>
      <c r="M7" s="501" t="str">
        <f>G1</f>
        <v>Kimi 2</v>
      </c>
      <c r="N7" s="502">
        <f>100-ABS((($K12-G2)/($K12)))*100</f>
        <v>99.904443382704244</v>
      </c>
      <c r="O7" s="503">
        <f t="shared" si="7"/>
        <v>0.12553280902923697</v>
      </c>
      <c r="P7" s="504">
        <f>100-ABS((($K13-G3)/($K13)))*100</f>
        <v>98.600748482450285</v>
      </c>
      <c r="Q7" s="505">
        <f t="shared" si="8"/>
        <v>0.12508941550072536</v>
      </c>
      <c r="R7" s="505">
        <f>100-ABS((($K14-G4)/($K14)))*100</f>
        <v>99.522806565291134</v>
      </c>
      <c r="S7" s="505">
        <f t="shared" si="9"/>
        <v>0.12506814948158537</v>
      </c>
      <c r="T7" s="505">
        <f>100-ABS((($K15-G5)/($K15)))*100</f>
        <v>93.265565438373571</v>
      </c>
      <c r="U7" s="505">
        <f t="shared" si="10"/>
        <v>0.12558815980836682</v>
      </c>
      <c r="V7" s="506">
        <f>100-ABS((($K16-G6)/($K16)))*100</f>
        <v>98.145432026335513</v>
      </c>
      <c r="W7" s="507">
        <f t="shared" si="11"/>
        <v>0.12541780597975372</v>
      </c>
      <c r="X7" s="508">
        <f>100-ABS((($K17-G7)/($K17)))*100</f>
        <v>99.184128239226553</v>
      </c>
      <c r="Y7" s="48">
        <f t="shared" si="12"/>
        <v>0.12463304699708244</v>
      </c>
      <c r="Z7" s="29"/>
      <c r="AA7" s="73">
        <f t="shared" si="13"/>
        <v>97.383638128112636</v>
      </c>
      <c r="AB7" s="74">
        <f t="shared" si="14"/>
        <v>98.103854022396888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589" t="s">
        <v>96</v>
      </c>
      <c r="AH7" s="590">
        <f>MAX(X2:X9)</f>
        <v>99.902957984401397</v>
      </c>
      <c r="AJ7" s="350" t="str">
        <f t="shared" si="15"/>
        <v>AAPL</v>
      </c>
      <c r="AK7" s="351">
        <f t="shared" si="16"/>
        <v>277.90150931188123</v>
      </c>
      <c r="AL7" s="118">
        <f t="shared" si="17"/>
        <v>99.881935561183624</v>
      </c>
      <c r="AN7" s="228"/>
      <c r="AO7" s="1316" t="str">
        <f>K11</f>
        <v xml:space="preserve">+3-day </v>
      </c>
      <c r="AP7" s="1316"/>
      <c r="AQ7" s="1317" t="str">
        <f>C11</f>
        <v>RD</v>
      </c>
      <c r="AR7" s="1317"/>
      <c r="AS7" s="1318">
        <f>E11</f>
        <v>85520</v>
      </c>
      <c r="AT7" s="1318"/>
      <c r="AU7" s="1318" t="str">
        <f>G11</f>
        <v>MICH</v>
      </c>
      <c r="AV7" s="1318"/>
    </row>
    <row r="8" spans="1:53" ht="14.25" customHeight="1" x14ac:dyDescent="0.3">
      <c r="K8" s="485">
        <v>32</v>
      </c>
      <c r="M8" s="501" t="str">
        <f>H1</f>
        <v>Qwen3 Max</v>
      </c>
      <c r="N8" s="502">
        <f>100-ABS((($K12-H2)/($K12)))*100</f>
        <v>99.856665074056366</v>
      </c>
      <c r="O8" s="503">
        <f t="shared" si="7"/>
        <v>0.12547277420904127</v>
      </c>
      <c r="P8" s="504">
        <f>100-ABS((($K13-H3)/($K13)))*100</f>
        <v>98.745203325350474</v>
      </c>
      <c r="Q8" s="505">
        <f t="shared" si="8"/>
        <v>0.12527267751590013</v>
      </c>
      <c r="R8" s="505">
        <f>100-ABS((($K14-H4)/($K14)))*100</f>
        <v>99.376338353287181</v>
      </c>
      <c r="S8" s="505">
        <f t="shared" si="9"/>
        <v>0.12488408606069305</v>
      </c>
      <c r="T8" s="505">
        <f>100-ABS((($K15-H5)/($K15)))*100</f>
        <v>91.041931385006365</v>
      </c>
      <c r="U8" s="505">
        <f t="shared" si="10"/>
        <v>0.12259389169304474</v>
      </c>
      <c r="V8" s="506">
        <f>100-ABS((($K16-H6)/($K16)))*100</f>
        <v>97.575046445683</v>
      </c>
      <c r="W8" s="507">
        <f t="shared" si="11"/>
        <v>0.12468892327364131</v>
      </c>
      <c r="X8" s="508">
        <f>100-ABS((($K17-H7)/($K17)))*100</f>
        <v>99.543543111813975</v>
      </c>
      <c r="Y8" s="48">
        <f t="shared" si="12"/>
        <v>0.12508468146221174</v>
      </c>
      <c r="Z8" s="29"/>
      <c r="AA8" s="73">
        <f t="shared" si="13"/>
        <v>96.684629877331759</v>
      </c>
      <c r="AB8" s="74">
        <f t="shared" si="14"/>
        <v>97.689787949199555</v>
      </c>
      <c r="AC8" s="51" t="str">
        <f>IF($AA8=MAX(AA2:AA9),"TOP","")</f>
        <v/>
      </c>
      <c r="AD8" s="51" t="str">
        <f>IF($AB8=MAX(AB2:AB9),"TOP","")</f>
        <v/>
      </c>
      <c r="AE8" s="52"/>
      <c r="AF8" s="4"/>
      <c r="AG8" s="4"/>
      <c r="AH8" s="5"/>
      <c r="AN8" s="1315" t="str">
        <f>B29</f>
        <v>Oraclum</v>
      </c>
      <c r="AO8" s="163">
        <f t="shared" ref="AO8:AO13" si="18">(I30-B30)/B30</f>
        <v>1.9147917663954062E-3</v>
      </c>
      <c r="AP8" s="164" t="str">
        <f t="shared" ref="AP8:AP13" si="19">IF(I30-B30&gt;0,"↑","↓")</f>
        <v>↑</v>
      </c>
      <c r="AQ8" s="165">
        <f t="shared" ref="AQ8:AQ13" si="20">(C30-B30)/B30</f>
        <v>6.6709920946081179E-3</v>
      </c>
      <c r="AR8" s="166" t="str">
        <f t="shared" ref="AR8:AR13" si="21">IF(C30-B30&gt;0,"↑","↓")</f>
        <v>↑</v>
      </c>
      <c r="AS8" s="163">
        <f t="shared" ref="AS8:AS13" si="22">(E30-B30)/B30</f>
        <v>6.6709920946081179E-3</v>
      </c>
      <c r="AT8" s="164" t="str">
        <f t="shared" ref="AT8:AT13" si="23">IF(E30-B30&gt;0,"↑","↓")</f>
        <v>↑</v>
      </c>
      <c r="AU8" s="163">
        <f t="shared" ref="AU8:AU13" si="24">(G30-B30)/B30</f>
        <v>5.2656773575874205E-3</v>
      </c>
      <c r="AV8" s="164" t="str">
        <f t="shared" ref="AV8:AV13" si="25">IF(G30-B30&gt;0,"↑","↓")</f>
        <v>↑</v>
      </c>
    </row>
    <row r="9" spans="1:53" ht="15" x14ac:dyDescent="0.3">
      <c r="M9" s="509" t="str">
        <f>I1</f>
        <v>LeChat</v>
      </c>
      <c r="N9" s="510">
        <f>100-ABS((($K12-I2)/($K12)))*100</f>
        <v>99.426660296225506</v>
      </c>
      <c r="O9" s="511">
        <f t="shared" si="7"/>
        <v>0.12493246082727984</v>
      </c>
      <c r="P9" s="512">
        <f>100-ABS((($K13-I3)/($K13)))*100</f>
        <v>97.892445114898337</v>
      </c>
      <c r="Q9" s="513">
        <f t="shared" si="8"/>
        <v>0.12419082947974765</v>
      </c>
      <c r="R9" s="513">
        <f>100-ABS((($K14-I4)/($K14)))*100</f>
        <v>99.967776993359138</v>
      </c>
      <c r="S9" s="513">
        <f t="shared" si="9"/>
        <v>0.1256273341542562</v>
      </c>
      <c r="T9" s="514">
        <f>100-ABS((($K15-I5)/($K15)))*100</f>
        <v>99.618805590851338</v>
      </c>
      <c r="U9" s="513">
        <f t="shared" si="10"/>
        <v>0.13414321156642997</v>
      </c>
      <c r="V9" s="515">
        <f>100-ABS((($K16-I6)/($K16)))*100</f>
        <v>98.870636550308021</v>
      </c>
      <c r="W9" s="516">
        <f t="shared" si="11"/>
        <v>0.12634452827752524</v>
      </c>
      <c r="X9" s="517">
        <f>100-ABS((($K17-I7)/($K17)))*100</f>
        <v>99.723250548107686</v>
      </c>
      <c r="Y9" s="124">
        <f t="shared" si="12"/>
        <v>0.1253104986947764</v>
      </c>
      <c r="Z9" s="29"/>
      <c r="AA9" s="139">
        <f t="shared" si="13"/>
        <v>99.087416062354194</v>
      </c>
      <c r="AB9" s="140">
        <f t="shared" si="14"/>
        <v>99.24992918229168</v>
      </c>
      <c r="AC9" s="51" t="str">
        <f>IF($AA9=MAX(AA2:AA9),"TOP","")</f>
        <v>TOP</v>
      </c>
      <c r="AD9" s="51" t="str">
        <f>IF($AB9=MAX(AB2:AB9),"TOP","")</f>
        <v>TOP</v>
      </c>
      <c r="AE9" s="52"/>
      <c r="AF9" s="1319" t="s">
        <v>44</v>
      </c>
      <c r="AG9" s="1319"/>
      <c r="AH9" s="125">
        <f>AVERAGE(AH3:AH6)</f>
        <v>99.300605614967239</v>
      </c>
      <c r="AJ9" s="1310" t="s">
        <v>44</v>
      </c>
      <c r="AK9" s="1310"/>
      <c r="AL9" s="126">
        <f>AVERAGE(AL3:AL6)</f>
        <v>99.288019788349771</v>
      </c>
      <c r="AN9" s="1315"/>
      <c r="AO9" s="182">
        <f t="shared" si="18"/>
        <v>1.4874605793521112E-2</v>
      </c>
      <c r="AP9" s="183" t="str">
        <f t="shared" si="19"/>
        <v>↑</v>
      </c>
      <c r="AQ9" s="184">
        <f t="shared" si="20"/>
        <v>8.9647705886705383E-4</v>
      </c>
      <c r="AR9" s="185" t="str">
        <f t="shared" si="21"/>
        <v>↑</v>
      </c>
      <c r="AS9" s="182">
        <f t="shared" si="22"/>
        <v>1.4200611722359991E-3</v>
      </c>
      <c r="AT9" s="183" t="str">
        <f t="shared" si="23"/>
        <v>↑</v>
      </c>
      <c r="AU9" s="182">
        <f t="shared" si="24"/>
        <v>2.2656531753701067E-3</v>
      </c>
      <c r="AV9" s="183" t="str">
        <f t="shared" si="25"/>
        <v>↑</v>
      </c>
    </row>
    <row r="10" spans="1:53" ht="15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99.501637304495773</v>
      </c>
      <c r="AJ10" s="1311" t="s">
        <v>51</v>
      </c>
      <c r="AK10" s="1311"/>
      <c r="AL10" s="142">
        <f>AVERAGE(AL2:AL7)</f>
        <v>99.426550609098413</v>
      </c>
      <c r="AN10" s="1315"/>
      <c r="AO10" s="182">
        <f t="shared" si="18"/>
        <v>-2.7868253852333202E-3</v>
      </c>
      <c r="AP10" s="183" t="str">
        <f t="shared" si="19"/>
        <v>↓</v>
      </c>
      <c r="AQ10" s="184">
        <f t="shared" si="20"/>
        <v>3.1007139532119045E-3</v>
      </c>
      <c r="AR10" s="185" t="str">
        <f t="shared" si="21"/>
        <v>↑</v>
      </c>
      <c r="AS10" s="182">
        <f t="shared" si="22"/>
        <v>3.3928340145571176E-3</v>
      </c>
      <c r="AT10" s="183" t="str">
        <f t="shared" si="23"/>
        <v>↑</v>
      </c>
      <c r="AU10" s="182">
        <f t="shared" si="24"/>
        <v>5.0390710582049227E-3</v>
      </c>
      <c r="AV10" s="183" t="str">
        <f t="shared" si="25"/>
        <v>↑</v>
      </c>
    </row>
    <row r="11" spans="1:53" ht="15" x14ac:dyDescent="0.3">
      <c r="B11" s="3" t="s">
        <v>46</v>
      </c>
      <c r="C11" s="1312" t="str">
        <f>C20</f>
        <v>RD</v>
      </c>
      <c r="D11" s="1312"/>
      <c r="E11" s="1312">
        <v>85520</v>
      </c>
      <c r="F11" s="1312"/>
      <c r="G11" s="1324" t="s">
        <v>48</v>
      </c>
      <c r="H11" s="1324"/>
      <c r="I11" s="486" t="s">
        <v>36</v>
      </c>
      <c r="J11" s="486" t="s">
        <v>49</v>
      </c>
      <c r="K11" s="130" t="s">
        <v>50</v>
      </c>
      <c r="M11" s="19" t="s">
        <v>53</v>
      </c>
      <c r="N11" s="487" t="s">
        <v>12</v>
      </c>
      <c r="O11" s="21">
        <f>SUM(N12:N19)</f>
        <v>665</v>
      </c>
      <c r="P11" s="591" t="s">
        <v>13</v>
      </c>
      <c r="Q11" s="592">
        <f>SUM(P12:P19)</f>
        <v>550</v>
      </c>
      <c r="R11" s="593" t="s">
        <v>14</v>
      </c>
      <c r="S11" s="592">
        <f>SUM(R12:R19)</f>
        <v>680</v>
      </c>
      <c r="T11" s="593" t="s">
        <v>15</v>
      </c>
      <c r="U11" s="592">
        <f>SUM(T12:T19)</f>
        <v>260</v>
      </c>
      <c r="V11" s="593" t="s">
        <v>16</v>
      </c>
      <c r="W11" s="26">
        <f>SUM(V12:V19)</f>
        <v>495</v>
      </c>
      <c r="X11" s="488" t="s">
        <v>17</v>
      </c>
      <c r="Y11" s="28">
        <f>SUM(X12:X19)</f>
        <v>675</v>
      </c>
      <c r="Z11" s="29"/>
      <c r="AA11" s="30" t="s">
        <v>54</v>
      </c>
      <c r="AB11" s="524" t="s">
        <v>55</v>
      </c>
      <c r="AF11" s="150"/>
      <c r="AN11" s="1315"/>
      <c r="AO11" s="182">
        <f t="shared" si="18"/>
        <v>-5.6920311563810722E-2</v>
      </c>
      <c r="AP11" s="183" t="str">
        <f t="shared" si="19"/>
        <v>↓</v>
      </c>
      <c r="AQ11" s="184">
        <f t="shared" si="20"/>
        <v>-5.3855862022301387E-2</v>
      </c>
      <c r="AR11" s="185" t="str">
        <f t="shared" si="21"/>
        <v>↓</v>
      </c>
      <c r="AS11" s="182">
        <f t="shared" si="22"/>
        <v>-6.7636569032487145E-2</v>
      </c>
      <c r="AT11" s="183" t="str">
        <f t="shared" si="23"/>
        <v>↓</v>
      </c>
      <c r="AU11" s="182">
        <f t="shared" si="24"/>
        <v>-1.8573996405033089E-2</v>
      </c>
      <c r="AV11" s="183" t="str">
        <f t="shared" si="25"/>
        <v>↓</v>
      </c>
    </row>
    <row r="12" spans="1:53" ht="15" x14ac:dyDescent="0.3">
      <c r="A12" s="53" t="s">
        <v>12</v>
      </c>
      <c r="B12" s="550">
        <v>4.1859999999999999</v>
      </c>
      <c r="C12" s="551">
        <f t="shared" ref="C12:C17" si="26">AK2</f>
        <v>4.2058714049712727</v>
      </c>
      <c r="D12" s="552" t="str">
        <f t="shared" ref="D12:D17" si="27">IF(ABS(K12-I12)&lt;ABS(C12-K12),$I$11,$C$11)</f>
        <v>RD</v>
      </c>
      <c r="E12" s="551">
        <f t="shared" ref="E12:E17" si="28">AK14</f>
        <v>4.2058714049712727</v>
      </c>
      <c r="F12" s="594">
        <f t="shared" ref="F12:F17" si="29">IF(ABS(K12-I12)&lt;ABS(K12-E12),$I$11,$E$11)</f>
        <v>85520</v>
      </c>
      <c r="G12" s="595">
        <v>4.2</v>
      </c>
      <c r="H12" s="596" t="str">
        <f t="shared" ref="H12:H17" si="30">IF(ABS(I12-K12)&lt;ABS(K12-G12),$I$11,$G$11)</f>
        <v>MICH</v>
      </c>
      <c r="I12" s="553">
        <f>(B2*O22)+(C2*O23)+(D2*O24)+(E2*O25)+(F2*O26)+(G2*O27)+(H2*O28)+(I2*O29)</f>
        <v>4.2064005260191619</v>
      </c>
      <c r="J12" s="554">
        <v>4.1993455787139702</v>
      </c>
      <c r="K12" s="597">
        <v>4.1859999999999999</v>
      </c>
      <c r="M12" s="410" t="str">
        <f t="shared" ref="M12:M19" si="31">M2</f>
        <v>o 5.1</v>
      </c>
      <c r="N12" s="489">
        <f t="shared" ref="N12:N19" si="32">IF(N2=0,0, LOOKUP(N2-0.000000000001,$AA$12:$AA$28,$AB$12:$AB$28))</f>
        <v>90</v>
      </c>
      <c r="O12" s="412">
        <f t="shared" ref="O12:O19" si="33">N12/$O$11</f>
        <v>0.13533834586466165</v>
      </c>
      <c r="P12" s="598">
        <f t="shared" ref="P12:P19" si="34">IF(P2=0,0, LOOKUP(P2-0.000000000001,$AA$12:$AA$28,$AB$12:$AB$28))</f>
        <v>70</v>
      </c>
      <c r="Q12" s="599">
        <f t="shared" ref="Q12:Q19" si="35">P12/$Q$11</f>
        <v>0.12727272727272726</v>
      </c>
      <c r="R12" s="415">
        <f t="shared" ref="R12:R19" si="36">IF(R2=0,0, LOOKUP(R2-0.000000000001,$AA$12:$AA$28,$AB$12:$AB$28))</f>
        <v>80</v>
      </c>
      <c r="S12" s="599">
        <f t="shared" ref="S12:S19" si="37">R12/$S$11</f>
        <v>0.11764705882352941</v>
      </c>
      <c r="T12" s="415">
        <f t="shared" ref="T12:T19" si="38">IF(T2=0,0, LOOKUP(T2-0.000000000001,$AA$12:$AA$28,$AB$12:$AB$28))</f>
        <v>30</v>
      </c>
      <c r="U12" s="599">
        <f t="shared" ref="U12:U19" si="39">T12/$U$11</f>
        <v>0.11538461538461539</v>
      </c>
      <c r="V12" s="415">
        <f t="shared" ref="V12:V19" si="40">IF(V2=0,0, LOOKUP(V2-0.000000000001,$AA$12:$AA$28,$AB$12:$AB$28))</f>
        <v>60</v>
      </c>
      <c r="W12" s="415">
        <f t="shared" ref="W12:W19" si="41">V12/$W$11</f>
        <v>0.12121212121212122</v>
      </c>
      <c r="X12" s="490">
        <f t="shared" ref="X12:X19" si="42">IF(X2=0,0, LOOKUP(X2-0.000000000001,$AA$12:$AA$28,$AB$12:$AB$28))</f>
        <v>80</v>
      </c>
      <c r="Y12" s="179">
        <f t="shared" ref="Y12:Y19" si="43">X12/$Y$11</f>
        <v>0.11851851851851852</v>
      </c>
      <c r="Z12" s="29"/>
      <c r="AA12" s="49">
        <v>1</v>
      </c>
      <c r="AB12" s="525">
        <v>0.1</v>
      </c>
      <c r="AN12" s="1315"/>
      <c r="AO12" s="182">
        <f t="shared" si="18"/>
        <v>-1.8380764985362591E-2</v>
      </c>
      <c r="AP12" s="183" t="str">
        <f t="shared" si="19"/>
        <v>↓</v>
      </c>
      <c r="AQ12" s="184">
        <f t="shared" si="20"/>
        <v>-1.2930273162638237E-2</v>
      </c>
      <c r="AR12" s="185" t="str">
        <f t="shared" si="21"/>
        <v>↓</v>
      </c>
      <c r="AS12" s="182">
        <f t="shared" si="22"/>
        <v>-1.7729428511296871E-2</v>
      </c>
      <c r="AT12" s="183" t="str">
        <f t="shared" si="23"/>
        <v>↓</v>
      </c>
      <c r="AU12" s="182">
        <f t="shared" si="24"/>
        <v>4.4632144742524733E-3</v>
      </c>
      <c r="AV12" s="183" t="str">
        <f t="shared" si="25"/>
        <v>↑</v>
      </c>
    </row>
    <row r="13" spans="1:53" ht="15" x14ac:dyDescent="0.3">
      <c r="A13" s="60" t="s">
        <v>13</v>
      </c>
      <c r="B13" s="556">
        <v>47560.29</v>
      </c>
      <c r="C13" s="532">
        <f t="shared" si="26"/>
        <v>47790.624825240913</v>
      </c>
      <c r="D13" s="600" t="str">
        <f t="shared" si="27"/>
        <v>RD</v>
      </c>
      <c r="E13" s="532">
        <f t="shared" si="28"/>
        <v>47815.624825240913</v>
      </c>
      <c r="F13" s="600">
        <f t="shared" si="29"/>
        <v>85520</v>
      </c>
      <c r="G13" s="601">
        <v>47856</v>
      </c>
      <c r="H13" s="602" t="str">
        <f t="shared" si="30"/>
        <v>MICH</v>
      </c>
      <c r="I13" s="558">
        <f>(B3*Q22)+(C3*Q23)+(D3*Q24)+(E3*Q25)+(F3*Q26)+(G3*Q27)+(H3*Q28)+(I3*Q29)</f>
        <v>47744.176541798108</v>
      </c>
      <c r="J13" s="559">
        <v>47673.142210654201</v>
      </c>
      <c r="K13" s="603">
        <v>48458.05</v>
      </c>
      <c r="M13" s="420" t="str">
        <f t="shared" si="31"/>
        <v>Grok 4.1</v>
      </c>
      <c r="N13" s="489">
        <f t="shared" si="32"/>
        <v>80</v>
      </c>
      <c r="O13" s="412">
        <f t="shared" si="33"/>
        <v>0.12030075187969924</v>
      </c>
      <c r="P13" s="598">
        <f t="shared" si="34"/>
        <v>70</v>
      </c>
      <c r="Q13" s="599">
        <f t="shared" si="35"/>
        <v>0.12727272727272726</v>
      </c>
      <c r="R13" s="415">
        <f t="shared" si="36"/>
        <v>90</v>
      </c>
      <c r="S13" s="599">
        <f t="shared" si="37"/>
        <v>0.13235294117647059</v>
      </c>
      <c r="T13" s="415">
        <f t="shared" si="38"/>
        <v>20</v>
      </c>
      <c r="U13" s="599">
        <f t="shared" si="39"/>
        <v>7.6923076923076927E-2</v>
      </c>
      <c r="V13" s="415">
        <f t="shared" si="40"/>
        <v>60</v>
      </c>
      <c r="W13" s="415">
        <f t="shared" si="41"/>
        <v>0.12121212121212122</v>
      </c>
      <c r="X13" s="490">
        <f t="shared" si="42"/>
        <v>90</v>
      </c>
      <c r="Y13" s="179">
        <f t="shared" si="43"/>
        <v>0.13333333333333333</v>
      </c>
      <c r="Z13" s="29"/>
      <c r="AA13" s="73">
        <v>80</v>
      </c>
      <c r="AB13" s="526">
        <v>1</v>
      </c>
      <c r="AF13" s="4"/>
      <c r="AG13" s="1314" t="s">
        <v>21</v>
      </c>
      <c r="AH13" s="1314"/>
      <c r="AJ13" s="4"/>
      <c r="AK13" s="1314" t="s">
        <v>69</v>
      </c>
      <c r="AL13" s="1314"/>
      <c r="AN13" s="1315"/>
      <c r="AO13" s="269">
        <f t="shared" si="18"/>
        <v>3.5347159603246825E-3</v>
      </c>
      <c r="AP13" s="270" t="str">
        <f t="shared" si="19"/>
        <v>↑</v>
      </c>
      <c r="AQ13" s="271">
        <f t="shared" si="20"/>
        <v>2.3498983295986561E-3</v>
      </c>
      <c r="AR13" s="272" t="str">
        <f t="shared" si="21"/>
        <v>↑</v>
      </c>
      <c r="AS13" s="269">
        <f t="shared" si="22"/>
        <v>-3.5524143595589753E-4</v>
      </c>
      <c r="AT13" s="270" t="str">
        <f t="shared" si="23"/>
        <v>↓</v>
      </c>
      <c r="AU13" s="269">
        <f t="shared" si="24"/>
        <v>4.8692515779982784E-3</v>
      </c>
      <c r="AV13" s="270" t="str">
        <f t="shared" si="25"/>
        <v>↑</v>
      </c>
    </row>
    <row r="14" spans="1:53" ht="14.4" x14ac:dyDescent="0.3">
      <c r="A14" s="82" t="s">
        <v>14</v>
      </c>
      <c r="B14" s="561">
        <v>6840.51</v>
      </c>
      <c r="C14" s="535">
        <f t="shared" si="26"/>
        <v>6867.7290380806653</v>
      </c>
      <c r="D14" s="604" t="str">
        <f t="shared" si="27"/>
        <v>LLM</v>
      </c>
      <c r="E14" s="535">
        <f t="shared" si="28"/>
        <v>6869.7290380806653</v>
      </c>
      <c r="F14" s="604" t="str">
        <f t="shared" si="29"/>
        <v>LLM</v>
      </c>
      <c r="G14" s="605">
        <v>6881</v>
      </c>
      <c r="H14" s="606" t="str">
        <f t="shared" si="30"/>
        <v>LLM</v>
      </c>
      <c r="I14" s="563">
        <f>(B4*S22)+(C4*S23)+(D4*S24)+(E4*S25)+(F4*S26)+(G4*S27)+(H4*S28)+(I4*S29)</f>
        <v>6863.3534994068814</v>
      </c>
      <c r="J14" s="564">
        <v>6825.7996320284701</v>
      </c>
      <c r="K14" s="607">
        <v>6827.42</v>
      </c>
      <c r="M14" s="420" t="str">
        <f t="shared" si="31"/>
        <v>Gemini Pro 3</v>
      </c>
      <c r="N14" s="489">
        <f t="shared" si="32"/>
        <v>75</v>
      </c>
      <c r="O14" s="412">
        <f t="shared" si="33"/>
        <v>0.11278195488721804</v>
      </c>
      <c r="P14" s="598">
        <f t="shared" si="34"/>
        <v>70</v>
      </c>
      <c r="Q14" s="599">
        <f t="shared" si="35"/>
        <v>0.12727272727272726</v>
      </c>
      <c r="R14" s="415">
        <f t="shared" si="36"/>
        <v>90</v>
      </c>
      <c r="S14" s="599">
        <f t="shared" si="37"/>
        <v>0.13235294117647059</v>
      </c>
      <c r="T14" s="415">
        <f t="shared" si="38"/>
        <v>20</v>
      </c>
      <c r="U14" s="599">
        <f t="shared" si="39"/>
        <v>7.6923076923076927E-2</v>
      </c>
      <c r="V14" s="415">
        <f t="shared" si="40"/>
        <v>60</v>
      </c>
      <c r="W14" s="415">
        <f t="shared" si="41"/>
        <v>0.12121212121212122</v>
      </c>
      <c r="X14" s="490">
        <f t="shared" si="42"/>
        <v>95</v>
      </c>
      <c r="Y14" s="179">
        <f t="shared" si="43"/>
        <v>0.14074074074074075</v>
      </c>
      <c r="Z14" s="29"/>
      <c r="AA14" s="73">
        <v>82.5</v>
      </c>
      <c r="AB14" s="526">
        <v>2</v>
      </c>
      <c r="AF14" s="341" t="str">
        <f t="shared" ref="AF14:AF19" si="44">AF27</f>
        <v>TNX</v>
      </c>
      <c r="AG14" s="342">
        <f>AK2</f>
        <v>4.2058714049712727</v>
      </c>
      <c r="AH14" s="57">
        <f t="shared" ref="AH14:AH19" si="45">100-ABS(($K12-AG14)/($K12))*100</f>
        <v>99.525288940007812</v>
      </c>
      <c r="AJ14" s="341" t="str">
        <f t="shared" ref="AJ14:AJ19" si="46">AJ2</f>
        <v>TNX</v>
      </c>
      <c r="AK14" s="342">
        <f t="shared" ref="AK14:AK19" si="47">IF(AN27=1,AQ27,AQ37)</f>
        <v>4.2058714049712727</v>
      </c>
      <c r="AL14" s="57">
        <f t="shared" ref="AL14:AL19" si="48">100-ABS(($K12-AK14)/($K12))*100</f>
        <v>99.525288940007812</v>
      </c>
    </row>
    <row r="15" spans="1:53" ht="14.4" x14ac:dyDescent="0.3">
      <c r="A15" s="82" t="s">
        <v>15</v>
      </c>
      <c r="B15" s="561">
        <v>16.940000000000001</v>
      </c>
      <c r="C15" s="538">
        <f t="shared" si="26"/>
        <v>15.791145662847791</v>
      </c>
      <c r="D15" s="604" t="str">
        <f t="shared" si="27"/>
        <v>RD</v>
      </c>
      <c r="E15" s="538">
        <f t="shared" si="28"/>
        <v>15.561145662847791</v>
      </c>
      <c r="F15" s="604">
        <f t="shared" si="29"/>
        <v>85520</v>
      </c>
      <c r="G15" s="605">
        <v>16.38</v>
      </c>
      <c r="H15" s="606" t="str">
        <f t="shared" si="30"/>
        <v>MICH</v>
      </c>
      <c r="I15" s="566">
        <f>(B5*U22)+(C5*U23)+(D5*U24)+(E5*U25)+(F5*U26)+(G5*U27)+(H5*U28)+(I5*U29)</f>
        <v>16.851145662847792</v>
      </c>
      <c r="J15" s="567">
        <v>16.749361842888302</v>
      </c>
      <c r="K15" s="607">
        <v>15.74</v>
      </c>
      <c r="M15" s="420" t="str">
        <f t="shared" si="31"/>
        <v>Claude</v>
      </c>
      <c r="N15" s="489">
        <f t="shared" si="32"/>
        <v>80</v>
      </c>
      <c r="O15" s="412">
        <f t="shared" si="33"/>
        <v>0.12030075187969924</v>
      </c>
      <c r="P15" s="598">
        <f t="shared" si="34"/>
        <v>70</v>
      </c>
      <c r="Q15" s="599">
        <f t="shared" si="35"/>
        <v>0.12727272727272726</v>
      </c>
      <c r="R15" s="415">
        <f t="shared" si="36"/>
        <v>80</v>
      </c>
      <c r="S15" s="599">
        <f t="shared" si="37"/>
        <v>0.11764705882352941</v>
      </c>
      <c r="T15" s="415">
        <f t="shared" si="38"/>
        <v>30</v>
      </c>
      <c r="U15" s="599">
        <f t="shared" si="39"/>
        <v>0.11538461538461539</v>
      </c>
      <c r="V15" s="415">
        <f t="shared" si="40"/>
        <v>60</v>
      </c>
      <c r="W15" s="415">
        <f t="shared" si="41"/>
        <v>0.12121212121212122</v>
      </c>
      <c r="X15" s="490">
        <f t="shared" si="42"/>
        <v>80</v>
      </c>
      <c r="Y15" s="179">
        <f t="shared" si="43"/>
        <v>0.11851851851851852</v>
      </c>
      <c r="Z15" s="29"/>
      <c r="AA15" s="73">
        <v>85</v>
      </c>
      <c r="AB15" s="526">
        <v>5</v>
      </c>
      <c r="AF15" s="343" t="str">
        <f t="shared" si="44"/>
        <v>DJI</v>
      </c>
      <c r="AG15" s="344">
        <f>AK3-9</f>
        <v>47781.624825240913</v>
      </c>
      <c r="AH15" s="78">
        <f t="shared" si="45"/>
        <v>98.60410153780623</v>
      </c>
      <c r="AJ15" s="343" t="str">
        <f t="shared" si="46"/>
        <v>DJI</v>
      </c>
      <c r="AK15" s="344">
        <f t="shared" si="47"/>
        <v>47815.624825240913</v>
      </c>
      <c r="AL15" s="78">
        <f t="shared" si="48"/>
        <v>98.674265318643464</v>
      </c>
    </row>
    <row r="16" spans="1:53" ht="14.4" x14ac:dyDescent="0.3">
      <c r="A16" s="99" t="s">
        <v>16</v>
      </c>
      <c r="B16" s="568">
        <v>625.04999999999995</v>
      </c>
      <c r="C16" s="542">
        <f t="shared" si="26"/>
        <v>617.02715694330323</v>
      </c>
      <c r="D16" s="608" t="str">
        <f t="shared" si="27"/>
        <v>RD</v>
      </c>
      <c r="E16" s="542">
        <f t="shared" si="28"/>
        <v>614.02715694330323</v>
      </c>
      <c r="F16" s="609">
        <f t="shared" si="29"/>
        <v>85520</v>
      </c>
      <c r="G16" s="610">
        <v>627.9</v>
      </c>
      <c r="H16" s="611" t="str">
        <f t="shared" si="30"/>
        <v>LLM</v>
      </c>
      <c r="I16" s="570">
        <f>(B6*W22)+(C6*W23)+(D6*W24)+(E6*W25)+(F6*W26)+(G6*W27)+(H6*W28)+(I6*W29)</f>
        <v>627.02715694330323</v>
      </c>
      <c r="J16" s="571">
        <v>625.29661670103098</v>
      </c>
      <c r="K16" s="612">
        <v>613.62</v>
      </c>
      <c r="M16" s="420" t="str">
        <f t="shared" si="31"/>
        <v>Minimax 2</v>
      </c>
      <c r="N16" s="489">
        <f t="shared" si="32"/>
        <v>70</v>
      </c>
      <c r="O16" s="412">
        <f t="shared" si="33"/>
        <v>0.10526315789473684</v>
      </c>
      <c r="P16" s="598">
        <f t="shared" si="34"/>
        <v>70</v>
      </c>
      <c r="Q16" s="599">
        <f t="shared" si="35"/>
        <v>0.12727272727272726</v>
      </c>
      <c r="R16" s="415">
        <f t="shared" si="36"/>
        <v>75</v>
      </c>
      <c r="S16" s="599">
        <f t="shared" si="37"/>
        <v>0.11029411764705882</v>
      </c>
      <c r="T16" s="415">
        <f t="shared" si="38"/>
        <v>20</v>
      </c>
      <c r="U16" s="599">
        <f t="shared" si="39"/>
        <v>7.6923076923076927E-2</v>
      </c>
      <c r="V16" s="415">
        <f t="shared" si="40"/>
        <v>60</v>
      </c>
      <c r="W16" s="415">
        <f t="shared" si="41"/>
        <v>0.12121212121212122</v>
      </c>
      <c r="X16" s="490">
        <f t="shared" si="42"/>
        <v>75</v>
      </c>
      <c r="Y16" s="179">
        <f t="shared" si="43"/>
        <v>0.1111111111111111</v>
      </c>
      <c r="Z16" s="29"/>
      <c r="AA16" s="73">
        <v>87.5</v>
      </c>
      <c r="AB16" s="526">
        <v>10</v>
      </c>
      <c r="AF16" s="345" t="str">
        <f t="shared" si="44"/>
        <v>SPX</v>
      </c>
      <c r="AG16" s="346">
        <f>AK4</f>
        <v>6867.7290380806653</v>
      </c>
      <c r="AH16" s="89">
        <f t="shared" si="45"/>
        <v>99.40960072647259</v>
      </c>
      <c r="AJ16" s="345" t="str">
        <f t="shared" si="46"/>
        <v>SPX</v>
      </c>
      <c r="AK16" s="346">
        <f t="shared" si="47"/>
        <v>6869.7290380806653</v>
      </c>
      <c r="AL16" s="89">
        <f t="shared" si="48"/>
        <v>99.380307084071802</v>
      </c>
      <c r="AN16" s="613" t="str">
        <f>A2</f>
        <v>TNX</v>
      </c>
      <c r="AO16" s="614" t="str">
        <f>A3</f>
        <v>DJI</v>
      </c>
      <c r="AP16" s="614" t="str">
        <f>A4</f>
        <v>SPX</v>
      </c>
      <c r="AQ16" s="614" t="str">
        <f>A5</f>
        <v>VIX</v>
      </c>
      <c r="AR16" s="614" t="str">
        <f>A6</f>
        <v>QQQ</v>
      </c>
      <c r="AS16" s="614" t="str">
        <f>A7</f>
        <v>AAPL</v>
      </c>
      <c r="AT16" s="615" t="s">
        <v>113</v>
      </c>
      <c r="AZ16" s="4"/>
      <c r="BA16" s="4"/>
    </row>
    <row r="17" spans="1:54" ht="14.4" x14ac:dyDescent="0.3">
      <c r="A17" s="114" t="s">
        <v>17</v>
      </c>
      <c r="B17" s="573">
        <v>277.18</v>
      </c>
      <c r="C17" s="574">
        <f t="shared" si="26"/>
        <v>277.90150931188123</v>
      </c>
      <c r="D17" s="575" t="str">
        <f t="shared" si="27"/>
        <v>RD</v>
      </c>
      <c r="E17" s="574">
        <f t="shared" si="28"/>
        <v>277.15150931188123</v>
      </c>
      <c r="F17" s="616">
        <f t="shared" si="29"/>
        <v>85520</v>
      </c>
      <c r="G17" s="617">
        <v>278.60000000000002</v>
      </c>
      <c r="H17" s="618" t="str">
        <f t="shared" si="30"/>
        <v>MICH</v>
      </c>
      <c r="I17" s="576">
        <f>(B7*Y22)+(C7*Y23)+(D7*Y24)+(E7*Y25)+(F7*Y26)+(G7*Y27)+(H7*Y28)+(I7*Y29)</f>
        <v>279.69589293954778</v>
      </c>
      <c r="J17" s="577">
        <v>278.38752126102997</v>
      </c>
      <c r="K17" s="619">
        <v>278.23</v>
      </c>
      <c r="M17" s="420" t="str">
        <f t="shared" si="31"/>
        <v>Kimi 2</v>
      </c>
      <c r="N17" s="489">
        <f t="shared" si="32"/>
        <v>95</v>
      </c>
      <c r="O17" s="412">
        <f t="shared" si="33"/>
        <v>0.14285714285714285</v>
      </c>
      <c r="P17" s="598">
        <f t="shared" si="34"/>
        <v>70</v>
      </c>
      <c r="Q17" s="599">
        <f t="shared" si="35"/>
        <v>0.12727272727272726</v>
      </c>
      <c r="R17" s="415">
        <f t="shared" si="36"/>
        <v>90</v>
      </c>
      <c r="S17" s="599">
        <f t="shared" si="37"/>
        <v>0.13235294117647059</v>
      </c>
      <c r="T17" s="415">
        <f t="shared" si="38"/>
        <v>30</v>
      </c>
      <c r="U17" s="599">
        <f t="shared" si="39"/>
        <v>0.11538461538461539</v>
      </c>
      <c r="V17" s="415">
        <f t="shared" si="40"/>
        <v>65</v>
      </c>
      <c r="W17" s="415">
        <f t="shared" si="41"/>
        <v>0.13131313131313133</v>
      </c>
      <c r="X17" s="490">
        <f t="shared" si="42"/>
        <v>75</v>
      </c>
      <c r="Y17" s="179">
        <f t="shared" si="43"/>
        <v>0.1111111111111111</v>
      </c>
      <c r="Z17" s="29"/>
      <c r="AA17" s="73">
        <v>90</v>
      </c>
      <c r="AB17" s="526">
        <v>20</v>
      </c>
      <c r="AF17" s="345" t="str">
        <f t="shared" si="44"/>
        <v>VIX</v>
      </c>
      <c r="AG17" s="347">
        <f>AK5+0.4</f>
        <v>16.191145662847791</v>
      </c>
      <c r="AH17" s="89">
        <f t="shared" si="45"/>
        <v>97.133763260179222</v>
      </c>
      <c r="AJ17" s="345" t="str">
        <f t="shared" si="46"/>
        <v>VIX</v>
      </c>
      <c r="AK17" s="347">
        <f t="shared" si="47"/>
        <v>15.561145662847791</v>
      </c>
      <c r="AL17" s="89">
        <f t="shared" si="48"/>
        <v>98.863695443759781</v>
      </c>
      <c r="AN17" s="620">
        <f>J12</f>
        <v>4.1993455787139702</v>
      </c>
      <c r="AO17" s="621">
        <f>J13</f>
        <v>47673.142210654201</v>
      </c>
      <c r="AP17" s="621">
        <f>J14</f>
        <v>6825.7996320284701</v>
      </c>
      <c r="AQ17" s="622">
        <f>J15</f>
        <v>16.749361842888302</v>
      </c>
      <c r="AR17" s="623">
        <f>J16</f>
        <v>625.29661670103098</v>
      </c>
      <c r="AS17" s="623">
        <f>J17</f>
        <v>278.38752126102997</v>
      </c>
      <c r="AT17" s="624" t="str">
        <f>J11</f>
        <v>ML</v>
      </c>
      <c r="AZ17" s="4"/>
      <c r="BA17" s="4"/>
    </row>
    <row r="18" spans="1:54" ht="14.4" x14ac:dyDescent="0.3">
      <c r="M18" s="420" t="str">
        <f t="shared" si="31"/>
        <v>Qwen3 Max</v>
      </c>
      <c r="N18" s="489">
        <f t="shared" si="32"/>
        <v>95</v>
      </c>
      <c r="O18" s="412">
        <f t="shared" si="33"/>
        <v>0.14285714285714285</v>
      </c>
      <c r="P18" s="598">
        <f t="shared" si="34"/>
        <v>70</v>
      </c>
      <c r="Q18" s="599">
        <f t="shared" si="35"/>
        <v>0.12727272727272726</v>
      </c>
      <c r="R18" s="415">
        <f t="shared" si="36"/>
        <v>80</v>
      </c>
      <c r="S18" s="599">
        <f t="shared" si="37"/>
        <v>0.11764705882352941</v>
      </c>
      <c r="T18" s="415">
        <f t="shared" si="38"/>
        <v>20</v>
      </c>
      <c r="U18" s="599">
        <f t="shared" si="39"/>
        <v>7.6923076923076927E-2</v>
      </c>
      <c r="V18" s="415">
        <f t="shared" si="40"/>
        <v>60</v>
      </c>
      <c r="W18" s="415">
        <f t="shared" si="41"/>
        <v>0.12121212121212122</v>
      </c>
      <c r="X18" s="490">
        <f t="shared" si="42"/>
        <v>90</v>
      </c>
      <c r="Y18" s="179">
        <f t="shared" si="43"/>
        <v>0.13333333333333333</v>
      </c>
      <c r="Z18" s="29"/>
      <c r="AA18" s="73">
        <v>92.5</v>
      </c>
      <c r="AB18" s="526">
        <v>30</v>
      </c>
      <c r="AF18" s="348" t="str">
        <f t="shared" si="44"/>
        <v>QQQ</v>
      </c>
      <c r="AG18" s="349">
        <f>(I16+J16)/2+AQ30/5*2</f>
        <v>632.38634508730627</v>
      </c>
      <c r="AH18" s="107">
        <f t="shared" si="45"/>
        <v>96.941699245900352</v>
      </c>
      <c r="AJ18" s="348" t="str">
        <f t="shared" si="46"/>
        <v>QQQ</v>
      </c>
      <c r="AK18" s="349">
        <f t="shared" si="47"/>
        <v>614.02715694330323</v>
      </c>
      <c r="AL18" s="107">
        <f t="shared" si="48"/>
        <v>99.933646728707799</v>
      </c>
      <c r="AN18" s="625">
        <v>1.5762676609459601E-2</v>
      </c>
      <c r="AO18" s="626">
        <v>261.53141368494801</v>
      </c>
      <c r="AP18" s="626">
        <v>19.625261182951402</v>
      </c>
      <c r="AQ18" s="627">
        <v>0.70066596170273798</v>
      </c>
      <c r="AR18" s="627">
        <v>-1.5210822886962201</v>
      </c>
      <c r="AS18" s="627">
        <v>7.5887507371021498E-2</v>
      </c>
      <c r="AT18" s="628" t="s">
        <v>114</v>
      </c>
      <c r="AZ18" s="4"/>
      <c r="BA18" s="4"/>
    </row>
    <row r="19" spans="1:54" ht="14.4" x14ac:dyDescent="0.3">
      <c r="M19" s="431" t="str">
        <f t="shared" si="31"/>
        <v>LeChat</v>
      </c>
      <c r="N19" s="491">
        <f t="shared" si="32"/>
        <v>80</v>
      </c>
      <c r="O19" s="433">
        <f t="shared" si="33"/>
        <v>0.12030075187969924</v>
      </c>
      <c r="P19" s="629">
        <f t="shared" si="34"/>
        <v>60</v>
      </c>
      <c r="Q19" s="630">
        <f t="shared" si="35"/>
        <v>0.10909090909090909</v>
      </c>
      <c r="R19" s="436">
        <f t="shared" si="36"/>
        <v>95</v>
      </c>
      <c r="S19" s="630">
        <f t="shared" si="37"/>
        <v>0.13970588235294118</v>
      </c>
      <c r="T19" s="436">
        <f t="shared" si="38"/>
        <v>90</v>
      </c>
      <c r="U19" s="630">
        <f t="shared" si="39"/>
        <v>0.34615384615384615</v>
      </c>
      <c r="V19" s="436">
        <f t="shared" si="40"/>
        <v>70</v>
      </c>
      <c r="W19" s="436">
        <f t="shared" si="41"/>
        <v>0.14141414141414141</v>
      </c>
      <c r="X19" s="492">
        <f t="shared" si="42"/>
        <v>90</v>
      </c>
      <c r="Y19" s="235">
        <f t="shared" si="43"/>
        <v>0.13333333333333333</v>
      </c>
      <c r="Z19" s="29"/>
      <c r="AA19" s="73">
        <v>95</v>
      </c>
      <c r="AB19" s="526">
        <v>40</v>
      </c>
      <c r="AF19" s="350" t="str">
        <f t="shared" si="44"/>
        <v>AAPL</v>
      </c>
      <c r="AG19" s="351">
        <f>(I17+J17)/2*0.98</f>
        <v>273.46087295828312</v>
      </c>
      <c r="AH19" s="118">
        <f t="shared" si="45"/>
        <v>98.285904811948072</v>
      </c>
      <c r="AJ19" s="350" t="str">
        <f t="shared" si="46"/>
        <v>AAPL</v>
      </c>
      <c r="AK19" s="351">
        <f t="shared" si="47"/>
        <v>277.15150931188123</v>
      </c>
      <c r="AL19" s="118">
        <f t="shared" si="48"/>
        <v>99.612374406743058</v>
      </c>
      <c r="AN19" s="625">
        <v>-0.19032300632235599</v>
      </c>
      <c r="AO19" s="626">
        <v>0.75325559260472097</v>
      </c>
      <c r="AP19" s="626">
        <v>1.2020222192249099</v>
      </c>
      <c r="AQ19" s="627">
        <v>0.58515758208608903</v>
      </c>
      <c r="AR19" s="627">
        <v>-0.36158464541153601</v>
      </c>
      <c r="AS19" s="627">
        <v>9.2241796344370002</v>
      </c>
      <c r="AT19" s="631" t="s">
        <v>115</v>
      </c>
      <c r="AZ19" s="4"/>
      <c r="BA19" s="4"/>
    </row>
    <row r="20" spans="1:54" ht="14.4" x14ac:dyDescent="0.3">
      <c r="A20" s="2" t="s">
        <v>0</v>
      </c>
      <c r="B20" s="230" t="str">
        <f t="shared" ref="B20:B26" si="49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50">G11</f>
        <v>MICH</v>
      </c>
      <c r="H20" s="1312"/>
      <c r="I20" s="1313" t="s">
        <v>50</v>
      </c>
      <c r="J20" s="1313"/>
      <c r="AA20" s="73">
        <v>96</v>
      </c>
      <c r="AB20" s="526">
        <v>50</v>
      </c>
      <c r="AN20" s="632">
        <f t="shared" ref="AN20:AS20" si="51">AN18/AN17</f>
        <v>3.7536031064837596E-3</v>
      </c>
      <c r="AO20" s="633">
        <f t="shared" si="51"/>
        <v>5.4859277479406389E-3</v>
      </c>
      <c r="AP20" s="633">
        <f t="shared" si="51"/>
        <v>2.8751592840294414E-3</v>
      </c>
      <c r="AQ20" s="633">
        <f t="shared" si="51"/>
        <v>4.1832397453413273E-2</v>
      </c>
      <c r="AR20" s="633">
        <f t="shared" si="51"/>
        <v>-2.4325771930787292E-3</v>
      </c>
      <c r="AS20" s="633">
        <f t="shared" si="51"/>
        <v>2.7259665601126425E-4</v>
      </c>
      <c r="AT20" s="634" t="s">
        <v>116</v>
      </c>
      <c r="AZ20" s="4"/>
      <c r="BA20" s="4"/>
    </row>
    <row r="21" spans="1:54" ht="14.4" x14ac:dyDescent="0.3">
      <c r="A21" s="35" t="s">
        <v>12</v>
      </c>
      <c r="B21" s="635">
        <f t="shared" si="49"/>
        <v>4.1859999999999999</v>
      </c>
      <c r="C21" s="636">
        <f t="shared" ref="C21:C26" si="52">C12</f>
        <v>4.2058714049712727</v>
      </c>
      <c r="D21" s="552" t="str">
        <f t="shared" ref="D21:D26" si="53">CONCATENATE(TEXT(AQ1,"0.00%"),"  ",AR1)</f>
        <v>0.47%  ↑</v>
      </c>
      <c r="E21" s="636">
        <f t="shared" ref="E21:E26" si="54">E12</f>
        <v>4.2058714049712727</v>
      </c>
      <c r="F21" s="552" t="str">
        <f t="shared" ref="F21:F26" si="55">CONCATENATE(TEXT(AS1,"0.00%"),"  ",AT1)</f>
        <v>0.47%  ↑</v>
      </c>
      <c r="G21" s="637">
        <f t="shared" si="50"/>
        <v>4.2</v>
      </c>
      <c r="H21" s="552" t="str">
        <f t="shared" ref="H21:H26" si="56">CONCATENATE(TEXT(AU1,"0.00%"),"  ",AV1)</f>
        <v>0.33%  ↑</v>
      </c>
      <c r="I21" s="638">
        <f t="shared" ref="I21:I26" si="57">K12</f>
        <v>4.1859999999999999</v>
      </c>
      <c r="J21" s="639" t="str">
        <f t="shared" ref="J21:J26" si="58">CONCATENATE(TEXT(AO1,"0.00%"),"  ",AP1)</f>
        <v>0.00%  ↓</v>
      </c>
      <c r="M21" s="19" t="s">
        <v>60</v>
      </c>
      <c r="N21" s="518" t="s">
        <v>12</v>
      </c>
      <c r="O21" s="254">
        <f>SUM(N22:N29)</f>
        <v>665.375</v>
      </c>
      <c r="P21" s="255" t="s">
        <v>13</v>
      </c>
      <c r="Q21" s="256">
        <f>SUM(P22:P29)</f>
        <v>634</v>
      </c>
      <c r="R21" s="257" t="s">
        <v>14</v>
      </c>
      <c r="S21" s="256">
        <f>SUM(R22:R29)</f>
        <v>632.25</v>
      </c>
      <c r="T21" s="257" t="s">
        <v>15</v>
      </c>
      <c r="U21" s="256">
        <f>SUM(T22:T29)</f>
        <v>229.125</v>
      </c>
      <c r="V21" s="257" t="s">
        <v>16</v>
      </c>
      <c r="W21" s="258">
        <f>SUM(V22:V29)</f>
        <v>608.5</v>
      </c>
      <c r="X21" s="519" t="s">
        <v>17</v>
      </c>
      <c r="Y21" s="28">
        <f>SUM(X22:X29)</f>
        <v>541.75</v>
      </c>
      <c r="Z21" s="29"/>
      <c r="AA21" s="73">
        <v>97</v>
      </c>
      <c r="AB21" s="526">
        <v>60</v>
      </c>
      <c r="AF21" s="1310" t="s">
        <v>44</v>
      </c>
      <c r="AG21" s="1310"/>
      <c r="AH21" s="126">
        <f>AVERAGE(AH15:AH18)</f>
        <v>98.022291192589606</v>
      </c>
      <c r="AJ21" s="1310" t="s">
        <v>44</v>
      </c>
      <c r="AK21" s="1310"/>
      <c r="AL21" s="126">
        <f>AVERAGE(AL15:AL18)</f>
        <v>99.212978643795708</v>
      </c>
      <c r="AN21" s="620">
        <f>K12</f>
        <v>4.1859999999999999</v>
      </c>
      <c r="AO21" s="621">
        <f>K13</f>
        <v>48458.05</v>
      </c>
      <c r="AP21" s="621">
        <f>K14</f>
        <v>6827.42</v>
      </c>
      <c r="AQ21" s="622">
        <f>K15</f>
        <v>15.74</v>
      </c>
      <c r="AR21" s="623">
        <f>K16</f>
        <v>613.62</v>
      </c>
      <c r="AS21" s="623">
        <f>K17</f>
        <v>278.23</v>
      </c>
      <c r="AT21" s="640" t="str">
        <f>K11</f>
        <v xml:space="preserve">+3-day </v>
      </c>
      <c r="AZ21" s="4"/>
      <c r="BA21" s="4"/>
    </row>
    <row r="22" spans="1:54" ht="14.4" x14ac:dyDescent="0.3">
      <c r="A22" s="60" t="s">
        <v>13</v>
      </c>
      <c r="B22" s="641">
        <f t="shared" si="49"/>
        <v>47560.29</v>
      </c>
      <c r="C22" s="642">
        <f t="shared" si="52"/>
        <v>47790.624825240913</v>
      </c>
      <c r="D22" s="557" t="str">
        <f t="shared" si="53"/>
        <v>0.48%  ↑</v>
      </c>
      <c r="E22" s="642">
        <f t="shared" si="54"/>
        <v>47815.624825240913</v>
      </c>
      <c r="F22" s="557" t="str">
        <f t="shared" si="55"/>
        <v>0.54%  ↑</v>
      </c>
      <c r="G22" s="643">
        <f t="shared" si="50"/>
        <v>47856</v>
      </c>
      <c r="H22" s="557" t="str">
        <f t="shared" si="56"/>
        <v>0.62%  ↑</v>
      </c>
      <c r="I22" s="644">
        <f t="shared" si="57"/>
        <v>48458.05</v>
      </c>
      <c r="J22" s="645" t="str">
        <f t="shared" si="58"/>
        <v>1.89%  ↑</v>
      </c>
      <c r="M22" s="410" t="str">
        <f t="shared" ref="M22:M29" si="59">M12</f>
        <v>o 5.1</v>
      </c>
      <c r="N22" s="520">
        <v>83</v>
      </c>
      <c r="O22" s="443">
        <f t="shared" ref="O22:O29" si="60">N22/$O$21</f>
        <v>0.12474168701859853</v>
      </c>
      <c r="P22" s="444">
        <v>75.75</v>
      </c>
      <c r="Q22" s="445">
        <f t="shared" ref="Q22:Q29" si="61">P22/$Q$21</f>
        <v>0.11947949526813881</v>
      </c>
      <c r="R22" s="445">
        <v>77.125</v>
      </c>
      <c r="S22" s="445">
        <f t="shared" ref="S22:S29" si="62">R22/$S$21</f>
        <v>0.12198497429814156</v>
      </c>
      <c r="T22" s="445">
        <v>32</v>
      </c>
      <c r="U22" s="445">
        <f t="shared" ref="U22:U29" si="63">T22/$U$21</f>
        <v>0.13966175668303327</v>
      </c>
      <c r="V22" s="445">
        <v>72.125</v>
      </c>
      <c r="W22" s="446">
        <f t="shared" ref="W22:W29" si="64">V22/$W$21</f>
        <v>0.1185291700903862</v>
      </c>
      <c r="X22" s="521">
        <v>65.25</v>
      </c>
      <c r="Y22" s="48">
        <f t="shared" ref="Y22:Y29" si="65">X22/$Y$21</f>
        <v>0.12044300876788186</v>
      </c>
      <c r="Z22" s="29"/>
      <c r="AA22" s="73">
        <v>98</v>
      </c>
      <c r="AB22" s="526">
        <v>65</v>
      </c>
      <c r="AF22" s="1311" t="s">
        <v>51</v>
      </c>
      <c r="AG22" s="1311"/>
      <c r="AH22" s="142">
        <f>AVERAGE(AH14:AH19)</f>
        <v>98.316726420385706</v>
      </c>
      <c r="AJ22" s="1311" t="s">
        <v>51</v>
      </c>
      <c r="AK22" s="1311"/>
      <c r="AL22" s="142">
        <f>AVERAGE(AL14:AL19)</f>
        <v>99.331596320322276</v>
      </c>
      <c r="AN22" s="646">
        <f t="shared" ref="AN22:AS22" si="66">AN21/AN17</f>
        <v>0.99682198607763606</v>
      </c>
      <c r="AO22" s="647">
        <f t="shared" si="66"/>
        <v>1.0164643602865009</v>
      </c>
      <c r="AP22" s="647">
        <f t="shared" si="66"/>
        <v>1.0002373887396176</v>
      </c>
      <c r="AQ22" s="647">
        <f t="shared" si="66"/>
        <v>0.93973729552467267</v>
      </c>
      <c r="AR22" s="647">
        <f t="shared" si="66"/>
        <v>0.98132627558000396</v>
      </c>
      <c r="AS22" s="647">
        <f t="shared" si="66"/>
        <v>0.99943416551030584</v>
      </c>
      <c r="AT22" s="648" t="s">
        <v>117</v>
      </c>
      <c r="AZ22" s="4"/>
      <c r="BA22" s="4"/>
    </row>
    <row r="23" spans="1:54" ht="14.4" x14ac:dyDescent="0.3">
      <c r="A23" s="82" t="s">
        <v>14</v>
      </c>
      <c r="B23" s="649">
        <f t="shared" si="49"/>
        <v>6840.51</v>
      </c>
      <c r="C23" s="650">
        <f t="shared" si="52"/>
        <v>6867.7290380806653</v>
      </c>
      <c r="D23" s="562" t="str">
        <f t="shared" si="53"/>
        <v>0.40%  ↑</v>
      </c>
      <c r="E23" s="650">
        <f t="shared" si="54"/>
        <v>6869.7290380806653</v>
      </c>
      <c r="F23" s="562" t="str">
        <f t="shared" si="55"/>
        <v>0.43%  ↑</v>
      </c>
      <c r="G23" s="651">
        <f t="shared" si="50"/>
        <v>6881</v>
      </c>
      <c r="H23" s="562" t="str">
        <f t="shared" si="56"/>
        <v>0.59%  ↑</v>
      </c>
      <c r="I23" s="652">
        <f t="shared" si="57"/>
        <v>6827.42</v>
      </c>
      <c r="J23" s="645" t="str">
        <f t="shared" si="58"/>
        <v>-0.19%  ↓</v>
      </c>
      <c r="M23" s="420" t="str">
        <f t="shared" si="59"/>
        <v>Grok 4.1</v>
      </c>
      <c r="N23" s="520">
        <v>82</v>
      </c>
      <c r="O23" s="443">
        <f t="shared" si="60"/>
        <v>0.1232387751268082</v>
      </c>
      <c r="P23" s="444">
        <v>81.25</v>
      </c>
      <c r="Q23" s="445">
        <f t="shared" si="61"/>
        <v>0.12815457413249212</v>
      </c>
      <c r="R23" s="445">
        <v>83.25</v>
      </c>
      <c r="S23" s="445">
        <f t="shared" si="62"/>
        <v>0.13167259786476868</v>
      </c>
      <c r="T23" s="445">
        <v>32.375</v>
      </c>
      <c r="U23" s="445">
        <f t="shared" si="63"/>
        <v>0.14129841789416259</v>
      </c>
      <c r="V23" s="445">
        <v>76.625</v>
      </c>
      <c r="W23" s="446">
        <f t="shared" si="64"/>
        <v>0.12592440427280197</v>
      </c>
      <c r="X23" s="521">
        <v>67.25</v>
      </c>
      <c r="Y23" s="48">
        <f t="shared" si="65"/>
        <v>0.12413474850023073</v>
      </c>
      <c r="Z23" s="29"/>
      <c r="AA23" s="73">
        <v>98.5</v>
      </c>
      <c r="AB23" s="526">
        <v>70</v>
      </c>
      <c r="AI23" s="449"/>
      <c r="AN23" s="653"/>
      <c r="AZ23" s="4"/>
      <c r="BA23" s="4"/>
      <c r="BB23" s="6"/>
    </row>
    <row r="24" spans="1:54" ht="14.4" x14ac:dyDescent="0.3">
      <c r="A24" s="82" t="s">
        <v>15</v>
      </c>
      <c r="B24" s="649">
        <f t="shared" si="49"/>
        <v>16.940000000000001</v>
      </c>
      <c r="C24" s="654">
        <f t="shared" si="52"/>
        <v>15.791145662847791</v>
      </c>
      <c r="D24" s="562" t="str">
        <f t="shared" si="53"/>
        <v>-6.78%  ↓</v>
      </c>
      <c r="E24" s="654">
        <f t="shared" si="54"/>
        <v>15.561145662847791</v>
      </c>
      <c r="F24" s="562" t="str">
        <f t="shared" si="55"/>
        <v>-8.14%  ↓</v>
      </c>
      <c r="G24" s="655">
        <f t="shared" si="50"/>
        <v>16.38</v>
      </c>
      <c r="H24" s="562" t="str">
        <f t="shared" si="56"/>
        <v>-3.31%  ↓</v>
      </c>
      <c r="I24" s="652">
        <f t="shared" si="57"/>
        <v>15.74</v>
      </c>
      <c r="J24" s="645" t="str">
        <f t="shared" si="58"/>
        <v>-7.08%  ↓</v>
      </c>
      <c r="M24" s="420" t="str">
        <f t="shared" si="59"/>
        <v>Gemini Pro 3</v>
      </c>
      <c r="N24" s="520">
        <v>84.25</v>
      </c>
      <c r="O24" s="443">
        <f t="shared" si="60"/>
        <v>0.12662032688333646</v>
      </c>
      <c r="P24" s="444">
        <v>80.75</v>
      </c>
      <c r="Q24" s="445">
        <f t="shared" si="61"/>
        <v>0.1273659305993691</v>
      </c>
      <c r="R24" s="445">
        <v>81.625</v>
      </c>
      <c r="S24" s="445">
        <f t="shared" si="62"/>
        <v>0.1291024120205615</v>
      </c>
      <c r="T24" s="445">
        <v>28.25</v>
      </c>
      <c r="U24" s="445">
        <f t="shared" si="63"/>
        <v>0.12329514457174032</v>
      </c>
      <c r="V24" s="445">
        <v>74.625</v>
      </c>
      <c r="W24" s="446">
        <f t="shared" si="64"/>
        <v>0.12263763352506163</v>
      </c>
      <c r="X24" s="521">
        <v>66.5</v>
      </c>
      <c r="Y24" s="48">
        <f t="shared" si="65"/>
        <v>0.12275034610059991</v>
      </c>
      <c r="Z24" s="29"/>
      <c r="AA24" s="73">
        <v>99</v>
      </c>
      <c r="AB24" s="526">
        <v>75</v>
      </c>
      <c r="AI24" s="449"/>
      <c r="AM24" s="450"/>
      <c r="AN24" s="656"/>
      <c r="AZ24" s="4"/>
      <c r="BA24" s="4"/>
      <c r="BB24" s="6"/>
    </row>
    <row r="25" spans="1:54" ht="14.4" x14ac:dyDescent="0.3">
      <c r="A25" s="99" t="s">
        <v>16</v>
      </c>
      <c r="B25" s="657">
        <f t="shared" si="49"/>
        <v>625.04999999999995</v>
      </c>
      <c r="C25" s="658">
        <f t="shared" si="52"/>
        <v>617.02715694330323</v>
      </c>
      <c r="D25" s="569" t="str">
        <f t="shared" si="53"/>
        <v>-1.28%  ↓</v>
      </c>
      <c r="E25" s="658">
        <f t="shared" si="54"/>
        <v>614.02715694330323</v>
      </c>
      <c r="F25" s="569" t="str">
        <f t="shared" si="55"/>
        <v>-1.76%  ↓</v>
      </c>
      <c r="G25" s="659">
        <f t="shared" si="50"/>
        <v>627.9</v>
      </c>
      <c r="H25" s="569" t="str">
        <f t="shared" si="56"/>
        <v>0.46%  ↑</v>
      </c>
      <c r="I25" s="660">
        <f t="shared" si="57"/>
        <v>613.62</v>
      </c>
      <c r="J25" s="645" t="str">
        <f t="shared" si="58"/>
        <v>-1.83%  ↓</v>
      </c>
      <c r="M25" s="420" t="str">
        <f t="shared" si="59"/>
        <v>Claude</v>
      </c>
      <c r="N25" s="520">
        <v>81.25</v>
      </c>
      <c r="O25" s="443">
        <f t="shared" si="60"/>
        <v>0.12211159120796543</v>
      </c>
      <c r="P25" s="444">
        <v>77.5</v>
      </c>
      <c r="Q25" s="445">
        <f t="shared" si="61"/>
        <v>0.1222397476340694</v>
      </c>
      <c r="R25" s="445">
        <v>81.25</v>
      </c>
      <c r="S25" s="445">
        <f t="shared" si="62"/>
        <v>0.12850929221035984</v>
      </c>
      <c r="T25" s="445">
        <v>24</v>
      </c>
      <c r="U25" s="445">
        <f t="shared" si="63"/>
        <v>0.10474631751227496</v>
      </c>
      <c r="V25" s="445">
        <v>72.5</v>
      </c>
      <c r="W25" s="446">
        <f t="shared" si="64"/>
        <v>0.11914543960558752</v>
      </c>
      <c r="X25" s="521">
        <v>67.25</v>
      </c>
      <c r="Y25" s="48">
        <f t="shared" si="65"/>
        <v>0.12413474850023073</v>
      </c>
      <c r="Z25" s="29"/>
      <c r="AA25" s="73">
        <v>99.25</v>
      </c>
      <c r="AB25" s="526">
        <v>80</v>
      </c>
      <c r="AF25" s="11">
        <v>1</v>
      </c>
      <c r="AG25" s="1322" t="s">
        <v>118</v>
      </c>
      <c r="AH25" s="1322"/>
      <c r="AI25" s="661"/>
      <c r="AJ25" s="662"/>
      <c r="AK25" s="1312" t="s">
        <v>119</v>
      </c>
      <c r="AL25" s="1312"/>
      <c r="AM25" s="663"/>
      <c r="AN25" s="1" t="s">
        <v>120</v>
      </c>
      <c r="AO25" s="661"/>
      <c r="AP25" s="2" t="str">
        <f>AG26</f>
        <v>RD</v>
      </c>
      <c r="AQ25" s="2">
        <f>AH26</f>
        <v>85520</v>
      </c>
      <c r="AR25" s="661"/>
      <c r="AS25" s="2" t="s">
        <v>121</v>
      </c>
      <c r="AZ25" s="4"/>
      <c r="BA25" s="4"/>
      <c r="BB25" s="6"/>
    </row>
    <row r="26" spans="1:54" ht="14.4" x14ac:dyDescent="0.3">
      <c r="A26" s="109" t="s">
        <v>17</v>
      </c>
      <c r="B26" s="664">
        <f t="shared" si="49"/>
        <v>277.18</v>
      </c>
      <c r="C26" s="665">
        <f t="shared" si="52"/>
        <v>277.90150931188123</v>
      </c>
      <c r="D26" s="575" t="str">
        <f t="shared" si="53"/>
        <v>0.26%  ↑</v>
      </c>
      <c r="E26" s="665">
        <f t="shared" si="54"/>
        <v>277.15150931188123</v>
      </c>
      <c r="F26" s="575" t="str">
        <f t="shared" si="55"/>
        <v>-0.01%  ↓</v>
      </c>
      <c r="G26" s="666">
        <f t="shared" si="50"/>
        <v>278.60000000000002</v>
      </c>
      <c r="H26" s="575" t="str">
        <f t="shared" si="56"/>
        <v>0.51%  ↑</v>
      </c>
      <c r="I26" s="667">
        <f t="shared" si="57"/>
        <v>278.23</v>
      </c>
      <c r="J26" s="668" t="str">
        <f t="shared" si="58"/>
        <v>0.38%  ↑</v>
      </c>
      <c r="M26" s="420" t="str">
        <f t="shared" si="59"/>
        <v>Minimax 2</v>
      </c>
      <c r="N26" s="520">
        <v>87.125</v>
      </c>
      <c r="O26" s="443">
        <f t="shared" si="60"/>
        <v>0.13094119857223371</v>
      </c>
      <c r="P26" s="444">
        <v>82.5</v>
      </c>
      <c r="Q26" s="445">
        <f t="shared" si="61"/>
        <v>0.13012618296529968</v>
      </c>
      <c r="R26" s="445">
        <v>79</v>
      </c>
      <c r="S26" s="445">
        <f t="shared" si="62"/>
        <v>0.12495057334914986</v>
      </c>
      <c r="T26" s="445">
        <v>21</v>
      </c>
      <c r="U26" s="445">
        <f t="shared" si="63"/>
        <v>9.1653027823240585E-2</v>
      </c>
      <c r="V26" s="445">
        <v>76.875</v>
      </c>
      <c r="W26" s="446">
        <f t="shared" si="64"/>
        <v>0.12633525061626952</v>
      </c>
      <c r="X26" s="521">
        <v>68.5</v>
      </c>
      <c r="Y26" s="48">
        <f t="shared" si="65"/>
        <v>0.12644208583294878</v>
      </c>
      <c r="Z26" s="29"/>
      <c r="AA26" s="73">
        <v>99.5</v>
      </c>
      <c r="AB26" s="526">
        <v>90</v>
      </c>
      <c r="AG26" s="669" t="s">
        <v>47</v>
      </c>
      <c r="AH26" s="670">
        <v>85520</v>
      </c>
      <c r="AI26" s="661"/>
      <c r="AJ26" s="662"/>
      <c r="AK26" s="669" t="s">
        <v>36</v>
      </c>
      <c r="AL26" s="670" t="s">
        <v>49</v>
      </c>
      <c r="AO26" s="661"/>
      <c r="AP26" s="1323">
        <f>AF25</f>
        <v>1</v>
      </c>
      <c r="AQ26" s="1323"/>
      <c r="AR26" s="671"/>
    </row>
    <row r="27" spans="1:54" ht="14.4" x14ac:dyDescent="0.3">
      <c r="M27" s="420" t="str">
        <f t="shared" si="59"/>
        <v>Kimi 2</v>
      </c>
      <c r="N27" s="520">
        <v>83.75</v>
      </c>
      <c r="O27" s="443">
        <f t="shared" si="60"/>
        <v>0.12586887093744129</v>
      </c>
      <c r="P27" s="444">
        <v>77.125</v>
      </c>
      <c r="Q27" s="445">
        <f t="shared" si="61"/>
        <v>0.12164826498422712</v>
      </c>
      <c r="R27" s="445">
        <v>77.5</v>
      </c>
      <c r="S27" s="445">
        <f t="shared" si="62"/>
        <v>0.12257809410834322</v>
      </c>
      <c r="T27" s="445">
        <v>32.625</v>
      </c>
      <c r="U27" s="445">
        <f t="shared" si="63"/>
        <v>0.14238952536824878</v>
      </c>
      <c r="V27" s="445">
        <v>80.75</v>
      </c>
      <c r="W27" s="446">
        <f t="shared" si="64"/>
        <v>0.13270336894001644</v>
      </c>
      <c r="X27" s="521">
        <v>71</v>
      </c>
      <c r="Y27" s="48">
        <f t="shared" si="65"/>
        <v>0.13105676049838486</v>
      </c>
      <c r="Z27" s="29"/>
      <c r="AA27" s="73">
        <v>99.75</v>
      </c>
      <c r="AB27" s="526">
        <v>95</v>
      </c>
      <c r="AF27" s="672" t="str">
        <f t="shared" ref="AF27:AF32" si="67">AF2</f>
        <v>TNX</v>
      </c>
      <c r="AG27" s="673">
        <v>0</v>
      </c>
      <c r="AH27" s="674">
        <f>AG27/2</f>
        <v>0</v>
      </c>
      <c r="AI27" s="661"/>
      <c r="AJ27" s="672" t="str">
        <f t="shared" ref="AJ27:AJ32" si="68">AJ2</f>
        <v>TNX</v>
      </c>
      <c r="AK27" s="675">
        <v>0.92500000000000004</v>
      </c>
      <c r="AL27" s="676">
        <f>1-AK27</f>
        <v>7.4999999999999956E-2</v>
      </c>
      <c r="AN27" s="677">
        <v>1</v>
      </c>
      <c r="AO27" s="661"/>
      <c r="AP27" s="678">
        <f>(AK27*I12+AL27*J12)+AG27</f>
        <v>4.2058714049712727</v>
      </c>
      <c r="AQ27" s="678">
        <f>AK2+AH27</f>
        <v>4.2058714049712727</v>
      </c>
      <c r="AR27" s="679"/>
      <c r="AS27" s="680">
        <f t="shared" ref="AS27:AS32" si="69">(E12+C12)/2</f>
        <v>4.2058714049712727</v>
      </c>
    </row>
    <row r="28" spans="1:54" ht="14.25" customHeight="1" x14ac:dyDescent="0.3">
      <c r="M28" s="420" t="str">
        <f t="shared" si="59"/>
        <v>Qwen3 Max</v>
      </c>
      <c r="N28" s="520">
        <v>82.5</v>
      </c>
      <c r="O28" s="443">
        <f t="shared" si="60"/>
        <v>0.12399023107270336</v>
      </c>
      <c r="P28" s="444">
        <v>78.375</v>
      </c>
      <c r="Q28" s="445">
        <f t="shared" si="61"/>
        <v>0.1236198738170347</v>
      </c>
      <c r="R28" s="445">
        <v>77.5</v>
      </c>
      <c r="S28" s="445">
        <f t="shared" si="62"/>
        <v>0.12257809410834322</v>
      </c>
      <c r="T28" s="445">
        <v>30.125</v>
      </c>
      <c r="U28" s="445">
        <f t="shared" si="63"/>
        <v>0.13147845062738681</v>
      </c>
      <c r="V28" s="445">
        <v>82</v>
      </c>
      <c r="W28" s="446">
        <f t="shared" si="64"/>
        <v>0.13475760065735415</v>
      </c>
      <c r="X28" s="521">
        <v>68.5</v>
      </c>
      <c r="Y28" s="48">
        <f t="shared" si="65"/>
        <v>0.12644208583294878</v>
      </c>
      <c r="Z28" s="29"/>
      <c r="AA28" s="139">
        <v>99.99</v>
      </c>
      <c r="AB28" s="527">
        <v>100</v>
      </c>
      <c r="AF28" s="681" t="str">
        <f t="shared" si="67"/>
        <v>DJI</v>
      </c>
      <c r="AG28" s="682">
        <v>50</v>
      </c>
      <c r="AH28" s="683">
        <f>AG28/2</f>
        <v>25</v>
      </c>
      <c r="AI28" s="661"/>
      <c r="AJ28" s="681" t="str">
        <f t="shared" si="68"/>
        <v>DJI</v>
      </c>
      <c r="AK28" s="684">
        <v>0.95</v>
      </c>
      <c r="AL28" s="685">
        <f>1-AK28</f>
        <v>5.0000000000000044E-2</v>
      </c>
      <c r="AM28" s="661"/>
      <c r="AN28" s="686">
        <v>1</v>
      </c>
      <c r="AO28" s="661"/>
      <c r="AP28" s="687">
        <f>(AK28*I13+AL28*J13)+AG28</f>
        <v>47790.624825240913</v>
      </c>
      <c r="AQ28" s="687">
        <f>AK3+AH28</f>
        <v>47815.624825240913</v>
      </c>
      <c r="AR28" s="679"/>
      <c r="AS28" s="688">
        <f t="shared" si="69"/>
        <v>47803.124825240913</v>
      </c>
    </row>
    <row r="29" spans="1:54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70">G20</f>
        <v>MICH</v>
      </c>
      <c r="H29" s="1312"/>
      <c r="I29" s="1313" t="s">
        <v>50</v>
      </c>
      <c r="J29" s="1313"/>
      <c r="M29" s="431" t="str">
        <f t="shared" si="59"/>
        <v>LeChat</v>
      </c>
      <c r="N29" s="522">
        <v>81.5</v>
      </c>
      <c r="O29" s="455">
        <f t="shared" si="60"/>
        <v>0.12248731918091302</v>
      </c>
      <c r="P29" s="456">
        <v>80.75</v>
      </c>
      <c r="Q29" s="457">
        <f t="shared" si="61"/>
        <v>0.1273659305993691</v>
      </c>
      <c r="R29" s="457">
        <v>75</v>
      </c>
      <c r="S29" s="457">
        <f t="shared" si="62"/>
        <v>0.11862396204033215</v>
      </c>
      <c r="T29" s="457">
        <v>28.75</v>
      </c>
      <c r="U29" s="457">
        <f t="shared" si="63"/>
        <v>0.12547735951991271</v>
      </c>
      <c r="V29" s="457">
        <v>73</v>
      </c>
      <c r="W29" s="458">
        <f t="shared" si="64"/>
        <v>0.11996713229252259</v>
      </c>
      <c r="X29" s="523">
        <v>67.5</v>
      </c>
      <c r="Y29" s="124">
        <f t="shared" si="65"/>
        <v>0.12459621596677434</v>
      </c>
      <c r="Z29" s="29"/>
      <c r="AF29" s="689" t="str">
        <f t="shared" si="67"/>
        <v>SPX</v>
      </c>
      <c r="AG29" s="690">
        <v>4</v>
      </c>
      <c r="AH29" s="691">
        <f>AG29/2</f>
        <v>2</v>
      </c>
      <c r="AI29" s="661"/>
      <c r="AJ29" s="689" t="str">
        <f t="shared" si="68"/>
        <v>SPX</v>
      </c>
      <c r="AK29" s="684">
        <v>1.01</v>
      </c>
      <c r="AL29" s="685">
        <f>1-AK29</f>
        <v>-1.0000000000000009E-2</v>
      </c>
      <c r="AM29" s="661"/>
      <c r="AN29" s="692">
        <v>1</v>
      </c>
      <c r="AO29" s="661"/>
      <c r="AP29" s="693">
        <f>(AK29*I14+AL29*J14)+AG29</f>
        <v>6867.7290380806653</v>
      </c>
      <c r="AQ29" s="693">
        <f>AK4+AH29</f>
        <v>6869.7290380806653</v>
      </c>
      <c r="AR29" s="679"/>
      <c r="AS29" s="694">
        <f t="shared" si="69"/>
        <v>6868.7290380806653</v>
      </c>
    </row>
    <row r="30" spans="1:54" ht="14.25" customHeight="1" x14ac:dyDescent="0.3">
      <c r="A30" s="35" t="s">
        <v>12</v>
      </c>
      <c r="B30" s="695">
        <v>4.1779999999999999</v>
      </c>
      <c r="C30" s="636">
        <f t="shared" ref="C30:C35" si="71">C21</f>
        <v>4.2058714049712727</v>
      </c>
      <c r="D30" s="552" t="str">
        <f t="shared" ref="D30:D35" si="72">CONCATENATE(TEXT(AQ8,"0.00%"),"  ",AR8)</f>
        <v>0.67%  ↑</v>
      </c>
      <c r="E30" s="636">
        <f t="shared" ref="E30:E35" si="73">E21</f>
        <v>4.2058714049712727</v>
      </c>
      <c r="F30" s="552" t="str">
        <f t="shared" ref="F30:F35" si="74">CONCATENATE(TEXT(AS8,"0.00%"),"  ",AT8)</f>
        <v>0.67%  ↑</v>
      </c>
      <c r="G30" s="636">
        <f t="shared" si="70"/>
        <v>4.2</v>
      </c>
      <c r="H30" s="552" t="str">
        <f t="shared" ref="H30:H35" si="75">CONCATENATE(TEXT(AU8,"0.00%"),"  ",AV8)</f>
        <v>0.53%  ↑</v>
      </c>
      <c r="I30" s="638">
        <f t="shared" ref="I30:I35" si="76">I21</f>
        <v>4.1859999999999999</v>
      </c>
      <c r="J30" s="639" t="str">
        <f t="shared" ref="J30:J35" si="77">CONCATENATE(TEXT(AO8,"0.00%"),"  ",AP8)</f>
        <v>0.19%  ↑</v>
      </c>
      <c r="AF30" s="689" t="str">
        <f t="shared" si="67"/>
        <v>VIX</v>
      </c>
      <c r="AG30" s="696">
        <v>1.56</v>
      </c>
      <c r="AH30" s="697">
        <v>0.33</v>
      </c>
      <c r="AI30" s="661"/>
      <c r="AJ30" s="689" t="str">
        <f t="shared" si="68"/>
        <v>VIX</v>
      </c>
      <c r="AK30" s="684"/>
      <c r="AL30" s="685"/>
      <c r="AM30" s="661"/>
      <c r="AN30" s="698">
        <v>-1</v>
      </c>
      <c r="AP30" s="699">
        <f>IF(AN30=1,I15+AG30,I15+AG40)</f>
        <v>15.791145662847791</v>
      </c>
      <c r="AQ30" s="699">
        <f>IF(AN30=1,I15+AG30+AH30,I15+AG40+AH40)</f>
        <v>15.561145662847791</v>
      </c>
      <c r="AR30" s="679"/>
      <c r="AS30" s="700">
        <f t="shared" si="69"/>
        <v>15.676145662847791</v>
      </c>
    </row>
    <row r="31" spans="1:54" ht="14.25" customHeight="1" x14ac:dyDescent="0.3">
      <c r="A31" s="60" t="s">
        <v>13</v>
      </c>
      <c r="B31" s="701">
        <v>47747.82</v>
      </c>
      <c r="C31" s="642">
        <f t="shared" si="71"/>
        <v>47790.624825240913</v>
      </c>
      <c r="D31" s="557" t="str">
        <f t="shared" si="72"/>
        <v>0.09%  ↑</v>
      </c>
      <c r="E31" s="642">
        <f t="shared" si="73"/>
        <v>47815.624825240913</v>
      </c>
      <c r="F31" s="557" t="str">
        <f t="shared" si="74"/>
        <v>0.14%  ↑</v>
      </c>
      <c r="G31" s="642">
        <f t="shared" si="70"/>
        <v>47856</v>
      </c>
      <c r="H31" s="557" t="str">
        <f t="shared" si="75"/>
        <v>0.23%  ↑</v>
      </c>
      <c r="I31" s="644">
        <f t="shared" si="76"/>
        <v>48458.05</v>
      </c>
      <c r="J31" s="645" t="str">
        <f t="shared" si="77"/>
        <v>1.49%  ↑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F31" s="702" t="str">
        <f t="shared" si="67"/>
        <v>QQQ</v>
      </c>
      <c r="AG31" s="703">
        <v>3</v>
      </c>
      <c r="AH31" s="704">
        <v>1.6</v>
      </c>
      <c r="AI31" s="661"/>
      <c r="AJ31" s="702" t="str">
        <f t="shared" si="68"/>
        <v>QQQ</v>
      </c>
      <c r="AK31" s="684">
        <v>0.875</v>
      </c>
      <c r="AL31" s="685">
        <f>1-AK31</f>
        <v>0.125</v>
      </c>
      <c r="AN31" s="705">
        <v>-1</v>
      </c>
      <c r="AP31" s="706">
        <f>IF($AN$31=1,($I$16+$AG$31),($I$16+$AG$41))</f>
        <v>617.02715694330323</v>
      </c>
      <c r="AQ31" s="706">
        <f>IF($AN31=1,($I16+$AG31+$AH31),($I16+$AG41+$AH41))</f>
        <v>614.02715694330323</v>
      </c>
      <c r="AR31" s="679"/>
      <c r="AS31" s="707">
        <f t="shared" si="69"/>
        <v>615.52715694330323</v>
      </c>
    </row>
    <row r="32" spans="1:54" ht="14.25" customHeight="1" x14ac:dyDescent="0.3">
      <c r="A32" s="82" t="s">
        <v>14</v>
      </c>
      <c r="B32" s="708">
        <v>6846.5</v>
      </c>
      <c r="C32" s="650">
        <f t="shared" si="71"/>
        <v>6867.7290380806653</v>
      </c>
      <c r="D32" s="562" t="str">
        <f t="shared" si="72"/>
        <v>0.31%  ↑</v>
      </c>
      <c r="E32" s="650">
        <f t="shared" si="73"/>
        <v>6869.7290380806653</v>
      </c>
      <c r="F32" s="562" t="str">
        <f t="shared" si="74"/>
        <v>0.34%  ↑</v>
      </c>
      <c r="G32" s="650">
        <f t="shared" si="70"/>
        <v>6881</v>
      </c>
      <c r="H32" s="562" t="str">
        <f t="shared" si="75"/>
        <v>0.50%  ↑</v>
      </c>
      <c r="I32" s="652">
        <f t="shared" si="76"/>
        <v>6827.42</v>
      </c>
      <c r="J32" s="645" t="str">
        <f t="shared" si="77"/>
        <v>-0.28%  ↓</v>
      </c>
      <c r="N32" s="53" t="s">
        <v>12</v>
      </c>
      <c r="P32" s="287">
        <f t="shared" ref="P32:P37" si="78">100-ABS(($K12-C12)/($K12))*100</f>
        <v>99.525288940007812</v>
      </c>
      <c r="Q32" s="328"/>
      <c r="R32" s="288">
        <f t="shared" ref="R32:R37" si="79">100-ABS(($K12-E12)/($K12))*100</f>
        <v>99.525288940007812</v>
      </c>
      <c r="S32" s="328"/>
      <c r="T32" s="288">
        <f t="shared" ref="T32:T37" si="80">100-ABS(($K12-G12)/($K12))*100</f>
        <v>99.665551839464882</v>
      </c>
      <c r="U32" s="328"/>
      <c r="V32" s="461">
        <f t="shared" ref="V32:V37" si="81">100-ABS((($K12-J12)/($K12)))*100</f>
        <v>99.681185410559721</v>
      </c>
      <c r="X32" s="290">
        <f t="shared" ref="X32:X37" si="82">100-ABS((($K12-I12)/($K12)))*100</f>
        <v>99.512648685638752</v>
      </c>
      <c r="AF32" s="709" t="str">
        <f t="shared" si="67"/>
        <v>AAPL</v>
      </c>
      <c r="AG32" s="710">
        <v>-1.5</v>
      </c>
      <c r="AH32" s="711">
        <f>AG32/2</f>
        <v>-0.75</v>
      </c>
      <c r="AI32" s="661"/>
      <c r="AJ32" s="709" t="str">
        <f t="shared" si="68"/>
        <v>AAPL</v>
      </c>
      <c r="AK32" s="712">
        <v>0.77500000000000002</v>
      </c>
      <c r="AL32" s="713">
        <f>1-AK32</f>
        <v>0.22499999999999998</v>
      </c>
      <c r="AN32" s="714">
        <v>1</v>
      </c>
      <c r="AP32" s="715">
        <f>(AK32*I17+AL32*J17)+AG32</f>
        <v>277.90150931188123</v>
      </c>
      <c r="AQ32" s="715">
        <f>AK7+AH32</f>
        <v>277.15150931188123</v>
      </c>
      <c r="AR32" s="661"/>
      <c r="AS32" s="716">
        <f t="shared" si="69"/>
        <v>277.52650931188123</v>
      </c>
    </row>
    <row r="33" spans="1:45" ht="14.25" customHeight="1" x14ac:dyDescent="0.3">
      <c r="A33" s="82" t="s">
        <v>15</v>
      </c>
      <c r="B33" s="708">
        <v>16.690000000000001</v>
      </c>
      <c r="C33" s="654">
        <f t="shared" si="71"/>
        <v>15.791145662847791</v>
      </c>
      <c r="D33" s="562" t="str">
        <f t="shared" si="72"/>
        <v>-5.39%  ↓</v>
      </c>
      <c r="E33" s="654">
        <f t="shared" si="73"/>
        <v>15.561145662847791</v>
      </c>
      <c r="F33" s="562" t="str">
        <f t="shared" si="74"/>
        <v>-6.76%  ↓</v>
      </c>
      <c r="G33" s="654">
        <f t="shared" si="70"/>
        <v>16.38</v>
      </c>
      <c r="H33" s="562" t="str">
        <f t="shared" si="75"/>
        <v>-1.86%  ↓</v>
      </c>
      <c r="I33" s="652">
        <f t="shared" si="76"/>
        <v>15.74</v>
      </c>
      <c r="J33" s="645" t="str">
        <f t="shared" si="77"/>
        <v>-5.69%  ↓</v>
      </c>
      <c r="N33" s="60" t="s">
        <v>13</v>
      </c>
      <c r="P33" s="291">
        <f t="shared" si="78"/>
        <v>98.622674303321972</v>
      </c>
      <c r="Q33" s="328"/>
      <c r="R33" s="292">
        <f t="shared" si="79"/>
        <v>98.674265318643464</v>
      </c>
      <c r="S33" s="328"/>
      <c r="T33" s="292">
        <f t="shared" si="80"/>
        <v>98.757585169027635</v>
      </c>
      <c r="U33" s="328"/>
      <c r="V33" s="462">
        <f t="shared" si="81"/>
        <v>98.380232408555855</v>
      </c>
      <c r="X33" s="294">
        <f t="shared" si="82"/>
        <v>98.526821739211755</v>
      </c>
      <c r="AF33" s="661"/>
      <c r="AG33" s="717"/>
      <c r="AH33" s="717"/>
      <c r="AI33" s="661"/>
      <c r="AJ33" s="717"/>
      <c r="AK33" s="717"/>
      <c r="AL33" s="718"/>
      <c r="AN33" s="661"/>
      <c r="AO33" s="661"/>
      <c r="AP33" s="661"/>
      <c r="AQ33" s="661"/>
      <c r="AR33" s="661"/>
      <c r="AS33" s="661"/>
    </row>
    <row r="34" spans="1:45" ht="14.25" customHeight="1" x14ac:dyDescent="0.3">
      <c r="A34" s="99" t="s">
        <v>16</v>
      </c>
      <c r="B34" s="719">
        <v>625.11</v>
      </c>
      <c r="C34" s="658">
        <f t="shared" si="71"/>
        <v>617.02715694330323</v>
      </c>
      <c r="D34" s="569" t="str">
        <f t="shared" si="72"/>
        <v>-1.29%  ↓</v>
      </c>
      <c r="E34" s="658">
        <f t="shared" si="73"/>
        <v>614.02715694330323</v>
      </c>
      <c r="F34" s="569" t="str">
        <f t="shared" si="74"/>
        <v>-1.77%  ↓</v>
      </c>
      <c r="G34" s="658">
        <f t="shared" si="70"/>
        <v>627.9</v>
      </c>
      <c r="H34" s="569" t="str">
        <f t="shared" si="75"/>
        <v>0.45%  ↑</v>
      </c>
      <c r="I34" s="660">
        <f t="shared" si="76"/>
        <v>613.62</v>
      </c>
      <c r="J34" s="645" t="str">
        <f t="shared" si="77"/>
        <v>-1.84%  ↓</v>
      </c>
      <c r="N34" s="82" t="s">
        <v>14</v>
      </c>
      <c r="P34" s="301">
        <f t="shared" si="78"/>
        <v>99.40960072647259</v>
      </c>
      <c r="Q34" s="328"/>
      <c r="R34" s="302">
        <f t="shared" si="79"/>
        <v>99.380307084071802</v>
      </c>
      <c r="S34" s="328"/>
      <c r="T34" s="302">
        <f t="shared" si="80"/>
        <v>99.215223320082842</v>
      </c>
      <c r="U34" s="328"/>
      <c r="V34" s="463">
        <f t="shared" si="81"/>
        <v>99.976266760042151</v>
      </c>
      <c r="X34" s="304">
        <f t="shared" si="82"/>
        <v>99.473688459082908</v>
      </c>
      <c r="AF34" s="661"/>
      <c r="AG34" s="720"/>
      <c r="AH34" s="720"/>
      <c r="AI34" s="661"/>
      <c r="AJ34" s="662"/>
      <c r="AK34" s="662"/>
      <c r="AL34" s="662"/>
      <c r="AN34" s="661"/>
      <c r="AO34" s="661"/>
      <c r="AP34" s="661"/>
      <c r="AQ34" s="661"/>
      <c r="AR34" s="661"/>
      <c r="AS34" s="661"/>
    </row>
    <row r="35" spans="1:45" ht="14.25" customHeight="1" x14ac:dyDescent="0.3">
      <c r="A35" s="109" t="s">
        <v>17</v>
      </c>
      <c r="B35" s="721">
        <v>277.25</v>
      </c>
      <c r="C35" s="665">
        <f t="shared" si="71"/>
        <v>277.90150931188123</v>
      </c>
      <c r="D35" s="575" t="str">
        <f t="shared" si="72"/>
        <v>0.23%  ↑</v>
      </c>
      <c r="E35" s="665">
        <f t="shared" si="73"/>
        <v>277.15150931188123</v>
      </c>
      <c r="F35" s="575" t="str">
        <f t="shared" si="74"/>
        <v>-0.04%  ↓</v>
      </c>
      <c r="G35" s="665">
        <f t="shared" si="70"/>
        <v>278.60000000000002</v>
      </c>
      <c r="H35" s="575" t="str">
        <f t="shared" si="75"/>
        <v>0.49%  ↑</v>
      </c>
      <c r="I35" s="667">
        <f t="shared" si="76"/>
        <v>278.23</v>
      </c>
      <c r="J35" s="668" t="str">
        <f t="shared" si="77"/>
        <v>0.35%  ↑</v>
      </c>
      <c r="N35" s="82" t="s">
        <v>15</v>
      </c>
      <c r="P35" s="301">
        <f t="shared" si="78"/>
        <v>99.675059321170323</v>
      </c>
      <c r="Q35" s="328"/>
      <c r="R35" s="302">
        <f t="shared" si="79"/>
        <v>98.863695443759781</v>
      </c>
      <c r="S35" s="328"/>
      <c r="T35" s="302">
        <f t="shared" si="80"/>
        <v>95.933926302414235</v>
      </c>
      <c r="U35" s="328"/>
      <c r="V35" s="463">
        <f t="shared" si="81"/>
        <v>93.587281811383093</v>
      </c>
      <c r="X35" s="304">
        <f t="shared" si="82"/>
        <v>92.940624759543894</v>
      </c>
      <c r="AF35" s="11">
        <v>-1</v>
      </c>
      <c r="AG35" s="1321" t="s">
        <v>118</v>
      </c>
      <c r="AH35" s="1321"/>
      <c r="AI35" s="661"/>
      <c r="AJ35" s="662"/>
      <c r="AK35" s="1322" t="s">
        <v>119</v>
      </c>
      <c r="AL35" s="1322"/>
      <c r="AO35" s="661"/>
      <c r="AP35" s="2" t="str">
        <f>AG36</f>
        <v>RD</v>
      </c>
      <c r="AQ35" s="2">
        <f>AH36</f>
        <v>85520</v>
      </c>
      <c r="AR35" s="661"/>
      <c r="AS35" s="661"/>
    </row>
    <row r="36" spans="1:45" ht="14.25" customHeight="1" x14ac:dyDescent="0.3">
      <c r="N36" s="99" t="s">
        <v>16</v>
      </c>
      <c r="P36" s="312">
        <f t="shared" si="78"/>
        <v>99.444744802434201</v>
      </c>
      <c r="Q36" s="328"/>
      <c r="R36" s="313">
        <f t="shared" si="79"/>
        <v>99.933646728707799</v>
      </c>
      <c r="S36" s="328"/>
      <c r="T36" s="313">
        <f t="shared" si="80"/>
        <v>97.672826830937723</v>
      </c>
      <c r="U36" s="328"/>
      <c r="V36" s="464">
        <f t="shared" si="81"/>
        <v>98.097093200835857</v>
      </c>
      <c r="X36" s="315">
        <f t="shared" si="82"/>
        <v>97.815071714855577</v>
      </c>
      <c r="AG36" s="722" t="s">
        <v>47</v>
      </c>
      <c r="AH36" s="723">
        <v>85520</v>
      </c>
      <c r="AI36" s="661"/>
      <c r="AJ36" s="662"/>
      <c r="AK36" s="669" t="s">
        <v>36</v>
      </c>
      <c r="AL36" s="670" t="s">
        <v>49</v>
      </c>
      <c r="AM36" s="661"/>
      <c r="AN36" s="661"/>
      <c r="AO36" s="661"/>
      <c r="AP36" s="1323">
        <f>AF35</f>
        <v>-1</v>
      </c>
      <c r="AQ36" s="1323"/>
      <c r="AR36" s="661"/>
      <c r="AS36" s="661"/>
    </row>
    <row r="37" spans="1:45" ht="14.25" customHeight="1" x14ac:dyDescent="0.3">
      <c r="N37" s="114" t="s">
        <v>17</v>
      </c>
      <c r="P37" s="323">
        <f t="shared" si="78"/>
        <v>99.881935561183624</v>
      </c>
      <c r="Q37" s="328"/>
      <c r="R37" s="324">
        <f t="shared" si="79"/>
        <v>99.612374406743058</v>
      </c>
      <c r="S37" s="328"/>
      <c r="T37" s="324">
        <f t="shared" si="80"/>
        <v>99.867016497142643</v>
      </c>
      <c r="U37" s="328"/>
      <c r="V37" s="465">
        <f t="shared" si="81"/>
        <v>99.943384516037113</v>
      </c>
      <c r="X37" s="326">
        <f t="shared" si="82"/>
        <v>99.473136275905631</v>
      </c>
      <c r="AF37" s="672" t="str">
        <f t="shared" ref="AF37:AF42" si="83">AF27</f>
        <v>TNX</v>
      </c>
      <c r="AG37" s="673">
        <v>0</v>
      </c>
      <c r="AH37" s="674">
        <f>AG37/2</f>
        <v>0</v>
      </c>
      <c r="AI37" s="661"/>
      <c r="AJ37" s="672" t="str">
        <f t="shared" ref="AJ37:AJ42" si="84">AJ2</f>
        <v>TNX</v>
      </c>
      <c r="AK37" s="675">
        <v>0.92500000000000004</v>
      </c>
      <c r="AL37" s="676">
        <f>1-AK37</f>
        <v>7.4999999999999956E-2</v>
      </c>
      <c r="AO37" s="661"/>
      <c r="AP37" s="678">
        <f>(AK27*I12+AL27*J12)+AG27</f>
        <v>4.2058714049712727</v>
      </c>
      <c r="AQ37" s="678">
        <f>AK2+AH37</f>
        <v>4.2058714049712727</v>
      </c>
      <c r="AR37" s="661"/>
      <c r="AS37" s="661"/>
    </row>
    <row r="38" spans="1:45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681" t="str">
        <f t="shared" si="83"/>
        <v>DJI</v>
      </c>
      <c r="AG38" s="682">
        <v>50</v>
      </c>
      <c r="AH38" s="683">
        <f>AG38/2</f>
        <v>25</v>
      </c>
      <c r="AI38" s="661"/>
      <c r="AJ38" s="681" t="str">
        <f t="shared" si="84"/>
        <v>DJI</v>
      </c>
      <c r="AK38" s="684">
        <v>0.95</v>
      </c>
      <c r="AL38" s="685">
        <f>1-AK38</f>
        <v>5.0000000000000044E-2</v>
      </c>
      <c r="AO38" s="661"/>
      <c r="AP38" s="687">
        <f>(AK28*I13+AL28*J13)+AG28</f>
        <v>47790.624825240913</v>
      </c>
      <c r="AQ38" s="687">
        <f>AK3+AH38</f>
        <v>47815.624825240913</v>
      </c>
      <c r="AR38" s="661"/>
      <c r="AS38" s="661"/>
    </row>
    <row r="39" spans="1:45" ht="14.25" customHeight="1" x14ac:dyDescent="0.3">
      <c r="N39" s="331" t="str">
        <f>AA1</f>
        <v>AVR-4</v>
      </c>
      <c r="P39" s="332">
        <f t="array" ref="P39">SUM(P33:P36/4)</f>
        <v>99.288019788349771</v>
      </c>
      <c r="Q39" s="328"/>
      <c r="R39" s="333">
        <f t="array" ref="R39">SUM(R33:R36/4)</f>
        <v>99.212978643795708</v>
      </c>
      <c r="S39" s="328"/>
      <c r="T39" s="333">
        <f t="array" ref="T39">SUM(T33:T36/4)</f>
        <v>97.894890405615612</v>
      </c>
      <c r="U39" s="328"/>
      <c r="V39" s="466">
        <f t="array" ref="V39">SUM(V33:V36/4)</f>
        <v>97.510218545204239</v>
      </c>
      <c r="X39" s="335">
        <f t="array" ref="X39">SUM(X33:X36/4)</f>
        <v>97.189051668173533</v>
      </c>
      <c r="AF39" s="689" t="str">
        <f t="shared" si="83"/>
        <v>SPX</v>
      </c>
      <c r="AG39" s="690">
        <v>4</v>
      </c>
      <c r="AH39" s="691">
        <f>AG39/2</f>
        <v>2</v>
      </c>
      <c r="AI39" s="661"/>
      <c r="AJ39" s="689" t="str">
        <f t="shared" si="84"/>
        <v>SPX</v>
      </c>
      <c r="AK39" s="684">
        <v>1.01</v>
      </c>
      <c r="AL39" s="685">
        <f>1-AK39</f>
        <v>-1.0000000000000009E-2</v>
      </c>
      <c r="AM39" s="4"/>
      <c r="AN39" s="661"/>
      <c r="AO39" s="661"/>
      <c r="AP39" s="693">
        <f>(AK29*I14+AL29*J14)+AG29</f>
        <v>6867.7290380806653</v>
      </c>
      <c r="AQ39" s="693">
        <f>AK4+AH39</f>
        <v>6869.7290380806653</v>
      </c>
      <c r="AR39" s="661"/>
      <c r="AS39" s="661"/>
    </row>
    <row r="40" spans="1:45" ht="14.25" customHeight="1" x14ac:dyDescent="0.3">
      <c r="N40" s="336" t="str">
        <f>AB1</f>
        <v>AVR-6</v>
      </c>
      <c r="P40" s="337">
        <f t="array" ref="P40">SUM(P32:P37/6)</f>
        <v>99.426550609098413</v>
      </c>
      <c r="Q40" s="328"/>
      <c r="R40" s="338">
        <f t="array" ref="R40">SUM(R32:R37/6)</f>
        <v>99.331596320322291</v>
      </c>
      <c r="S40" s="328"/>
      <c r="T40" s="338">
        <f t="array" ref="T40">SUM(T32:T37/6)</f>
        <v>98.518688326511665</v>
      </c>
      <c r="U40" s="328"/>
      <c r="V40" s="467">
        <f t="array" ref="V40">SUM(V32:V37/6)</f>
        <v>98.27757401790231</v>
      </c>
      <c r="X40" s="340">
        <f t="array" ref="X40">SUM(X32:X37/6)</f>
        <v>97.956998605706403</v>
      </c>
      <c r="AF40" s="689" t="str">
        <f t="shared" si="83"/>
        <v>VIX</v>
      </c>
      <c r="AG40" s="696">
        <v>-1.06</v>
      </c>
      <c r="AH40" s="697">
        <v>-0.23</v>
      </c>
      <c r="AI40" s="661"/>
      <c r="AJ40" s="689" t="str">
        <f t="shared" si="84"/>
        <v>VIX</v>
      </c>
      <c r="AK40" s="684"/>
      <c r="AL40" s="685"/>
      <c r="AM40" s="4"/>
      <c r="AN40" s="661"/>
      <c r="AO40" s="661"/>
      <c r="AP40" s="699">
        <f>IF(AN30=1,I15+AG30,I15+AG40)</f>
        <v>15.791145662847791</v>
      </c>
      <c r="AQ40" s="699">
        <f>IF(AN30=1,I15+AG30+AH30,I15+AG40+AH40)</f>
        <v>15.561145662847791</v>
      </c>
      <c r="AR40" s="661"/>
      <c r="AS40" s="661"/>
    </row>
    <row r="41" spans="1:45" ht="14.25" customHeight="1" x14ac:dyDescent="0.3">
      <c r="AF41" s="702" t="str">
        <f t="shared" si="83"/>
        <v>QQQ</v>
      </c>
      <c r="AG41" s="724">
        <v>-10</v>
      </c>
      <c r="AH41" s="725">
        <v>-3</v>
      </c>
      <c r="AI41" s="661"/>
      <c r="AJ41" s="702" t="str">
        <f t="shared" si="84"/>
        <v>QQQ</v>
      </c>
      <c r="AK41" s="684">
        <v>0.875</v>
      </c>
      <c r="AL41" s="685">
        <f>1-AK41</f>
        <v>0.125</v>
      </c>
      <c r="AM41" s="4"/>
      <c r="AO41" s="4"/>
      <c r="AP41" s="706">
        <f>IF(AN31=1,(I16+AG31),(I16+AG41))</f>
        <v>617.02715694330323</v>
      </c>
      <c r="AQ41" s="706">
        <f>IF(AN31=1,(I16+AG31+AH31),(I16+AG41+AH41))</f>
        <v>614.02715694330323</v>
      </c>
      <c r="AR41" s="661"/>
      <c r="AS41" s="661"/>
    </row>
    <row r="42" spans="1:45" ht="14.25" customHeight="1" x14ac:dyDescent="0.3">
      <c r="AF42" s="709" t="str">
        <f t="shared" si="83"/>
        <v>AAPL</v>
      </c>
      <c r="AG42" s="710">
        <v>-1.5</v>
      </c>
      <c r="AH42" s="711">
        <f>AG42/2</f>
        <v>-0.75</v>
      </c>
      <c r="AI42" s="661"/>
      <c r="AJ42" s="709" t="str">
        <f t="shared" si="84"/>
        <v>AAPL</v>
      </c>
      <c r="AK42" s="712">
        <v>0.77500000000000002</v>
      </c>
      <c r="AL42" s="713">
        <f>1-AK42</f>
        <v>0.22499999999999998</v>
      </c>
      <c r="AM42" s="4"/>
      <c r="AO42" s="4"/>
      <c r="AP42" s="715">
        <f>(AK32*I17+AL32*J17)+AG32</f>
        <v>277.90150931188123</v>
      </c>
      <c r="AQ42" s="715">
        <f>AK7+AH42</f>
        <v>277.15150931188123</v>
      </c>
      <c r="AR42" s="661"/>
      <c r="AS42" s="661"/>
    </row>
    <row r="43" spans="1:45" ht="14.25" customHeight="1" x14ac:dyDescent="0.3">
      <c r="AM43" s="4"/>
      <c r="AO43" s="4"/>
    </row>
    <row r="45" spans="1:45" ht="14.25" customHeight="1" x14ac:dyDescent="0.3">
      <c r="AI45" s="4"/>
      <c r="AK45" s="4"/>
      <c r="AM45" s="4"/>
      <c r="AO45" s="4"/>
    </row>
    <row r="46" spans="1:45" ht="14.25" customHeight="1" x14ac:dyDescent="0.3">
      <c r="AI46" s="4"/>
      <c r="AK46" s="4"/>
      <c r="AM46" s="4"/>
    </row>
    <row r="47" spans="1:45" ht="14.25" customHeight="1" x14ac:dyDescent="0.3">
      <c r="AI47" s="4"/>
      <c r="AK47" s="4"/>
      <c r="AM47" s="4"/>
    </row>
    <row r="48" spans="1:45" ht="14.25" customHeight="1" x14ac:dyDescent="0.3">
      <c r="F48" s="6"/>
      <c r="AI48" s="4"/>
      <c r="AK48" s="4"/>
      <c r="AM48" s="4"/>
    </row>
  </sheetData>
  <mergeCells count="34">
    <mergeCell ref="AK1:AL1"/>
    <mergeCell ref="AN1:AN6"/>
    <mergeCell ref="AO7:AP7"/>
    <mergeCell ref="AQ7:AR7"/>
    <mergeCell ref="AS7:AT7"/>
    <mergeCell ref="AU7:AV7"/>
    <mergeCell ref="AN8:AN13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G25:AH25"/>
    <mergeCell ref="AK25:AL25"/>
    <mergeCell ref="AG35:AH35"/>
    <mergeCell ref="AK35:AL35"/>
    <mergeCell ref="AP36:AQ36"/>
    <mergeCell ref="AP26:AQ26"/>
    <mergeCell ref="C29:D29"/>
    <mergeCell ref="E29:F29"/>
    <mergeCell ref="G29:H29"/>
    <mergeCell ref="I29:J29"/>
  </mergeCell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B48"/>
  <sheetViews>
    <sheetView zoomScale="140" zoomScaleNormal="140" workbookViewId="0">
      <selection activeCell="B13" sqref="B13"/>
    </sheetView>
  </sheetViews>
  <sheetFormatPr defaultColWidth="8.77734375" defaultRowHeight="14.25" customHeight="1" x14ac:dyDescent="0.3"/>
  <cols>
    <col min="1" max="1" width="7.33203125" style="4" customWidth="1"/>
    <col min="2" max="10" width="8.44140625" style="4" customWidth="1"/>
    <col min="11" max="11" width="9.33203125" style="4" customWidth="1"/>
    <col min="12" max="12" width="3.218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6.77734375" style="5" customWidth="1"/>
    <col min="25" max="25" width="3.33203125" style="4" hidden="1" customWidth="1"/>
    <col min="26" max="26" width="3.21875" style="4" customWidth="1"/>
    <col min="27" max="27" width="7.109375" style="6" customWidth="1"/>
    <col min="28" max="28" width="7.109375" style="7" customWidth="1"/>
    <col min="29" max="30" width="4.33203125" style="6" customWidth="1"/>
    <col min="31" max="31" width="3.21875" style="4" customWidth="1"/>
    <col min="32" max="32" width="6.44140625" style="8" customWidth="1"/>
    <col min="33" max="33" width="7" style="8" customWidth="1"/>
    <col min="34" max="34" width="6.44140625" style="8" customWidth="1"/>
    <col min="35" max="36" width="7.21875" style="8" customWidth="1"/>
    <col min="37" max="37" width="6.44140625" style="8" customWidth="1"/>
    <col min="38" max="38" width="7.6640625" style="9" customWidth="1"/>
    <col min="39" max="39" width="5" style="8" customWidth="1"/>
    <col min="40" max="40" width="6.88671875" style="8" customWidth="1"/>
    <col min="41" max="41" width="6.21875" style="8" customWidth="1"/>
    <col min="42" max="48" width="6.21875" customWidth="1"/>
  </cols>
  <sheetData>
    <row r="1" spans="1:53" ht="15" customHeight="1" x14ac:dyDescent="0.3">
      <c r="A1" s="2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110</v>
      </c>
      <c r="G1" s="16" t="s">
        <v>104</v>
      </c>
      <c r="H1" s="16" t="s">
        <v>101</v>
      </c>
      <c r="I1" s="368" t="s">
        <v>8</v>
      </c>
      <c r="K1" s="18" t="s">
        <v>122</v>
      </c>
      <c r="M1" s="19" t="s">
        <v>11</v>
      </c>
      <c r="N1" s="20" t="s">
        <v>12</v>
      </c>
      <c r="O1" s="21">
        <f>SUM(N2:N9)</f>
        <v>799.61436490720644</v>
      </c>
      <c r="P1" s="22" t="s">
        <v>13</v>
      </c>
      <c r="Q1" s="23">
        <f>SUM(P2:P9)</f>
        <v>798.64572246867078</v>
      </c>
      <c r="R1" s="24" t="s">
        <v>14</v>
      </c>
      <c r="S1" s="23">
        <f>SUM(R2:R9)</f>
        <v>797.54305003006812</v>
      </c>
      <c r="T1" s="24" t="s">
        <v>15</v>
      </c>
      <c r="U1" s="23">
        <f>SUM(T2:T9)</f>
        <v>711.60295103957071</v>
      </c>
      <c r="V1" s="25" t="s">
        <v>16</v>
      </c>
      <c r="W1" s="26">
        <f>SUM(V2:V9)</f>
        <v>794.53853010290891</v>
      </c>
      <c r="X1" s="27" t="s">
        <v>17</v>
      </c>
      <c r="Y1" s="28">
        <f>SUM(X2:X9)</f>
        <v>795.27898563963902</v>
      </c>
      <c r="Z1" s="29"/>
      <c r="AA1" s="30" t="s">
        <v>18</v>
      </c>
      <c r="AB1" s="31" t="s">
        <v>19</v>
      </c>
      <c r="AF1" s="579" t="s">
        <v>20</v>
      </c>
      <c r="AG1" s="4"/>
      <c r="AH1" s="4"/>
      <c r="AK1" s="1314" t="s">
        <v>68</v>
      </c>
      <c r="AL1" s="1314"/>
      <c r="AN1" s="1315" t="str">
        <f>B20</f>
        <v>Close YF</v>
      </c>
      <c r="AO1" s="163">
        <f t="shared" ref="AO1:AO6" si="0">(I21-B21)/B21</f>
        <v>0</v>
      </c>
      <c r="AP1" s="164" t="str">
        <f>IF(K12-B21&gt;0,"↑","↓")</f>
        <v>↓</v>
      </c>
      <c r="AQ1" s="165">
        <f t="shared" ref="AQ1:AQ6" si="1">(C21-B21)/B21</f>
        <v>-3.2086329816880449E-5</v>
      </c>
      <c r="AR1" s="166" t="str">
        <f t="shared" ref="AR1:AR6" si="2">IF(C21-B21&gt;0,"↑","↓")</f>
        <v>↓</v>
      </c>
      <c r="AS1" s="163">
        <f t="shared" ref="AS1:AS6" si="3">(E21-B21)/B21</f>
        <v>-3.2086329816880449E-5</v>
      </c>
      <c r="AT1" s="164" t="str">
        <f t="shared" ref="AT1:AT6" si="4">IF(E21-B21&gt;0,"↑","↓")</f>
        <v>↓</v>
      </c>
      <c r="AU1" s="163">
        <f t="shared" ref="AU1:AU6" si="5">(G21-B21)/B21</f>
        <v>2.4102193299598311E-4</v>
      </c>
      <c r="AV1" s="164" t="str">
        <f t="shared" ref="AV1:AV6" si="6">IF(G21-B21&gt;0,"↑","↓")</f>
        <v>↑</v>
      </c>
    </row>
    <row r="2" spans="1:53" ht="15" x14ac:dyDescent="0.3">
      <c r="A2" s="35" t="s">
        <v>12</v>
      </c>
      <c r="B2" s="528">
        <v>4.1500000000000004</v>
      </c>
      <c r="C2" s="529">
        <v>4.1500000000000004</v>
      </c>
      <c r="D2" s="529">
        <v>4.1500000000000004</v>
      </c>
      <c r="E2" s="529">
        <v>4.1500000000000004</v>
      </c>
      <c r="F2" s="529">
        <v>4.1500000000000004</v>
      </c>
      <c r="G2" s="529">
        <v>4.1500000000000004</v>
      </c>
      <c r="H2" s="530">
        <v>4.1500000000000004</v>
      </c>
      <c r="I2" s="531">
        <v>4.1399999999999997</v>
      </c>
      <c r="M2" s="493" t="str">
        <f>B1</f>
        <v>O 5.2</v>
      </c>
      <c r="N2" s="494">
        <f>100-ABS((($K12-B2)/($K12)))*100</f>
        <v>99.975897806700402</v>
      </c>
      <c r="O2" s="495">
        <f t="shared" ref="O2:O9" si="7">N2/$O$1</f>
        <v>0.12503014227152159</v>
      </c>
      <c r="P2" s="496">
        <f>100-ABS((($K13-B3)/($K13)))*100</f>
        <v>99.675682233822499</v>
      </c>
      <c r="Q2" s="497">
        <f t="shared" ref="Q2:Q9" si="8">P2/$Q$1</f>
        <v>0.12480588004117504</v>
      </c>
      <c r="R2" s="497">
        <f>100-ABS((($K14-B4)/($K14)))*100</f>
        <v>99.890408794218743</v>
      </c>
      <c r="S2" s="497">
        <f t="shared" ref="S2:S9" si="9">R2/$S$1</f>
        <v>0.1252476700667792</v>
      </c>
      <c r="T2" s="497">
        <f>100-ABS((($K15-B5)/($K15)))*100</f>
        <v>88.464118041582836</v>
      </c>
      <c r="U2" s="497">
        <f t="shared" ref="U2:U9" si="10">T2/$U$1</f>
        <v>0.12431668237511782</v>
      </c>
      <c r="V2" s="498">
        <f>100-ABS((($K16-B6)/($K16)))*100</f>
        <v>99.619155659995158</v>
      </c>
      <c r="W2" s="499">
        <f t="shared" ref="W2:W9" si="11">V2/$W$1</f>
        <v>0.12537989271217903</v>
      </c>
      <c r="X2" s="500">
        <f>100-ABS((($K17-B7)/($K17)))*100</f>
        <v>99.228998428764584</v>
      </c>
      <c r="Y2" s="48">
        <f t="shared" ref="Y2:Y9" si="12">X2/$Y$1</f>
        <v>0.12477256437117495</v>
      </c>
      <c r="Z2" s="29"/>
      <c r="AA2" s="49">
        <f t="shared" ref="AA2:AA9" si="13">(P2+R2+T2+V2)/4</f>
        <v>96.912341182404802</v>
      </c>
      <c r="AB2" s="50">
        <f t="shared" ref="AB2:AB9" si="14">(N2+P2+R2+T2+V2+X2)/6</f>
        <v>97.809043494180699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80" t="s">
        <v>42</v>
      </c>
      <c r="AH2" s="581">
        <f>MAX(N2:N9)</f>
        <v>99.975897806700402</v>
      </c>
      <c r="AJ2" s="341" t="str">
        <f t="shared" ref="AJ2:AJ7" si="15">A2</f>
        <v>TNX</v>
      </c>
      <c r="AK2" s="342">
        <f t="shared" ref="AK2:AK7" si="16">IF(AN27=1,AP27,AP37)</f>
        <v>4.1488668738175898</v>
      </c>
      <c r="AL2" s="57">
        <f t="shared" ref="AL2:AL7" si="17">100-ABS(($K12-AK2)/($K12))*100</f>
        <v>99.996791367018318</v>
      </c>
      <c r="AN2" s="1315"/>
      <c r="AO2" s="182">
        <f t="shared" si="0"/>
        <v>4.2877101300108078E-4</v>
      </c>
      <c r="AP2" s="183" t="str">
        <f>IF(I22-B22&gt;0,"↑","↓")</f>
        <v>↑</v>
      </c>
      <c r="AQ2" s="184">
        <f t="shared" si="1"/>
        <v>3.2148711669548447E-3</v>
      </c>
      <c r="AR2" s="185" t="str">
        <f t="shared" si="2"/>
        <v>↑</v>
      </c>
      <c r="AS2" s="182">
        <f t="shared" si="3"/>
        <v>3.7344676441738644E-3</v>
      </c>
      <c r="AT2" s="183" t="str">
        <f t="shared" si="4"/>
        <v>↑</v>
      </c>
      <c r="AU2" s="182">
        <f t="shared" si="5"/>
        <v>4.2968550280103645E-3</v>
      </c>
      <c r="AV2" s="183" t="str">
        <f t="shared" si="6"/>
        <v>↑</v>
      </c>
    </row>
    <row r="3" spans="1:53" ht="15" x14ac:dyDescent="0.3">
      <c r="A3" s="60" t="s">
        <v>13</v>
      </c>
      <c r="B3" s="532">
        <v>48291</v>
      </c>
      <c r="C3" s="533">
        <v>48200</v>
      </c>
      <c r="D3" s="533">
        <v>48250</v>
      </c>
      <c r="E3" s="533">
        <v>48195</v>
      </c>
      <c r="F3" s="533">
        <v>48200</v>
      </c>
      <c r="G3" s="533">
        <v>48195</v>
      </c>
      <c r="H3" s="533">
        <v>48200</v>
      </c>
      <c r="I3" s="534">
        <v>48200</v>
      </c>
      <c r="K3" s="64" t="s">
        <v>123</v>
      </c>
      <c r="M3" s="501" t="str">
        <f>C1</f>
        <v>Grok 4.1</v>
      </c>
      <c r="N3" s="502">
        <f>100-ABS((($K12-C2)/($K12)))*100</f>
        <v>99.975897806700402</v>
      </c>
      <c r="O3" s="503">
        <f t="shared" si="7"/>
        <v>0.12503014227152159</v>
      </c>
      <c r="P3" s="504">
        <f>100-ABS((($K13-C3)/($K13)))*100</f>
        <v>99.864734291487935</v>
      </c>
      <c r="Q3" s="505">
        <f t="shared" si="8"/>
        <v>0.12504259583686109</v>
      </c>
      <c r="R3" s="505">
        <f>100-ABS((($K14-C4)/($K14)))*100</f>
        <v>99.641670409935486</v>
      </c>
      <c r="S3" s="505">
        <f t="shared" si="9"/>
        <v>0.12493578924194612</v>
      </c>
      <c r="T3" s="505">
        <f>100-ABS((($K15-C5)/($K15)))*100</f>
        <v>89.336016096579471</v>
      </c>
      <c r="U3" s="505">
        <f t="shared" si="10"/>
        <v>0.12554194156456172</v>
      </c>
      <c r="V3" s="506">
        <f>100-ABS((($K16-C6)/($K16)))*100</f>
        <v>99.181589822542747</v>
      </c>
      <c r="W3" s="507">
        <f t="shared" si="11"/>
        <v>0.12482917576029537</v>
      </c>
      <c r="X3" s="508">
        <f>100-ABS((($K17-C7)/($K17)))*100</f>
        <v>99.514013227609908</v>
      </c>
      <c r="Y3" s="48">
        <f t="shared" si="12"/>
        <v>0.12513094778629322</v>
      </c>
      <c r="Z3" s="29"/>
      <c r="AA3" s="73">
        <f t="shared" si="13"/>
        <v>97.006002655136399</v>
      </c>
      <c r="AB3" s="74">
        <f t="shared" si="14"/>
        <v>97.918986942475996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583" t="s">
        <v>42</v>
      </c>
      <c r="AH3" s="584">
        <f>MAX(P2:P9)</f>
        <v>99.875121767183842</v>
      </c>
      <c r="AJ3" s="343" t="str">
        <f t="shared" si="15"/>
        <v>DJI</v>
      </c>
      <c r="AK3" s="344">
        <f t="shared" si="16"/>
        <v>48268.941147193371</v>
      </c>
      <c r="AL3" s="78">
        <f t="shared" si="17"/>
        <v>99.721509393304174</v>
      </c>
      <c r="AN3" s="1315"/>
      <c r="AO3" s="182">
        <f t="shared" si="0"/>
        <v>5.0336310670473722E-3</v>
      </c>
      <c r="AP3" s="183" t="str">
        <f>IF(I23-B23&gt;0,"↑","↓")</f>
        <v>↑</v>
      </c>
      <c r="AQ3" s="184">
        <f t="shared" si="1"/>
        <v>2.520669501615942E-3</v>
      </c>
      <c r="AR3" s="185" t="str">
        <f t="shared" si="2"/>
        <v>↑</v>
      </c>
      <c r="AS3" s="182">
        <f t="shared" si="3"/>
        <v>2.8147759034299904E-3</v>
      </c>
      <c r="AT3" s="183" t="str">
        <f t="shared" si="4"/>
        <v>↑</v>
      </c>
      <c r="AU3" s="182">
        <f t="shared" si="5"/>
        <v>3.6380961904397451E-3</v>
      </c>
      <c r="AV3" s="183" t="str">
        <f t="shared" si="6"/>
        <v>↑</v>
      </c>
    </row>
    <row r="4" spans="1:53" ht="15" x14ac:dyDescent="0.3">
      <c r="A4" s="82" t="s">
        <v>14</v>
      </c>
      <c r="B4" s="535">
        <v>6827</v>
      </c>
      <c r="C4" s="536">
        <v>6810</v>
      </c>
      <c r="D4" s="536">
        <v>6815</v>
      </c>
      <c r="E4" s="536">
        <v>6808</v>
      </c>
      <c r="F4" s="536">
        <v>6820</v>
      </c>
      <c r="G4" s="536">
        <v>6808</v>
      </c>
      <c r="H4" s="536">
        <v>6820</v>
      </c>
      <c r="I4" s="537">
        <v>6800</v>
      </c>
      <c r="M4" s="501" t="str">
        <f>D1</f>
        <v>Gemini Pro 3</v>
      </c>
      <c r="N4" s="502">
        <f>100-ABS((($K12-D2)/($K12)))*100</f>
        <v>99.975897806700402</v>
      </c>
      <c r="O4" s="503">
        <f t="shared" si="7"/>
        <v>0.12503014227152159</v>
      </c>
      <c r="P4" s="504">
        <f>100-ABS((($K13-D3)/($K13)))*100</f>
        <v>99.760859534528905</v>
      </c>
      <c r="Q4" s="505">
        <f t="shared" si="8"/>
        <v>0.12491253221285777</v>
      </c>
      <c r="R4" s="505">
        <f>100-ABS((($K14-D4)/($K14)))*100</f>
        <v>99.7148287582541</v>
      </c>
      <c r="S4" s="505">
        <f t="shared" si="9"/>
        <v>0.12502751889630881</v>
      </c>
      <c r="T4" s="505">
        <f>100-ABS((($K15-D5)/($K15)))*100</f>
        <v>87.659289067739778</v>
      </c>
      <c r="U4" s="505">
        <f t="shared" si="10"/>
        <v>0.12318567389255421</v>
      </c>
      <c r="V4" s="506">
        <f>100-ABS((($K16-D6)/($K16)))*100</f>
        <v>99.019528401264083</v>
      </c>
      <c r="W4" s="507">
        <f t="shared" si="11"/>
        <v>0.12462520651885697</v>
      </c>
      <c r="X4" s="508">
        <f>100-ABS((($K17-D7)/($K17)))*100</f>
        <v>99.696715021741525</v>
      </c>
      <c r="Y4" s="48">
        <f t="shared" si="12"/>
        <v>0.12536068074470236</v>
      </c>
      <c r="Z4" s="29"/>
      <c r="AA4" s="73">
        <f t="shared" si="13"/>
        <v>96.53862644044672</v>
      </c>
      <c r="AB4" s="74">
        <f t="shared" si="14"/>
        <v>97.637853098371465</v>
      </c>
      <c r="AC4" s="51" t="str">
        <f>IF($AA4=MAX(AA2:AA9),"TOP","")</f>
        <v/>
      </c>
      <c r="AD4" s="51" t="str">
        <f>IF($AB4=MAX(AB2:AB9),"TOP","")</f>
        <v/>
      </c>
      <c r="AE4" s="52"/>
      <c r="AF4" s="82" t="s">
        <v>14</v>
      </c>
      <c r="AG4" s="585" t="s">
        <v>37</v>
      </c>
      <c r="AH4" s="586">
        <f>MAX(R2:R9)</f>
        <v>99.890408794218743</v>
      </c>
      <c r="AJ4" s="345" t="str">
        <f t="shared" si="15"/>
        <v>SPX</v>
      </c>
      <c r="AK4" s="346">
        <f t="shared" si="16"/>
        <v>6817.401207985059</v>
      </c>
      <c r="AL4" s="89">
        <f t="shared" si="17"/>
        <v>99.749962440285358</v>
      </c>
      <c r="AN4" s="1315"/>
      <c r="AO4" s="182">
        <f t="shared" si="0"/>
        <v>-9.4167679222357262E-2</v>
      </c>
      <c r="AP4" s="183" t="str">
        <f>IF(I24-B24&gt;0,"↑","↓")</f>
        <v>↓</v>
      </c>
      <c r="AQ4" s="184">
        <f t="shared" si="1"/>
        <v>-5.8546170896027122E-2</v>
      </c>
      <c r="AR4" s="185" t="str">
        <f t="shared" si="2"/>
        <v>↓</v>
      </c>
      <c r="AS4" s="182">
        <f t="shared" si="3"/>
        <v>-7.2519439425796278E-2</v>
      </c>
      <c r="AT4" s="183" t="str">
        <f t="shared" si="4"/>
        <v>↓</v>
      </c>
      <c r="AU4" s="182">
        <f t="shared" si="5"/>
        <v>-3.0376670716889428E-2</v>
      </c>
      <c r="AV4" s="183" t="str">
        <f t="shared" si="6"/>
        <v>↓</v>
      </c>
    </row>
    <row r="5" spans="1:53" ht="15" x14ac:dyDescent="0.3">
      <c r="A5" s="82" t="s">
        <v>15</v>
      </c>
      <c r="B5" s="538">
        <v>16.63</v>
      </c>
      <c r="C5" s="539">
        <v>16.5</v>
      </c>
      <c r="D5" s="539">
        <v>16.75</v>
      </c>
      <c r="E5" s="539">
        <v>16.45</v>
      </c>
      <c r="F5" s="539">
        <v>16.5</v>
      </c>
      <c r="G5" s="539">
        <v>16.63</v>
      </c>
      <c r="H5" s="540">
        <v>16.5</v>
      </c>
      <c r="I5" s="541">
        <v>16.5</v>
      </c>
      <c r="K5" s="2" t="s">
        <v>36</v>
      </c>
      <c r="M5" s="501" t="str">
        <f>E1</f>
        <v>Claude</v>
      </c>
      <c r="N5" s="502">
        <f>100-ABS((($K12-E2)/($K12)))*100</f>
        <v>99.975897806700402</v>
      </c>
      <c r="O5" s="503">
        <f t="shared" si="7"/>
        <v>0.12503014227152159</v>
      </c>
      <c r="P5" s="504">
        <f>100-ABS((($K13-E3)/($K13)))*100</f>
        <v>99.875121767183842</v>
      </c>
      <c r="Q5" s="505">
        <f t="shared" si="8"/>
        <v>0.12505560219926143</v>
      </c>
      <c r="R5" s="505">
        <f>100-ABS((($K14-E4)/($K14)))*100</f>
        <v>99.612407070608057</v>
      </c>
      <c r="S5" s="505">
        <f t="shared" si="9"/>
        <v>0.12489909738020108</v>
      </c>
      <c r="T5" s="505">
        <f>100-ABS((($K15-E5)/($K15)))*100</f>
        <v>89.671361502347423</v>
      </c>
      <c r="U5" s="505">
        <f t="shared" si="10"/>
        <v>0.12601319509896325</v>
      </c>
      <c r="V5" s="506">
        <f>100-ABS((($K16-E6)/($K16)))*100</f>
        <v>99.181589822542747</v>
      </c>
      <c r="W5" s="507">
        <f t="shared" si="11"/>
        <v>0.12482917576029537</v>
      </c>
      <c r="X5" s="508">
        <f>100-ABS((($K17-E7)/($K17)))*100</f>
        <v>99.14860963934666</v>
      </c>
      <c r="Y5" s="48">
        <f t="shared" si="12"/>
        <v>0.12467148186947492</v>
      </c>
      <c r="Z5" s="29"/>
      <c r="AA5" s="73">
        <f t="shared" si="13"/>
        <v>97.085120040670517</v>
      </c>
      <c r="AB5" s="74">
        <f t="shared" si="14"/>
        <v>97.910831268121512</v>
      </c>
      <c r="AC5" s="51" t="str">
        <f>IF($AA5=MAX(AA2:AA9),"TOP","")</f>
        <v/>
      </c>
      <c r="AD5" s="51" t="str">
        <f>IF($AB5=MAX(AB2:AB9),"TOP","")</f>
        <v/>
      </c>
      <c r="AE5" s="52"/>
      <c r="AF5" s="82" t="s">
        <v>15</v>
      </c>
      <c r="AG5" s="585" t="s">
        <v>95</v>
      </c>
      <c r="AH5" s="586">
        <f>MAX(T2:T9)</f>
        <v>89.671361502347423</v>
      </c>
      <c r="AJ5" s="345" t="str">
        <f t="shared" si="15"/>
        <v>VIX</v>
      </c>
      <c r="AK5" s="347">
        <f t="shared" si="16"/>
        <v>15.496330027051394</v>
      </c>
      <c r="AL5" s="89">
        <f t="shared" si="17"/>
        <v>96.067538383290454</v>
      </c>
      <c r="AN5" s="1315"/>
      <c r="AO5" s="182">
        <f t="shared" si="0"/>
        <v>8.6636697997547283E-3</v>
      </c>
      <c r="AP5" s="183" t="str">
        <f>IF(I25-B25&gt;0,"↑","↓")</f>
        <v>↑</v>
      </c>
      <c r="AQ5" s="184">
        <f t="shared" si="1"/>
        <v>6.6835887798466029E-3</v>
      </c>
      <c r="AR5" s="185" t="str">
        <f t="shared" si="2"/>
        <v>↑</v>
      </c>
      <c r="AS5" s="182">
        <f t="shared" si="3"/>
        <v>9.2990362665650705E-3</v>
      </c>
      <c r="AT5" s="183" t="str">
        <f t="shared" si="4"/>
        <v>↑</v>
      </c>
      <c r="AU5" s="182">
        <f t="shared" si="5"/>
        <v>5.1491622394768738E-3</v>
      </c>
      <c r="AV5" s="183" t="str">
        <f t="shared" si="6"/>
        <v>↑</v>
      </c>
    </row>
    <row r="6" spans="1:53" ht="15" x14ac:dyDescent="0.3">
      <c r="A6" s="99" t="s">
        <v>16</v>
      </c>
      <c r="B6" s="542">
        <v>614.70000000000005</v>
      </c>
      <c r="C6" s="543">
        <v>612</v>
      </c>
      <c r="D6" s="543">
        <v>611</v>
      </c>
      <c r="E6" s="543">
        <v>612</v>
      </c>
      <c r="F6" s="543">
        <v>614</v>
      </c>
      <c r="G6" s="543">
        <v>612</v>
      </c>
      <c r="H6" s="544">
        <v>615</v>
      </c>
      <c r="I6" s="545">
        <v>612</v>
      </c>
      <c r="M6" s="501" t="str">
        <f>F1</f>
        <v>Minimax 2</v>
      </c>
      <c r="N6" s="502">
        <f>100-ABS((($K12-F2)/($K12)))*100</f>
        <v>99.975897806700402</v>
      </c>
      <c r="O6" s="503">
        <f t="shared" si="7"/>
        <v>0.12503014227152159</v>
      </c>
      <c r="P6" s="504">
        <f>100-ABS((($K13-F3)/($K13)))*100</f>
        <v>99.864734291487935</v>
      </c>
      <c r="Q6" s="505">
        <f t="shared" si="8"/>
        <v>0.12504259583686109</v>
      </c>
      <c r="R6" s="505">
        <f>100-ABS((($K14-F4)/($K14)))*100</f>
        <v>99.7879871065727</v>
      </c>
      <c r="S6" s="505">
        <f t="shared" si="9"/>
        <v>0.12511924855067147</v>
      </c>
      <c r="T6" s="505">
        <f>100-ABS((($K15-F5)/($K15)))*100</f>
        <v>89.336016096579471</v>
      </c>
      <c r="U6" s="505">
        <f t="shared" si="10"/>
        <v>0.12554194156456172</v>
      </c>
      <c r="V6" s="506">
        <f>100-ABS((($K16-F6)/($K16)))*100</f>
        <v>99.505712665100077</v>
      </c>
      <c r="W6" s="507">
        <f t="shared" si="11"/>
        <v>0.12523711424317216</v>
      </c>
      <c r="X6" s="508">
        <f>100-ABS((($K17-F7)/($K17)))*100</f>
        <v>99.514013227609908</v>
      </c>
      <c r="Y6" s="48">
        <f t="shared" si="12"/>
        <v>0.12513094778629322</v>
      </c>
      <c r="Z6" s="29"/>
      <c r="AA6" s="73">
        <f t="shared" si="13"/>
        <v>97.123612539935039</v>
      </c>
      <c r="AB6" s="74">
        <f t="shared" si="14"/>
        <v>97.997393532341746</v>
      </c>
      <c r="AC6" s="11" t="str">
        <f>IF($AA6=MAX(AA2:AA9),"TOP","")</f>
        <v/>
      </c>
      <c r="AD6" s="11" t="str">
        <f>IF($AB6=MAX(AB2:AB9),"TOP","")</f>
        <v>TOP</v>
      </c>
      <c r="AE6" s="52"/>
      <c r="AF6" s="99" t="s">
        <v>16</v>
      </c>
      <c r="AG6" s="587" t="s">
        <v>39</v>
      </c>
      <c r="AH6" s="588">
        <f>MAX(V2:V9)</f>
        <v>99.667774086378742</v>
      </c>
      <c r="AJ6" s="348" t="str">
        <f t="shared" si="15"/>
        <v>QQQ</v>
      </c>
      <c r="AK6" s="349">
        <f t="shared" si="16"/>
        <v>615.83868543607116</v>
      </c>
      <c r="AL6" s="107">
        <f t="shared" si="17"/>
        <v>99.803692640154154</v>
      </c>
      <c r="AN6" s="1315"/>
      <c r="AO6" s="223">
        <f t="shared" si="0"/>
        <v>-3.4230363060340032E-3</v>
      </c>
      <c r="AP6" s="224" t="str">
        <f>IF(I26-B26&gt;0,"↑","↓")</f>
        <v>↓</v>
      </c>
      <c r="AQ6" s="225">
        <f t="shared" si="1"/>
        <v>-4.101617483990831E-3</v>
      </c>
      <c r="AR6" s="226" t="str">
        <f t="shared" si="2"/>
        <v>↓</v>
      </c>
      <c r="AS6" s="223">
        <f t="shared" si="3"/>
        <v>-6.8327634728477553E-3</v>
      </c>
      <c r="AT6" s="224" t="str">
        <f t="shared" si="4"/>
        <v>↓</v>
      </c>
      <c r="AU6" s="223">
        <f t="shared" si="5"/>
        <v>1.0560431156912116E-3</v>
      </c>
      <c r="AV6" s="224" t="str">
        <f t="shared" si="6"/>
        <v>↑</v>
      </c>
    </row>
    <row r="7" spans="1:53" ht="14.4" x14ac:dyDescent="0.3">
      <c r="A7" s="109" t="s">
        <v>17</v>
      </c>
      <c r="B7" s="546">
        <v>275.77999999999997</v>
      </c>
      <c r="C7" s="547">
        <v>275</v>
      </c>
      <c r="D7" s="547">
        <v>274.5</v>
      </c>
      <c r="E7" s="547">
        <v>276</v>
      </c>
      <c r="F7" s="547">
        <v>275</v>
      </c>
      <c r="G7" s="547">
        <v>275</v>
      </c>
      <c r="H7" s="548">
        <v>276</v>
      </c>
      <c r="I7" s="549">
        <v>275</v>
      </c>
      <c r="K7" s="2" t="s">
        <v>41</v>
      </c>
      <c r="M7" s="501" t="str">
        <f>G1</f>
        <v>Kimi 2</v>
      </c>
      <c r="N7" s="502">
        <f>100-ABS((($K12-G2)/($K12)))*100</f>
        <v>99.975897806700402</v>
      </c>
      <c r="O7" s="503">
        <f t="shared" si="7"/>
        <v>0.12503014227152159</v>
      </c>
      <c r="P7" s="504">
        <f>100-ABS((($K13-G3)/($K13)))*100</f>
        <v>99.875121767183842</v>
      </c>
      <c r="Q7" s="505">
        <f t="shared" si="8"/>
        <v>0.12505560219926143</v>
      </c>
      <c r="R7" s="505">
        <f>100-ABS((($K14-G4)/($K14)))*100</f>
        <v>99.612407070608057</v>
      </c>
      <c r="S7" s="505">
        <f t="shared" si="9"/>
        <v>0.12489909738020108</v>
      </c>
      <c r="T7" s="505">
        <f>100-ABS((($K15-G5)/($K15)))*100</f>
        <v>88.464118041582836</v>
      </c>
      <c r="U7" s="505">
        <f t="shared" si="10"/>
        <v>0.12431668237511782</v>
      </c>
      <c r="V7" s="506">
        <f>100-ABS((($K16-G6)/($K16)))*100</f>
        <v>99.181589822542747</v>
      </c>
      <c r="W7" s="507">
        <f t="shared" si="11"/>
        <v>0.12482917576029537</v>
      </c>
      <c r="X7" s="508">
        <f>100-ABS((($K17-G7)/($K17)))*100</f>
        <v>99.514013227609908</v>
      </c>
      <c r="Y7" s="48">
        <f t="shared" si="12"/>
        <v>0.12513094778629322</v>
      </c>
      <c r="Z7" s="29"/>
      <c r="AA7" s="73">
        <f t="shared" si="13"/>
        <v>96.78330917547936</v>
      </c>
      <c r="AB7" s="74">
        <f t="shared" si="14"/>
        <v>97.770524622704627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589" t="s">
        <v>96</v>
      </c>
      <c r="AH7" s="590">
        <f>MAX(X2:X9)</f>
        <v>99.696715021741525</v>
      </c>
      <c r="AJ7" s="350" t="str">
        <f t="shared" si="15"/>
        <v>AAPL</v>
      </c>
      <c r="AK7" s="351">
        <f t="shared" si="16"/>
        <v>273.48365482272129</v>
      </c>
      <c r="AL7" s="118">
        <f t="shared" si="17"/>
        <v>99.931908803566799</v>
      </c>
      <c r="AN7" s="228"/>
      <c r="AO7" s="1316" t="str">
        <f>K11</f>
        <v xml:space="preserve">+3-day </v>
      </c>
      <c r="AP7" s="1316"/>
      <c r="AQ7" s="1317" t="str">
        <f>C11</f>
        <v>RD</v>
      </c>
      <c r="AR7" s="1317"/>
      <c r="AS7" s="1318">
        <f>E11</f>
        <v>85520</v>
      </c>
      <c r="AT7" s="1318"/>
      <c r="AU7" s="1318" t="str">
        <f>G11</f>
        <v>MICH</v>
      </c>
      <c r="AV7" s="1318"/>
    </row>
    <row r="8" spans="1:53" ht="14.25" customHeight="1" x14ac:dyDescent="0.3">
      <c r="K8" s="485">
        <v>47</v>
      </c>
      <c r="M8" s="501" t="str">
        <f>H1</f>
        <v>Qwen3 Max</v>
      </c>
      <c r="N8" s="502">
        <f>100-ABS((($K12-H2)/($K12)))*100</f>
        <v>99.975897806700402</v>
      </c>
      <c r="O8" s="503">
        <f t="shared" si="7"/>
        <v>0.12503014227152159</v>
      </c>
      <c r="P8" s="504">
        <f>100-ABS((($K13-H3)/($K13)))*100</f>
        <v>99.864734291487935</v>
      </c>
      <c r="Q8" s="505">
        <f t="shared" si="8"/>
        <v>0.12504259583686109</v>
      </c>
      <c r="R8" s="505">
        <f>100-ABS((($K14-H4)/($K14)))*100</f>
        <v>99.7879871065727</v>
      </c>
      <c r="S8" s="505">
        <f t="shared" si="9"/>
        <v>0.12511924855067147</v>
      </c>
      <c r="T8" s="505">
        <f>100-ABS((($K15-H5)/($K15)))*100</f>
        <v>89.336016096579471</v>
      </c>
      <c r="U8" s="505">
        <f t="shared" si="10"/>
        <v>0.12554194156456172</v>
      </c>
      <c r="V8" s="506">
        <f>100-ABS((($K16-H6)/($K16)))*100</f>
        <v>99.667774086378742</v>
      </c>
      <c r="W8" s="507">
        <f t="shared" si="11"/>
        <v>0.12544108348461055</v>
      </c>
      <c r="X8" s="508">
        <f>100-ABS((($K17-H7)/($K17)))*100</f>
        <v>99.14860963934666</v>
      </c>
      <c r="Y8" s="48">
        <f t="shared" si="12"/>
        <v>0.12467148186947492</v>
      </c>
      <c r="Z8" s="29"/>
      <c r="AA8" s="73">
        <f t="shared" si="13"/>
        <v>97.164127895254708</v>
      </c>
      <c r="AB8" s="74">
        <f t="shared" si="14"/>
        <v>97.963503171177649</v>
      </c>
      <c r="AC8" s="51" t="str">
        <f>IF($AA8=MAX(AA2:AA9),"TOP","")</f>
        <v>TOP</v>
      </c>
      <c r="AD8" s="51" t="str">
        <f>IF($AB8=MAX(AB2:AB9),"TOP","")</f>
        <v/>
      </c>
      <c r="AE8" s="52"/>
      <c r="AF8" s="4"/>
      <c r="AG8" s="4"/>
      <c r="AH8" s="5"/>
      <c r="AN8" s="1315" t="str">
        <f>B29</f>
        <v>Oraclum</v>
      </c>
      <c r="AO8" s="163">
        <f t="shared" ref="AO8:AO13" si="18">(I30-B30)/B30</f>
        <v>-3.8415366146458615E-3</v>
      </c>
      <c r="AP8" s="164" t="str">
        <f t="shared" ref="AP8:AP13" si="19">IF(I30-B30&gt;0,"↑","↓")</f>
        <v>↓</v>
      </c>
      <c r="AQ8" s="165">
        <f t="shared" ref="AQ8:AQ13" si="20">(C30-B30)/B30</f>
        <v>-3.873499683651921E-3</v>
      </c>
      <c r="AR8" s="166" t="str">
        <f t="shared" ref="AR8:AR13" si="21">IF(C30-B30&gt;0,"↑","↓")</f>
        <v>↓</v>
      </c>
      <c r="AS8" s="163">
        <f t="shared" ref="AS8:AS13" si="22">(E30-B30)/B30</f>
        <v>-3.873499683651921E-3</v>
      </c>
      <c r="AT8" s="164" t="str">
        <f t="shared" ref="AT8:AT13" si="23">IF(E30-B30&gt;0,"↑","↓")</f>
        <v>↓</v>
      </c>
      <c r="AU8" s="163">
        <f t="shared" ref="AU8:AU13" si="24">(G30-B30)/B30</f>
        <v>-3.6014405762304154E-3</v>
      </c>
      <c r="AV8" s="164" t="str">
        <f t="shared" ref="AV8:AV13" si="25">IF(G30-B30&gt;0,"↑","↓")</f>
        <v>↓</v>
      </c>
    </row>
    <row r="9" spans="1:53" ht="15" x14ac:dyDescent="0.3">
      <c r="M9" s="509" t="str">
        <f>I1</f>
        <v>LeChat</v>
      </c>
      <c r="N9" s="510">
        <f>100-ABS((($K12-I2)/($K12)))*100</f>
        <v>99.783080260303677</v>
      </c>
      <c r="O9" s="511">
        <f t="shared" si="7"/>
        <v>0.12478900409934893</v>
      </c>
      <c r="P9" s="512">
        <f>100-ABS((($K13-I3)/($K13)))*100</f>
        <v>99.864734291487935</v>
      </c>
      <c r="Q9" s="513">
        <f t="shared" si="8"/>
        <v>0.12504259583686109</v>
      </c>
      <c r="R9" s="513">
        <f>100-ABS((($K14-I4)/($K14)))*100</f>
        <v>99.495353713298286</v>
      </c>
      <c r="S9" s="513">
        <f t="shared" si="9"/>
        <v>0.1247523299332208</v>
      </c>
      <c r="T9" s="514">
        <f>100-ABS((($K15-I5)/($K15)))*100</f>
        <v>89.336016096579471</v>
      </c>
      <c r="U9" s="513">
        <f t="shared" si="10"/>
        <v>0.12554194156456172</v>
      </c>
      <c r="V9" s="515">
        <f>100-ABS((($K16-I6)/($K16)))*100</f>
        <v>99.181589822542747</v>
      </c>
      <c r="W9" s="516">
        <f t="shared" si="11"/>
        <v>0.12482917576029537</v>
      </c>
      <c r="X9" s="517">
        <f>100-ABS((($K17-I7)/($K17)))*100</f>
        <v>99.514013227609908</v>
      </c>
      <c r="Y9" s="124">
        <f t="shared" si="12"/>
        <v>0.12513094778629322</v>
      </c>
      <c r="Z9" s="29"/>
      <c r="AA9" s="139">
        <f t="shared" si="13"/>
        <v>96.969423480977099</v>
      </c>
      <c r="AB9" s="140">
        <f t="shared" si="14"/>
        <v>97.862464568636994</v>
      </c>
      <c r="AC9" s="51" t="str">
        <f>IF($AA9=MAX(AA2:AA9),"TOP","")</f>
        <v/>
      </c>
      <c r="AD9" s="51" t="str">
        <f>IF($AB9=MAX(AB2:AB9),"TOP","")</f>
        <v/>
      </c>
      <c r="AE9" s="52"/>
      <c r="AF9" s="1319" t="s">
        <v>44</v>
      </c>
      <c r="AG9" s="1319"/>
      <c r="AH9" s="125">
        <f>AVERAGE(AH3:AH6)</f>
        <v>97.276166537532191</v>
      </c>
      <c r="AJ9" s="1310" t="s">
        <v>44</v>
      </c>
      <c r="AK9" s="1310"/>
      <c r="AL9" s="126">
        <f>AVERAGE(AL3:AL6)</f>
        <v>98.835675714258542</v>
      </c>
      <c r="AN9" s="1315"/>
      <c r="AO9" s="182">
        <f t="shared" si="18"/>
        <v>-5.8186642972319035E-3</v>
      </c>
      <c r="AP9" s="183" t="str">
        <f t="shared" si="19"/>
        <v>↓</v>
      </c>
      <c r="AQ9" s="184">
        <f t="shared" si="20"/>
        <v>-3.049962663776537E-3</v>
      </c>
      <c r="AR9" s="185" t="str">
        <f t="shared" si="21"/>
        <v>↓</v>
      </c>
      <c r="AS9" s="182">
        <f t="shared" si="22"/>
        <v>-2.533610940679856E-3</v>
      </c>
      <c r="AT9" s="183" t="str">
        <f t="shared" si="23"/>
        <v>↓</v>
      </c>
      <c r="AU9" s="182">
        <f t="shared" si="24"/>
        <v>-1.974735529810959E-3</v>
      </c>
      <c r="AV9" s="183" t="str">
        <f t="shared" si="25"/>
        <v>↓</v>
      </c>
    </row>
    <row r="10" spans="1:53" ht="15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98.129546496428461</v>
      </c>
      <c r="AJ10" s="1311" t="s">
        <v>51</v>
      </c>
      <c r="AK10" s="1311"/>
      <c r="AL10" s="142">
        <f>AVERAGE(AL2:AL7)</f>
        <v>99.211900504603207</v>
      </c>
      <c r="AN10" s="1315"/>
      <c r="AO10" s="182">
        <f t="shared" si="18"/>
        <v>2.6362425401816976E-3</v>
      </c>
      <c r="AP10" s="183" t="str">
        <f t="shared" si="19"/>
        <v>↑</v>
      </c>
      <c r="AQ10" s="184">
        <f t="shared" si="20"/>
        <v>1.2927534651972102E-4</v>
      </c>
      <c r="AR10" s="185" t="str">
        <f t="shared" si="21"/>
        <v>↑</v>
      </c>
      <c r="AS10" s="182">
        <f t="shared" si="22"/>
        <v>4.2268019239415544E-4</v>
      </c>
      <c r="AT10" s="183" t="str">
        <f t="shared" si="23"/>
        <v>↑</v>
      </c>
      <c r="AU10" s="182">
        <f t="shared" si="24"/>
        <v>1.244036546507538E-3</v>
      </c>
      <c r="AV10" s="183" t="str">
        <f t="shared" si="25"/>
        <v>↑</v>
      </c>
    </row>
    <row r="11" spans="1:53" ht="15" x14ac:dyDescent="0.3">
      <c r="B11" s="3" t="s">
        <v>46</v>
      </c>
      <c r="C11" s="1312" t="str">
        <f>C20</f>
        <v>RD</v>
      </c>
      <c r="D11" s="1312"/>
      <c r="E11" s="1312">
        <v>85520</v>
      </c>
      <c r="F11" s="1312"/>
      <c r="G11" s="1312" t="s">
        <v>48</v>
      </c>
      <c r="H11" s="1312"/>
      <c r="I11" s="486" t="s">
        <v>36</v>
      </c>
      <c r="J11" s="486" t="s">
        <v>49</v>
      </c>
      <c r="K11" s="130" t="s">
        <v>50</v>
      </c>
      <c r="M11" s="19" t="s">
        <v>53</v>
      </c>
      <c r="N11" s="487" t="s">
        <v>12</v>
      </c>
      <c r="O11" s="21">
        <f>SUM(N12:N19)</f>
        <v>760</v>
      </c>
      <c r="P11" s="591" t="s">
        <v>13</v>
      </c>
      <c r="Q11" s="592">
        <f>SUM(P12:P19)</f>
        <v>755</v>
      </c>
      <c r="R11" s="593" t="s">
        <v>14</v>
      </c>
      <c r="S11" s="592">
        <f>SUM(R12:R19)</f>
        <v>725</v>
      </c>
      <c r="T11" s="593" t="s">
        <v>15</v>
      </c>
      <c r="U11" s="592">
        <f>SUM(T12:T19)</f>
        <v>80</v>
      </c>
      <c r="V11" s="593" t="s">
        <v>16</v>
      </c>
      <c r="W11" s="26">
        <f>SUM(V12:V19)</f>
        <v>645</v>
      </c>
      <c r="X11" s="488" t="s">
        <v>17</v>
      </c>
      <c r="Y11" s="28">
        <f>SUM(X12:X19)</f>
        <v>675</v>
      </c>
      <c r="Z11" s="29"/>
      <c r="AA11" s="30" t="s">
        <v>54</v>
      </c>
      <c r="AB11" s="524" t="s">
        <v>55</v>
      </c>
      <c r="AF11" s="150"/>
      <c r="AN11" s="1315"/>
      <c r="AO11" s="182">
        <f t="shared" si="18"/>
        <v>-9.636363636363636E-2</v>
      </c>
      <c r="AP11" s="183" t="str">
        <f t="shared" si="19"/>
        <v>↓</v>
      </c>
      <c r="AQ11" s="184">
        <f t="shared" si="20"/>
        <v>-6.0828483209006398E-2</v>
      </c>
      <c r="AR11" s="185" t="str">
        <f t="shared" si="21"/>
        <v>↓</v>
      </c>
      <c r="AS11" s="182">
        <f t="shared" si="22"/>
        <v>-7.4767877148400372E-2</v>
      </c>
      <c r="AT11" s="183" t="str">
        <f t="shared" si="23"/>
        <v>↓</v>
      </c>
      <c r="AU11" s="182">
        <f t="shared" si="24"/>
        <v>-3.2727272727272674E-2</v>
      </c>
      <c r="AV11" s="183" t="str">
        <f t="shared" si="25"/>
        <v>↓</v>
      </c>
    </row>
    <row r="12" spans="1:53" ht="15" x14ac:dyDescent="0.3">
      <c r="A12" s="53" t="s">
        <v>12</v>
      </c>
      <c r="B12" s="550">
        <v>4.149</v>
      </c>
      <c r="C12" s="551">
        <f t="shared" ref="C12:C17" si="26">AK2</f>
        <v>4.1488668738175898</v>
      </c>
      <c r="D12" s="552" t="str">
        <f t="shared" ref="D12:D17" si="27">IF(ABS(K12-I12)&lt;ABS(C12-K12),$I$11,$C$11)</f>
        <v>RD</v>
      </c>
      <c r="E12" s="551">
        <f t="shared" ref="E12:E17" si="28">AK14</f>
        <v>4.1488668738175898</v>
      </c>
      <c r="F12" s="594">
        <f t="shared" ref="F12:F17" si="29">IF(ABS(K12-I12)&lt;ABS(K12-E12),$I$11,$E$11)</f>
        <v>85520</v>
      </c>
      <c r="G12" s="551">
        <v>4.1500000000000004</v>
      </c>
      <c r="H12" s="552" t="str">
        <f t="shared" ref="H12:H17" si="30">IF(ABS(I12-K12)&lt;ABS(K12-G12),$I$11,$G$11)</f>
        <v>LLM</v>
      </c>
      <c r="I12" s="553">
        <f>(B2*O22)+(C2*O23)+(D2*O24)+(E2*O25)+(F2*O26)+(G2*O27)+(H2*O28)+(I2*O29)</f>
        <v>4.148786056562999</v>
      </c>
      <c r="J12" s="554">
        <v>4.1498636199575403</v>
      </c>
      <c r="K12" s="597">
        <v>4.149</v>
      </c>
      <c r="M12" s="410" t="str">
        <f t="shared" ref="M12:M19" si="31">M2</f>
        <v>O 5.2</v>
      </c>
      <c r="N12" s="489">
        <f t="shared" ref="N12:N19" si="32">IF(N2=0,0, LOOKUP(N2-0.000000000001,$AA$12:$AA$28,$AB$12:$AB$28))</f>
        <v>95</v>
      </c>
      <c r="O12" s="412">
        <f t="shared" ref="O12:O19" si="33">N12/$O$11</f>
        <v>0.125</v>
      </c>
      <c r="P12" s="598">
        <f t="shared" ref="P12:P19" si="34">IF(P2=0,0, LOOKUP(P2-0.000000000001,$AA$12:$AA$28,$AB$12:$AB$28))</f>
        <v>90</v>
      </c>
      <c r="Q12" s="599">
        <f t="shared" ref="Q12:Q19" si="35">P12/$Q$11</f>
        <v>0.11920529801324503</v>
      </c>
      <c r="R12" s="415">
        <f t="shared" ref="R12:R19" si="36">IF(R2=0,0, LOOKUP(R2-0.000000000001,$AA$12:$AA$28,$AB$12:$AB$28))</f>
        <v>95</v>
      </c>
      <c r="S12" s="599">
        <f t="shared" ref="S12:S19" si="37">R12/$S$11</f>
        <v>0.1310344827586207</v>
      </c>
      <c r="T12" s="415">
        <f t="shared" ref="T12:T19" si="38">IF(T2=0,0, LOOKUP(T2-0.000000000001,$AA$12:$AA$28,$AB$12:$AB$28))</f>
        <v>10</v>
      </c>
      <c r="U12" s="599">
        <f t="shared" ref="U12:U19" si="39">T12/$U$11</f>
        <v>0.125</v>
      </c>
      <c r="V12" s="415">
        <f t="shared" ref="V12:V19" si="40">IF(V2=0,0, LOOKUP(V2-0.000000000001,$AA$12:$AA$28,$AB$12:$AB$28))</f>
        <v>90</v>
      </c>
      <c r="W12" s="415">
        <f t="shared" ref="W12:W19" si="41">V12/$W$11</f>
        <v>0.13953488372093023</v>
      </c>
      <c r="X12" s="490">
        <f t="shared" ref="X12:X19" si="42">IF(X2=0,0, LOOKUP(X2-0.000000000001,$AA$12:$AA$28,$AB$12:$AB$28))</f>
        <v>75</v>
      </c>
      <c r="Y12" s="179">
        <f t="shared" ref="Y12:Y19" si="43">X12/$Y$11</f>
        <v>0.1111111111111111</v>
      </c>
      <c r="Z12" s="29"/>
      <c r="AA12" s="49">
        <v>1</v>
      </c>
      <c r="AB12" s="525">
        <v>0.1</v>
      </c>
      <c r="AN12" s="1315"/>
      <c r="AO12" s="182">
        <f t="shared" si="18"/>
        <v>8.5482658298190704E-3</v>
      </c>
      <c r="AP12" s="183" t="str">
        <f t="shared" si="19"/>
        <v>↑</v>
      </c>
      <c r="AQ12" s="184">
        <f t="shared" si="20"/>
        <v>6.568411356397485E-3</v>
      </c>
      <c r="AR12" s="185" t="str">
        <f t="shared" si="21"/>
        <v>↑</v>
      </c>
      <c r="AS12" s="182">
        <f t="shared" si="22"/>
        <v>9.1835596026137289E-3</v>
      </c>
      <c r="AT12" s="183" t="str">
        <f t="shared" si="23"/>
        <v>↑</v>
      </c>
      <c r="AU12" s="182">
        <f t="shared" si="24"/>
        <v>5.0341603739660797E-3</v>
      </c>
      <c r="AV12" s="183" t="str">
        <f t="shared" si="25"/>
        <v>↑</v>
      </c>
    </row>
    <row r="13" spans="1:53" ht="15" x14ac:dyDescent="0.3">
      <c r="A13" s="60" t="s">
        <v>13</v>
      </c>
      <c r="B13" s="556">
        <v>48114.26</v>
      </c>
      <c r="C13" s="532">
        <f t="shared" si="26"/>
        <v>48268.941147193371</v>
      </c>
      <c r="D13" s="557" t="str">
        <f t="shared" si="27"/>
        <v>LLM</v>
      </c>
      <c r="E13" s="532">
        <f t="shared" si="28"/>
        <v>48293.941147193371</v>
      </c>
      <c r="F13" s="557" t="str">
        <f t="shared" si="29"/>
        <v>LLM</v>
      </c>
      <c r="G13" s="532">
        <v>48321</v>
      </c>
      <c r="H13" s="557" t="str">
        <f t="shared" si="30"/>
        <v>LLM</v>
      </c>
      <c r="I13" s="558">
        <f>(B3*Q22)+(C3*Q23)+(D3*Q24)+(E3*Q25)+(F3*Q26)+(G3*Q27)+(H3*Q28)+(I3*Q29)</f>
        <v>48216.270634759683</v>
      </c>
      <c r="J13" s="559">
        <v>48269.680883433401</v>
      </c>
      <c r="K13" s="603">
        <v>48134.89</v>
      </c>
      <c r="M13" s="420" t="str">
        <f t="shared" si="31"/>
        <v>Grok 4.1</v>
      </c>
      <c r="N13" s="489">
        <f t="shared" si="32"/>
        <v>95</v>
      </c>
      <c r="O13" s="412">
        <f t="shared" si="33"/>
        <v>0.125</v>
      </c>
      <c r="P13" s="598">
        <f t="shared" si="34"/>
        <v>95</v>
      </c>
      <c r="Q13" s="599">
        <f t="shared" si="35"/>
        <v>0.12582781456953643</v>
      </c>
      <c r="R13" s="415">
        <f t="shared" si="36"/>
        <v>90</v>
      </c>
      <c r="S13" s="599">
        <f t="shared" si="37"/>
        <v>0.12413793103448276</v>
      </c>
      <c r="T13" s="415">
        <f t="shared" si="38"/>
        <v>10</v>
      </c>
      <c r="U13" s="599">
        <f t="shared" si="39"/>
        <v>0.125</v>
      </c>
      <c r="V13" s="415">
        <f t="shared" si="40"/>
        <v>75</v>
      </c>
      <c r="W13" s="415">
        <f t="shared" si="41"/>
        <v>0.11627906976744186</v>
      </c>
      <c r="X13" s="490">
        <f t="shared" si="42"/>
        <v>90</v>
      </c>
      <c r="Y13" s="179">
        <f t="shared" si="43"/>
        <v>0.13333333333333333</v>
      </c>
      <c r="Z13" s="29"/>
      <c r="AA13" s="73">
        <v>80</v>
      </c>
      <c r="AB13" s="526">
        <v>1</v>
      </c>
      <c r="AF13" s="4"/>
      <c r="AG13" s="1314" t="s">
        <v>21</v>
      </c>
      <c r="AH13" s="1314"/>
      <c r="AJ13" s="4"/>
      <c r="AK13" s="1314" t="s">
        <v>69</v>
      </c>
      <c r="AL13" s="1314"/>
      <c r="AN13" s="1315"/>
      <c r="AO13" s="269">
        <f t="shared" si="18"/>
        <v>-2.9873583737112215E-3</v>
      </c>
      <c r="AP13" s="270" t="str">
        <f t="shared" si="19"/>
        <v>↓</v>
      </c>
      <c r="AQ13" s="271">
        <f t="shared" si="20"/>
        <v>-3.6662362099847625E-3</v>
      </c>
      <c r="AR13" s="272" t="str">
        <f t="shared" si="21"/>
        <v>↓</v>
      </c>
      <c r="AS13" s="269">
        <f t="shared" si="22"/>
        <v>-6.3985761859401708E-3</v>
      </c>
      <c r="AT13" s="270" t="str">
        <f t="shared" si="23"/>
        <v>↓</v>
      </c>
      <c r="AU13" s="269">
        <f t="shared" si="24"/>
        <v>1.4936791868555071E-3</v>
      </c>
      <c r="AV13" s="270" t="str">
        <f t="shared" si="25"/>
        <v>↑</v>
      </c>
    </row>
    <row r="14" spans="1:53" ht="14.4" x14ac:dyDescent="0.3">
      <c r="A14" s="82" t="s">
        <v>14</v>
      </c>
      <c r="B14" s="561">
        <v>6800.26</v>
      </c>
      <c r="C14" s="535">
        <f t="shared" si="26"/>
        <v>6817.401207985059</v>
      </c>
      <c r="D14" s="562" t="str">
        <f t="shared" si="27"/>
        <v>RD</v>
      </c>
      <c r="E14" s="535">
        <f t="shared" si="28"/>
        <v>6819.401207985059</v>
      </c>
      <c r="F14" s="562">
        <f t="shared" si="29"/>
        <v>85520</v>
      </c>
      <c r="G14" s="535">
        <v>6825</v>
      </c>
      <c r="H14" s="562" t="str">
        <f t="shared" si="30"/>
        <v>MICH</v>
      </c>
      <c r="I14" s="563">
        <f>(B4*S22)+(C4*S23)+(D4*S24)+(E4*S25)+(F4*S26)+(G4*S27)+(H4*S28)+(I4*S29)</f>
        <v>6813.4231582996727</v>
      </c>
      <c r="J14" s="564">
        <v>6815.6181897610904</v>
      </c>
      <c r="K14" s="607">
        <v>6834.49</v>
      </c>
      <c r="M14" s="420" t="str">
        <f t="shared" si="31"/>
        <v>Gemini Pro 3</v>
      </c>
      <c r="N14" s="489">
        <f t="shared" si="32"/>
        <v>95</v>
      </c>
      <c r="O14" s="412">
        <f t="shared" si="33"/>
        <v>0.125</v>
      </c>
      <c r="P14" s="598">
        <f t="shared" si="34"/>
        <v>95</v>
      </c>
      <c r="Q14" s="599">
        <f t="shared" si="35"/>
        <v>0.12582781456953643</v>
      </c>
      <c r="R14" s="415">
        <f t="shared" si="36"/>
        <v>90</v>
      </c>
      <c r="S14" s="599">
        <f t="shared" si="37"/>
        <v>0.12413793103448276</v>
      </c>
      <c r="T14" s="415">
        <f t="shared" si="38"/>
        <v>10</v>
      </c>
      <c r="U14" s="599">
        <f t="shared" si="39"/>
        <v>0.125</v>
      </c>
      <c r="V14" s="415">
        <f t="shared" si="40"/>
        <v>75</v>
      </c>
      <c r="W14" s="415">
        <f t="shared" si="41"/>
        <v>0.11627906976744186</v>
      </c>
      <c r="X14" s="490">
        <f t="shared" si="42"/>
        <v>90</v>
      </c>
      <c r="Y14" s="179">
        <f t="shared" si="43"/>
        <v>0.13333333333333333</v>
      </c>
      <c r="Z14" s="29"/>
      <c r="AA14" s="73">
        <v>82.5</v>
      </c>
      <c r="AB14" s="526">
        <v>2</v>
      </c>
      <c r="AF14" s="341" t="str">
        <f t="shared" ref="AF14:AF19" si="44">AF27</f>
        <v>TNX</v>
      </c>
      <c r="AG14" s="342">
        <f>AK2</f>
        <v>4.1488668738175898</v>
      </c>
      <c r="AH14" s="57">
        <f t="shared" ref="AH14:AH19" si="45">100-ABS(($K12-AG14)/($K12))*100</f>
        <v>99.996791367018318</v>
      </c>
      <c r="AJ14" s="341" t="str">
        <f t="shared" ref="AJ14:AJ19" si="46">AJ2</f>
        <v>TNX</v>
      </c>
      <c r="AK14" s="342">
        <f t="shared" ref="AK14:AK19" si="47">IF(AN27=1,AQ27,AQ37)</f>
        <v>4.1488668738175898</v>
      </c>
      <c r="AL14" s="57">
        <f t="shared" ref="AL14:AL19" si="48">100-ABS(($K12-AK14)/($K12))*100</f>
        <v>99.996791367018318</v>
      </c>
    </row>
    <row r="15" spans="1:53" ht="14.4" x14ac:dyDescent="0.3">
      <c r="A15" s="82" t="s">
        <v>15</v>
      </c>
      <c r="B15" s="561">
        <v>16.46</v>
      </c>
      <c r="C15" s="538">
        <f t="shared" si="26"/>
        <v>15.496330027051394</v>
      </c>
      <c r="D15" s="562" t="str">
        <f t="shared" si="27"/>
        <v>RD</v>
      </c>
      <c r="E15" s="538">
        <f t="shared" si="28"/>
        <v>15.266330027051394</v>
      </c>
      <c r="F15" s="562">
        <f t="shared" si="29"/>
        <v>85520</v>
      </c>
      <c r="G15" s="538">
        <v>15.96</v>
      </c>
      <c r="H15" s="562" t="str">
        <f t="shared" si="30"/>
        <v>MICH</v>
      </c>
      <c r="I15" s="566">
        <f>(B5*U22)+(C5*U23)+(D5*U24)+(E5*U25)+(F5*U26)+(G5*U27)+(H5*U28)+(I5*U29)</f>
        <v>16.556330027051395</v>
      </c>
      <c r="J15" s="567">
        <v>15.840830454033201</v>
      </c>
      <c r="K15" s="607">
        <v>14.91</v>
      </c>
      <c r="M15" s="420" t="str">
        <f t="shared" si="31"/>
        <v>Claude</v>
      </c>
      <c r="N15" s="489">
        <f t="shared" si="32"/>
        <v>95</v>
      </c>
      <c r="O15" s="412">
        <f t="shared" si="33"/>
        <v>0.125</v>
      </c>
      <c r="P15" s="598">
        <f t="shared" si="34"/>
        <v>95</v>
      </c>
      <c r="Q15" s="599">
        <f t="shared" si="35"/>
        <v>0.12582781456953643</v>
      </c>
      <c r="R15" s="415">
        <f t="shared" si="36"/>
        <v>90</v>
      </c>
      <c r="S15" s="599">
        <f t="shared" si="37"/>
        <v>0.12413793103448276</v>
      </c>
      <c r="T15" s="415">
        <f t="shared" si="38"/>
        <v>10</v>
      </c>
      <c r="U15" s="599">
        <f t="shared" si="39"/>
        <v>0.125</v>
      </c>
      <c r="V15" s="415">
        <f t="shared" si="40"/>
        <v>75</v>
      </c>
      <c r="W15" s="415">
        <f t="shared" si="41"/>
        <v>0.11627906976744186</v>
      </c>
      <c r="X15" s="490">
        <f t="shared" si="42"/>
        <v>75</v>
      </c>
      <c r="Y15" s="179">
        <f t="shared" si="43"/>
        <v>0.1111111111111111</v>
      </c>
      <c r="Z15" s="29"/>
      <c r="AA15" s="73">
        <v>85</v>
      </c>
      <c r="AB15" s="526">
        <v>5</v>
      </c>
      <c r="AF15" s="343" t="str">
        <f t="shared" si="44"/>
        <v>DJI</v>
      </c>
      <c r="AG15" s="344">
        <f>AK3-9</f>
        <v>48259.941147193371</v>
      </c>
      <c r="AH15" s="78">
        <f t="shared" si="45"/>
        <v>99.740206849556799</v>
      </c>
      <c r="AJ15" s="343" t="str">
        <f t="shared" si="46"/>
        <v>DJI</v>
      </c>
      <c r="AK15" s="344">
        <f t="shared" si="47"/>
        <v>48293.941147193371</v>
      </c>
      <c r="AL15" s="78">
        <f t="shared" si="48"/>
        <v>99.669572014824652</v>
      </c>
    </row>
    <row r="16" spans="1:53" ht="14.4" x14ac:dyDescent="0.3">
      <c r="A16" s="99" t="s">
        <v>16</v>
      </c>
      <c r="B16" s="568">
        <v>611.75</v>
      </c>
      <c r="C16" s="542">
        <f t="shared" si="26"/>
        <v>615.83868543607116</v>
      </c>
      <c r="D16" s="569" t="str">
        <f t="shared" si="27"/>
        <v>RD</v>
      </c>
      <c r="E16" s="542">
        <f t="shared" si="28"/>
        <v>617.43868543607118</v>
      </c>
      <c r="F16" s="726">
        <f t="shared" si="29"/>
        <v>85520</v>
      </c>
      <c r="G16" s="542">
        <v>614.9</v>
      </c>
      <c r="H16" s="569" t="str">
        <f t="shared" si="30"/>
        <v>MICH</v>
      </c>
      <c r="I16" s="570">
        <f>(B6*W22)+(C6*W23)+(D6*W24)+(E6*W25)+(F6*W26)+(G6*W27)+(H6*W28)+(I6*W29)</f>
        <v>612.83868543607116</v>
      </c>
      <c r="J16" s="571">
        <v>611.75385717171696</v>
      </c>
      <c r="K16" s="612">
        <v>617.04999999999995</v>
      </c>
      <c r="M16" s="420" t="str">
        <f t="shared" si="31"/>
        <v>Minimax 2</v>
      </c>
      <c r="N16" s="489">
        <f t="shared" si="32"/>
        <v>95</v>
      </c>
      <c r="O16" s="412">
        <f t="shared" si="33"/>
        <v>0.125</v>
      </c>
      <c r="P16" s="598">
        <f t="shared" si="34"/>
        <v>95</v>
      </c>
      <c r="Q16" s="599">
        <f t="shared" si="35"/>
        <v>0.12582781456953643</v>
      </c>
      <c r="R16" s="415">
        <f t="shared" si="36"/>
        <v>95</v>
      </c>
      <c r="S16" s="599">
        <f t="shared" si="37"/>
        <v>0.1310344827586207</v>
      </c>
      <c r="T16" s="415">
        <f t="shared" si="38"/>
        <v>10</v>
      </c>
      <c r="U16" s="599">
        <f t="shared" si="39"/>
        <v>0.125</v>
      </c>
      <c r="V16" s="415">
        <f t="shared" si="40"/>
        <v>90</v>
      </c>
      <c r="W16" s="415">
        <f t="shared" si="41"/>
        <v>0.13953488372093023</v>
      </c>
      <c r="X16" s="490">
        <f t="shared" si="42"/>
        <v>90</v>
      </c>
      <c r="Y16" s="179">
        <f t="shared" si="43"/>
        <v>0.13333333333333333</v>
      </c>
      <c r="Z16" s="29"/>
      <c r="AA16" s="73">
        <v>87.5</v>
      </c>
      <c r="AB16" s="526">
        <v>10</v>
      </c>
      <c r="AF16" s="345" t="str">
        <f t="shared" si="44"/>
        <v>SPX</v>
      </c>
      <c r="AG16" s="346">
        <f>AK4</f>
        <v>6817.401207985059</v>
      </c>
      <c r="AH16" s="89">
        <f t="shared" si="45"/>
        <v>99.749962440285358</v>
      </c>
      <c r="AJ16" s="345" t="str">
        <f t="shared" si="46"/>
        <v>SPX</v>
      </c>
      <c r="AK16" s="346">
        <f t="shared" si="47"/>
        <v>6819.401207985059</v>
      </c>
      <c r="AL16" s="89">
        <f t="shared" si="48"/>
        <v>99.779225779612801</v>
      </c>
      <c r="AN16" s="613" t="str">
        <f>A2</f>
        <v>TNX</v>
      </c>
      <c r="AO16" s="614" t="str">
        <f>A3</f>
        <v>DJI</v>
      </c>
      <c r="AP16" s="614" t="str">
        <f>A4</f>
        <v>SPX</v>
      </c>
      <c r="AQ16" s="614" t="str">
        <f>A5</f>
        <v>VIX</v>
      </c>
      <c r="AR16" s="614" t="str">
        <f>A6</f>
        <v>QQQ</v>
      </c>
      <c r="AS16" s="614" t="str">
        <f>A7</f>
        <v>AAPL</v>
      </c>
      <c r="AT16" s="615" t="s">
        <v>113</v>
      </c>
      <c r="AZ16" s="4"/>
      <c r="BA16" s="4"/>
    </row>
    <row r="17" spans="1:54" ht="14.4" x14ac:dyDescent="0.3">
      <c r="A17" s="114" t="s">
        <v>17</v>
      </c>
      <c r="B17" s="573">
        <v>274.61</v>
      </c>
      <c r="C17" s="574">
        <f t="shared" si="26"/>
        <v>273.48365482272129</v>
      </c>
      <c r="D17" s="575" t="str">
        <f t="shared" si="27"/>
        <v>RD</v>
      </c>
      <c r="E17" s="574">
        <f t="shared" si="28"/>
        <v>272.73365482272129</v>
      </c>
      <c r="F17" s="616">
        <f t="shared" si="29"/>
        <v>85520</v>
      </c>
      <c r="G17" s="574">
        <v>274.89999999999998</v>
      </c>
      <c r="H17" s="575" t="str">
        <f t="shared" si="30"/>
        <v>MICH</v>
      </c>
      <c r="I17" s="576">
        <f>(B7*Y22)+(C7*Y23)+(D7*Y24)+(E7*Y25)+(F7*Y26)+(G7*Y27)+(H7*Y28)+(I7*Y29)</f>
        <v>275.27921568627454</v>
      </c>
      <c r="J17" s="577">
        <v>273.96561184825998</v>
      </c>
      <c r="K17" s="619">
        <v>273.67</v>
      </c>
      <c r="M17" s="420" t="str">
        <f t="shared" si="31"/>
        <v>Kimi 2</v>
      </c>
      <c r="N17" s="489">
        <f t="shared" si="32"/>
        <v>95</v>
      </c>
      <c r="O17" s="412">
        <f t="shared" si="33"/>
        <v>0.125</v>
      </c>
      <c r="P17" s="598">
        <f t="shared" si="34"/>
        <v>95</v>
      </c>
      <c r="Q17" s="599">
        <f t="shared" si="35"/>
        <v>0.12582781456953643</v>
      </c>
      <c r="R17" s="415">
        <f t="shared" si="36"/>
        <v>90</v>
      </c>
      <c r="S17" s="599">
        <f t="shared" si="37"/>
        <v>0.12413793103448276</v>
      </c>
      <c r="T17" s="415">
        <f t="shared" si="38"/>
        <v>10</v>
      </c>
      <c r="U17" s="599">
        <f t="shared" si="39"/>
        <v>0.125</v>
      </c>
      <c r="V17" s="415">
        <f t="shared" si="40"/>
        <v>75</v>
      </c>
      <c r="W17" s="415">
        <f t="shared" si="41"/>
        <v>0.11627906976744186</v>
      </c>
      <c r="X17" s="490">
        <f t="shared" si="42"/>
        <v>90</v>
      </c>
      <c r="Y17" s="179">
        <f t="shared" si="43"/>
        <v>0.13333333333333333</v>
      </c>
      <c r="Z17" s="29"/>
      <c r="AA17" s="73">
        <v>90</v>
      </c>
      <c r="AB17" s="526">
        <v>20</v>
      </c>
      <c r="AF17" s="345" t="str">
        <f t="shared" si="44"/>
        <v>VIX</v>
      </c>
      <c r="AG17" s="347">
        <f>AK5+0.4</f>
        <v>15.896330027051395</v>
      </c>
      <c r="AH17" s="89">
        <f t="shared" si="45"/>
        <v>93.384775137146917</v>
      </c>
      <c r="AJ17" s="345" t="str">
        <f t="shared" si="46"/>
        <v>VIX</v>
      </c>
      <c r="AK17" s="347">
        <f t="shared" si="47"/>
        <v>15.266330027051394</v>
      </c>
      <c r="AL17" s="89">
        <f t="shared" si="48"/>
        <v>97.61012724982298</v>
      </c>
      <c r="AN17" s="620">
        <f>J12</f>
        <v>4.1498636199575403</v>
      </c>
      <c r="AO17" s="621">
        <f>J13</f>
        <v>48269.680883433401</v>
      </c>
      <c r="AP17" s="621">
        <f>J14</f>
        <v>6815.6181897610904</v>
      </c>
      <c r="AQ17" s="622">
        <f>J15</f>
        <v>15.840830454033201</v>
      </c>
      <c r="AR17" s="623">
        <f>J16</f>
        <v>611.75385717171696</v>
      </c>
      <c r="AS17" s="623">
        <f>J17</f>
        <v>273.96561184825998</v>
      </c>
      <c r="AT17" s="624" t="str">
        <f>J11</f>
        <v>ML</v>
      </c>
      <c r="AZ17" s="4"/>
      <c r="BA17" s="4"/>
    </row>
    <row r="18" spans="1:54" ht="14.4" x14ac:dyDescent="0.3">
      <c r="M18" s="420" t="str">
        <f t="shared" si="31"/>
        <v>Qwen3 Max</v>
      </c>
      <c r="N18" s="489">
        <f t="shared" si="32"/>
        <v>95</v>
      </c>
      <c r="O18" s="412">
        <f t="shared" si="33"/>
        <v>0.125</v>
      </c>
      <c r="P18" s="598">
        <f t="shared" si="34"/>
        <v>95</v>
      </c>
      <c r="Q18" s="599">
        <f t="shared" si="35"/>
        <v>0.12582781456953643</v>
      </c>
      <c r="R18" s="415">
        <f t="shared" si="36"/>
        <v>95</v>
      </c>
      <c r="S18" s="599">
        <f t="shared" si="37"/>
        <v>0.1310344827586207</v>
      </c>
      <c r="T18" s="415">
        <f t="shared" si="38"/>
        <v>10</v>
      </c>
      <c r="U18" s="599">
        <f t="shared" si="39"/>
        <v>0.125</v>
      </c>
      <c r="V18" s="415">
        <f t="shared" si="40"/>
        <v>90</v>
      </c>
      <c r="W18" s="415">
        <f t="shared" si="41"/>
        <v>0.13953488372093023</v>
      </c>
      <c r="X18" s="490">
        <f t="shared" si="42"/>
        <v>75</v>
      </c>
      <c r="Y18" s="179">
        <f t="shared" si="43"/>
        <v>0.1111111111111111</v>
      </c>
      <c r="Z18" s="29"/>
      <c r="AA18" s="73">
        <v>92.5</v>
      </c>
      <c r="AB18" s="526">
        <v>30</v>
      </c>
      <c r="AF18" s="348" t="str">
        <f t="shared" si="44"/>
        <v>QQQ</v>
      </c>
      <c r="AG18" s="349">
        <f>(I16+J16)/2+AQ30/5*2</f>
        <v>618.40280331471456</v>
      </c>
      <c r="AH18" s="107">
        <f t="shared" si="45"/>
        <v>99.780762772106868</v>
      </c>
      <c r="AJ18" s="348" t="str">
        <f t="shared" si="46"/>
        <v>QQQ</v>
      </c>
      <c r="AK18" s="349">
        <f t="shared" si="47"/>
        <v>617.43868543607118</v>
      </c>
      <c r="AL18" s="107">
        <f t="shared" si="48"/>
        <v>99.937009085799986</v>
      </c>
      <c r="AN18" s="625">
        <v>1.5762676609459601E-2</v>
      </c>
      <c r="AO18" s="626">
        <v>261.53141368494801</v>
      </c>
      <c r="AP18" s="626">
        <v>19.625261182951402</v>
      </c>
      <c r="AQ18" s="627">
        <v>0.70066596170273798</v>
      </c>
      <c r="AR18" s="627">
        <v>-1.5210822886962201</v>
      </c>
      <c r="AS18" s="627">
        <v>7.5887507371021498E-2</v>
      </c>
      <c r="AT18" s="628" t="s">
        <v>114</v>
      </c>
      <c r="AZ18" s="4"/>
      <c r="BA18" s="4"/>
    </row>
    <row r="19" spans="1:54" ht="14.4" x14ac:dyDescent="0.3">
      <c r="M19" s="431" t="str">
        <f t="shared" si="31"/>
        <v>LeChat</v>
      </c>
      <c r="N19" s="491">
        <f t="shared" si="32"/>
        <v>95</v>
      </c>
      <c r="O19" s="433">
        <f t="shared" si="33"/>
        <v>0.125</v>
      </c>
      <c r="P19" s="629">
        <f t="shared" si="34"/>
        <v>95</v>
      </c>
      <c r="Q19" s="630">
        <f t="shared" si="35"/>
        <v>0.12582781456953643</v>
      </c>
      <c r="R19" s="436">
        <f t="shared" si="36"/>
        <v>80</v>
      </c>
      <c r="S19" s="630">
        <f t="shared" si="37"/>
        <v>0.1103448275862069</v>
      </c>
      <c r="T19" s="436">
        <f t="shared" si="38"/>
        <v>10</v>
      </c>
      <c r="U19" s="630">
        <f t="shared" si="39"/>
        <v>0.125</v>
      </c>
      <c r="V19" s="436">
        <f t="shared" si="40"/>
        <v>75</v>
      </c>
      <c r="W19" s="436">
        <f t="shared" si="41"/>
        <v>0.11627906976744186</v>
      </c>
      <c r="X19" s="492">
        <f t="shared" si="42"/>
        <v>90</v>
      </c>
      <c r="Y19" s="235">
        <f t="shared" si="43"/>
        <v>0.13333333333333333</v>
      </c>
      <c r="Z19" s="29"/>
      <c r="AA19" s="73">
        <v>95</v>
      </c>
      <c r="AB19" s="526">
        <v>40</v>
      </c>
      <c r="AF19" s="350" t="str">
        <f t="shared" si="44"/>
        <v>AAPL</v>
      </c>
      <c r="AG19" s="351">
        <f>(I17+J17)/2*0.98</f>
        <v>269.12996549192195</v>
      </c>
      <c r="AH19" s="118">
        <f t="shared" si="45"/>
        <v>98.341055099909354</v>
      </c>
      <c r="AJ19" s="350" t="str">
        <f t="shared" si="46"/>
        <v>AAPL</v>
      </c>
      <c r="AK19" s="351">
        <f t="shared" si="47"/>
        <v>272.73365482272129</v>
      </c>
      <c r="AL19" s="118">
        <f t="shared" si="48"/>
        <v>99.657856112369373</v>
      </c>
      <c r="AN19" s="625">
        <v>-0.19032300632235599</v>
      </c>
      <c r="AO19" s="626">
        <v>0.75325559260472097</v>
      </c>
      <c r="AP19" s="626">
        <v>1.2020222192249099</v>
      </c>
      <c r="AQ19" s="627">
        <v>0.58515758208608903</v>
      </c>
      <c r="AR19" s="627">
        <v>-0.36158464541153601</v>
      </c>
      <c r="AS19" s="627">
        <v>9.2241796344370002</v>
      </c>
      <c r="AT19" s="631" t="s">
        <v>115</v>
      </c>
      <c r="AZ19" s="4"/>
      <c r="BA19" s="4"/>
    </row>
    <row r="20" spans="1:54" ht="14.4" x14ac:dyDescent="0.3">
      <c r="A20" s="2" t="s">
        <v>0</v>
      </c>
      <c r="B20" s="230" t="str">
        <f t="shared" ref="B20:B26" si="49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50">G11</f>
        <v>MICH</v>
      </c>
      <c r="H20" s="1312"/>
      <c r="I20" s="1313" t="s">
        <v>50</v>
      </c>
      <c r="J20" s="1313"/>
      <c r="AA20" s="73">
        <v>96</v>
      </c>
      <c r="AB20" s="526">
        <v>50</v>
      </c>
      <c r="AN20" s="632">
        <f t="shared" ref="AN20:AS20" si="51">AN18/AN17</f>
        <v>3.7983601518020195E-3</v>
      </c>
      <c r="AO20" s="633">
        <f t="shared" si="51"/>
        <v>5.4181301574485448E-3</v>
      </c>
      <c r="AP20" s="633">
        <f t="shared" si="51"/>
        <v>2.8794543116329309E-3</v>
      </c>
      <c r="AQ20" s="633">
        <f t="shared" si="51"/>
        <v>4.4231643267436331E-2</v>
      </c>
      <c r="AR20" s="633">
        <f t="shared" si="51"/>
        <v>-2.4864286033741477E-3</v>
      </c>
      <c r="AS20" s="633">
        <f t="shared" si="51"/>
        <v>2.7699646995496991E-4</v>
      </c>
      <c r="AT20" s="634" t="s">
        <v>116</v>
      </c>
      <c r="AZ20" s="4"/>
      <c r="BA20" s="4"/>
    </row>
    <row r="21" spans="1:54" ht="14.4" x14ac:dyDescent="0.3">
      <c r="A21" s="35" t="s">
        <v>12</v>
      </c>
      <c r="B21" s="635">
        <f t="shared" si="49"/>
        <v>4.149</v>
      </c>
      <c r="C21" s="636">
        <f t="shared" ref="C21:C26" si="52">C12</f>
        <v>4.1488668738175898</v>
      </c>
      <c r="D21" s="552" t="str">
        <f t="shared" ref="D21:D26" si="53">CONCATENATE(TEXT(AQ1,"0.00%"),"  ",AR1)</f>
        <v>0.00%  ↓</v>
      </c>
      <c r="E21" s="636">
        <f t="shared" ref="E21:E26" si="54">E12</f>
        <v>4.1488668738175898</v>
      </c>
      <c r="F21" s="552" t="str">
        <f t="shared" ref="F21:F26" si="55">CONCATENATE(TEXT(AS1,"0.00%"),"  ",AT1)</f>
        <v>0.00%  ↓</v>
      </c>
      <c r="G21" s="636">
        <f t="shared" si="50"/>
        <v>4.1500000000000004</v>
      </c>
      <c r="H21" s="552" t="str">
        <f t="shared" ref="H21:H26" si="56">CONCATENATE(TEXT(AU1,"0.00%"),"  ",AV1)</f>
        <v>0.02%  ↑</v>
      </c>
      <c r="I21" s="727">
        <f t="shared" ref="I21:I26" si="57">K12</f>
        <v>4.149</v>
      </c>
      <c r="J21" s="639" t="str">
        <f t="shared" ref="J21:J26" si="58">CONCATENATE(TEXT(AO1,"0.00%"),"  ",AP1)</f>
        <v>0.00%  ↓</v>
      </c>
      <c r="M21" s="19" t="s">
        <v>60</v>
      </c>
      <c r="N21" s="518" t="s">
        <v>12</v>
      </c>
      <c r="O21" s="254">
        <f>SUM(N22:N29)</f>
        <v>665.1875</v>
      </c>
      <c r="P21" s="255" t="s">
        <v>13</v>
      </c>
      <c r="Q21" s="256">
        <f>SUM(P22:P29)</f>
        <v>616.375</v>
      </c>
      <c r="R21" s="257" t="s">
        <v>14</v>
      </c>
      <c r="S21" s="256">
        <f>SUM(R22:R29)</f>
        <v>649.875</v>
      </c>
      <c r="T21" s="257" t="s">
        <v>15</v>
      </c>
      <c r="U21" s="256">
        <f>SUM(T22:T29)</f>
        <v>207.9375</v>
      </c>
      <c r="V21" s="257" t="s">
        <v>16</v>
      </c>
      <c r="W21" s="258">
        <f>SUM(V22:V29)</f>
        <v>590.5</v>
      </c>
      <c r="X21" s="519" t="s">
        <v>17</v>
      </c>
      <c r="Y21" s="28">
        <f>SUM(X22:X29)</f>
        <v>586.5</v>
      </c>
      <c r="Z21" s="29"/>
      <c r="AA21" s="73">
        <v>97</v>
      </c>
      <c r="AB21" s="526">
        <v>60</v>
      </c>
      <c r="AF21" s="1310" t="s">
        <v>44</v>
      </c>
      <c r="AG21" s="1310"/>
      <c r="AH21" s="126">
        <f>AVERAGE(AH15:AH18)</f>
        <v>98.163926799773989</v>
      </c>
      <c r="AJ21" s="1310" t="s">
        <v>44</v>
      </c>
      <c r="AK21" s="1310"/>
      <c r="AL21" s="126">
        <f>AVERAGE(AL15:AL18)</f>
        <v>99.248983532515098</v>
      </c>
      <c r="AN21" s="620">
        <f>K12</f>
        <v>4.149</v>
      </c>
      <c r="AO21" s="621">
        <f>K13</f>
        <v>48134.89</v>
      </c>
      <c r="AP21" s="621">
        <f>K14</f>
        <v>6834.49</v>
      </c>
      <c r="AQ21" s="622">
        <f>K15</f>
        <v>14.91</v>
      </c>
      <c r="AR21" s="623">
        <f>K16</f>
        <v>617.04999999999995</v>
      </c>
      <c r="AS21" s="623">
        <f>K17</f>
        <v>273.67</v>
      </c>
      <c r="AT21" s="640" t="str">
        <f>K11</f>
        <v xml:space="preserve">+3-day </v>
      </c>
      <c r="AZ21" s="4"/>
      <c r="BA21" s="4"/>
    </row>
    <row r="22" spans="1:54" ht="14.4" x14ac:dyDescent="0.3">
      <c r="A22" s="60" t="s">
        <v>13</v>
      </c>
      <c r="B22" s="641">
        <f t="shared" si="49"/>
        <v>48114.26</v>
      </c>
      <c r="C22" s="642">
        <f t="shared" si="52"/>
        <v>48268.941147193371</v>
      </c>
      <c r="D22" s="557" t="str">
        <f t="shared" si="53"/>
        <v>0.32%  ↑</v>
      </c>
      <c r="E22" s="642">
        <f t="shared" si="54"/>
        <v>48293.941147193371</v>
      </c>
      <c r="F22" s="557" t="str">
        <f t="shared" si="55"/>
        <v>0.37%  ↑</v>
      </c>
      <c r="G22" s="642">
        <f t="shared" si="50"/>
        <v>48321</v>
      </c>
      <c r="H22" s="557" t="str">
        <f t="shared" si="56"/>
        <v>0.43%  ↑</v>
      </c>
      <c r="I22" s="728">
        <f t="shared" si="57"/>
        <v>48134.89</v>
      </c>
      <c r="J22" s="645" t="str">
        <f t="shared" si="58"/>
        <v>0.04%  ↑</v>
      </c>
      <c r="M22" s="410" t="str">
        <f t="shared" ref="M22:M29" si="59">M12</f>
        <v>O 5.2</v>
      </c>
      <c r="N22" s="520">
        <v>84.625</v>
      </c>
      <c r="O22" s="443">
        <f t="shared" ref="O22:O29" si="60">N22/$O$21</f>
        <v>0.12721976886216294</v>
      </c>
      <c r="P22" s="444">
        <v>75.375</v>
      </c>
      <c r="Q22" s="445">
        <f t="shared" ref="Q22:Q29" si="61">P22/$Q$21</f>
        <v>0.12228756844453458</v>
      </c>
      <c r="R22" s="445">
        <v>79.1875</v>
      </c>
      <c r="S22" s="445">
        <f t="shared" ref="S22:S29" si="62">R22/$S$21</f>
        <v>0.12185035583766109</v>
      </c>
      <c r="T22" s="445">
        <v>26.625</v>
      </c>
      <c r="U22" s="445">
        <f t="shared" ref="U22:U29" si="63">T22/$U$21</f>
        <v>0.12804328223624886</v>
      </c>
      <c r="V22" s="445">
        <v>70.4375</v>
      </c>
      <c r="W22" s="446">
        <f t="shared" ref="W22:W29" si="64">V22/$W$21</f>
        <v>0.11928450465707027</v>
      </c>
      <c r="X22" s="521">
        <v>70.125</v>
      </c>
      <c r="Y22" s="48">
        <f t="shared" ref="Y22:Y29" si="65">X22/$Y$21</f>
        <v>0.11956521739130435</v>
      </c>
      <c r="Z22" s="29"/>
      <c r="AA22" s="73">
        <v>98</v>
      </c>
      <c r="AB22" s="526">
        <v>65</v>
      </c>
      <c r="AF22" s="1311" t="s">
        <v>51</v>
      </c>
      <c r="AG22" s="1311"/>
      <c r="AH22" s="142">
        <f>AVERAGE(AH14:AH19)</f>
        <v>98.498925611003926</v>
      </c>
      <c r="AJ22" s="1311" t="s">
        <v>51</v>
      </c>
      <c r="AK22" s="1311"/>
      <c r="AL22" s="142">
        <f>AVERAGE(AL14:AL19)</f>
        <v>99.441763601574692</v>
      </c>
      <c r="AN22" s="646">
        <f t="shared" ref="AN22:AS22" si="66">AN21/AN17</f>
        <v>0.99979189196642826</v>
      </c>
      <c r="AO22" s="647">
        <f t="shared" si="66"/>
        <v>0.9972075455862468</v>
      </c>
      <c r="AP22" s="647">
        <f t="shared" si="66"/>
        <v>1.0027689066073655</v>
      </c>
      <c r="AQ22" s="647">
        <f t="shared" si="66"/>
        <v>0.94123853186016493</v>
      </c>
      <c r="AR22" s="647">
        <f t="shared" si="66"/>
        <v>1.0086573100703742</v>
      </c>
      <c r="AS22" s="647">
        <f t="shared" si="66"/>
        <v>0.9989209892209987</v>
      </c>
      <c r="AT22" s="648" t="s">
        <v>117</v>
      </c>
      <c r="AZ22" s="4"/>
      <c r="BA22" s="4"/>
    </row>
    <row r="23" spans="1:54" ht="14.4" x14ac:dyDescent="0.3">
      <c r="A23" s="82" t="s">
        <v>14</v>
      </c>
      <c r="B23" s="649">
        <f t="shared" si="49"/>
        <v>6800.26</v>
      </c>
      <c r="C23" s="650">
        <f t="shared" si="52"/>
        <v>6817.401207985059</v>
      </c>
      <c r="D23" s="562" t="str">
        <f t="shared" si="53"/>
        <v>0.25%  ↑</v>
      </c>
      <c r="E23" s="650">
        <f t="shared" si="54"/>
        <v>6819.401207985059</v>
      </c>
      <c r="F23" s="562" t="str">
        <f t="shared" si="55"/>
        <v>0.28%  ↑</v>
      </c>
      <c r="G23" s="650">
        <f t="shared" si="50"/>
        <v>6825</v>
      </c>
      <c r="H23" s="562" t="str">
        <f t="shared" si="56"/>
        <v>0.36%  ↑</v>
      </c>
      <c r="I23" s="729">
        <f t="shared" si="57"/>
        <v>6834.49</v>
      </c>
      <c r="J23" s="645" t="str">
        <f t="shared" si="58"/>
        <v>0.50%  ↑</v>
      </c>
      <c r="M23" s="420" t="str">
        <f t="shared" si="59"/>
        <v>Grok 4.1</v>
      </c>
      <c r="N23" s="520">
        <v>82.25</v>
      </c>
      <c r="O23" s="443">
        <f t="shared" si="60"/>
        <v>0.12364934698863103</v>
      </c>
      <c r="P23" s="444">
        <v>80</v>
      </c>
      <c r="Q23" s="445">
        <f t="shared" si="61"/>
        <v>0.12979111742040153</v>
      </c>
      <c r="R23" s="445">
        <v>86</v>
      </c>
      <c r="S23" s="445">
        <f t="shared" si="62"/>
        <v>0.13233314098865168</v>
      </c>
      <c r="T23" s="445">
        <v>26.1875</v>
      </c>
      <c r="U23" s="445">
        <f t="shared" si="63"/>
        <v>0.12593928464081755</v>
      </c>
      <c r="V23" s="445">
        <v>73.9375</v>
      </c>
      <c r="W23" s="446">
        <f t="shared" si="64"/>
        <v>0.12521168501270111</v>
      </c>
      <c r="X23" s="521">
        <v>73.625</v>
      </c>
      <c r="Y23" s="48">
        <f t="shared" si="65"/>
        <v>0.12553282182438194</v>
      </c>
      <c r="Z23" s="29"/>
      <c r="AA23" s="73">
        <v>98.5</v>
      </c>
      <c r="AB23" s="526">
        <v>70</v>
      </c>
      <c r="AI23" s="449"/>
      <c r="AN23" s="653"/>
      <c r="AZ23" s="4"/>
      <c r="BA23" s="4"/>
      <c r="BB23" s="6"/>
    </row>
    <row r="24" spans="1:54" ht="14.4" x14ac:dyDescent="0.3">
      <c r="A24" s="82" t="s">
        <v>15</v>
      </c>
      <c r="B24" s="649">
        <f t="shared" si="49"/>
        <v>16.46</v>
      </c>
      <c r="C24" s="654">
        <f t="shared" si="52"/>
        <v>15.496330027051394</v>
      </c>
      <c r="D24" s="562" t="str">
        <f t="shared" si="53"/>
        <v>-5.85%  ↓</v>
      </c>
      <c r="E24" s="654">
        <f t="shared" si="54"/>
        <v>15.266330027051394</v>
      </c>
      <c r="F24" s="562" t="str">
        <f t="shared" si="55"/>
        <v>-7.25%  ↓</v>
      </c>
      <c r="G24" s="654">
        <f t="shared" si="50"/>
        <v>15.96</v>
      </c>
      <c r="H24" s="562" t="str">
        <f t="shared" si="56"/>
        <v>-3.04%  ↓</v>
      </c>
      <c r="I24" s="729">
        <f t="shared" si="57"/>
        <v>14.91</v>
      </c>
      <c r="J24" s="645" t="str">
        <f t="shared" si="58"/>
        <v>-9.42%  ↓</v>
      </c>
      <c r="M24" s="420" t="str">
        <f t="shared" si="59"/>
        <v>Gemini Pro 3</v>
      </c>
      <c r="N24" s="520">
        <v>82.125</v>
      </c>
      <c r="O24" s="443">
        <f t="shared" si="60"/>
        <v>0.12346143004791882</v>
      </c>
      <c r="P24" s="444">
        <v>78.5</v>
      </c>
      <c r="Q24" s="445">
        <f t="shared" si="61"/>
        <v>0.127357533968769</v>
      </c>
      <c r="R24" s="445">
        <v>85.1875</v>
      </c>
      <c r="S24" s="445">
        <f t="shared" si="62"/>
        <v>0.13108290055779959</v>
      </c>
      <c r="T24" s="445">
        <v>22.875</v>
      </c>
      <c r="U24" s="445">
        <f t="shared" si="63"/>
        <v>0.11000901713255185</v>
      </c>
      <c r="V24" s="445">
        <v>72.9375</v>
      </c>
      <c r="W24" s="446">
        <f t="shared" si="64"/>
        <v>0.12351820491109229</v>
      </c>
      <c r="X24" s="521">
        <v>75.125</v>
      </c>
      <c r="Y24" s="48">
        <f t="shared" si="65"/>
        <v>0.12809036658141518</v>
      </c>
      <c r="Z24" s="29"/>
      <c r="AA24" s="73">
        <v>99</v>
      </c>
      <c r="AB24" s="526">
        <v>75</v>
      </c>
      <c r="AI24" s="449"/>
      <c r="AM24" s="450"/>
      <c r="AN24" s="656"/>
      <c r="AZ24" s="4"/>
      <c r="BA24" s="4"/>
      <c r="BB24" s="6"/>
    </row>
    <row r="25" spans="1:54" ht="14.4" x14ac:dyDescent="0.3">
      <c r="A25" s="99" t="s">
        <v>16</v>
      </c>
      <c r="B25" s="657">
        <f t="shared" si="49"/>
        <v>611.75</v>
      </c>
      <c r="C25" s="658">
        <f t="shared" si="52"/>
        <v>615.83868543607116</v>
      </c>
      <c r="D25" s="569" t="str">
        <f t="shared" si="53"/>
        <v>0.67%  ↑</v>
      </c>
      <c r="E25" s="658">
        <f t="shared" si="54"/>
        <v>617.43868543607118</v>
      </c>
      <c r="F25" s="569" t="str">
        <f t="shared" si="55"/>
        <v>0.93%  ↑</v>
      </c>
      <c r="G25" s="658">
        <f t="shared" si="50"/>
        <v>614.9</v>
      </c>
      <c r="H25" s="569" t="str">
        <f t="shared" si="56"/>
        <v>0.51%  ↑</v>
      </c>
      <c r="I25" s="730">
        <f t="shared" si="57"/>
        <v>617.04999999999995</v>
      </c>
      <c r="J25" s="645" t="str">
        <f t="shared" si="58"/>
        <v>0.87%  ↑</v>
      </c>
      <c r="M25" s="420" t="str">
        <f t="shared" si="59"/>
        <v>Claude</v>
      </c>
      <c r="N25" s="520">
        <v>80.625</v>
      </c>
      <c r="O25" s="443">
        <f t="shared" si="60"/>
        <v>0.12120642675937236</v>
      </c>
      <c r="P25" s="444">
        <v>76.25</v>
      </c>
      <c r="Q25" s="445">
        <f t="shared" si="61"/>
        <v>0.12370715879132022</v>
      </c>
      <c r="R25" s="445">
        <v>80.625</v>
      </c>
      <c r="S25" s="445">
        <f t="shared" si="62"/>
        <v>0.12406231967686093</v>
      </c>
      <c r="T25" s="445">
        <v>22.625</v>
      </c>
      <c r="U25" s="445">
        <f t="shared" si="63"/>
        <v>0.10880673279230538</v>
      </c>
      <c r="V25" s="445">
        <v>71.875</v>
      </c>
      <c r="W25" s="446">
        <f t="shared" si="64"/>
        <v>0.12171888230313294</v>
      </c>
      <c r="X25" s="521">
        <v>71.75</v>
      </c>
      <c r="Y25" s="48">
        <f t="shared" si="65"/>
        <v>0.12233589087809037</v>
      </c>
      <c r="Z25" s="29"/>
      <c r="AA25" s="73">
        <v>99.25</v>
      </c>
      <c r="AB25" s="526">
        <v>80</v>
      </c>
      <c r="AF25" s="11">
        <v>1</v>
      </c>
      <c r="AG25" s="1322" t="s">
        <v>118</v>
      </c>
      <c r="AH25" s="1322"/>
      <c r="AI25" s="661"/>
      <c r="AJ25" s="662"/>
      <c r="AK25" s="1312" t="s">
        <v>119</v>
      </c>
      <c r="AL25" s="1312"/>
      <c r="AM25" s="663"/>
      <c r="AN25" s="1" t="s">
        <v>120</v>
      </c>
      <c r="AO25" s="661"/>
      <c r="AP25" s="2" t="str">
        <f>AG26</f>
        <v>RD</v>
      </c>
      <c r="AQ25" s="2">
        <f>AH26</f>
        <v>85520</v>
      </c>
      <c r="AR25" s="661"/>
      <c r="AS25" s="2" t="s">
        <v>121</v>
      </c>
      <c r="AZ25" s="4"/>
      <c r="BA25" s="4"/>
      <c r="BB25" s="6"/>
    </row>
    <row r="26" spans="1:54" ht="14.4" x14ac:dyDescent="0.3">
      <c r="A26" s="109" t="s">
        <v>17</v>
      </c>
      <c r="B26" s="664">
        <f t="shared" si="49"/>
        <v>274.61</v>
      </c>
      <c r="C26" s="665">
        <f t="shared" si="52"/>
        <v>273.48365482272129</v>
      </c>
      <c r="D26" s="575" t="str">
        <f t="shared" si="53"/>
        <v>-0.41%  ↓</v>
      </c>
      <c r="E26" s="665">
        <f t="shared" si="54"/>
        <v>272.73365482272129</v>
      </c>
      <c r="F26" s="575" t="str">
        <f t="shared" si="55"/>
        <v>-0.68%  ↓</v>
      </c>
      <c r="G26" s="665">
        <f t="shared" si="50"/>
        <v>274.89999999999998</v>
      </c>
      <c r="H26" s="575" t="str">
        <f t="shared" si="56"/>
        <v>0.11%  ↑</v>
      </c>
      <c r="I26" s="731">
        <f t="shared" si="57"/>
        <v>273.67</v>
      </c>
      <c r="J26" s="668" t="str">
        <f t="shared" si="58"/>
        <v>-0.34%  ↓</v>
      </c>
      <c r="M26" s="420" t="str">
        <f t="shared" si="59"/>
        <v>Minimax 2</v>
      </c>
      <c r="N26" s="520">
        <v>82.3125</v>
      </c>
      <c r="O26" s="443">
        <f t="shared" si="60"/>
        <v>0.12374330545898712</v>
      </c>
      <c r="P26" s="444">
        <v>79.375</v>
      </c>
      <c r="Q26" s="445">
        <f t="shared" si="61"/>
        <v>0.12877712431555466</v>
      </c>
      <c r="R26" s="445">
        <v>78.875</v>
      </c>
      <c r="S26" s="445">
        <f t="shared" si="62"/>
        <v>0.12136949413348722</v>
      </c>
      <c r="T26" s="445">
        <v>18.25</v>
      </c>
      <c r="U26" s="445">
        <f t="shared" si="63"/>
        <v>8.7766756837992191E-2</v>
      </c>
      <c r="V26" s="445">
        <v>74.0625</v>
      </c>
      <c r="W26" s="446">
        <f t="shared" si="64"/>
        <v>0.12542337002540221</v>
      </c>
      <c r="X26" s="521">
        <v>72.375</v>
      </c>
      <c r="Y26" s="48">
        <f t="shared" si="65"/>
        <v>0.12340153452685422</v>
      </c>
      <c r="Z26" s="29"/>
      <c r="AA26" s="73">
        <v>99.5</v>
      </c>
      <c r="AB26" s="526">
        <v>90</v>
      </c>
      <c r="AG26" s="669" t="s">
        <v>47</v>
      </c>
      <c r="AH26" s="670">
        <v>85520</v>
      </c>
      <c r="AI26" s="661"/>
      <c r="AJ26" s="662"/>
      <c r="AK26" s="669" t="s">
        <v>36</v>
      </c>
      <c r="AL26" s="670" t="s">
        <v>49</v>
      </c>
      <c r="AO26" s="661"/>
      <c r="AP26" s="1323">
        <f>AF25</f>
        <v>1</v>
      </c>
      <c r="AQ26" s="1323"/>
      <c r="AR26" s="671"/>
    </row>
    <row r="27" spans="1:54" ht="14.4" x14ac:dyDescent="0.3">
      <c r="M27" s="420" t="str">
        <f t="shared" si="59"/>
        <v>Kimi 2</v>
      </c>
      <c r="N27" s="520">
        <v>86.875</v>
      </c>
      <c r="O27" s="443">
        <f t="shared" si="60"/>
        <v>0.13060227379498263</v>
      </c>
      <c r="P27" s="444">
        <v>74.8125</v>
      </c>
      <c r="Q27" s="445">
        <f t="shared" si="61"/>
        <v>0.12137497465017238</v>
      </c>
      <c r="R27" s="445">
        <v>81.25</v>
      </c>
      <c r="S27" s="445">
        <f t="shared" si="62"/>
        <v>0.1250240430852087</v>
      </c>
      <c r="T27" s="445">
        <v>28.1875</v>
      </c>
      <c r="U27" s="445">
        <f t="shared" si="63"/>
        <v>0.13555755936278929</v>
      </c>
      <c r="V27" s="445">
        <v>76.625</v>
      </c>
      <c r="W27" s="446">
        <f t="shared" si="64"/>
        <v>0.12976291278577476</v>
      </c>
      <c r="X27" s="521">
        <v>73.625</v>
      </c>
      <c r="Y27" s="48">
        <f t="shared" si="65"/>
        <v>0.12553282182438194</v>
      </c>
      <c r="Z27" s="29"/>
      <c r="AA27" s="73">
        <v>99.75</v>
      </c>
      <c r="AB27" s="526">
        <v>95</v>
      </c>
      <c r="AF27" s="672" t="str">
        <f t="shared" ref="AF27:AF32" si="67">AF2</f>
        <v>TNX</v>
      </c>
      <c r="AG27" s="673">
        <v>0</v>
      </c>
      <c r="AH27" s="674">
        <f>AG27/2</f>
        <v>0</v>
      </c>
      <c r="AI27" s="661"/>
      <c r="AJ27" s="672" t="str">
        <f t="shared" ref="AJ27:AJ32" si="68">AJ2</f>
        <v>TNX</v>
      </c>
      <c r="AK27" s="675">
        <v>0.92500000000000004</v>
      </c>
      <c r="AL27" s="676">
        <f>1-AK27</f>
        <v>7.4999999999999956E-2</v>
      </c>
      <c r="AN27" s="677">
        <v>1</v>
      </c>
      <c r="AO27" s="661"/>
      <c r="AP27" s="678">
        <f>(AK27*I12+AL27*J12)+AG27</f>
        <v>4.1488668738175898</v>
      </c>
      <c r="AQ27" s="678">
        <f>AK2+AH27</f>
        <v>4.1488668738175898</v>
      </c>
      <c r="AR27" s="679"/>
      <c r="AS27" s="680">
        <f t="shared" ref="AS27:AS32" si="69">(E12+C12)/2</f>
        <v>4.1488668738175898</v>
      </c>
    </row>
    <row r="28" spans="1:54" ht="14.25" customHeight="1" x14ac:dyDescent="0.3">
      <c r="M28" s="420" t="str">
        <f t="shared" si="59"/>
        <v>Qwen3 Max</v>
      </c>
      <c r="N28" s="520">
        <v>85.625</v>
      </c>
      <c r="O28" s="443">
        <f t="shared" si="60"/>
        <v>0.12872310438786055</v>
      </c>
      <c r="P28" s="444">
        <v>76.0625</v>
      </c>
      <c r="Q28" s="445">
        <f t="shared" si="61"/>
        <v>0.12340296085986616</v>
      </c>
      <c r="R28" s="445">
        <v>78.75</v>
      </c>
      <c r="S28" s="445">
        <f t="shared" si="62"/>
        <v>0.12117714945181765</v>
      </c>
      <c r="T28" s="445">
        <v>23.1875</v>
      </c>
      <c r="U28" s="445">
        <f t="shared" si="63"/>
        <v>0.11151187255785994</v>
      </c>
      <c r="V28" s="445">
        <v>76.625</v>
      </c>
      <c r="W28" s="446">
        <f t="shared" si="64"/>
        <v>0.12976291278577476</v>
      </c>
      <c r="X28" s="521">
        <v>74.875</v>
      </c>
      <c r="Y28" s="48">
        <f t="shared" si="65"/>
        <v>0.12766410912190965</v>
      </c>
      <c r="Z28" s="29"/>
      <c r="AA28" s="139">
        <v>99.99</v>
      </c>
      <c r="AB28" s="527">
        <v>100</v>
      </c>
      <c r="AF28" s="681" t="str">
        <f t="shared" si="67"/>
        <v>DJI</v>
      </c>
      <c r="AG28" s="682">
        <v>50</v>
      </c>
      <c r="AH28" s="683">
        <f>AG28/2</f>
        <v>25</v>
      </c>
      <c r="AI28" s="661"/>
      <c r="AJ28" s="681" t="str">
        <f t="shared" si="68"/>
        <v>DJI</v>
      </c>
      <c r="AK28" s="684">
        <v>0.95</v>
      </c>
      <c r="AL28" s="685">
        <f>1-AK28</f>
        <v>5.0000000000000044E-2</v>
      </c>
      <c r="AM28" s="661"/>
      <c r="AN28" s="686">
        <v>1</v>
      </c>
      <c r="AO28" s="661"/>
      <c r="AP28" s="687">
        <f>(AK28*I13+AL28*J13)+AG28</f>
        <v>48268.941147193371</v>
      </c>
      <c r="AQ28" s="687">
        <f>AK3+AH28</f>
        <v>48293.941147193371</v>
      </c>
      <c r="AR28" s="679"/>
      <c r="AS28" s="688">
        <f t="shared" si="69"/>
        <v>48281.441147193371</v>
      </c>
    </row>
    <row r="29" spans="1:54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70">G20</f>
        <v>MICH</v>
      </c>
      <c r="H29" s="1312"/>
      <c r="I29" s="1313" t="s">
        <v>50</v>
      </c>
      <c r="J29" s="1313"/>
      <c r="M29" s="431" t="str">
        <f t="shared" si="59"/>
        <v>LeChat</v>
      </c>
      <c r="N29" s="522">
        <v>80.75</v>
      </c>
      <c r="O29" s="455">
        <f t="shared" si="60"/>
        <v>0.12139434370008456</v>
      </c>
      <c r="P29" s="456">
        <v>76</v>
      </c>
      <c r="Q29" s="457">
        <f t="shared" si="61"/>
        <v>0.12330156154938146</v>
      </c>
      <c r="R29" s="457">
        <v>80</v>
      </c>
      <c r="S29" s="457">
        <f t="shared" si="62"/>
        <v>0.12310059626851318</v>
      </c>
      <c r="T29" s="457">
        <v>40</v>
      </c>
      <c r="U29" s="457">
        <f t="shared" si="63"/>
        <v>0.19236549443943493</v>
      </c>
      <c r="V29" s="457">
        <v>74</v>
      </c>
      <c r="W29" s="458">
        <f t="shared" si="64"/>
        <v>0.12531752751905165</v>
      </c>
      <c r="X29" s="523">
        <v>75</v>
      </c>
      <c r="Y29" s="124">
        <f t="shared" si="65"/>
        <v>0.12787723785166241</v>
      </c>
      <c r="Z29" s="29"/>
      <c r="AF29" s="689" t="str">
        <f t="shared" si="67"/>
        <v>SPX</v>
      </c>
      <c r="AG29" s="690">
        <v>4</v>
      </c>
      <c r="AH29" s="691">
        <f>AG29/2</f>
        <v>2</v>
      </c>
      <c r="AI29" s="661"/>
      <c r="AJ29" s="689" t="str">
        <f t="shared" si="68"/>
        <v>SPX</v>
      </c>
      <c r="AK29" s="684">
        <v>1.01</v>
      </c>
      <c r="AL29" s="685">
        <f>1-AK29</f>
        <v>-1.0000000000000009E-2</v>
      </c>
      <c r="AM29" s="661"/>
      <c r="AN29" s="692">
        <v>1</v>
      </c>
      <c r="AO29" s="661"/>
      <c r="AP29" s="693">
        <f>(AK29*I14+AL29*J14)+AG29</f>
        <v>6817.401207985059</v>
      </c>
      <c r="AQ29" s="693">
        <f>AK4+AH29</f>
        <v>6819.401207985059</v>
      </c>
      <c r="AR29" s="679"/>
      <c r="AS29" s="694">
        <f t="shared" si="69"/>
        <v>6818.401207985059</v>
      </c>
    </row>
    <row r="30" spans="1:54" ht="14.25" customHeight="1" x14ac:dyDescent="0.3">
      <c r="A30" s="35" t="s">
        <v>12</v>
      </c>
      <c r="B30" s="695">
        <v>4.165</v>
      </c>
      <c r="C30" s="636">
        <f t="shared" ref="C30:C35" si="71">C21</f>
        <v>4.1488668738175898</v>
      </c>
      <c r="D30" s="552" t="str">
        <f t="shared" ref="D30:D35" si="72">CONCATENATE(TEXT(AQ8,"0.00%"),"  ",AR8)</f>
        <v>-0.39%  ↓</v>
      </c>
      <c r="E30" s="636">
        <f t="shared" ref="E30:E35" si="73">E21</f>
        <v>4.1488668738175898</v>
      </c>
      <c r="F30" s="552" t="str">
        <f t="shared" ref="F30:F35" si="74">CONCATENATE(TEXT(AS8,"0.00%"),"  ",AT8)</f>
        <v>-0.39%  ↓</v>
      </c>
      <c r="G30" s="636">
        <f t="shared" si="70"/>
        <v>4.1500000000000004</v>
      </c>
      <c r="H30" s="552" t="str">
        <f t="shared" ref="H30:H35" si="75">CONCATENATE(TEXT(AU8,"0.00%"),"  ",AV8)</f>
        <v>-0.36%  ↓</v>
      </c>
      <c r="I30" s="727">
        <f t="shared" ref="I30:I35" si="76">I21</f>
        <v>4.149</v>
      </c>
      <c r="J30" s="639" t="str">
        <f t="shared" ref="J30:J35" si="77">CONCATENATE(TEXT(AO8,"0.00%"),"  ",AP8)</f>
        <v>-0.38%  ↓</v>
      </c>
      <c r="AF30" s="689" t="str">
        <f t="shared" si="67"/>
        <v>VIX</v>
      </c>
      <c r="AG30" s="696">
        <v>1.56</v>
      </c>
      <c r="AH30" s="697">
        <v>0.33</v>
      </c>
      <c r="AI30" s="661"/>
      <c r="AJ30" s="689" t="str">
        <f t="shared" si="68"/>
        <v>VIX</v>
      </c>
      <c r="AK30" s="684"/>
      <c r="AL30" s="685"/>
      <c r="AM30" s="661"/>
      <c r="AN30" s="698">
        <v>-1</v>
      </c>
      <c r="AP30" s="699">
        <f>IF(AN30=1,I15+AG30,I15+AG40)</f>
        <v>15.496330027051394</v>
      </c>
      <c r="AQ30" s="699">
        <f>IF(AN30=1,I15+AG30+AH30,I15+AG40+AH40)</f>
        <v>15.266330027051394</v>
      </c>
      <c r="AR30" s="679"/>
      <c r="AS30" s="700">
        <f t="shared" si="69"/>
        <v>15.381330027051394</v>
      </c>
    </row>
    <row r="31" spans="1:54" ht="14.25" customHeight="1" x14ac:dyDescent="0.3">
      <c r="A31" s="60" t="s">
        <v>13</v>
      </c>
      <c r="B31" s="701">
        <v>48416.61</v>
      </c>
      <c r="C31" s="642">
        <f t="shared" si="71"/>
        <v>48268.941147193371</v>
      </c>
      <c r="D31" s="557" t="str">
        <f t="shared" si="72"/>
        <v>-0.30%  ↓</v>
      </c>
      <c r="E31" s="642">
        <f t="shared" si="73"/>
        <v>48293.941147193371</v>
      </c>
      <c r="F31" s="557" t="str">
        <f t="shared" si="74"/>
        <v>-0.25%  ↓</v>
      </c>
      <c r="G31" s="642">
        <f t="shared" si="70"/>
        <v>48321</v>
      </c>
      <c r="H31" s="557" t="str">
        <f t="shared" si="75"/>
        <v>-0.20%  ↓</v>
      </c>
      <c r="I31" s="728">
        <f t="shared" si="76"/>
        <v>48134.89</v>
      </c>
      <c r="J31" s="645" t="str">
        <f t="shared" si="77"/>
        <v>-0.58%  ↓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F31" s="702" t="str">
        <f t="shared" si="67"/>
        <v>QQQ</v>
      </c>
      <c r="AG31" s="703">
        <v>3</v>
      </c>
      <c r="AH31" s="704">
        <v>1.6</v>
      </c>
      <c r="AI31" s="661"/>
      <c r="AJ31" s="702" t="str">
        <f t="shared" si="68"/>
        <v>QQQ</v>
      </c>
      <c r="AK31" s="684">
        <v>0.875</v>
      </c>
      <c r="AL31" s="685">
        <f>1-AK31</f>
        <v>0.125</v>
      </c>
      <c r="AN31" s="705">
        <v>1</v>
      </c>
      <c r="AP31" s="706">
        <f>IF($AN$31=1,($I$16+$AG$31),($I$16+$AG$41))</f>
        <v>615.83868543607116</v>
      </c>
      <c r="AQ31" s="706">
        <f>IF($AN31=1,($I16+$AG31+$AH31),($I16+$AG41+$AH41))</f>
        <v>617.43868543607118</v>
      </c>
      <c r="AR31" s="679"/>
      <c r="AS31" s="707">
        <f t="shared" si="69"/>
        <v>616.63868543607123</v>
      </c>
    </row>
    <row r="32" spans="1:54" ht="14.25" customHeight="1" x14ac:dyDescent="0.3">
      <c r="A32" s="82" t="s">
        <v>14</v>
      </c>
      <c r="B32" s="708">
        <v>6816.52</v>
      </c>
      <c r="C32" s="650">
        <f t="shared" si="71"/>
        <v>6817.401207985059</v>
      </c>
      <c r="D32" s="562" t="str">
        <f t="shared" si="72"/>
        <v>0.01%  ↑</v>
      </c>
      <c r="E32" s="650">
        <f t="shared" si="73"/>
        <v>6819.401207985059</v>
      </c>
      <c r="F32" s="562" t="str">
        <f t="shared" si="74"/>
        <v>0.04%  ↑</v>
      </c>
      <c r="G32" s="650">
        <f t="shared" si="70"/>
        <v>6825</v>
      </c>
      <c r="H32" s="562" t="str">
        <f t="shared" si="75"/>
        <v>0.12%  ↑</v>
      </c>
      <c r="I32" s="729">
        <f t="shared" si="76"/>
        <v>6834.49</v>
      </c>
      <c r="J32" s="645" t="str">
        <f t="shared" si="77"/>
        <v>0.26%  ↑</v>
      </c>
      <c r="N32" s="53" t="s">
        <v>12</v>
      </c>
      <c r="P32" s="287">
        <f t="shared" ref="P32:P37" si="78">100-ABS(($K12-C12)/($K12))*100</f>
        <v>99.996791367018318</v>
      </c>
      <c r="Q32" s="328"/>
      <c r="R32" s="288">
        <f t="shared" ref="R32:R37" si="79">100-ABS(($K12-E12)/($K12))*100</f>
        <v>99.996791367018318</v>
      </c>
      <c r="S32" s="328"/>
      <c r="T32" s="288">
        <f t="shared" ref="T32:T37" si="80">100-ABS(($K12-G12)/($K12))*100</f>
        <v>99.975897806700402</v>
      </c>
      <c r="U32" s="328"/>
      <c r="V32" s="461">
        <f t="shared" ref="V32:V37" si="81">100-ABS((($K12-J12)/($K12)))*100</f>
        <v>99.979184864845976</v>
      </c>
      <c r="X32" s="290">
        <f t="shared" ref="X32:X37" si="82">100-ABS((($K12-I12)/($K12)))*100</f>
        <v>99.994843493926226</v>
      </c>
      <c r="AF32" s="709" t="str">
        <f t="shared" si="67"/>
        <v>AAPL</v>
      </c>
      <c r="AG32" s="710">
        <v>-1.5</v>
      </c>
      <c r="AH32" s="711">
        <f>AG32/2</f>
        <v>-0.75</v>
      </c>
      <c r="AI32" s="661"/>
      <c r="AJ32" s="709" t="str">
        <f t="shared" si="68"/>
        <v>AAPL</v>
      </c>
      <c r="AK32" s="712">
        <v>0.77500000000000002</v>
      </c>
      <c r="AL32" s="713">
        <f>1-AK32</f>
        <v>0.22499999999999998</v>
      </c>
      <c r="AN32" s="714">
        <v>1</v>
      </c>
      <c r="AP32" s="715">
        <f>(AK32*I17+AL32*J17)+AG32</f>
        <v>273.48365482272129</v>
      </c>
      <c r="AQ32" s="715">
        <f>AK7+AH32</f>
        <v>272.73365482272129</v>
      </c>
      <c r="AR32" s="661"/>
      <c r="AS32" s="716">
        <f t="shared" si="69"/>
        <v>273.10865482272129</v>
      </c>
    </row>
    <row r="33" spans="1:45" ht="14.25" customHeight="1" x14ac:dyDescent="0.3">
      <c r="A33" s="82" t="s">
        <v>15</v>
      </c>
      <c r="B33" s="708">
        <v>16.5</v>
      </c>
      <c r="C33" s="654">
        <f t="shared" si="71"/>
        <v>15.496330027051394</v>
      </c>
      <c r="D33" s="562" t="str">
        <f t="shared" si="72"/>
        <v>-6.08%  ↓</v>
      </c>
      <c r="E33" s="654">
        <f t="shared" si="73"/>
        <v>15.266330027051394</v>
      </c>
      <c r="F33" s="562" t="str">
        <f t="shared" si="74"/>
        <v>-7.48%  ↓</v>
      </c>
      <c r="G33" s="654">
        <f t="shared" si="70"/>
        <v>15.96</v>
      </c>
      <c r="H33" s="562" t="str">
        <f t="shared" si="75"/>
        <v>-3.27%  ↓</v>
      </c>
      <c r="I33" s="729">
        <f t="shared" si="76"/>
        <v>14.91</v>
      </c>
      <c r="J33" s="645" t="str">
        <f t="shared" si="77"/>
        <v>-9.64%  ↓</v>
      </c>
      <c r="N33" s="60" t="s">
        <v>13</v>
      </c>
      <c r="P33" s="291">
        <f t="shared" si="78"/>
        <v>99.721509393304174</v>
      </c>
      <c r="Q33" s="328"/>
      <c r="R33" s="292">
        <f t="shared" si="79"/>
        <v>99.669572014824652</v>
      </c>
      <c r="S33" s="328"/>
      <c r="T33" s="292">
        <f t="shared" si="80"/>
        <v>99.61335737964707</v>
      </c>
      <c r="U33" s="328"/>
      <c r="V33" s="462">
        <f t="shared" si="81"/>
        <v>99.719972594861233</v>
      </c>
      <c r="X33" s="294">
        <f t="shared" si="82"/>
        <v>99.830932126863317</v>
      </c>
      <c r="AF33" s="661"/>
      <c r="AG33" s="717"/>
      <c r="AH33" s="717"/>
      <c r="AI33" s="661"/>
      <c r="AJ33" s="717"/>
      <c r="AK33" s="717"/>
      <c r="AL33" s="718"/>
      <c r="AN33" s="661"/>
      <c r="AO33" s="661"/>
      <c r="AP33" s="661"/>
      <c r="AQ33" s="661"/>
      <c r="AR33" s="661"/>
      <c r="AS33" s="661"/>
    </row>
    <row r="34" spans="1:45" ht="14.25" customHeight="1" x14ac:dyDescent="0.3">
      <c r="A34" s="99" t="s">
        <v>16</v>
      </c>
      <c r="B34" s="719">
        <v>611.82000000000005</v>
      </c>
      <c r="C34" s="658">
        <f t="shared" si="71"/>
        <v>615.83868543607116</v>
      </c>
      <c r="D34" s="569" t="str">
        <f t="shared" si="72"/>
        <v>0.66%  ↑</v>
      </c>
      <c r="E34" s="658">
        <f t="shared" si="73"/>
        <v>617.43868543607118</v>
      </c>
      <c r="F34" s="569" t="str">
        <f t="shared" si="74"/>
        <v>0.92%  ↑</v>
      </c>
      <c r="G34" s="658">
        <f t="shared" si="70"/>
        <v>614.9</v>
      </c>
      <c r="H34" s="569" t="str">
        <f t="shared" si="75"/>
        <v>0.50%  ↑</v>
      </c>
      <c r="I34" s="730">
        <f t="shared" si="76"/>
        <v>617.04999999999995</v>
      </c>
      <c r="J34" s="645" t="str">
        <f t="shared" si="77"/>
        <v>0.85%  ↑</v>
      </c>
      <c r="N34" s="82" t="s">
        <v>14</v>
      </c>
      <c r="P34" s="301">
        <f t="shared" si="78"/>
        <v>99.749962440285358</v>
      </c>
      <c r="Q34" s="328"/>
      <c r="R34" s="302">
        <f t="shared" si="79"/>
        <v>99.779225779612801</v>
      </c>
      <c r="S34" s="328"/>
      <c r="T34" s="302">
        <f t="shared" si="80"/>
        <v>99.8611454548913</v>
      </c>
      <c r="U34" s="328"/>
      <c r="V34" s="463">
        <f t="shared" si="81"/>
        <v>99.723873906627858</v>
      </c>
      <c r="X34" s="304">
        <f t="shared" si="82"/>
        <v>99.691756931382926</v>
      </c>
      <c r="AF34" s="661"/>
      <c r="AG34" s="720"/>
      <c r="AH34" s="720"/>
      <c r="AI34" s="661"/>
      <c r="AJ34" s="662"/>
      <c r="AK34" s="662"/>
      <c r="AL34" s="662"/>
      <c r="AN34" s="661"/>
      <c r="AO34" s="661"/>
      <c r="AP34" s="661"/>
      <c r="AQ34" s="661"/>
      <c r="AR34" s="661"/>
      <c r="AS34" s="661"/>
    </row>
    <row r="35" spans="1:45" ht="14.25" customHeight="1" x14ac:dyDescent="0.3">
      <c r="A35" s="109" t="s">
        <v>17</v>
      </c>
      <c r="B35" s="721">
        <v>274.49</v>
      </c>
      <c r="C35" s="665">
        <f t="shared" si="71"/>
        <v>273.48365482272129</v>
      </c>
      <c r="D35" s="575" t="str">
        <f t="shared" si="72"/>
        <v>-0.37%  ↓</v>
      </c>
      <c r="E35" s="665">
        <f t="shared" si="73"/>
        <v>272.73365482272129</v>
      </c>
      <c r="F35" s="575" t="str">
        <f t="shared" si="74"/>
        <v>-0.64%  ↓</v>
      </c>
      <c r="G35" s="665">
        <f t="shared" si="70"/>
        <v>274.89999999999998</v>
      </c>
      <c r="H35" s="575" t="str">
        <f t="shared" si="75"/>
        <v>0.15%  ↑</v>
      </c>
      <c r="I35" s="731">
        <f t="shared" si="76"/>
        <v>273.67</v>
      </c>
      <c r="J35" s="668" t="str">
        <f t="shared" si="77"/>
        <v>-0.30%  ↓</v>
      </c>
      <c r="N35" s="82" t="s">
        <v>15</v>
      </c>
      <c r="P35" s="301">
        <f t="shared" si="78"/>
        <v>96.067538383290454</v>
      </c>
      <c r="Q35" s="328"/>
      <c r="R35" s="302">
        <f t="shared" si="79"/>
        <v>97.61012724982298</v>
      </c>
      <c r="S35" s="328"/>
      <c r="T35" s="302">
        <f t="shared" si="80"/>
        <v>92.957746478873233</v>
      </c>
      <c r="U35" s="328"/>
      <c r="V35" s="463">
        <f t="shared" si="81"/>
        <v>93.757005673821595</v>
      </c>
      <c r="X35" s="304">
        <f t="shared" si="82"/>
        <v>88.958215781010097</v>
      </c>
      <c r="AF35" s="11">
        <v>-1</v>
      </c>
      <c r="AG35" s="1321" t="s">
        <v>118</v>
      </c>
      <c r="AH35" s="1321"/>
      <c r="AI35" s="661"/>
      <c r="AJ35" s="662"/>
      <c r="AK35" s="1322" t="s">
        <v>119</v>
      </c>
      <c r="AL35" s="1322"/>
      <c r="AO35" s="661"/>
      <c r="AP35" s="2" t="str">
        <f>AG36</f>
        <v>RD</v>
      </c>
      <c r="AQ35" s="2">
        <f>AH36</f>
        <v>85520</v>
      </c>
      <c r="AR35" s="661"/>
      <c r="AS35" s="661"/>
    </row>
    <row r="36" spans="1:45" ht="14.25" customHeight="1" x14ac:dyDescent="0.3">
      <c r="N36" s="99" t="s">
        <v>16</v>
      </c>
      <c r="P36" s="312">
        <f t="shared" si="78"/>
        <v>99.803692640154154</v>
      </c>
      <c r="Q36" s="328"/>
      <c r="R36" s="313">
        <f t="shared" si="79"/>
        <v>99.937009085799986</v>
      </c>
      <c r="S36" s="328"/>
      <c r="T36" s="313">
        <f t="shared" si="80"/>
        <v>99.651567944250871</v>
      </c>
      <c r="U36" s="328"/>
      <c r="V36" s="464">
        <f t="shared" si="81"/>
        <v>99.141699565953644</v>
      </c>
      <c r="X36" s="315">
        <f t="shared" si="82"/>
        <v>99.317508376318159</v>
      </c>
      <c r="AG36" s="722" t="s">
        <v>47</v>
      </c>
      <c r="AH36" s="723">
        <v>85520</v>
      </c>
      <c r="AI36" s="661"/>
      <c r="AJ36" s="662"/>
      <c r="AK36" s="669" t="s">
        <v>36</v>
      </c>
      <c r="AL36" s="670" t="s">
        <v>49</v>
      </c>
      <c r="AM36" s="661"/>
      <c r="AN36" s="661"/>
      <c r="AO36" s="661"/>
      <c r="AP36" s="1323">
        <f>AF35</f>
        <v>-1</v>
      </c>
      <c r="AQ36" s="1323"/>
      <c r="AR36" s="661"/>
      <c r="AS36" s="661"/>
    </row>
    <row r="37" spans="1:45" ht="14.25" customHeight="1" x14ac:dyDescent="0.3">
      <c r="N37" s="114" t="s">
        <v>17</v>
      </c>
      <c r="P37" s="323">
        <f t="shared" si="78"/>
        <v>99.931908803566799</v>
      </c>
      <c r="Q37" s="328"/>
      <c r="R37" s="324">
        <f t="shared" si="79"/>
        <v>99.657856112369373</v>
      </c>
      <c r="S37" s="328"/>
      <c r="T37" s="324">
        <f t="shared" si="80"/>
        <v>99.550553586436237</v>
      </c>
      <c r="U37" s="328"/>
      <c r="V37" s="465">
        <f t="shared" si="81"/>
        <v>99.891982369912682</v>
      </c>
      <c r="X37" s="326">
        <f t="shared" si="82"/>
        <v>99.411986813945802</v>
      </c>
      <c r="AF37" s="672" t="str">
        <f t="shared" ref="AF37:AF42" si="83">AF27</f>
        <v>TNX</v>
      </c>
      <c r="AG37" s="673">
        <v>0</v>
      </c>
      <c r="AH37" s="674">
        <f>AG37/2</f>
        <v>0</v>
      </c>
      <c r="AI37" s="661"/>
      <c r="AJ37" s="672" t="str">
        <f t="shared" ref="AJ37:AJ42" si="84">AJ2</f>
        <v>TNX</v>
      </c>
      <c r="AK37" s="675">
        <v>0.92500000000000004</v>
      </c>
      <c r="AL37" s="676">
        <f>1-AK37</f>
        <v>7.4999999999999956E-2</v>
      </c>
      <c r="AO37" s="661"/>
      <c r="AP37" s="678">
        <f>(AK27*I12+AL27*J12)+AG27</f>
        <v>4.1488668738175898</v>
      </c>
      <c r="AQ37" s="678">
        <f>AK2+AH37</f>
        <v>4.1488668738175898</v>
      </c>
      <c r="AR37" s="661"/>
      <c r="AS37" s="661"/>
    </row>
    <row r="38" spans="1:45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681" t="str">
        <f t="shared" si="83"/>
        <v>DJI</v>
      </c>
      <c r="AG38" s="682">
        <v>50</v>
      </c>
      <c r="AH38" s="683">
        <f>AG38/2</f>
        <v>25</v>
      </c>
      <c r="AI38" s="661"/>
      <c r="AJ38" s="681" t="str">
        <f t="shared" si="84"/>
        <v>DJI</v>
      </c>
      <c r="AK38" s="684">
        <v>0.95</v>
      </c>
      <c r="AL38" s="685">
        <f>1-AK38</f>
        <v>5.0000000000000044E-2</v>
      </c>
      <c r="AO38" s="661"/>
      <c r="AP38" s="687">
        <f>(AK28*I13+AL28*J13)+AG28</f>
        <v>48268.941147193371</v>
      </c>
      <c r="AQ38" s="687">
        <f>AK3+AH38</f>
        <v>48293.941147193371</v>
      </c>
      <c r="AR38" s="661"/>
      <c r="AS38" s="661"/>
    </row>
    <row r="39" spans="1:45" ht="14.25" customHeight="1" x14ac:dyDescent="0.3">
      <c r="N39" s="331" t="str">
        <f>AA1</f>
        <v>AVR-4</v>
      </c>
      <c r="P39" s="332">
        <f t="array" ref="P39">SUM(P33:P36/4)</f>
        <v>98.835675714258542</v>
      </c>
      <c r="Q39" s="328"/>
      <c r="R39" s="333">
        <f t="array" ref="R39">SUM(R33:R36/4)</f>
        <v>99.248983532515098</v>
      </c>
      <c r="S39" s="328"/>
      <c r="T39" s="333">
        <f t="array" ref="T39">SUM(T33:T36/4)</f>
        <v>98.020954314415619</v>
      </c>
      <c r="U39" s="328"/>
      <c r="V39" s="466">
        <f t="array" ref="V39">SUM(V33:V36/4)</f>
        <v>98.085637935316072</v>
      </c>
      <c r="X39" s="335">
        <f t="array" ref="X39">SUM(X33:X36/4)</f>
        <v>96.949603303893639</v>
      </c>
      <c r="AF39" s="689" t="str">
        <f t="shared" si="83"/>
        <v>SPX</v>
      </c>
      <c r="AG39" s="690">
        <v>4</v>
      </c>
      <c r="AH39" s="691">
        <f>AG39/2</f>
        <v>2</v>
      </c>
      <c r="AI39" s="661"/>
      <c r="AJ39" s="689" t="str">
        <f t="shared" si="84"/>
        <v>SPX</v>
      </c>
      <c r="AK39" s="684">
        <v>1.01</v>
      </c>
      <c r="AL39" s="685">
        <f>1-AK39</f>
        <v>-1.0000000000000009E-2</v>
      </c>
      <c r="AM39" s="4"/>
      <c r="AN39" s="661"/>
      <c r="AO39" s="661"/>
      <c r="AP39" s="693">
        <f>(AK29*I14+AL29*J14)+AG29</f>
        <v>6817.401207985059</v>
      </c>
      <c r="AQ39" s="693">
        <f>AK4+AH39</f>
        <v>6819.401207985059</v>
      </c>
      <c r="AR39" s="661"/>
      <c r="AS39" s="661"/>
    </row>
    <row r="40" spans="1:45" ht="14.25" customHeight="1" x14ac:dyDescent="0.3">
      <c r="N40" s="336" t="str">
        <f>AB1</f>
        <v>AVR-6</v>
      </c>
      <c r="P40" s="337">
        <f t="array" ref="P40">SUM(P32:P37/6)</f>
        <v>99.211900504603221</v>
      </c>
      <c r="Q40" s="328"/>
      <c r="R40" s="338">
        <f t="array" ref="R40">SUM(R32:R37/6)</f>
        <v>99.441763601574678</v>
      </c>
      <c r="S40" s="328"/>
      <c r="T40" s="338">
        <f t="array" ref="T40">SUM(T32:T37/6)</f>
        <v>98.601711441799864</v>
      </c>
      <c r="U40" s="328"/>
      <c r="V40" s="467">
        <f t="array" ref="V40">SUM(V32:V37/6)</f>
        <v>98.702286496003836</v>
      </c>
      <c r="X40" s="340">
        <f t="array" ref="X40">SUM(X32:X37/6)</f>
        <v>97.867540587241081</v>
      </c>
      <c r="AF40" s="689" t="str">
        <f t="shared" si="83"/>
        <v>VIX</v>
      </c>
      <c r="AG40" s="696">
        <v>-1.06</v>
      </c>
      <c r="AH40" s="697">
        <v>-0.23</v>
      </c>
      <c r="AI40" s="661"/>
      <c r="AJ40" s="689" t="str">
        <f t="shared" si="84"/>
        <v>VIX</v>
      </c>
      <c r="AK40" s="684"/>
      <c r="AL40" s="685"/>
      <c r="AM40" s="4"/>
      <c r="AN40" s="661"/>
      <c r="AO40" s="661"/>
      <c r="AP40" s="699">
        <f>IF(AN30=1,I15+AG30,I15+AG40)</f>
        <v>15.496330027051394</v>
      </c>
      <c r="AQ40" s="699">
        <f>IF(AN30=1,I15+AG30+AH30,I15+AG40+AH40)</f>
        <v>15.266330027051394</v>
      </c>
      <c r="AR40" s="661"/>
      <c r="AS40" s="661"/>
    </row>
    <row r="41" spans="1:45" ht="14.25" customHeight="1" x14ac:dyDescent="0.3">
      <c r="AF41" s="702" t="str">
        <f t="shared" si="83"/>
        <v>QQQ</v>
      </c>
      <c r="AG41" s="724">
        <v>-10</v>
      </c>
      <c r="AH41" s="725">
        <v>-3</v>
      </c>
      <c r="AI41" s="661"/>
      <c r="AJ41" s="702" t="str">
        <f t="shared" si="84"/>
        <v>QQQ</v>
      </c>
      <c r="AK41" s="684">
        <v>0.875</v>
      </c>
      <c r="AL41" s="685">
        <f>1-AK41</f>
        <v>0.125</v>
      </c>
      <c r="AM41" s="4"/>
      <c r="AO41" s="4"/>
      <c r="AP41" s="706">
        <f>IF(AN31=1,(I16+AG31),(I16+AG41))</f>
        <v>615.83868543607116</v>
      </c>
      <c r="AQ41" s="706">
        <f>IF(AN31=1,(I16+AG31+AH31),(I16+AG41+AH41))</f>
        <v>617.43868543607118</v>
      </c>
      <c r="AR41" s="661"/>
      <c r="AS41" s="661"/>
    </row>
    <row r="42" spans="1:45" ht="14.25" customHeight="1" x14ac:dyDescent="0.3">
      <c r="AF42" s="709" t="str">
        <f t="shared" si="83"/>
        <v>AAPL</v>
      </c>
      <c r="AG42" s="710">
        <v>-1.5</v>
      </c>
      <c r="AH42" s="711">
        <f>AG42/2</f>
        <v>-0.75</v>
      </c>
      <c r="AI42" s="661"/>
      <c r="AJ42" s="709" t="str">
        <f t="shared" si="84"/>
        <v>AAPL</v>
      </c>
      <c r="AK42" s="712">
        <v>0.77500000000000002</v>
      </c>
      <c r="AL42" s="713">
        <f>1-AK42</f>
        <v>0.22499999999999998</v>
      </c>
      <c r="AM42" s="4"/>
      <c r="AO42" s="4"/>
      <c r="AP42" s="715">
        <f>(AK32*I17+AL32*J17)+AG32</f>
        <v>273.48365482272129</v>
      </c>
      <c r="AQ42" s="715">
        <f>AK7+AH42</f>
        <v>272.73365482272129</v>
      </c>
      <c r="AR42" s="661"/>
      <c r="AS42" s="661"/>
    </row>
    <row r="43" spans="1:45" ht="14.25" customHeight="1" x14ac:dyDescent="0.3">
      <c r="AM43" s="4"/>
      <c r="AO43" s="4"/>
    </row>
    <row r="45" spans="1:45" ht="14.25" customHeight="1" x14ac:dyDescent="0.3">
      <c r="AI45" s="4"/>
      <c r="AK45" s="4"/>
      <c r="AM45" s="4"/>
      <c r="AO45" s="4"/>
    </row>
    <row r="46" spans="1:45" ht="14.25" customHeight="1" x14ac:dyDescent="0.3">
      <c r="AI46" s="4"/>
      <c r="AK46" s="4"/>
      <c r="AM46" s="4"/>
    </row>
    <row r="47" spans="1:45" ht="14.25" customHeight="1" x14ac:dyDescent="0.3">
      <c r="AI47" s="4"/>
      <c r="AK47" s="4"/>
      <c r="AM47" s="4"/>
    </row>
    <row r="48" spans="1:45" ht="14.25" customHeight="1" x14ac:dyDescent="0.3">
      <c r="F48" s="6"/>
      <c r="AI48" s="4"/>
      <c r="AK48" s="4"/>
      <c r="AM48" s="4"/>
    </row>
  </sheetData>
  <mergeCells count="34">
    <mergeCell ref="AK1:AL1"/>
    <mergeCell ref="AN1:AN6"/>
    <mergeCell ref="AO7:AP7"/>
    <mergeCell ref="AQ7:AR7"/>
    <mergeCell ref="AS7:AT7"/>
    <mergeCell ref="AU7:AV7"/>
    <mergeCell ref="AN8:AN13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G25:AH25"/>
    <mergeCell ref="AK25:AL25"/>
    <mergeCell ref="AG35:AH35"/>
    <mergeCell ref="AK35:AL35"/>
    <mergeCell ref="AP36:AQ36"/>
    <mergeCell ref="AP26:AQ26"/>
    <mergeCell ref="C29:D29"/>
    <mergeCell ref="E29:F29"/>
    <mergeCell ref="G29:H29"/>
    <mergeCell ref="I29:J29"/>
  </mergeCell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57"/>
  <sheetViews>
    <sheetView zoomScale="140" zoomScaleNormal="140" workbookViewId="0">
      <selection activeCell="B13" sqref="B13"/>
    </sheetView>
  </sheetViews>
  <sheetFormatPr defaultColWidth="8.77734375" defaultRowHeight="14.25" customHeight="1" x14ac:dyDescent="0.3"/>
  <cols>
    <col min="1" max="1" width="7.33203125" style="4" customWidth="1"/>
    <col min="2" max="11" width="8.44140625" style="4" customWidth="1"/>
    <col min="12" max="12" width="3.1093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5.88671875" style="5" customWidth="1"/>
    <col min="25" max="25" width="3.33203125" style="4" hidden="1" customWidth="1"/>
    <col min="26" max="26" width="3.109375" style="4" customWidth="1"/>
    <col min="27" max="27" width="8.109375" style="6" customWidth="1"/>
    <col min="28" max="28" width="8.109375" style="7" customWidth="1"/>
    <col min="29" max="30" width="5.77734375" style="6" customWidth="1"/>
    <col min="31" max="31" width="3.109375" style="4" customWidth="1"/>
    <col min="32" max="37" width="7.109375" style="8" customWidth="1"/>
    <col min="38" max="38" width="7.109375" style="9" customWidth="1"/>
    <col min="39" max="40" width="6.77734375" style="8" customWidth="1"/>
    <col min="41" max="41" width="6.6640625" style="8" customWidth="1"/>
    <col min="42" max="42" width="7.77734375" customWidth="1"/>
    <col min="43" max="43" width="5.77734375" customWidth="1"/>
    <col min="44" max="44" width="5" customWidth="1"/>
    <col min="45" max="46" width="7.77734375" customWidth="1"/>
    <col min="47" max="47" width="5.77734375" customWidth="1"/>
  </cols>
  <sheetData>
    <row r="1" spans="1:54" ht="15" x14ac:dyDescent="0.3">
      <c r="A1" s="2" t="s">
        <v>0</v>
      </c>
      <c r="B1" s="15" t="s">
        <v>109</v>
      </c>
      <c r="C1" s="16" t="s">
        <v>2</v>
      </c>
      <c r="D1" s="16" t="s">
        <v>3</v>
      </c>
      <c r="E1" s="16" t="s">
        <v>4</v>
      </c>
      <c r="F1" s="16" t="s">
        <v>110</v>
      </c>
      <c r="G1" s="16" t="s">
        <v>104</v>
      </c>
      <c r="H1" s="16" t="s">
        <v>101</v>
      </c>
      <c r="I1" s="368" t="s">
        <v>8</v>
      </c>
      <c r="K1" s="18" t="s">
        <v>124</v>
      </c>
      <c r="M1" s="19" t="s">
        <v>11</v>
      </c>
      <c r="N1" s="20" t="s">
        <v>12</v>
      </c>
      <c r="O1" s="21">
        <f>SUM(N2:N9)</f>
        <v>781.4142379359771</v>
      </c>
      <c r="P1" s="22" t="s">
        <v>13</v>
      </c>
      <c r="Q1" s="23">
        <f>SUM(P2:P9)</f>
        <v>784.61473377488369</v>
      </c>
      <c r="R1" s="24" t="s">
        <v>14</v>
      </c>
      <c r="S1" s="23">
        <f>SUM(R2:R9)</f>
        <v>797.78129952456425</v>
      </c>
      <c r="T1" s="24" t="s">
        <v>15</v>
      </c>
      <c r="U1" s="23">
        <f>SUM(T2:T9)</f>
        <v>754.57433290978406</v>
      </c>
      <c r="V1" s="25" t="s">
        <v>16</v>
      </c>
      <c r="W1" s="26">
        <f>SUM(V2:V9)</f>
        <v>798.15981326341375</v>
      </c>
      <c r="X1" s="27" t="s">
        <v>17</v>
      </c>
      <c r="Y1" s="28">
        <f>SUM(X2:X9)</f>
        <v>773.61176005463119</v>
      </c>
      <c r="Z1" s="29"/>
      <c r="AA1" s="30" t="s">
        <v>18</v>
      </c>
      <c r="AB1" s="31" t="s">
        <v>19</v>
      </c>
      <c r="AF1" s="579" t="s">
        <v>20</v>
      </c>
      <c r="AG1" s="4"/>
      <c r="AH1" s="4"/>
      <c r="AK1" s="1314" t="s">
        <v>68</v>
      </c>
      <c r="AL1" s="1314"/>
      <c r="AN1" s="1315" t="str">
        <f>B20</f>
        <v>Close YF</v>
      </c>
      <c r="AO1" s="163">
        <f t="shared" ref="AO1:AO6" si="0">(I21-B21)/B21</f>
        <v>2.4473813020068437E-2</v>
      </c>
      <c r="AP1" s="164" t="str">
        <f>IF(K12-B21&gt;0,"↑","↓")</f>
        <v>↑</v>
      </c>
      <c r="AQ1" s="165">
        <f t="shared" ref="AQ1:AQ6" si="1">(C21-B21)/B21</f>
        <v>6.331994105173099E-4</v>
      </c>
      <c r="AR1" s="166" t="str">
        <f t="shared" ref="AR1:AR6" si="2">IF(C21-B21&gt;0,"↑","↓")</f>
        <v>↑</v>
      </c>
      <c r="AS1" s="163">
        <f t="shared" ref="AS1:AS6" si="3">(E21-B21)/B21</f>
        <v>6.331994105173099E-4</v>
      </c>
      <c r="AT1" s="164" t="str">
        <f t="shared" ref="AT1:AT6" si="4">IF(E21-B21&gt;0,"↑","↓")</f>
        <v>↑</v>
      </c>
      <c r="AU1" s="163">
        <f t="shared" ref="AU1:AU6" si="5">(G21-B21)/B21</f>
        <v>-1.4684287812041672E-3</v>
      </c>
      <c r="AV1" s="164" t="str">
        <f t="shared" ref="AV1:AV6" si="6">IF(G21-B21&gt;0,"↑","↓")</f>
        <v>↓</v>
      </c>
    </row>
    <row r="2" spans="1:54" ht="15" x14ac:dyDescent="0.3">
      <c r="A2" s="35" t="s">
        <v>12</v>
      </c>
      <c r="B2" s="528">
        <v>4.09</v>
      </c>
      <c r="C2" s="529">
        <v>4.09</v>
      </c>
      <c r="D2" s="529">
        <v>4.09</v>
      </c>
      <c r="E2" s="529">
        <v>4.09</v>
      </c>
      <c r="F2" s="529">
        <v>4.09</v>
      </c>
      <c r="G2" s="529">
        <v>4.0999999999999996</v>
      </c>
      <c r="H2" s="530">
        <v>4.08</v>
      </c>
      <c r="I2" s="531">
        <v>4.08</v>
      </c>
      <c r="M2" s="493" t="str">
        <f>B1</f>
        <v>o 5.1</v>
      </c>
      <c r="N2" s="494">
        <f>100-ABS((($K12-B2)/($K12)))*100</f>
        <v>97.706641184902054</v>
      </c>
      <c r="O2" s="495">
        <f t="shared" ref="O2:O9" si="7">N2/$O$1</f>
        <v>0.12503821461326811</v>
      </c>
      <c r="P2" s="496">
        <f>100-ABS((($K13-B3)/($K13)))*100</f>
        <v>98.229293172135485</v>
      </c>
      <c r="Q2" s="497">
        <f t="shared" ref="Q2:Q9" si="8">P2/$Q$1</f>
        <v>0.12519430102917078</v>
      </c>
      <c r="R2" s="497">
        <f>100-ABS((($K14-B4)/($K14)))*100</f>
        <v>99.522806565291134</v>
      </c>
      <c r="S2" s="497">
        <f t="shared" ref="S2:S9" si="9">R2/$S$1</f>
        <v>0.12474948538478089</v>
      </c>
      <c r="T2" s="497">
        <f>100-ABS((($K15-B5)/($K15)))*100</f>
        <v>93.265565438373571</v>
      </c>
      <c r="U2" s="497">
        <f t="shared" ref="U2:U9" si="10">T2/$U$1</f>
        <v>0.12360023574976844</v>
      </c>
      <c r="V2" s="498">
        <f>100-ABS((($K16-B6)/($K16)))*100</f>
        <v>99.603504508537441</v>
      </c>
      <c r="W2" s="499">
        <f t="shared" ref="W2:W9" si="11">V2/$W$1</f>
        <v>0.12479143005370237</v>
      </c>
      <c r="X2" s="500">
        <f>100-ABS((($K17-B7)/($K17)))*100</f>
        <v>96.488516694820845</v>
      </c>
      <c r="Y2" s="48">
        <f t="shared" ref="Y2:Y9" si="12">X2/$Y$1</f>
        <v>0.12472472844519192</v>
      </c>
      <c r="Z2" s="29"/>
      <c r="AA2" s="49">
        <f t="shared" ref="AA2:AA9" si="13">(P2+R2+T2+V2)/4</f>
        <v>97.655292421084397</v>
      </c>
      <c r="AB2" s="50">
        <f t="shared" ref="AB2:AB9" si="14">(N2+P2+R2+T2+V2+X2)/6</f>
        <v>97.469387927343419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80" t="s">
        <v>42</v>
      </c>
      <c r="AH2" s="581">
        <f>MAX(N2:N9)</f>
        <v>97.945532728141416</v>
      </c>
      <c r="AJ2" s="341" t="str">
        <f t="shared" ref="AJ2:AJ7" si="15">A2</f>
        <v>TNX</v>
      </c>
      <c r="AK2" s="342">
        <f t="shared" ref="AK2:AK7" si="16">IF(AN27=1,AP27,AP37)</f>
        <v>4.088587252791374</v>
      </c>
      <c r="AL2" s="57">
        <f t="shared" ref="AL2:AL7" si="17">100-ABS(($K12-AK2)/($K12))*100</f>
        <v>97.672891848814473</v>
      </c>
      <c r="AN2" s="1315"/>
      <c r="AO2" s="182">
        <f t="shared" si="0"/>
        <v>2.0718297796330991E-2</v>
      </c>
      <c r="AP2" s="183" t="str">
        <f>IF(I22-B22&gt;0,"↑","↓")</f>
        <v>↑</v>
      </c>
      <c r="AQ2" s="184">
        <f t="shared" si="1"/>
        <v>2.1695934937297156E-3</v>
      </c>
      <c r="AR2" s="185" t="str">
        <f t="shared" si="2"/>
        <v>↑</v>
      </c>
      <c r="AS2" s="182">
        <f t="shared" si="3"/>
        <v>2.6961924271351719E-3</v>
      </c>
      <c r="AT2" s="183" t="str">
        <f t="shared" si="4"/>
        <v>↑</v>
      </c>
      <c r="AU2" s="182">
        <f t="shared" si="5"/>
        <v>3.5290554121100246E-3</v>
      </c>
      <c r="AV2" s="183" t="str">
        <f t="shared" si="6"/>
        <v>↑</v>
      </c>
    </row>
    <row r="3" spans="1:54" ht="15" x14ac:dyDescent="0.3">
      <c r="A3" s="60" t="s">
        <v>13</v>
      </c>
      <c r="B3" s="532">
        <v>47600</v>
      </c>
      <c r="C3" s="533">
        <v>47650</v>
      </c>
      <c r="D3" s="533">
        <v>47502</v>
      </c>
      <c r="E3" s="533">
        <v>47607</v>
      </c>
      <c r="F3" s="533">
        <v>47500</v>
      </c>
      <c r="G3" s="533">
        <v>47350</v>
      </c>
      <c r="H3" s="533">
        <v>47500</v>
      </c>
      <c r="I3" s="534">
        <v>47500</v>
      </c>
      <c r="K3" s="732" t="s">
        <v>125</v>
      </c>
      <c r="M3" s="501" t="str">
        <f>C1</f>
        <v>Grok 4.1</v>
      </c>
      <c r="N3" s="502">
        <f>100-ABS((($K12-C2)/($K12)))*100</f>
        <v>97.706641184902054</v>
      </c>
      <c r="O3" s="503">
        <f t="shared" si="7"/>
        <v>0.12503821461326811</v>
      </c>
      <c r="P3" s="504">
        <f>100-ABS((($K13-C3)/($K13)))*100</f>
        <v>98.332475202778483</v>
      </c>
      <c r="Q3" s="505">
        <f t="shared" si="8"/>
        <v>0.12532580764789891</v>
      </c>
      <c r="R3" s="505">
        <f>100-ABS((($K14-C4)/($K14)))*100</f>
        <v>99.59604067129311</v>
      </c>
      <c r="S3" s="505">
        <f t="shared" si="9"/>
        <v>0.12484128260545481</v>
      </c>
      <c r="T3" s="505">
        <f>100-ABS((($K15-C5)/($K15)))*100</f>
        <v>93.900889453621346</v>
      </c>
      <c r="U3" s="505">
        <f t="shared" si="10"/>
        <v>0.12444219920855433</v>
      </c>
      <c r="V3" s="506">
        <f>100-ABS((($K16-C6)/($K16)))*100</f>
        <v>99.923258937136282</v>
      </c>
      <c r="W3" s="507">
        <f t="shared" si="11"/>
        <v>0.1251920445964109</v>
      </c>
      <c r="X3" s="508">
        <f>100-ABS((($K17-C7)/($K17)))*100</f>
        <v>96.488516694820845</v>
      </c>
      <c r="Y3" s="48">
        <f t="shared" si="12"/>
        <v>0.12472472844519192</v>
      </c>
      <c r="Z3" s="29"/>
      <c r="AA3" s="73">
        <f t="shared" si="13"/>
        <v>97.938166066207302</v>
      </c>
      <c r="AB3" s="74">
        <f t="shared" si="14"/>
        <v>97.657970357425356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583" t="s">
        <v>42</v>
      </c>
      <c r="AH3" s="584">
        <f>MAX(P2:P9)</f>
        <v>98.332475202778483</v>
      </c>
      <c r="AJ3" s="343" t="str">
        <f t="shared" si="15"/>
        <v>DJI</v>
      </c>
      <c r="AK3" s="344">
        <f t="shared" si="16"/>
        <v>47577.460279534331</v>
      </c>
      <c r="AL3" s="78">
        <f t="shared" si="17"/>
        <v>98.182779289580012</v>
      </c>
      <c r="AN3" s="1315"/>
      <c r="AO3" s="182">
        <f t="shared" si="0"/>
        <v>-2.8553146190641568E-4</v>
      </c>
      <c r="AP3" s="183" t="str">
        <f>IF(I23-B23&gt;0,"↑","↓")</f>
        <v>↓</v>
      </c>
      <c r="AQ3" s="184">
        <f t="shared" si="1"/>
        <v>3.0066172492514893E-3</v>
      </c>
      <c r="AR3" s="185" t="str">
        <f t="shared" si="2"/>
        <v>↑</v>
      </c>
      <c r="AS3" s="182">
        <f t="shared" si="3"/>
        <v>3.2994700306939943E-3</v>
      </c>
      <c r="AT3" s="183" t="str">
        <f t="shared" si="4"/>
        <v>↑</v>
      </c>
      <c r="AU3" s="182">
        <f t="shared" si="5"/>
        <v>3.7529083941857167E-3</v>
      </c>
      <c r="AV3" s="183" t="str">
        <f t="shared" si="6"/>
        <v>↑</v>
      </c>
    </row>
    <row r="4" spans="1:54" ht="15" x14ac:dyDescent="0.3">
      <c r="A4" s="82" t="s">
        <v>14</v>
      </c>
      <c r="B4" s="535">
        <v>6860</v>
      </c>
      <c r="C4" s="536">
        <v>6855</v>
      </c>
      <c r="D4" s="536">
        <v>6858</v>
      </c>
      <c r="E4" s="536">
        <v>6843</v>
      </c>
      <c r="F4" s="536">
        <v>6840</v>
      </c>
      <c r="G4" s="536">
        <v>6845</v>
      </c>
      <c r="H4" s="536">
        <v>6840</v>
      </c>
      <c r="I4" s="537">
        <v>6825</v>
      </c>
      <c r="M4" s="501" t="str">
        <f>D1</f>
        <v>Gemini Pro 3</v>
      </c>
      <c r="N4" s="502">
        <f>100-ABS((($K12-D2)/($K12)))*100</f>
        <v>97.706641184902054</v>
      </c>
      <c r="O4" s="503">
        <f t="shared" si="7"/>
        <v>0.12503821461326811</v>
      </c>
      <c r="P4" s="504">
        <f>100-ABS((($K13-D3)/($K13)))*100</f>
        <v>98.027056392075195</v>
      </c>
      <c r="Q4" s="505">
        <f t="shared" si="8"/>
        <v>0.12493654805646366</v>
      </c>
      <c r="R4" s="505">
        <f>100-ABS((($K14-D4)/($K14)))*100</f>
        <v>99.552100207691922</v>
      </c>
      <c r="S4" s="505">
        <f t="shared" si="9"/>
        <v>0.12478620427305046</v>
      </c>
      <c r="T4" s="505">
        <f>100-ABS((($K15-D5)/($K15)))*100</f>
        <v>93.964421855146114</v>
      </c>
      <c r="U4" s="505">
        <f t="shared" si="10"/>
        <v>0.12452639555443291</v>
      </c>
      <c r="V4" s="506">
        <f>100-ABS((($K16-D6)/($K16)))*100</f>
        <v>99.976018417855087</v>
      </c>
      <c r="W4" s="507">
        <f t="shared" si="11"/>
        <v>0.1252581459959578</v>
      </c>
      <c r="X4" s="508">
        <f>100-ABS((($K17-D7)/($K17)))*100</f>
        <v>96.46335765373972</v>
      </c>
      <c r="Y4" s="48">
        <f t="shared" si="12"/>
        <v>0.12469220691129054</v>
      </c>
      <c r="Z4" s="29"/>
      <c r="AA4" s="73">
        <f t="shared" si="13"/>
        <v>97.87989921819208</v>
      </c>
      <c r="AB4" s="74">
        <f t="shared" si="14"/>
        <v>97.614932618568346</v>
      </c>
      <c r="AC4" s="51" t="str">
        <f>IF($AA4=MAX(AA2:AA9),"TOP","")</f>
        <v/>
      </c>
      <c r="AD4" s="51" t="str">
        <f>IF($AB4=MAX(AB2:AB9),"TOP","")</f>
        <v/>
      </c>
      <c r="AE4" s="52"/>
      <c r="AF4" s="82" t="s">
        <v>14</v>
      </c>
      <c r="AG4" s="585" t="s">
        <v>37</v>
      </c>
      <c r="AH4" s="586">
        <f>MAX(R2:R9)</f>
        <v>99.964554692695046</v>
      </c>
      <c r="AJ4" s="345" t="str">
        <f t="shared" si="15"/>
        <v>SPX</v>
      </c>
      <c r="AK4" s="346">
        <f t="shared" si="16"/>
        <v>6849.9033016435205</v>
      </c>
      <c r="AL4" s="89">
        <f t="shared" si="17"/>
        <v>99.670691100832812</v>
      </c>
      <c r="AN4" s="1315"/>
      <c r="AO4" s="182">
        <f t="shared" si="0"/>
        <v>-5.1235684147076528E-2</v>
      </c>
      <c r="AP4" s="183" t="str">
        <f>IF(I24-B24&gt;0,"↑","↓")</f>
        <v>↓</v>
      </c>
      <c r="AQ4" s="184">
        <f t="shared" si="1"/>
        <v>-6.1153192056977168E-2</v>
      </c>
      <c r="AR4" s="185" t="str">
        <f t="shared" si="2"/>
        <v>↓</v>
      </c>
      <c r="AS4" s="182">
        <f t="shared" si="3"/>
        <v>-7.5016965414421433E-2</v>
      </c>
      <c r="AT4" s="183" t="str">
        <f t="shared" si="4"/>
        <v>↓</v>
      </c>
      <c r="AU4" s="182">
        <f t="shared" si="5"/>
        <v>9.0415913200722463E-3</v>
      </c>
      <c r="AV4" s="183" t="str">
        <f t="shared" si="6"/>
        <v>↑</v>
      </c>
    </row>
    <row r="5" spans="1:54" ht="15" x14ac:dyDescent="0.3">
      <c r="A5" s="82" t="s">
        <v>15</v>
      </c>
      <c r="B5" s="538">
        <v>16.8</v>
      </c>
      <c r="C5" s="539">
        <v>16.7</v>
      </c>
      <c r="D5" s="539">
        <v>16.690000000000001</v>
      </c>
      <c r="E5" s="539">
        <v>16.690000000000001</v>
      </c>
      <c r="F5" s="539">
        <v>16.7</v>
      </c>
      <c r="G5" s="539">
        <v>16.3</v>
      </c>
      <c r="H5" s="540">
        <v>16.600000000000001</v>
      </c>
      <c r="I5" s="541">
        <v>16.59</v>
      </c>
      <c r="K5" s="2" t="s">
        <v>36</v>
      </c>
      <c r="M5" s="501" t="str">
        <f>E1</f>
        <v>Claude</v>
      </c>
      <c r="N5" s="502">
        <f>100-ABS((($K12-E2)/($K12)))*100</f>
        <v>97.706641184902054</v>
      </c>
      <c r="O5" s="503">
        <f t="shared" si="7"/>
        <v>0.12503821461326811</v>
      </c>
      <c r="P5" s="504">
        <f>100-ABS((($K13-E3)/($K13)))*100</f>
        <v>98.243738656425506</v>
      </c>
      <c r="Q5" s="505">
        <f t="shared" si="8"/>
        <v>0.12521271195579273</v>
      </c>
      <c r="R5" s="505">
        <f>100-ABS((($K14-E4)/($K14)))*100</f>
        <v>99.771802525697851</v>
      </c>
      <c r="S5" s="505">
        <f t="shared" si="9"/>
        <v>0.12506159593507218</v>
      </c>
      <c r="T5" s="505">
        <f>100-ABS((($K15-E5)/($K15)))*100</f>
        <v>93.964421855146114</v>
      </c>
      <c r="U5" s="505">
        <f t="shared" si="10"/>
        <v>0.12452639555443291</v>
      </c>
      <c r="V5" s="506">
        <f>100-ABS((($K16-E6)/($K16)))*100</f>
        <v>99.923258937136282</v>
      </c>
      <c r="W5" s="507">
        <f t="shared" si="11"/>
        <v>0.1251920445964109</v>
      </c>
      <c r="X5" s="508">
        <f>100-ABS((($K17-E7)/($K17)))*100</f>
        <v>96.488516694820845</v>
      </c>
      <c r="Y5" s="48">
        <f t="shared" si="12"/>
        <v>0.12472472844519192</v>
      </c>
      <c r="Z5" s="29"/>
      <c r="AA5" s="73">
        <f t="shared" si="13"/>
        <v>97.975805493601428</v>
      </c>
      <c r="AB5" s="74">
        <f t="shared" si="14"/>
        <v>97.683063309021449</v>
      </c>
      <c r="AC5" s="51" t="str">
        <f>IF($AA5=MAX(AA2:AA9),"TOP","")</f>
        <v/>
      </c>
      <c r="AD5" s="51" t="str">
        <f>IF($AB5=MAX(AB2:AB9),"TOP","")</f>
        <v/>
      </c>
      <c r="AE5" s="52"/>
      <c r="AF5" s="82" t="s">
        <v>15</v>
      </c>
      <c r="AG5" s="585" t="s">
        <v>95</v>
      </c>
      <c r="AH5" s="586">
        <f>MAX(T2:T9)</f>
        <v>96.442185514612447</v>
      </c>
      <c r="AJ5" s="345" t="str">
        <f t="shared" si="15"/>
        <v>VIX</v>
      </c>
      <c r="AK5" s="347">
        <f t="shared" si="16"/>
        <v>15.575468543774749</v>
      </c>
      <c r="AL5" s="89">
        <f t="shared" si="17"/>
        <v>98.954692145964088</v>
      </c>
      <c r="AN5" s="1315"/>
      <c r="AO5" s="182">
        <f t="shared" si="0"/>
        <v>5.594855305466267E-3</v>
      </c>
      <c r="AP5" s="183" t="str">
        <f>IF(I25-B25&gt;0,"↑","↓")</f>
        <v>↑</v>
      </c>
      <c r="AQ5" s="184">
        <f t="shared" si="1"/>
        <v>8.0914276290683564E-3</v>
      </c>
      <c r="AR5" s="185" t="str">
        <f t="shared" si="2"/>
        <v>↑</v>
      </c>
      <c r="AS5" s="182">
        <f t="shared" si="3"/>
        <v>1.0663774895949423E-2</v>
      </c>
      <c r="AT5" s="183" t="str">
        <f t="shared" si="4"/>
        <v>↑</v>
      </c>
      <c r="AU5" s="182">
        <f t="shared" si="5"/>
        <v>5.9485530546624522E-3</v>
      </c>
      <c r="AV5" s="183" t="str">
        <f t="shared" si="6"/>
        <v>↑</v>
      </c>
    </row>
    <row r="6" spans="1:54" ht="15" x14ac:dyDescent="0.3">
      <c r="A6" s="99" t="s">
        <v>16</v>
      </c>
      <c r="B6" s="542">
        <v>623</v>
      </c>
      <c r="C6" s="543">
        <v>625</v>
      </c>
      <c r="D6" s="543">
        <v>625.33000000000004</v>
      </c>
      <c r="E6" s="543">
        <v>625</v>
      </c>
      <c r="F6" s="543">
        <v>624</v>
      </c>
      <c r="G6" s="543">
        <v>623</v>
      </c>
      <c r="H6" s="544">
        <v>624.5</v>
      </c>
      <c r="I6" s="545">
        <v>622.5</v>
      </c>
      <c r="M6" s="501" t="str">
        <f>F1</f>
        <v>Minimax 2</v>
      </c>
      <c r="N6" s="502">
        <f>100-ABS((($K12-F2)/($K12)))*100</f>
        <v>97.706641184902054</v>
      </c>
      <c r="O6" s="503">
        <f t="shared" si="7"/>
        <v>0.12503821461326811</v>
      </c>
      <c r="P6" s="504">
        <f>100-ABS((($K13-F3)/($K13)))*100</f>
        <v>98.022929110849475</v>
      </c>
      <c r="Q6" s="505">
        <f t="shared" si="8"/>
        <v>0.12493128779171453</v>
      </c>
      <c r="R6" s="505">
        <f>100-ABS((($K14-F4)/($K14)))*100</f>
        <v>99.815742989299039</v>
      </c>
      <c r="S6" s="505">
        <f t="shared" si="9"/>
        <v>0.12511667426747652</v>
      </c>
      <c r="T6" s="505">
        <f>100-ABS((($K15-F5)/($K15)))*100</f>
        <v>93.900889453621346</v>
      </c>
      <c r="U6" s="505">
        <f t="shared" si="10"/>
        <v>0.12444219920855433</v>
      </c>
      <c r="V6" s="506">
        <f>100-ABS((($K16-F6)/($K16)))*100</f>
        <v>99.763381722836854</v>
      </c>
      <c r="W6" s="507">
        <f t="shared" si="11"/>
        <v>0.12499173732505663</v>
      </c>
      <c r="X6" s="508">
        <f>100-ABS((($K17-F7)/($K17)))*100</f>
        <v>97.027639003701978</v>
      </c>
      <c r="Y6" s="48">
        <f t="shared" si="12"/>
        <v>0.12542161845736424</v>
      </c>
      <c r="Z6" s="29"/>
      <c r="AA6" s="73">
        <f t="shared" si="13"/>
        <v>97.875735819151686</v>
      </c>
      <c r="AB6" s="74">
        <f t="shared" si="14"/>
        <v>97.706203910868453</v>
      </c>
      <c r="AC6" s="11" t="str">
        <f>IF($AA6=MAX(AA2:AA9),"TOP","")</f>
        <v/>
      </c>
      <c r="AD6" s="11" t="str">
        <f>IF($AB6=MAX(AB2:AB9),"TOP","")</f>
        <v/>
      </c>
      <c r="AE6" s="52"/>
      <c r="AF6" s="99" t="s">
        <v>16</v>
      </c>
      <c r="AG6" s="587" t="s">
        <v>39</v>
      </c>
      <c r="AH6" s="588">
        <f>MAX(V2:V9)</f>
        <v>99.976018417855087</v>
      </c>
      <c r="AJ6" s="348" t="str">
        <f t="shared" si="15"/>
        <v>QQQ</v>
      </c>
      <c r="AK6" s="349">
        <f t="shared" si="16"/>
        <v>627.03286798528052</v>
      </c>
      <c r="AL6" s="107">
        <f t="shared" si="17"/>
        <v>99.751731792338603</v>
      </c>
      <c r="AN6" s="1315"/>
      <c r="AO6" s="223">
        <f t="shared" si="0"/>
        <v>-2.7813690205807259E-2</v>
      </c>
      <c r="AP6" s="224" t="str">
        <f>IF(I26-B26&gt;0,"↑","↓")</f>
        <v>↓</v>
      </c>
      <c r="AQ6" s="225">
        <f t="shared" si="1"/>
        <v>-1.992415053056923E-3</v>
      </c>
      <c r="AR6" s="226" t="str">
        <f t="shared" si="2"/>
        <v>↓</v>
      </c>
      <c r="AS6" s="223">
        <f t="shared" si="3"/>
        <v>-4.6130516930513324E-3</v>
      </c>
      <c r="AT6" s="224" t="str">
        <f t="shared" si="4"/>
        <v>↓</v>
      </c>
      <c r="AU6" s="223">
        <f t="shared" si="5"/>
        <v>6.6738879765191831E-3</v>
      </c>
      <c r="AV6" s="224" t="str">
        <f t="shared" si="6"/>
        <v>↑</v>
      </c>
    </row>
    <row r="7" spans="1:54" ht="14.4" x14ac:dyDescent="0.3">
      <c r="A7" s="109" t="s">
        <v>17</v>
      </c>
      <c r="B7" s="546">
        <v>288</v>
      </c>
      <c r="C7" s="547">
        <v>288</v>
      </c>
      <c r="D7" s="547">
        <v>288.07</v>
      </c>
      <c r="E7" s="547">
        <v>288</v>
      </c>
      <c r="F7" s="547">
        <v>286.5</v>
      </c>
      <c r="G7" s="547">
        <v>287</v>
      </c>
      <c r="H7" s="548">
        <v>287.5</v>
      </c>
      <c r="I7" s="549">
        <v>286.19</v>
      </c>
      <c r="K7" s="2" t="s">
        <v>41</v>
      </c>
      <c r="M7" s="501" t="str">
        <f>G1</f>
        <v>Kimi 2</v>
      </c>
      <c r="N7" s="502">
        <f>100-ABS((($K12-G2)/($K12)))*100</f>
        <v>97.945532728141416</v>
      </c>
      <c r="O7" s="503">
        <f t="shared" si="7"/>
        <v>0.125343931519413</v>
      </c>
      <c r="P7" s="504">
        <f>100-ABS((($K13-G3)/($K13)))*100</f>
        <v>97.713383018920482</v>
      </c>
      <c r="Q7" s="505">
        <f t="shared" si="8"/>
        <v>0.12453676793553017</v>
      </c>
      <c r="R7" s="505">
        <f>100-ABS((($K14-G4)/($K14)))*100</f>
        <v>99.742508883297063</v>
      </c>
      <c r="S7" s="505">
        <f t="shared" si="9"/>
        <v>0.12502487704680262</v>
      </c>
      <c r="T7" s="505">
        <f>100-ABS((($K15-G5)/($K15)))*100</f>
        <v>96.442185514612447</v>
      </c>
      <c r="U7" s="505">
        <f t="shared" si="10"/>
        <v>0.12781005304369789</v>
      </c>
      <c r="V7" s="506">
        <f>100-ABS((($K16-G6)/($K16)))*100</f>
        <v>99.603504508537441</v>
      </c>
      <c r="W7" s="507">
        <f t="shared" si="11"/>
        <v>0.12479143005370237</v>
      </c>
      <c r="X7" s="508">
        <f>100-ABS((($K17-G7)/($K17)))*100</f>
        <v>96.847931567408267</v>
      </c>
      <c r="Y7" s="48">
        <f t="shared" si="12"/>
        <v>0.12518932178664013</v>
      </c>
      <c r="Z7" s="29"/>
      <c r="AA7" s="73">
        <f t="shared" si="13"/>
        <v>98.375395481341855</v>
      </c>
      <c r="AB7" s="74">
        <f t="shared" si="14"/>
        <v>98.049174370152855</v>
      </c>
      <c r="AC7" s="51" t="str">
        <f>IF($AA7=MAX(AA2:AA9),"TOP","")</f>
        <v>TOP</v>
      </c>
      <c r="AD7" s="51" t="str">
        <f>IF($AB7=MAX(AB2:AB9),"TOP","")</f>
        <v>TOP</v>
      </c>
      <c r="AE7" s="52"/>
      <c r="AF7" s="114" t="s">
        <v>17</v>
      </c>
      <c r="AG7" s="589" t="s">
        <v>96</v>
      </c>
      <c r="AH7" s="590">
        <f>MAX(X2:X9)</f>
        <v>97.139057614204077</v>
      </c>
      <c r="AJ7" s="350" t="str">
        <f t="shared" si="15"/>
        <v>AAPL</v>
      </c>
      <c r="AK7" s="351">
        <f t="shared" si="16"/>
        <v>285.61979073596564</v>
      </c>
      <c r="AL7" s="118">
        <f t="shared" si="17"/>
        <v>97.343999304185161</v>
      </c>
      <c r="AN7" s="228"/>
      <c r="AO7" s="1316" t="str">
        <f>K11</f>
        <v xml:space="preserve">+3-day </v>
      </c>
      <c r="AP7" s="1316"/>
      <c r="AQ7" s="1317" t="str">
        <f>C11</f>
        <v>RD</v>
      </c>
      <c r="AR7" s="1317"/>
      <c r="AS7" s="1318">
        <f>E11</f>
        <v>85520</v>
      </c>
      <c r="AT7" s="1318"/>
      <c r="AU7" s="1318" t="str">
        <f>G11</f>
        <v>MICH</v>
      </c>
      <c r="AV7" s="1318"/>
    </row>
    <row r="8" spans="1:54" ht="14.25" customHeight="1" x14ac:dyDescent="0.3">
      <c r="K8" s="485">
        <v>24</v>
      </c>
      <c r="M8" s="501" t="str">
        <f>H1</f>
        <v>Qwen3 Max</v>
      </c>
      <c r="N8" s="502">
        <f>100-ABS((($K12-H2)/($K12)))*100</f>
        <v>97.467749641662692</v>
      </c>
      <c r="O8" s="503">
        <f t="shared" si="7"/>
        <v>0.1247324977071232</v>
      </c>
      <c r="P8" s="504">
        <f>100-ABS((($K13-H3)/($K13)))*100</f>
        <v>98.022929110849475</v>
      </c>
      <c r="Q8" s="505">
        <f t="shared" si="8"/>
        <v>0.12493128779171453</v>
      </c>
      <c r="R8" s="505">
        <f>100-ABS((($K14-H4)/($K14)))*100</f>
        <v>99.815742989299039</v>
      </c>
      <c r="S8" s="505">
        <f t="shared" si="9"/>
        <v>0.12511667426747652</v>
      </c>
      <c r="T8" s="505">
        <f>100-ABS((($K15-H5)/($K15)))*100</f>
        <v>94.536213468869121</v>
      </c>
      <c r="U8" s="505">
        <f t="shared" si="10"/>
        <v>0.12528416266734022</v>
      </c>
      <c r="V8" s="506">
        <f>100-ABS((($K16-H6)/($K16)))*100</f>
        <v>99.843320329986568</v>
      </c>
      <c r="W8" s="507">
        <f t="shared" si="11"/>
        <v>0.12509189096073375</v>
      </c>
      <c r="X8" s="508">
        <f>100-ABS((($K17-H7)/($K17)))*100</f>
        <v>96.668224131114556</v>
      </c>
      <c r="Y8" s="48">
        <f t="shared" si="12"/>
        <v>0.12495702511591603</v>
      </c>
      <c r="Z8" s="29"/>
      <c r="AA8" s="73">
        <f t="shared" si="13"/>
        <v>98.054551474751051</v>
      </c>
      <c r="AB8" s="74">
        <f t="shared" si="14"/>
        <v>97.725696611963585</v>
      </c>
      <c r="AC8" s="51" t="str">
        <f>IF($AA8=MAX(AA2:AA9),"TOP","")</f>
        <v/>
      </c>
      <c r="AD8" s="51" t="str">
        <f>IF($AB8=MAX(AB2:AB9),"TOP","")</f>
        <v/>
      </c>
      <c r="AE8" s="52"/>
      <c r="AF8" s="4"/>
      <c r="AG8" s="4"/>
      <c r="AH8" s="5"/>
      <c r="AN8" s="1315" t="str">
        <f>B29</f>
        <v>Oraclum</v>
      </c>
      <c r="AO8" s="163">
        <f t="shared" ref="AO8:AO13" si="18">(I30-B30)/B30</f>
        <v>1.9147917663954062E-3</v>
      </c>
      <c r="AP8" s="164" t="str">
        <f t="shared" ref="AP8:AP13" si="19">IF(I30-B30&gt;0,"↑","↓")</f>
        <v>↑</v>
      </c>
      <c r="AQ8" s="165">
        <f t="shared" ref="AQ8:AQ13" si="20">(C30-B30)/B30</f>
        <v>-2.1400849020733824E-2</v>
      </c>
      <c r="AR8" s="166" t="str">
        <f t="shared" ref="AR8:AR13" si="21">IF(C30-B30&gt;0,"↑","↓")</f>
        <v>↓</v>
      </c>
      <c r="AS8" s="163">
        <f t="shared" ref="AS8:AS13" si="22">(E30-B30)/B30</f>
        <v>-2.1400849020733824E-2</v>
      </c>
      <c r="AT8" s="164" t="str">
        <f t="shared" ref="AT8:AT13" si="23">IF(E30-B30&gt;0,"↑","↓")</f>
        <v>↓</v>
      </c>
      <c r="AU8" s="163">
        <f t="shared" ref="AU8:AU13" si="24">(G30-B30)/B30</f>
        <v>-2.3456199138343674E-2</v>
      </c>
      <c r="AV8" s="164" t="str">
        <f t="shared" ref="AV8:AV13" si="25">IF(G30-B30&gt;0,"↑","↓")</f>
        <v>↓</v>
      </c>
    </row>
    <row r="9" spans="1:54" ht="15" x14ac:dyDescent="0.3">
      <c r="M9" s="509" t="str">
        <f>I1</f>
        <v>LeChat</v>
      </c>
      <c r="N9" s="510">
        <f>100-ABS((($K12-I2)/($K12)))*100</f>
        <v>97.467749641662692</v>
      </c>
      <c r="O9" s="511">
        <f t="shared" si="7"/>
        <v>0.1247324977071232</v>
      </c>
      <c r="P9" s="512">
        <f>100-ABS((($K13-I3)/($K13)))*100</f>
        <v>98.022929110849475</v>
      </c>
      <c r="Q9" s="513">
        <f t="shared" si="8"/>
        <v>0.12493128779171453</v>
      </c>
      <c r="R9" s="513">
        <f>100-ABS((($K14-I4)/($K14)))*100</f>
        <v>99.964554692695046</v>
      </c>
      <c r="S9" s="513">
        <f t="shared" si="9"/>
        <v>0.12530320621988592</v>
      </c>
      <c r="T9" s="514">
        <f>100-ABS((($K15-I5)/($K15)))*100</f>
        <v>94.599745870393903</v>
      </c>
      <c r="U9" s="513">
        <f t="shared" si="10"/>
        <v>0.12536835901321883</v>
      </c>
      <c r="V9" s="515">
        <f>100-ABS((($K16-I6)/($K16)))*100</f>
        <v>99.523565901387727</v>
      </c>
      <c r="W9" s="516">
        <f t="shared" si="11"/>
        <v>0.12469127641802523</v>
      </c>
      <c r="X9" s="517">
        <f>100-ABS((($K17-I7)/($K17)))*100</f>
        <v>97.139057614204077</v>
      </c>
      <c r="Y9" s="124">
        <f t="shared" si="12"/>
        <v>0.12556564239321319</v>
      </c>
      <c r="Z9" s="29"/>
      <c r="AA9" s="139">
        <f t="shared" si="13"/>
        <v>98.027698893831541</v>
      </c>
      <c r="AB9" s="140">
        <f t="shared" si="14"/>
        <v>97.786267138532153</v>
      </c>
      <c r="AC9" s="51" t="str">
        <f>IF($AA9=MAX(AA2:AA9),"TOP","")</f>
        <v/>
      </c>
      <c r="AD9" s="51" t="str">
        <f>IF($AB9=MAX(AB2:AB9),"TOP","")</f>
        <v/>
      </c>
      <c r="AE9" s="52"/>
      <c r="AF9" s="1319" t="s">
        <v>44</v>
      </c>
      <c r="AG9" s="1319"/>
      <c r="AH9" s="125">
        <f>AVERAGE(AH3:AH6)</f>
        <v>98.678808456985266</v>
      </c>
      <c r="AJ9" s="1310" t="s">
        <v>44</v>
      </c>
      <c r="AK9" s="1310"/>
      <c r="AL9" s="126">
        <f>AVERAGE(AL3:AL6)</f>
        <v>99.139973582178882</v>
      </c>
      <c r="AN9" s="1315"/>
      <c r="AO9" s="182">
        <f t="shared" si="18"/>
        <v>1.4874605793521112E-2</v>
      </c>
      <c r="AP9" s="183" t="str">
        <f t="shared" si="19"/>
        <v>↑</v>
      </c>
      <c r="AQ9" s="184">
        <f t="shared" si="20"/>
        <v>-3.5679057277519465E-3</v>
      </c>
      <c r="AR9" s="185" t="str">
        <f t="shared" si="21"/>
        <v>↓</v>
      </c>
      <c r="AS9" s="182">
        <f t="shared" si="22"/>
        <v>-3.0443216143830011E-3</v>
      </c>
      <c r="AT9" s="183" t="str">
        <f t="shared" si="23"/>
        <v>↓</v>
      </c>
      <c r="AU9" s="182">
        <f t="shared" si="24"/>
        <v>-2.2162268350680663E-3</v>
      </c>
      <c r="AV9" s="183" t="str">
        <f t="shared" si="25"/>
        <v>↓</v>
      </c>
    </row>
    <row r="10" spans="1:54" ht="15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98.299970695047762</v>
      </c>
      <c r="AJ10" s="1311" t="s">
        <v>51</v>
      </c>
      <c r="AK10" s="1311"/>
      <c r="AL10" s="142">
        <f>AVERAGE(AL2:AL7)</f>
        <v>98.596130913619206</v>
      </c>
      <c r="AN10" s="1315"/>
      <c r="AO10" s="182">
        <f t="shared" si="18"/>
        <v>-2.7868253852333202E-3</v>
      </c>
      <c r="AP10" s="183" t="str">
        <f t="shared" si="19"/>
        <v>↓</v>
      </c>
      <c r="AQ10" s="184">
        <f t="shared" si="20"/>
        <v>4.9708634244074134E-4</v>
      </c>
      <c r="AR10" s="185" t="str">
        <f t="shared" si="21"/>
        <v>↑</v>
      </c>
      <c r="AS10" s="182">
        <f t="shared" si="22"/>
        <v>7.892064037859542E-4</v>
      </c>
      <c r="AT10" s="183" t="str">
        <f t="shared" si="23"/>
        <v>↑</v>
      </c>
      <c r="AU10" s="182">
        <f t="shared" si="24"/>
        <v>1.2415102607171548E-3</v>
      </c>
      <c r="AV10" s="183" t="str">
        <f t="shared" si="25"/>
        <v>↑</v>
      </c>
    </row>
    <row r="11" spans="1:54" ht="15" x14ac:dyDescent="0.3">
      <c r="B11" s="3" t="s">
        <v>46</v>
      </c>
      <c r="C11" s="1312" t="str">
        <f>C20</f>
        <v>RD</v>
      </c>
      <c r="D11" s="1312"/>
      <c r="E11" s="1312">
        <v>85520</v>
      </c>
      <c r="F11" s="1312"/>
      <c r="G11" s="1324" t="s">
        <v>48</v>
      </c>
      <c r="H11" s="1324"/>
      <c r="I11" s="486" t="s">
        <v>36</v>
      </c>
      <c r="J11" s="486" t="s">
        <v>49</v>
      </c>
      <c r="K11" s="130" t="s">
        <v>50</v>
      </c>
      <c r="M11" s="19" t="s">
        <v>53</v>
      </c>
      <c r="N11" s="487" t="s">
        <v>12</v>
      </c>
      <c r="O11" s="21">
        <f>SUM(N12:N19)</f>
        <v>480</v>
      </c>
      <c r="P11" s="591" t="s">
        <v>13</v>
      </c>
      <c r="Q11" s="592">
        <f>SUM(P12:P19)</f>
        <v>515</v>
      </c>
      <c r="R11" s="593" t="s">
        <v>14</v>
      </c>
      <c r="S11" s="592">
        <f>SUM(R12:R19)</f>
        <v>740</v>
      </c>
      <c r="T11" s="593" t="s">
        <v>15</v>
      </c>
      <c r="U11" s="592">
        <f>SUM(T12:T19)</f>
        <v>260</v>
      </c>
      <c r="V11" s="593" t="s">
        <v>16</v>
      </c>
      <c r="W11" s="26">
        <f>SUM(V12:V19)</f>
        <v>745</v>
      </c>
      <c r="X11" s="488" t="s">
        <v>17</v>
      </c>
      <c r="Y11" s="28">
        <f>SUM(X12:X19)</f>
        <v>420</v>
      </c>
      <c r="Z11" s="29"/>
      <c r="AA11" s="30" t="s">
        <v>54</v>
      </c>
      <c r="AB11" s="524" t="s">
        <v>55</v>
      </c>
      <c r="AF11" s="150"/>
      <c r="AN11" s="1315"/>
      <c r="AO11" s="182">
        <f t="shared" si="18"/>
        <v>-5.6920311563810722E-2</v>
      </c>
      <c r="AP11" s="183" t="str">
        <f t="shared" si="19"/>
        <v>↓</v>
      </c>
      <c r="AQ11" s="184">
        <f t="shared" si="20"/>
        <v>-6.6778397616851559E-2</v>
      </c>
      <c r="AR11" s="185" t="str">
        <f t="shared" si="21"/>
        <v>↓</v>
      </c>
      <c r="AS11" s="182">
        <f t="shared" si="22"/>
        <v>-8.0559104627037331E-2</v>
      </c>
      <c r="AT11" s="183" t="str">
        <f t="shared" si="23"/>
        <v>↓</v>
      </c>
      <c r="AU11" s="182">
        <f t="shared" si="24"/>
        <v>2.9958058717793382E-3</v>
      </c>
      <c r="AV11" s="183" t="str">
        <f t="shared" si="25"/>
        <v>↑</v>
      </c>
    </row>
    <row r="12" spans="1:54" ht="15" x14ac:dyDescent="0.3">
      <c r="A12" s="53" t="s">
        <v>12</v>
      </c>
      <c r="B12" s="550">
        <v>4.0860000000000003</v>
      </c>
      <c r="C12" s="636">
        <f t="shared" ref="C12:C17" si="26">AK2</f>
        <v>4.088587252791374</v>
      </c>
      <c r="D12" s="552" t="str">
        <f t="shared" ref="D12:D17" si="27">IF(ABS(K12-I12)&lt;ABS(C12-K12),$I$11,$C$11)</f>
        <v>LLM</v>
      </c>
      <c r="E12" s="636">
        <f t="shared" ref="E12:E17" si="28">AK14</f>
        <v>4.088587252791374</v>
      </c>
      <c r="F12" s="594" t="str">
        <f t="shared" ref="F12:F17" si="29">IF(ABS(K12-I12)&lt;ABS(K12-E12),$I$11,$E$11)</f>
        <v>LLM</v>
      </c>
      <c r="G12" s="595">
        <v>4.08</v>
      </c>
      <c r="H12" s="596" t="str">
        <f t="shared" ref="H12:H17" si="30">IF(ABS(I12-K12)&lt;ABS(K12-G12),$I$11,$G$11)</f>
        <v>LLM</v>
      </c>
      <c r="I12" s="553">
        <f>(B2*O22)+(C2*O23)+(D2*O24)+(E2*O25)+(F2*O26)+(G2*O27)+(H2*O28)+(I2*O29)</f>
        <v>4.0887647369347171</v>
      </c>
      <c r="J12" s="554">
        <v>4.0863982816901396</v>
      </c>
      <c r="K12" s="597">
        <v>4.1859999999999999</v>
      </c>
      <c r="M12" s="410" t="str">
        <f t="shared" ref="M12:M19" si="31">M2</f>
        <v>o 5.1</v>
      </c>
      <c r="N12" s="489">
        <f t="shared" ref="N12:N19" si="32">IF(N2=0,0, LOOKUP(N2-0.000000000001,$AA$12:$AA$28,$AB$12:$AB$28))</f>
        <v>60</v>
      </c>
      <c r="O12" s="412">
        <f t="shared" ref="O12:O19" si="33">N12/$O$11</f>
        <v>0.125</v>
      </c>
      <c r="P12" s="598">
        <f t="shared" ref="P12:P19" si="34">IF(P2=0,0, LOOKUP(P2-0.000000000001,$AA$12:$AA$28,$AB$12:$AB$28))</f>
        <v>65</v>
      </c>
      <c r="Q12" s="599">
        <f t="shared" ref="Q12:Q19" si="35">P12/$Q$11</f>
        <v>0.12621359223300971</v>
      </c>
      <c r="R12" s="415">
        <f t="shared" ref="R12:R19" si="36">IF(R2=0,0, LOOKUP(R2-0.000000000001,$AA$12:$AA$28,$AB$12:$AB$28))</f>
        <v>90</v>
      </c>
      <c r="S12" s="599">
        <f t="shared" ref="S12:S19" si="37">R12/$S$11</f>
        <v>0.12162162162162163</v>
      </c>
      <c r="T12" s="415">
        <f t="shared" ref="T12:T19" si="38">IF(T2=0,0, LOOKUP(T2-0.000000000001,$AA$12:$AA$28,$AB$12:$AB$28))</f>
        <v>30</v>
      </c>
      <c r="U12" s="599">
        <f t="shared" ref="U12:U19" si="39">T12/$U$11</f>
        <v>0.11538461538461539</v>
      </c>
      <c r="V12" s="415">
        <f t="shared" ref="V12:V19" si="40">IF(V2=0,0, LOOKUP(V2-0.000000000001,$AA$12:$AA$28,$AB$12:$AB$28))</f>
        <v>90</v>
      </c>
      <c r="W12" s="415">
        <f t="shared" ref="W12:W19" si="41">V12/$W$11</f>
        <v>0.12080536912751678</v>
      </c>
      <c r="X12" s="490">
        <f t="shared" ref="X12:X19" si="42">IF(X2=0,0, LOOKUP(X2-0.000000000001,$AA$12:$AA$28,$AB$12:$AB$28))</f>
        <v>50</v>
      </c>
      <c r="Y12" s="179">
        <f t="shared" ref="Y12:Y19" si="43">X12/$Y$11</f>
        <v>0.11904761904761904</v>
      </c>
      <c r="Z12" s="29"/>
      <c r="AA12" s="49">
        <v>1</v>
      </c>
      <c r="AB12" s="525">
        <v>0.1</v>
      </c>
      <c r="AN12" s="1315"/>
      <c r="AO12" s="182">
        <f t="shared" si="18"/>
        <v>5.9189582633457233E-4</v>
      </c>
      <c r="AP12" s="183" t="str">
        <f t="shared" si="19"/>
        <v>↑</v>
      </c>
      <c r="AQ12" s="184">
        <f t="shared" si="20"/>
        <v>3.076047392107796E-3</v>
      </c>
      <c r="AR12" s="185" t="str">
        <f t="shared" si="21"/>
        <v>↑</v>
      </c>
      <c r="AS12" s="182">
        <f t="shared" si="22"/>
        <v>5.6355969113924386E-3</v>
      </c>
      <c r="AT12" s="183" t="str">
        <f t="shared" si="23"/>
        <v>↑</v>
      </c>
      <c r="AU12" s="182">
        <f t="shared" si="24"/>
        <v>9.4383388523624936E-4</v>
      </c>
      <c r="AV12" s="183" t="str">
        <f t="shared" si="25"/>
        <v>↑</v>
      </c>
    </row>
    <row r="13" spans="1:54" ht="15" x14ac:dyDescent="0.3">
      <c r="A13" s="60" t="s">
        <v>13</v>
      </c>
      <c r="B13" s="556">
        <v>47474.46</v>
      </c>
      <c r="C13" s="642">
        <f t="shared" si="26"/>
        <v>47577.460279534331</v>
      </c>
      <c r="D13" s="600" t="str">
        <f t="shared" si="27"/>
        <v>RD</v>
      </c>
      <c r="E13" s="642">
        <f t="shared" si="28"/>
        <v>47602.460279534331</v>
      </c>
      <c r="F13" s="600">
        <f t="shared" si="29"/>
        <v>85520</v>
      </c>
      <c r="G13" s="601">
        <v>47642</v>
      </c>
      <c r="H13" s="602" t="str">
        <f t="shared" si="30"/>
        <v>MICH</v>
      </c>
      <c r="I13" s="558">
        <f>(B3*Q22)+(C3*Q23)+(D3*Q24)+(E3*Q25)+(F3*Q26)+(G3*Q27)+(H3*Q28)+(I3*Q29)</f>
        <v>47524.495729813672</v>
      </c>
      <c r="J13" s="559">
        <v>47583.786724226797</v>
      </c>
      <c r="K13" s="603">
        <v>48458.05</v>
      </c>
      <c r="M13" s="420" t="str">
        <f t="shared" si="31"/>
        <v>Grok 4.1</v>
      </c>
      <c r="N13" s="489">
        <f t="shared" si="32"/>
        <v>60</v>
      </c>
      <c r="O13" s="412">
        <f t="shared" si="33"/>
        <v>0.125</v>
      </c>
      <c r="P13" s="598">
        <f t="shared" si="34"/>
        <v>65</v>
      </c>
      <c r="Q13" s="599">
        <f t="shared" si="35"/>
        <v>0.12621359223300971</v>
      </c>
      <c r="R13" s="415">
        <f t="shared" si="36"/>
        <v>90</v>
      </c>
      <c r="S13" s="599">
        <f t="shared" si="37"/>
        <v>0.12162162162162163</v>
      </c>
      <c r="T13" s="415">
        <f t="shared" si="38"/>
        <v>30</v>
      </c>
      <c r="U13" s="599">
        <f t="shared" si="39"/>
        <v>0.11538461538461539</v>
      </c>
      <c r="V13" s="415">
        <f t="shared" si="40"/>
        <v>95</v>
      </c>
      <c r="W13" s="415">
        <f t="shared" si="41"/>
        <v>0.12751677852348994</v>
      </c>
      <c r="X13" s="490">
        <f t="shared" si="42"/>
        <v>50</v>
      </c>
      <c r="Y13" s="179">
        <f t="shared" si="43"/>
        <v>0.11904761904761904</v>
      </c>
      <c r="Z13" s="29"/>
      <c r="AA13" s="73">
        <v>80</v>
      </c>
      <c r="AB13" s="526">
        <v>1</v>
      </c>
      <c r="AF13" s="4"/>
      <c r="AG13" s="1314" t="s">
        <v>21</v>
      </c>
      <c r="AH13" s="1314"/>
      <c r="AJ13" s="4"/>
      <c r="AK13" s="1314" t="s">
        <v>69</v>
      </c>
      <c r="AL13" s="1314"/>
      <c r="AN13" s="1315"/>
      <c r="AO13" s="269">
        <f t="shared" si="18"/>
        <v>3.5347159603246825E-3</v>
      </c>
      <c r="AP13" s="270" t="str">
        <f t="shared" si="19"/>
        <v>↑</v>
      </c>
      <c r="AQ13" s="271">
        <f t="shared" si="20"/>
        <v>3.0188604998974345E-2</v>
      </c>
      <c r="AR13" s="272" t="str">
        <f t="shared" si="21"/>
        <v>↑</v>
      </c>
      <c r="AS13" s="269">
        <f t="shared" si="22"/>
        <v>2.7483465233419789E-2</v>
      </c>
      <c r="AT13" s="270" t="str">
        <f t="shared" si="23"/>
        <v>↑</v>
      </c>
      <c r="AU13" s="269">
        <f t="shared" si="24"/>
        <v>3.9134355275022625E-2</v>
      </c>
      <c r="AV13" s="270" t="str">
        <f t="shared" si="25"/>
        <v>↑</v>
      </c>
    </row>
    <row r="14" spans="1:54" ht="14.4" x14ac:dyDescent="0.3">
      <c r="A14" s="82" t="s">
        <v>14</v>
      </c>
      <c r="B14" s="561">
        <v>6829.37</v>
      </c>
      <c r="C14" s="650">
        <f t="shared" si="26"/>
        <v>6849.9033016435205</v>
      </c>
      <c r="D14" s="604" t="str">
        <f t="shared" si="27"/>
        <v>LLM</v>
      </c>
      <c r="E14" s="650">
        <f t="shared" si="28"/>
        <v>6851.9033016435205</v>
      </c>
      <c r="F14" s="604" t="str">
        <f t="shared" si="29"/>
        <v>LLM</v>
      </c>
      <c r="G14" s="605">
        <v>6855</v>
      </c>
      <c r="H14" s="606" t="str">
        <f t="shared" si="30"/>
        <v>LLM</v>
      </c>
      <c r="I14" s="563">
        <f>(B4*S22)+(C4*S23)+(D4*S24)+(E4*S25)+(F4*S26)+(G4*S27)+(H4*S28)+(I4*S29)</f>
        <v>6845.8087986463615</v>
      </c>
      <c r="J14" s="564">
        <v>6836.35849893048</v>
      </c>
      <c r="K14" s="607">
        <v>6827.42</v>
      </c>
      <c r="M14" s="420" t="str">
        <f t="shared" si="31"/>
        <v>Gemini Pro 3</v>
      </c>
      <c r="N14" s="489">
        <f t="shared" si="32"/>
        <v>60</v>
      </c>
      <c r="O14" s="412">
        <f t="shared" si="33"/>
        <v>0.125</v>
      </c>
      <c r="P14" s="598">
        <f t="shared" si="34"/>
        <v>65</v>
      </c>
      <c r="Q14" s="599">
        <f t="shared" si="35"/>
        <v>0.12621359223300971</v>
      </c>
      <c r="R14" s="415">
        <f t="shared" si="36"/>
        <v>90</v>
      </c>
      <c r="S14" s="599">
        <f t="shared" si="37"/>
        <v>0.12162162162162163</v>
      </c>
      <c r="T14" s="415">
        <f t="shared" si="38"/>
        <v>30</v>
      </c>
      <c r="U14" s="599">
        <f t="shared" si="39"/>
        <v>0.11538461538461539</v>
      </c>
      <c r="V14" s="415">
        <f t="shared" si="40"/>
        <v>95</v>
      </c>
      <c r="W14" s="415">
        <f t="shared" si="41"/>
        <v>0.12751677852348994</v>
      </c>
      <c r="X14" s="490">
        <f t="shared" si="42"/>
        <v>50</v>
      </c>
      <c r="Y14" s="179">
        <f t="shared" si="43"/>
        <v>0.11904761904761904</v>
      </c>
      <c r="Z14" s="29"/>
      <c r="AA14" s="73">
        <v>82.5</v>
      </c>
      <c r="AB14" s="526">
        <v>2</v>
      </c>
      <c r="AF14" s="341" t="str">
        <f t="shared" ref="AF14:AF19" si="44">AF27</f>
        <v>TNX</v>
      </c>
      <c r="AG14" s="342">
        <f>AK2</f>
        <v>4.088587252791374</v>
      </c>
      <c r="AH14" s="57">
        <f t="shared" ref="AH14:AH19" si="45">100-ABS(($K12-AG14)/($K12))*100</f>
        <v>97.672891848814473</v>
      </c>
      <c r="AJ14" s="341" t="str">
        <f t="shared" ref="AJ14:AJ19" si="46">AJ2</f>
        <v>TNX</v>
      </c>
      <c r="AK14" s="342">
        <f t="shared" ref="AK14:AK19" si="47">IF(AN27=1,AQ27,AQ37)</f>
        <v>4.088587252791374</v>
      </c>
      <c r="AL14" s="57">
        <f t="shared" ref="AL14:AL19" si="48">100-ABS(($K12-AK14)/($K12))*100</f>
        <v>97.672891848814473</v>
      </c>
    </row>
    <row r="15" spans="1:54" ht="14.4" x14ac:dyDescent="0.3">
      <c r="A15" s="82" t="s">
        <v>15</v>
      </c>
      <c r="B15" s="561">
        <v>16.59</v>
      </c>
      <c r="C15" s="654">
        <f t="shared" si="26"/>
        <v>15.575468543774749</v>
      </c>
      <c r="D15" s="604" t="str">
        <f t="shared" si="27"/>
        <v>RD</v>
      </c>
      <c r="E15" s="654">
        <f t="shared" si="28"/>
        <v>15.345468543774748</v>
      </c>
      <c r="F15" s="604">
        <f t="shared" si="29"/>
        <v>85520</v>
      </c>
      <c r="G15" s="605">
        <v>16.739999999999998</v>
      </c>
      <c r="H15" s="606" t="str">
        <f t="shared" si="30"/>
        <v>LLM</v>
      </c>
      <c r="I15" s="566">
        <f>(B5*U22)+(C5*U23)+(D5*U24)+(E5*U25)+(F5*U26)+(G5*U27)+(H5*U28)+(I5*U29)</f>
        <v>16.635468543774749</v>
      </c>
      <c r="J15" s="567">
        <v>16.763210362198699</v>
      </c>
      <c r="K15" s="607">
        <v>15.74</v>
      </c>
      <c r="M15" s="420" t="str">
        <f t="shared" si="31"/>
        <v>Claude</v>
      </c>
      <c r="N15" s="489">
        <f t="shared" si="32"/>
        <v>60</v>
      </c>
      <c r="O15" s="412">
        <f t="shared" si="33"/>
        <v>0.125</v>
      </c>
      <c r="P15" s="598">
        <f t="shared" si="34"/>
        <v>65</v>
      </c>
      <c r="Q15" s="599">
        <f t="shared" si="35"/>
        <v>0.12621359223300971</v>
      </c>
      <c r="R15" s="415">
        <f t="shared" si="36"/>
        <v>95</v>
      </c>
      <c r="S15" s="599">
        <f t="shared" si="37"/>
        <v>0.12837837837837837</v>
      </c>
      <c r="T15" s="415">
        <f t="shared" si="38"/>
        <v>30</v>
      </c>
      <c r="U15" s="599">
        <f t="shared" si="39"/>
        <v>0.11538461538461539</v>
      </c>
      <c r="V15" s="415">
        <f t="shared" si="40"/>
        <v>95</v>
      </c>
      <c r="W15" s="415">
        <f t="shared" si="41"/>
        <v>0.12751677852348994</v>
      </c>
      <c r="X15" s="490">
        <f t="shared" si="42"/>
        <v>50</v>
      </c>
      <c r="Y15" s="179">
        <f t="shared" si="43"/>
        <v>0.11904761904761904</v>
      </c>
      <c r="Z15" s="29"/>
      <c r="AA15" s="73">
        <v>85</v>
      </c>
      <c r="AB15" s="526">
        <v>5</v>
      </c>
      <c r="AF15" s="343" t="str">
        <f t="shared" si="44"/>
        <v>DJI</v>
      </c>
      <c r="AG15" s="344">
        <f>AK3-9</f>
        <v>47568.460279534331</v>
      </c>
      <c r="AH15" s="78">
        <f t="shared" si="45"/>
        <v>98.164206524064269</v>
      </c>
      <c r="AJ15" s="343" t="str">
        <f t="shared" si="46"/>
        <v>DJI</v>
      </c>
      <c r="AK15" s="344">
        <f t="shared" si="47"/>
        <v>47602.460279534331</v>
      </c>
      <c r="AL15" s="78">
        <f t="shared" si="48"/>
        <v>98.234370304901518</v>
      </c>
    </row>
    <row r="16" spans="1:54" ht="14.4" x14ac:dyDescent="0.3">
      <c r="A16" s="99" t="s">
        <v>16</v>
      </c>
      <c r="B16" s="568">
        <v>622</v>
      </c>
      <c r="C16" s="658">
        <f t="shared" si="26"/>
        <v>627.03286798528052</v>
      </c>
      <c r="D16" s="608" t="str">
        <f t="shared" si="27"/>
        <v>LLM</v>
      </c>
      <c r="E16" s="658">
        <f t="shared" si="28"/>
        <v>628.63286798528054</v>
      </c>
      <c r="F16" s="609" t="str">
        <f t="shared" si="29"/>
        <v>LLM</v>
      </c>
      <c r="G16" s="610">
        <v>625.70000000000005</v>
      </c>
      <c r="H16" s="611" t="str">
        <f t="shared" si="30"/>
        <v>MICH</v>
      </c>
      <c r="I16" s="570">
        <f>(B6*W22)+(C6*W23)+(D6*W24)+(E6*W25)+(F6*W26)+(G6*W27)+(H6*W28)+(I6*W29)</f>
        <v>624.03286798528052</v>
      </c>
      <c r="J16" s="571">
        <v>623.93754581749101</v>
      </c>
      <c r="K16" s="612">
        <v>625.48</v>
      </c>
      <c r="M16" s="420" t="str">
        <f t="shared" si="31"/>
        <v>Minimax 2</v>
      </c>
      <c r="N16" s="489">
        <f t="shared" si="32"/>
        <v>60</v>
      </c>
      <c r="O16" s="412">
        <f t="shared" si="33"/>
        <v>0.125</v>
      </c>
      <c r="P16" s="598">
        <f t="shared" si="34"/>
        <v>65</v>
      </c>
      <c r="Q16" s="599">
        <f t="shared" si="35"/>
        <v>0.12621359223300971</v>
      </c>
      <c r="R16" s="415">
        <f t="shared" si="36"/>
        <v>95</v>
      </c>
      <c r="S16" s="599">
        <f t="shared" si="37"/>
        <v>0.12837837837837837</v>
      </c>
      <c r="T16" s="415">
        <f t="shared" si="38"/>
        <v>30</v>
      </c>
      <c r="U16" s="599">
        <f t="shared" si="39"/>
        <v>0.11538461538461539</v>
      </c>
      <c r="V16" s="415">
        <f t="shared" si="40"/>
        <v>95</v>
      </c>
      <c r="W16" s="415">
        <f t="shared" si="41"/>
        <v>0.12751677852348994</v>
      </c>
      <c r="X16" s="490">
        <f t="shared" si="42"/>
        <v>60</v>
      </c>
      <c r="Y16" s="179">
        <f t="shared" si="43"/>
        <v>0.14285714285714285</v>
      </c>
      <c r="Z16" s="29"/>
      <c r="AA16" s="73">
        <v>87.5</v>
      </c>
      <c r="AB16" s="526">
        <v>10</v>
      </c>
      <c r="AF16" s="345" t="str">
        <f t="shared" si="44"/>
        <v>SPX</v>
      </c>
      <c r="AG16" s="346">
        <f>AK4</f>
        <v>6849.9033016435205</v>
      </c>
      <c r="AH16" s="89">
        <f t="shared" si="45"/>
        <v>99.670691100832812</v>
      </c>
      <c r="AJ16" s="345" t="str">
        <f t="shared" si="46"/>
        <v>SPX</v>
      </c>
      <c r="AK16" s="346">
        <f t="shared" si="47"/>
        <v>6851.9033016435205</v>
      </c>
      <c r="AL16" s="89">
        <f t="shared" si="48"/>
        <v>99.641397458432024</v>
      </c>
      <c r="AN16" s="613" t="str">
        <f>A2</f>
        <v>TNX</v>
      </c>
      <c r="AO16" s="614" t="str">
        <f>A3</f>
        <v>DJI</v>
      </c>
      <c r="AP16" s="614" t="str">
        <f>A4</f>
        <v>SPX</v>
      </c>
      <c r="AQ16" s="614" t="str">
        <f>A5</f>
        <v>VIX</v>
      </c>
      <c r="AR16" s="614" t="str">
        <f>A6</f>
        <v>QQQ</v>
      </c>
      <c r="AS16" s="614" t="str">
        <f>A7</f>
        <v>AAPL</v>
      </c>
      <c r="AT16" s="615" t="s">
        <v>113</v>
      </c>
      <c r="AY16" s="4"/>
      <c r="BA16" s="4"/>
      <c r="BB16" s="4"/>
    </row>
    <row r="17" spans="1:55" ht="14.4" x14ac:dyDescent="0.3">
      <c r="A17" s="114" t="s">
        <v>17</v>
      </c>
      <c r="B17" s="573">
        <v>286.19</v>
      </c>
      <c r="C17" s="665">
        <f t="shared" si="26"/>
        <v>285.61979073596564</v>
      </c>
      <c r="D17" s="575" t="str">
        <f t="shared" si="27"/>
        <v>RD</v>
      </c>
      <c r="E17" s="665">
        <f t="shared" si="28"/>
        <v>284.86979073596564</v>
      </c>
      <c r="F17" s="616">
        <f t="shared" si="29"/>
        <v>85520</v>
      </c>
      <c r="G17" s="617">
        <v>288.10000000000002</v>
      </c>
      <c r="H17" s="618" t="str">
        <f t="shared" si="30"/>
        <v>LLM</v>
      </c>
      <c r="I17" s="576">
        <f>(B7*Y22)+(C7*Y23)+(D7*Y24)+(E7*Y25)+(F7*Y26)+(G7*Y27)+(H7*Y28)+(I7*Y29)</f>
        <v>287.41063125816288</v>
      </c>
      <c r="J17" s="577">
        <v>286.11800671506398</v>
      </c>
      <c r="K17" s="619">
        <v>278.23</v>
      </c>
      <c r="M17" s="420" t="str">
        <f t="shared" si="31"/>
        <v>Kimi 2</v>
      </c>
      <c r="N17" s="489">
        <f t="shared" si="32"/>
        <v>60</v>
      </c>
      <c r="O17" s="412">
        <f t="shared" si="33"/>
        <v>0.125</v>
      </c>
      <c r="P17" s="598">
        <f t="shared" si="34"/>
        <v>60</v>
      </c>
      <c r="Q17" s="599">
        <f t="shared" si="35"/>
        <v>0.11650485436893204</v>
      </c>
      <c r="R17" s="415">
        <f t="shared" si="36"/>
        <v>90</v>
      </c>
      <c r="S17" s="599">
        <f t="shared" si="37"/>
        <v>0.12162162162162163</v>
      </c>
      <c r="T17" s="415">
        <f t="shared" si="38"/>
        <v>50</v>
      </c>
      <c r="U17" s="599">
        <f t="shared" si="39"/>
        <v>0.19230769230769232</v>
      </c>
      <c r="V17" s="415">
        <f t="shared" si="40"/>
        <v>90</v>
      </c>
      <c r="W17" s="415">
        <f t="shared" si="41"/>
        <v>0.12080536912751678</v>
      </c>
      <c r="X17" s="490">
        <f t="shared" si="42"/>
        <v>50</v>
      </c>
      <c r="Y17" s="179">
        <f t="shared" si="43"/>
        <v>0.11904761904761904</v>
      </c>
      <c r="Z17" s="29"/>
      <c r="AA17" s="73">
        <v>90</v>
      </c>
      <c r="AB17" s="526">
        <v>20</v>
      </c>
      <c r="AF17" s="345" t="str">
        <f t="shared" si="44"/>
        <v>VIX</v>
      </c>
      <c r="AG17" s="347">
        <f>AK5+0.4</f>
        <v>15.975468543774749</v>
      </c>
      <c r="AH17" s="89">
        <f t="shared" si="45"/>
        <v>98.504011793044796</v>
      </c>
      <c r="AJ17" s="345" t="str">
        <f t="shared" si="46"/>
        <v>VIX</v>
      </c>
      <c r="AK17" s="347">
        <f t="shared" si="47"/>
        <v>15.345468543774748</v>
      </c>
      <c r="AL17" s="89">
        <f t="shared" si="48"/>
        <v>97.493446910894207</v>
      </c>
      <c r="AN17" s="620">
        <f>J12</f>
        <v>4.0863982816901396</v>
      </c>
      <c r="AO17" s="621">
        <f>J13</f>
        <v>47583.786724226797</v>
      </c>
      <c r="AP17" s="621">
        <f>J14</f>
        <v>6836.35849893048</v>
      </c>
      <c r="AQ17" s="622">
        <f>J15</f>
        <v>16.763210362198699</v>
      </c>
      <c r="AR17" s="623">
        <f>J16</f>
        <v>623.93754581749101</v>
      </c>
      <c r="AS17" s="623">
        <f>J17</f>
        <v>286.11800671506398</v>
      </c>
      <c r="AT17" s="624" t="str">
        <f>J11</f>
        <v>ML</v>
      </c>
      <c r="AY17" s="733"/>
      <c r="BA17" s="4"/>
      <c r="BB17" s="4"/>
    </row>
    <row r="18" spans="1:55" ht="14.4" x14ac:dyDescent="0.3">
      <c r="M18" s="420" t="str">
        <f t="shared" si="31"/>
        <v>Qwen3 Max</v>
      </c>
      <c r="N18" s="489">
        <f t="shared" si="32"/>
        <v>60</v>
      </c>
      <c r="O18" s="412">
        <f t="shared" si="33"/>
        <v>0.125</v>
      </c>
      <c r="P18" s="598">
        <f t="shared" si="34"/>
        <v>65</v>
      </c>
      <c r="Q18" s="599">
        <f t="shared" si="35"/>
        <v>0.12621359223300971</v>
      </c>
      <c r="R18" s="415">
        <f t="shared" si="36"/>
        <v>95</v>
      </c>
      <c r="S18" s="599">
        <f t="shared" si="37"/>
        <v>0.12837837837837837</v>
      </c>
      <c r="T18" s="415">
        <f t="shared" si="38"/>
        <v>30</v>
      </c>
      <c r="U18" s="599">
        <f t="shared" si="39"/>
        <v>0.11538461538461539</v>
      </c>
      <c r="V18" s="415">
        <f t="shared" si="40"/>
        <v>95</v>
      </c>
      <c r="W18" s="415">
        <f t="shared" si="41"/>
        <v>0.12751677852348994</v>
      </c>
      <c r="X18" s="490">
        <f t="shared" si="42"/>
        <v>50</v>
      </c>
      <c r="Y18" s="179">
        <f t="shared" si="43"/>
        <v>0.11904761904761904</v>
      </c>
      <c r="Z18" s="29"/>
      <c r="AA18" s="73">
        <v>92.5</v>
      </c>
      <c r="AB18" s="526">
        <v>30</v>
      </c>
      <c r="AF18" s="348" t="str">
        <f t="shared" si="44"/>
        <v>QQQ</v>
      </c>
      <c r="AG18" s="349">
        <f>(I16+J16)/2+AQ30/5*2</f>
        <v>630.12339431889563</v>
      </c>
      <c r="AH18" s="107">
        <f t="shared" si="45"/>
        <v>99.257627051401229</v>
      </c>
      <c r="AJ18" s="348" t="str">
        <f t="shared" si="46"/>
        <v>QQQ</v>
      </c>
      <c r="AK18" s="349">
        <f t="shared" si="47"/>
        <v>628.63286798528054</v>
      </c>
      <c r="AL18" s="107">
        <f t="shared" si="48"/>
        <v>99.495928249459539</v>
      </c>
      <c r="AN18" s="625">
        <v>1.5762676609459601E-2</v>
      </c>
      <c r="AO18" s="626">
        <v>261.53141368494801</v>
      </c>
      <c r="AP18" s="626">
        <v>19.625261182951402</v>
      </c>
      <c r="AQ18" s="627">
        <v>0.70066596170273798</v>
      </c>
      <c r="AR18" s="627">
        <v>-1.5210822886962201</v>
      </c>
      <c r="AS18" s="627">
        <v>7.5887507371021498E-2</v>
      </c>
      <c r="AT18" s="628" t="s">
        <v>114</v>
      </c>
      <c r="AY18" s="734"/>
      <c r="BA18" s="4"/>
      <c r="BB18" s="4"/>
    </row>
    <row r="19" spans="1:55" ht="14.4" x14ac:dyDescent="0.3">
      <c r="M19" s="431" t="str">
        <f t="shared" si="31"/>
        <v>LeChat</v>
      </c>
      <c r="N19" s="491">
        <f t="shared" si="32"/>
        <v>60</v>
      </c>
      <c r="O19" s="433">
        <f t="shared" si="33"/>
        <v>0.125</v>
      </c>
      <c r="P19" s="629">
        <f t="shared" si="34"/>
        <v>65</v>
      </c>
      <c r="Q19" s="630">
        <f t="shared" si="35"/>
        <v>0.12621359223300971</v>
      </c>
      <c r="R19" s="436">
        <f t="shared" si="36"/>
        <v>95</v>
      </c>
      <c r="S19" s="630">
        <f t="shared" si="37"/>
        <v>0.12837837837837837</v>
      </c>
      <c r="T19" s="436">
        <f t="shared" si="38"/>
        <v>30</v>
      </c>
      <c r="U19" s="630">
        <f t="shared" si="39"/>
        <v>0.11538461538461539</v>
      </c>
      <c r="V19" s="436">
        <f t="shared" si="40"/>
        <v>90</v>
      </c>
      <c r="W19" s="436">
        <f t="shared" si="41"/>
        <v>0.12080536912751678</v>
      </c>
      <c r="X19" s="492">
        <f t="shared" si="42"/>
        <v>60</v>
      </c>
      <c r="Y19" s="235">
        <f t="shared" si="43"/>
        <v>0.14285714285714285</v>
      </c>
      <c r="Z19" s="29"/>
      <c r="AA19" s="73">
        <v>95</v>
      </c>
      <c r="AB19" s="526">
        <v>40</v>
      </c>
      <c r="AF19" s="350" t="str">
        <f t="shared" si="44"/>
        <v>AAPL</v>
      </c>
      <c r="AG19" s="351">
        <f>(I17+J17)/2*0.98</f>
        <v>281.02903260688117</v>
      </c>
      <c r="AH19" s="118">
        <f t="shared" si="45"/>
        <v>98.993986052229758</v>
      </c>
      <c r="AJ19" s="350" t="str">
        <f t="shared" si="46"/>
        <v>AAPL</v>
      </c>
      <c r="AK19" s="351">
        <f t="shared" si="47"/>
        <v>284.86979073596564</v>
      </c>
      <c r="AL19" s="118">
        <f t="shared" si="48"/>
        <v>97.613560458625741</v>
      </c>
      <c r="AN19" s="625">
        <v>-0.19032300632235599</v>
      </c>
      <c r="AO19" s="626">
        <v>0.75325559260472097</v>
      </c>
      <c r="AP19" s="626">
        <v>1.2020222192249099</v>
      </c>
      <c r="AQ19" s="627">
        <v>0.58515758208608903</v>
      </c>
      <c r="AR19" s="627">
        <v>-0.36158464541153601</v>
      </c>
      <c r="AS19" s="627">
        <v>9.2241796344370002</v>
      </c>
      <c r="AT19" s="631" t="s">
        <v>115</v>
      </c>
      <c r="AY19" s="733"/>
      <c r="BA19" s="4"/>
      <c r="BB19" s="4"/>
    </row>
    <row r="20" spans="1:55" ht="14.4" x14ac:dyDescent="0.3">
      <c r="A20" s="2" t="s">
        <v>0</v>
      </c>
      <c r="B20" s="230" t="str">
        <f t="shared" ref="B20:B26" si="49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50">G11</f>
        <v>MICH</v>
      </c>
      <c r="H20" s="1312"/>
      <c r="I20" s="1313" t="s">
        <v>50</v>
      </c>
      <c r="J20" s="1313"/>
      <c r="AA20" s="73">
        <v>96</v>
      </c>
      <c r="AB20" s="526">
        <v>50</v>
      </c>
      <c r="AN20" s="632">
        <f t="shared" ref="AN20:AS20" si="51">AN18/AN17</f>
        <v>3.8573520060653844E-3</v>
      </c>
      <c r="AO20" s="633">
        <f t="shared" si="51"/>
        <v>5.4962295287817433E-3</v>
      </c>
      <c r="AP20" s="633">
        <f t="shared" si="51"/>
        <v>2.870718553747831E-3</v>
      </c>
      <c r="AQ20" s="633">
        <f t="shared" si="51"/>
        <v>4.1797838633747073E-2</v>
      </c>
      <c r="AR20" s="633">
        <f t="shared" si="51"/>
        <v>-2.4378758721808904E-3</v>
      </c>
      <c r="AS20" s="633">
        <f t="shared" si="51"/>
        <v>2.6523149745900302E-4</v>
      </c>
      <c r="AT20" s="634" t="s">
        <v>116</v>
      </c>
      <c r="AY20" s="733"/>
      <c r="BA20" s="4"/>
      <c r="BB20" s="4"/>
    </row>
    <row r="21" spans="1:55" ht="14.4" x14ac:dyDescent="0.3">
      <c r="A21" s="35" t="s">
        <v>12</v>
      </c>
      <c r="B21" s="635">
        <f t="shared" si="49"/>
        <v>4.0860000000000003</v>
      </c>
      <c r="C21" s="636">
        <f t="shared" ref="C21:C26" si="52">C12</f>
        <v>4.088587252791374</v>
      </c>
      <c r="D21" s="552" t="str">
        <f t="shared" ref="D21:D26" si="53">CONCATENATE(TEXT(AQ1,"0.00%"),"  ",AR1)</f>
        <v>0.06%  ↑</v>
      </c>
      <c r="E21" s="636">
        <f t="shared" ref="E21:E26" si="54">E12</f>
        <v>4.088587252791374</v>
      </c>
      <c r="F21" s="552" t="str">
        <f t="shared" ref="F21:F26" si="55">CONCATENATE(TEXT(AS1,"0.00%"),"  ",AT1)</f>
        <v>0.06%  ↑</v>
      </c>
      <c r="G21" s="637">
        <f t="shared" si="50"/>
        <v>4.08</v>
      </c>
      <c r="H21" s="552" t="str">
        <f t="shared" ref="H21:H26" si="56">CONCATENATE(TEXT(AU1,"0.00%"),"  ",AV1)</f>
        <v>-0.15%  ↓</v>
      </c>
      <c r="I21" s="638">
        <f t="shared" ref="I21:I26" si="57">K12</f>
        <v>4.1859999999999999</v>
      </c>
      <c r="J21" s="639" t="str">
        <f t="shared" ref="J21:J26" si="58">CONCATENATE(TEXT(AO1,"0.00%"),"  ",AP1)</f>
        <v>2.45%  ↑</v>
      </c>
      <c r="M21" s="19" t="s">
        <v>60</v>
      </c>
      <c r="N21" s="518" t="s">
        <v>12</v>
      </c>
      <c r="O21" s="254">
        <f>SUM(N22:N29)</f>
        <v>710.375</v>
      </c>
      <c r="P21" s="255" t="s">
        <v>13</v>
      </c>
      <c r="Q21" s="256">
        <f>SUM(P22:P29)</f>
        <v>644</v>
      </c>
      <c r="R21" s="257" t="s">
        <v>14</v>
      </c>
      <c r="S21" s="256">
        <f>SUM(R22:R29)</f>
        <v>591</v>
      </c>
      <c r="T21" s="257" t="s">
        <v>15</v>
      </c>
      <c r="U21" s="256">
        <f>SUM(T22:T29)</f>
        <v>284.125</v>
      </c>
      <c r="V21" s="257" t="s">
        <v>16</v>
      </c>
      <c r="W21" s="258">
        <f>SUM(V22:V29)</f>
        <v>543.5</v>
      </c>
      <c r="X21" s="519" t="s">
        <v>17</v>
      </c>
      <c r="Y21" s="28">
        <f>SUM(X22:X29)</f>
        <v>574.25</v>
      </c>
      <c r="Z21" s="29"/>
      <c r="AA21" s="73">
        <v>97</v>
      </c>
      <c r="AB21" s="526">
        <v>60</v>
      </c>
      <c r="AF21" s="1310" t="s">
        <v>44</v>
      </c>
      <c r="AG21" s="1310"/>
      <c r="AH21" s="126">
        <f>AVERAGE(AH15:AH18)</f>
        <v>98.899134117335777</v>
      </c>
      <c r="AJ21" s="1310" t="s">
        <v>44</v>
      </c>
      <c r="AK21" s="1310"/>
      <c r="AL21" s="126">
        <f>AVERAGE(AL15:AL18)</f>
        <v>98.716285730921825</v>
      </c>
      <c r="AN21" s="620">
        <f>K12</f>
        <v>4.1859999999999999</v>
      </c>
      <c r="AO21" s="621">
        <f>K13</f>
        <v>48458.05</v>
      </c>
      <c r="AP21" s="621">
        <f>K14</f>
        <v>6827.42</v>
      </c>
      <c r="AQ21" s="622">
        <f>K15</f>
        <v>15.74</v>
      </c>
      <c r="AR21" s="623">
        <f>K16</f>
        <v>625.48</v>
      </c>
      <c r="AS21" s="623">
        <f>K17</f>
        <v>278.23</v>
      </c>
      <c r="AT21" s="640" t="str">
        <f>K11</f>
        <v xml:space="preserve">+3-day </v>
      </c>
      <c r="AY21" s="735"/>
      <c r="BA21" s="4"/>
      <c r="BB21" s="4"/>
    </row>
    <row r="22" spans="1:55" ht="14.4" x14ac:dyDescent="0.3">
      <c r="A22" s="60" t="s">
        <v>13</v>
      </c>
      <c r="B22" s="641">
        <f t="shared" si="49"/>
        <v>47474.46</v>
      </c>
      <c r="C22" s="642">
        <f t="shared" si="52"/>
        <v>47577.460279534331</v>
      </c>
      <c r="D22" s="557" t="str">
        <f t="shared" si="53"/>
        <v>0.22%  ↑</v>
      </c>
      <c r="E22" s="642">
        <f t="shared" si="54"/>
        <v>47602.460279534331</v>
      </c>
      <c r="F22" s="557" t="str">
        <f t="shared" si="55"/>
        <v>0.27%  ↑</v>
      </c>
      <c r="G22" s="643">
        <f t="shared" si="50"/>
        <v>47642</v>
      </c>
      <c r="H22" s="557" t="str">
        <f t="shared" si="56"/>
        <v>0.35%  ↑</v>
      </c>
      <c r="I22" s="644">
        <f t="shared" si="57"/>
        <v>48458.05</v>
      </c>
      <c r="J22" s="645" t="str">
        <f t="shared" si="58"/>
        <v>2.07%  ↑</v>
      </c>
      <c r="M22" s="410" t="str">
        <f t="shared" ref="M22:M29" si="59">M12</f>
        <v>o 5.1</v>
      </c>
      <c r="N22" s="520">
        <v>89.25</v>
      </c>
      <c r="O22" s="443">
        <f t="shared" ref="O22:O29" si="60">N22/$O$21</f>
        <v>0.12563786732359669</v>
      </c>
      <c r="P22" s="444">
        <v>74.5</v>
      </c>
      <c r="Q22" s="445">
        <f t="shared" ref="Q22:Q29" si="61">P22/$Q$21</f>
        <v>0.11568322981366459</v>
      </c>
      <c r="R22" s="445">
        <v>70.875</v>
      </c>
      <c r="S22" s="445">
        <f t="shared" ref="S22:S29" si="62">R22/$S$21</f>
        <v>0.1199238578680203</v>
      </c>
      <c r="T22" s="445">
        <v>42</v>
      </c>
      <c r="U22" s="445">
        <f t="shared" ref="U22:U29" si="63">T22/$U$21</f>
        <v>0.14782226132864057</v>
      </c>
      <c r="V22" s="445">
        <v>64.625</v>
      </c>
      <c r="W22" s="446">
        <f t="shared" ref="W22:W29" si="64">V22/$W$21</f>
        <v>0.11890524379024839</v>
      </c>
      <c r="X22" s="521">
        <v>70.25</v>
      </c>
      <c r="Y22" s="48">
        <f t="shared" ref="Y22:Y29" si="65">X22/$Y$21</f>
        <v>0.12233347845015237</v>
      </c>
      <c r="Z22" s="29"/>
      <c r="AA22" s="73">
        <v>98</v>
      </c>
      <c r="AB22" s="526">
        <v>65</v>
      </c>
      <c r="AF22" s="1311" t="s">
        <v>51</v>
      </c>
      <c r="AG22" s="1311"/>
      <c r="AH22" s="142">
        <f>AVERAGE(AH14:AH19)</f>
        <v>98.710569061731235</v>
      </c>
      <c r="AJ22" s="1311" t="s">
        <v>51</v>
      </c>
      <c r="AK22" s="1311"/>
      <c r="AL22" s="142">
        <f>AVERAGE(AL14:AL19)</f>
        <v>98.358599205187929</v>
      </c>
      <c r="AN22" s="646">
        <f t="shared" ref="AN22:AS22" si="66">AN21/AN17</f>
        <v>1.0243739624588588</v>
      </c>
      <c r="AO22" s="647">
        <f t="shared" si="66"/>
        <v>1.0183731337070761</v>
      </c>
      <c r="AP22" s="647">
        <f t="shared" si="66"/>
        <v>0.9986925058228181</v>
      </c>
      <c r="AQ22" s="647">
        <f t="shared" si="66"/>
        <v>0.93896095437028859</v>
      </c>
      <c r="AR22" s="647">
        <f t="shared" si="66"/>
        <v>1.0024721291303091</v>
      </c>
      <c r="AS22" s="647">
        <f t="shared" si="66"/>
        <v>0.97243093223797206</v>
      </c>
      <c r="AT22" s="648" t="s">
        <v>117</v>
      </c>
      <c r="AY22" s="733"/>
      <c r="BA22" s="4"/>
      <c r="BB22" s="4"/>
    </row>
    <row r="23" spans="1:55" ht="14.4" x14ac:dyDescent="0.3">
      <c r="A23" s="82" t="s">
        <v>14</v>
      </c>
      <c r="B23" s="649">
        <f t="shared" si="49"/>
        <v>6829.37</v>
      </c>
      <c r="C23" s="650">
        <f t="shared" si="52"/>
        <v>6849.9033016435205</v>
      </c>
      <c r="D23" s="562" t="str">
        <f t="shared" si="53"/>
        <v>0.30%  ↑</v>
      </c>
      <c r="E23" s="650">
        <f t="shared" si="54"/>
        <v>6851.9033016435205</v>
      </c>
      <c r="F23" s="562" t="str">
        <f t="shared" si="55"/>
        <v>0.33%  ↑</v>
      </c>
      <c r="G23" s="651">
        <f t="shared" si="50"/>
        <v>6855</v>
      </c>
      <c r="H23" s="562" t="str">
        <f t="shared" si="56"/>
        <v>0.38%  ↑</v>
      </c>
      <c r="I23" s="652">
        <f t="shared" si="57"/>
        <v>6827.42</v>
      </c>
      <c r="J23" s="645" t="str">
        <f t="shared" si="58"/>
        <v>-0.03%  ↓</v>
      </c>
      <c r="M23" s="420" t="str">
        <f t="shared" si="59"/>
        <v>Grok 4.1</v>
      </c>
      <c r="N23" s="520">
        <v>87</v>
      </c>
      <c r="O23" s="443">
        <f t="shared" si="60"/>
        <v>0.12247052613056485</v>
      </c>
      <c r="P23" s="444">
        <v>81.25</v>
      </c>
      <c r="Q23" s="445">
        <f t="shared" si="61"/>
        <v>0.12616459627329193</v>
      </c>
      <c r="R23" s="445">
        <v>77</v>
      </c>
      <c r="S23" s="445">
        <f t="shared" si="62"/>
        <v>0.13028764805414553</v>
      </c>
      <c r="T23" s="445">
        <v>34.875</v>
      </c>
      <c r="U23" s="445">
        <f t="shared" si="63"/>
        <v>0.1227452705675319</v>
      </c>
      <c r="V23" s="445">
        <v>67.875</v>
      </c>
      <c r="W23" s="446">
        <f t="shared" si="64"/>
        <v>0.12488500459981601</v>
      </c>
      <c r="X23" s="521">
        <v>72.25</v>
      </c>
      <c r="Y23" s="48">
        <f t="shared" si="65"/>
        <v>0.12581628210709622</v>
      </c>
      <c r="Z23" s="29"/>
      <c r="AA23" s="73">
        <v>98.5</v>
      </c>
      <c r="AB23" s="526">
        <v>70</v>
      </c>
      <c r="AI23" s="449"/>
      <c r="AN23" s="653"/>
      <c r="AY23" s="4"/>
      <c r="BA23" s="4"/>
      <c r="BB23" s="4"/>
      <c r="BC23" s="6"/>
    </row>
    <row r="24" spans="1:55" ht="14.4" x14ac:dyDescent="0.3">
      <c r="A24" s="82" t="s">
        <v>15</v>
      </c>
      <c r="B24" s="649">
        <f t="shared" si="49"/>
        <v>16.59</v>
      </c>
      <c r="C24" s="654">
        <f t="shared" si="52"/>
        <v>15.575468543774749</v>
      </c>
      <c r="D24" s="562" t="str">
        <f t="shared" si="53"/>
        <v>-6.12%  ↓</v>
      </c>
      <c r="E24" s="654">
        <f t="shared" si="54"/>
        <v>15.345468543774748</v>
      </c>
      <c r="F24" s="562" t="str">
        <f t="shared" si="55"/>
        <v>-7.50%  ↓</v>
      </c>
      <c r="G24" s="655">
        <f t="shared" si="50"/>
        <v>16.739999999999998</v>
      </c>
      <c r="H24" s="562" t="str">
        <f t="shared" si="56"/>
        <v>0.90%  ↑</v>
      </c>
      <c r="I24" s="652">
        <f t="shared" si="57"/>
        <v>15.74</v>
      </c>
      <c r="J24" s="645" t="str">
        <f t="shared" si="58"/>
        <v>-5.12%  ↓</v>
      </c>
      <c r="M24" s="420" t="str">
        <f t="shared" si="59"/>
        <v>Gemini Pro 3</v>
      </c>
      <c r="N24" s="520">
        <v>89.25</v>
      </c>
      <c r="O24" s="443">
        <f t="shared" si="60"/>
        <v>0.12563786732359669</v>
      </c>
      <c r="P24" s="444">
        <v>82</v>
      </c>
      <c r="Q24" s="445">
        <f t="shared" si="61"/>
        <v>0.12732919254658384</v>
      </c>
      <c r="R24" s="445">
        <v>75.375</v>
      </c>
      <c r="S24" s="445">
        <f t="shared" si="62"/>
        <v>0.12753807106598986</v>
      </c>
      <c r="T24" s="445">
        <v>35.75</v>
      </c>
      <c r="U24" s="445">
        <f t="shared" si="63"/>
        <v>0.12582490101187857</v>
      </c>
      <c r="V24" s="445">
        <v>65.875</v>
      </c>
      <c r="W24" s="446">
        <f t="shared" si="64"/>
        <v>0.12120515179392824</v>
      </c>
      <c r="X24" s="521">
        <v>71.5</v>
      </c>
      <c r="Y24" s="48">
        <f t="shared" si="65"/>
        <v>0.12451023073574227</v>
      </c>
      <c r="Z24" s="29"/>
      <c r="AA24" s="73">
        <v>99</v>
      </c>
      <c r="AB24" s="526">
        <v>75</v>
      </c>
      <c r="AI24" s="449"/>
      <c r="AM24" s="450"/>
      <c r="AN24" s="656"/>
      <c r="AY24" s="4"/>
      <c r="BA24" s="4"/>
      <c r="BB24" s="4"/>
      <c r="BC24" s="6"/>
    </row>
    <row r="25" spans="1:55" ht="14.4" x14ac:dyDescent="0.3">
      <c r="A25" s="99" t="s">
        <v>16</v>
      </c>
      <c r="B25" s="657">
        <f t="shared" si="49"/>
        <v>622</v>
      </c>
      <c r="C25" s="658">
        <f t="shared" si="52"/>
        <v>627.03286798528052</v>
      </c>
      <c r="D25" s="569" t="str">
        <f t="shared" si="53"/>
        <v>0.81%  ↑</v>
      </c>
      <c r="E25" s="658">
        <f t="shared" si="54"/>
        <v>628.63286798528054</v>
      </c>
      <c r="F25" s="569" t="str">
        <f t="shared" si="55"/>
        <v>1.07%  ↑</v>
      </c>
      <c r="G25" s="659">
        <f t="shared" si="50"/>
        <v>625.70000000000005</v>
      </c>
      <c r="H25" s="569" t="str">
        <f t="shared" si="56"/>
        <v>0.59%  ↑</v>
      </c>
      <c r="I25" s="660">
        <f t="shared" si="57"/>
        <v>625.48</v>
      </c>
      <c r="J25" s="645" t="str">
        <f t="shared" si="58"/>
        <v>0.56%  ↑</v>
      </c>
      <c r="M25" s="420" t="str">
        <f t="shared" si="59"/>
        <v>Claude</v>
      </c>
      <c r="N25" s="520">
        <v>86.25</v>
      </c>
      <c r="O25" s="443">
        <f t="shared" si="60"/>
        <v>0.12141474573288756</v>
      </c>
      <c r="P25" s="444">
        <v>77.5</v>
      </c>
      <c r="Q25" s="445">
        <f t="shared" si="61"/>
        <v>0.1203416149068323</v>
      </c>
      <c r="R25" s="445">
        <v>76.25</v>
      </c>
      <c r="S25" s="445">
        <f t="shared" si="62"/>
        <v>0.1290186125211506</v>
      </c>
      <c r="T25" s="445">
        <v>31.5</v>
      </c>
      <c r="U25" s="445">
        <f t="shared" si="63"/>
        <v>0.11086669599648043</v>
      </c>
      <c r="V25" s="445">
        <v>63.75</v>
      </c>
      <c r="W25" s="446">
        <f t="shared" si="64"/>
        <v>0.11729530818767249</v>
      </c>
      <c r="X25" s="521">
        <v>72.25</v>
      </c>
      <c r="Y25" s="48">
        <f t="shared" si="65"/>
        <v>0.12581628210709622</v>
      </c>
      <c r="Z25" s="29"/>
      <c r="AA25" s="73">
        <v>99.25</v>
      </c>
      <c r="AB25" s="526">
        <v>80</v>
      </c>
      <c r="AF25" s="11">
        <v>1</v>
      </c>
      <c r="AG25" s="1322" t="s">
        <v>118</v>
      </c>
      <c r="AH25" s="1322"/>
      <c r="AI25" s="661"/>
      <c r="AJ25" s="662"/>
      <c r="AK25" s="1312" t="s">
        <v>119</v>
      </c>
      <c r="AL25" s="1312"/>
      <c r="AM25" s="663"/>
      <c r="AN25" s="1" t="s">
        <v>120</v>
      </c>
      <c r="AO25" s="661"/>
      <c r="AP25" s="2" t="str">
        <f>AG26</f>
        <v>RD</v>
      </c>
      <c r="AQ25" s="2">
        <f>AH26</f>
        <v>85520</v>
      </c>
      <c r="AR25" s="661"/>
      <c r="AS25" s="2" t="s">
        <v>121</v>
      </c>
      <c r="AY25" s="4"/>
      <c r="BA25" s="4"/>
      <c r="BB25" s="4"/>
      <c r="BC25" s="6"/>
    </row>
    <row r="26" spans="1:55" ht="14.4" x14ac:dyDescent="0.3">
      <c r="A26" s="109" t="s">
        <v>17</v>
      </c>
      <c r="B26" s="664">
        <f t="shared" si="49"/>
        <v>286.19</v>
      </c>
      <c r="C26" s="665">
        <f t="shared" si="52"/>
        <v>285.61979073596564</v>
      </c>
      <c r="D26" s="575" t="str">
        <f t="shared" si="53"/>
        <v>-0.20%  ↓</v>
      </c>
      <c r="E26" s="665">
        <f t="shared" si="54"/>
        <v>284.86979073596564</v>
      </c>
      <c r="F26" s="575" t="str">
        <f t="shared" si="55"/>
        <v>-0.46%  ↓</v>
      </c>
      <c r="G26" s="666">
        <f t="shared" si="50"/>
        <v>288.10000000000002</v>
      </c>
      <c r="H26" s="575" t="str">
        <f t="shared" si="56"/>
        <v>0.67%  ↑</v>
      </c>
      <c r="I26" s="667">
        <f t="shared" si="57"/>
        <v>278.23</v>
      </c>
      <c r="J26" s="668" t="str">
        <f t="shared" si="58"/>
        <v>-2.78%  ↓</v>
      </c>
      <c r="M26" s="420" t="str">
        <f t="shared" si="59"/>
        <v>Minimax 2</v>
      </c>
      <c r="N26" s="520">
        <v>93.375</v>
      </c>
      <c r="O26" s="443">
        <f t="shared" si="60"/>
        <v>0.13144465951082174</v>
      </c>
      <c r="P26" s="444">
        <v>82.5</v>
      </c>
      <c r="Q26" s="445">
        <f t="shared" si="61"/>
        <v>0.12810559006211181</v>
      </c>
      <c r="R26" s="445">
        <v>74</v>
      </c>
      <c r="S26" s="445">
        <f t="shared" si="62"/>
        <v>0.12521150592216582</v>
      </c>
      <c r="T26" s="445">
        <v>23.5</v>
      </c>
      <c r="U26" s="445">
        <f t="shared" si="63"/>
        <v>8.2710074791025073E-2</v>
      </c>
      <c r="V26" s="445">
        <v>68.125</v>
      </c>
      <c r="W26" s="446">
        <f t="shared" si="64"/>
        <v>0.12534498620055198</v>
      </c>
      <c r="X26" s="521">
        <v>71</v>
      </c>
      <c r="Y26" s="48">
        <f t="shared" si="65"/>
        <v>0.12363952982150632</v>
      </c>
      <c r="Z26" s="29"/>
      <c r="AA26" s="73">
        <v>99.5</v>
      </c>
      <c r="AB26" s="526">
        <v>90</v>
      </c>
      <c r="AG26" s="669" t="s">
        <v>47</v>
      </c>
      <c r="AH26" s="670">
        <v>85520</v>
      </c>
      <c r="AI26" s="661"/>
      <c r="AJ26" s="662"/>
      <c r="AK26" s="669" t="s">
        <v>36</v>
      </c>
      <c r="AL26" s="670" t="s">
        <v>49</v>
      </c>
      <c r="AO26" s="661"/>
      <c r="AP26" s="1323">
        <f>AF25</f>
        <v>1</v>
      </c>
      <c r="AQ26" s="1323"/>
      <c r="AR26" s="671"/>
    </row>
    <row r="27" spans="1:55" ht="14.4" x14ac:dyDescent="0.3">
      <c r="M27" s="420" t="str">
        <f t="shared" si="59"/>
        <v>Kimi 2</v>
      </c>
      <c r="N27" s="520">
        <v>88.75</v>
      </c>
      <c r="O27" s="443">
        <f t="shared" si="60"/>
        <v>0.12493401372514518</v>
      </c>
      <c r="P27" s="444">
        <v>82.125</v>
      </c>
      <c r="Q27" s="445">
        <f t="shared" si="61"/>
        <v>0.12752329192546583</v>
      </c>
      <c r="R27" s="445">
        <v>72.5</v>
      </c>
      <c r="S27" s="445">
        <f t="shared" si="62"/>
        <v>0.12267343485617598</v>
      </c>
      <c r="T27" s="445">
        <v>32.625</v>
      </c>
      <c r="U27" s="445">
        <f t="shared" si="63"/>
        <v>0.11482622085349758</v>
      </c>
      <c r="V27" s="445">
        <v>73.25</v>
      </c>
      <c r="W27" s="446">
        <f t="shared" si="64"/>
        <v>0.13477460901563937</v>
      </c>
      <c r="X27" s="521">
        <v>73.5</v>
      </c>
      <c r="Y27" s="48">
        <f t="shared" si="65"/>
        <v>0.12799303439268611</v>
      </c>
      <c r="Z27" s="29"/>
      <c r="AA27" s="73">
        <v>99.75</v>
      </c>
      <c r="AB27" s="526">
        <v>95</v>
      </c>
      <c r="AF27" s="672" t="str">
        <f t="shared" ref="AF27:AF32" si="67">AF2</f>
        <v>TNX</v>
      </c>
      <c r="AG27" s="673">
        <v>0</v>
      </c>
      <c r="AH27" s="674">
        <f>AG27/2</f>
        <v>0</v>
      </c>
      <c r="AI27" s="661"/>
      <c r="AJ27" s="672" t="str">
        <f t="shared" ref="AJ27:AJ32" si="68">AJ2</f>
        <v>TNX</v>
      </c>
      <c r="AK27" s="675">
        <v>0.92500000000000004</v>
      </c>
      <c r="AL27" s="676">
        <f>1-AK27</f>
        <v>7.4999999999999956E-2</v>
      </c>
      <c r="AN27" s="677">
        <v>1</v>
      </c>
      <c r="AO27" s="661"/>
      <c r="AP27" s="678">
        <f>(AK27*I12+AL27*J12)+AG27</f>
        <v>4.088587252791374</v>
      </c>
      <c r="AQ27" s="678">
        <f>AK2+AH27</f>
        <v>4.088587252791374</v>
      </c>
      <c r="AR27" s="679"/>
      <c r="AS27" s="680">
        <f t="shared" ref="AS27:AS32" si="69">(E12+C12)/2</f>
        <v>4.088587252791374</v>
      </c>
    </row>
    <row r="28" spans="1:55" ht="14.25" customHeight="1" x14ac:dyDescent="0.3">
      <c r="M28" s="420" t="str">
        <f t="shared" si="59"/>
        <v>Qwen3 Max</v>
      </c>
      <c r="N28" s="520">
        <v>88.75</v>
      </c>
      <c r="O28" s="443">
        <f t="shared" si="60"/>
        <v>0.12493401372514518</v>
      </c>
      <c r="P28" s="444">
        <v>79.625</v>
      </c>
      <c r="Q28" s="445">
        <f t="shared" si="61"/>
        <v>0.12364130434782608</v>
      </c>
      <c r="R28" s="445">
        <v>72.5</v>
      </c>
      <c r="S28" s="445">
        <f t="shared" si="62"/>
        <v>0.12267343485617598</v>
      </c>
      <c r="T28" s="445">
        <v>41.375</v>
      </c>
      <c r="U28" s="445">
        <f t="shared" si="63"/>
        <v>0.14562252529696437</v>
      </c>
      <c r="V28" s="445">
        <v>73.25</v>
      </c>
      <c r="W28" s="446">
        <f t="shared" si="64"/>
        <v>0.13477460901563937</v>
      </c>
      <c r="X28" s="521">
        <v>73.5</v>
      </c>
      <c r="Y28" s="48">
        <f t="shared" si="65"/>
        <v>0.12799303439268611</v>
      </c>
      <c r="Z28" s="29"/>
      <c r="AA28" s="139">
        <v>99.99</v>
      </c>
      <c r="AB28" s="527">
        <v>100</v>
      </c>
      <c r="AF28" s="681" t="str">
        <f t="shared" si="67"/>
        <v>DJI</v>
      </c>
      <c r="AG28" s="682">
        <v>50</v>
      </c>
      <c r="AH28" s="683">
        <f>AG28/2</f>
        <v>25</v>
      </c>
      <c r="AI28" s="661"/>
      <c r="AJ28" s="681" t="str">
        <f t="shared" si="68"/>
        <v>DJI</v>
      </c>
      <c r="AK28" s="684">
        <v>0.95</v>
      </c>
      <c r="AL28" s="685">
        <f>1-AK28</f>
        <v>5.0000000000000044E-2</v>
      </c>
      <c r="AM28" s="661"/>
      <c r="AN28" s="686">
        <v>1</v>
      </c>
      <c r="AO28" s="661"/>
      <c r="AP28" s="687">
        <f>(AK28*I13+AL28*J13)+AG28</f>
        <v>47577.460279534331</v>
      </c>
      <c r="AQ28" s="687">
        <f>AK3+AH28</f>
        <v>47602.460279534331</v>
      </c>
      <c r="AR28" s="679"/>
      <c r="AS28" s="688">
        <f t="shared" si="69"/>
        <v>47589.960279534331</v>
      </c>
    </row>
    <row r="29" spans="1:55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70">G20</f>
        <v>MICH</v>
      </c>
      <c r="H29" s="1312"/>
      <c r="I29" s="1313" t="s">
        <v>50</v>
      </c>
      <c r="J29" s="1313"/>
      <c r="M29" s="431" t="str">
        <f t="shared" si="59"/>
        <v>LeChat</v>
      </c>
      <c r="N29" s="522">
        <v>87.75</v>
      </c>
      <c r="O29" s="455">
        <f t="shared" si="60"/>
        <v>0.12352630652824212</v>
      </c>
      <c r="P29" s="456">
        <v>84.5</v>
      </c>
      <c r="Q29" s="457">
        <f t="shared" si="61"/>
        <v>0.13121118012422361</v>
      </c>
      <c r="R29" s="457">
        <v>72.5</v>
      </c>
      <c r="S29" s="457">
        <f t="shared" si="62"/>
        <v>0.12267343485617598</v>
      </c>
      <c r="T29" s="457">
        <v>42.5</v>
      </c>
      <c r="U29" s="457">
        <f t="shared" si="63"/>
        <v>0.14958205015398152</v>
      </c>
      <c r="V29" s="457">
        <v>66.75</v>
      </c>
      <c r="W29" s="458">
        <f t="shared" si="64"/>
        <v>0.12281508739650414</v>
      </c>
      <c r="X29" s="523">
        <v>70</v>
      </c>
      <c r="Y29" s="124">
        <f t="shared" si="65"/>
        <v>0.12189812799303439</v>
      </c>
      <c r="Z29" s="29"/>
      <c r="AF29" s="689" t="str">
        <f t="shared" si="67"/>
        <v>SPX</v>
      </c>
      <c r="AG29" s="690">
        <v>4</v>
      </c>
      <c r="AH29" s="691">
        <f>AG29/2</f>
        <v>2</v>
      </c>
      <c r="AI29" s="661"/>
      <c r="AJ29" s="689" t="str">
        <f t="shared" si="68"/>
        <v>SPX</v>
      </c>
      <c r="AK29" s="684">
        <v>1.01</v>
      </c>
      <c r="AL29" s="685">
        <f>1-AK29</f>
        <v>-1.0000000000000009E-2</v>
      </c>
      <c r="AM29" s="661"/>
      <c r="AN29" s="692">
        <v>1</v>
      </c>
      <c r="AO29" s="661"/>
      <c r="AP29" s="693">
        <f>(AK29*I14+AL29*J14)+AG29</f>
        <v>6849.9033016435205</v>
      </c>
      <c r="AQ29" s="693">
        <f>AK4+AH29</f>
        <v>6851.9033016435205</v>
      </c>
      <c r="AR29" s="679"/>
      <c r="AS29" s="694">
        <f t="shared" si="69"/>
        <v>6850.9033016435205</v>
      </c>
    </row>
    <row r="30" spans="1:55" ht="14.25" customHeight="1" x14ac:dyDescent="0.3">
      <c r="A30" s="35" t="s">
        <v>12</v>
      </c>
      <c r="B30" s="695">
        <v>4.1779999999999999</v>
      </c>
      <c r="C30" s="636">
        <f t="shared" ref="C30:C35" si="71">C21</f>
        <v>4.088587252791374</v>
      </c>
      <c r="D30" s="552" t="str">
        <f t="shared" ref="D30:D35" si="72">CONCATENATE(TEXT(AQ8,"0.00%"),"  ",AR8)</f>
        <v>-2.14%  ↓</v>
      </c>
      <c r="E30" s="636">
        <f t="shared" ref="E30:E35" si="73">E21</f>
        <v>4.088587252791374</v>
      </c>
      <c r="F30" s="552" t="str">
        <f t="shared" ref="F30:F35" si="74">CONCATENATE(TEXT(AS8,"0.00%"),"  ",AT8)</f>
        <v>-2.14%  ↓</v>
      </c>
      <c r="G30" s="636">
        <f t="shared" si="70"/>
        <v>4.08</v>
      </c>
      <c r="H30" s="552" t="str">
        <f t="shared" ref="H30:H35" si="75">CONCATENATE(TEXT(AU8,"0.00%"),"  ",AV8)</f>
        <v>-2.35%  ↓</v>
      </c>
      <c r="I30" s="638">
        <f t="shared" ref="I30:I35" si="76">I21</f>
        <v>4.1859999999999999</v>
      </c>
      <c r="J30" s="639" t="str">
        <f t="shared" ref="J30:J35" si="77">CONCATENATE(TEXT(AO8,"0.00%"),"  ",AP8)</f>
        <v>0.19%  ↑</v>
      </c>
      <c r="AF30" s="689" t="str">
        <f t="shared" si="67"/>
        <v>VIX</v>
      </c>
      <c r="AG30" s="696">
        <v>1.56</v>
      </c>
      <c r="AH30" s="697">
        <v>0.33</v>
      </c>
      <c r="AI30" s="661"/>
      <c r="AJ30" s="689" t="str">
        <f t="shared" si="68"/>
        <v>VIX</v>
      </c>
      <c r="AK30" s="684"/>
      <c r="AL30" s="685"/>
      <c r="AM30" s="661"/>
      <c r="AN30" s="698">
        <v>-1</v>
      </c>
      <c r="AP30" s="699">
        <f>IF(AN30=1,I15+AG30,I15+AG40)</f>
        <v>15.575468543774749</v>
      </c>
      <c r="AQ30" s="699">
        <f>IF(AN30=1,I15+AG30+AH30,I15+AG40+AH40)</f>
        <v>15.345468543774748</v>
      </c>
      <c r="AR30" s="679"/>
      <c r="AS30" s="700">
        <f t="shared" si="69"/>
        <v>15.460468543774748</v>
      </c>
    </row>
    <row r="31" spans="1:55" ht="14.25" customHeight="1" x14ac:dyDescent="0.3">
      <c r="A31" s="60" t="s">
        <v>13</v>
      </c>
      <c r="B31" s="701">
        <v>47747.82</v>
      </c>
      <c r="C31" s="642">
        <f t="shared" si="71"/>
        <v>47577.460279534331</v>
      </c>
      <c r="D31" s="557" t="str">
        <f t="shared" si="72"/>
        <v>-0.36%  ↓</v>
      </c>
      <c r="E31" s="642">
        <f t="shared" si="73"/>
        <v>47602.460279534331</v>
      </c>
      <c r="F31" s="557" t="str">
        <f t="shared" si="74"/>
        <v>-0.30%  ↓</v>
      </c>
      <c r="G31" s="642">
        <f t="shared" si="70"/>
        <v>47642</v>
      </c>
      <c r="H31" s="557" t="str">
        <f t="shared" si="75"/>
        <v>-0.22%  ↓</v>
      </c>
      <c r="I31" s="644">
        <f t="shared" si="76"/>
        <v>48458.05</v>
      </c>
      <c r="J31" s="645" t="str">
        <f t="shared" si="77"/>
        <v>1.49%  ↑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A31" s="51" t="s">
        <v>121</v>
      </c>
      <c r="AF31" s="702" t="str">
        <f t="shared" si="67"/>
        <v>QQQ</v>
      </c>
      <c r="AG31" s="703">
        <v>3</v>
      </c>
      <c r="AH31" s="704">
        <v>1.6</v>
      </c>
      <c r="AI31" s="661"/>
      <c r="AJ31" s="702" t="str">
        <f t="shared" si="68"/>
        <v>QQQ</v>
      </c>
      <c r="AK31" s="684">
        <v>0.875</v>
      </c>
      <c r="AL31" s="685">
        <f>1-AK31</f>
        <v>0.125</v>
      </c>
      <c r="AN31" s="705">
        <v>1</v>
      </c>
      <c r="AP31" s="706">
        <f>IF($AN$31=1,($I$16+$AG$31),($I$16+$AG$41))</f>
        <v>627.03286798528052</v>
      </c>
      <c r="AQ31" s="706">
        <f>IF($AN31=1,($I16+$AG31+$AH31),($I16+$AG41+$AH41))</f>
        <v>628.63286798528054</v>
      </c>
      <c r="AR31" s="679"/>
      <c r="AS31" s="707">
        <f t="shared" si="69"/>
        <v>627.83286798528047</v>
      </c>
    </row>
    <row r="32" spans="1:55" ht="14.25" customHeight="1" x14ac:dyDescent="0.3">
      <c r="A32" s="82" t="s">
        <v>14</v>
      </c>
      <c r="B32" s="708">
        <v>6846.5</v>
      </c>
      <c r="C32" s="650">
        <f t="shared" si="71"/>
        <v>6849.9033016435205</v>
      </c>
      <c r="D32" s="562" t="str">
        <f t="shared" si="72"/>
        <v>0.05%  ↑</v>
      </c>
      <c r="E32" s="650">
        <f t="shared" si="73"/>
        <v>6851.9033016435205</v>
      </c>
      <c r="F32" s="562" t="str">
        <f t="shared" si="74"/>
        <v>0.08%  ↑</v>
      </c>
      <c r="G32" s="650">
        <f t="shared" si="70"/>
        <v>6855</v>
      </c>
      <c r="H32" s="562" t="str">
        <f t="shared" si="75"/>
        <v>0.12%  ↑</v>
      </c>
      <c r="I32" s="652">
        <f t="shared" si="76"/>
        <v>6827.42</v>
      </c>
      <c r="J32" s="645" t="str">
        <f t="shared" si="77"/>
        <v>-0.28%  ↓</v>
      </c>
      <c r="N32" s="53" t="s">
        <v>12</v>
      </c>
      <c r="P32" s="287">
        <f t="shared" ref="P32:P37" si="78">100-ABS(($K12-C12)/($K12))*100</f>
        <v>97.672891848814473</v>
      </c>
      <c r="Q32" s="328"/>
      <c r="R32" s="288">
        <f t="shared" ref="R32:R37" si="79">100-ABS(($K12-E12)/($K12))*100</f>
        <v>97.672891848814473</v>
      </c>
      <c r="S32" s="328"/>
      <c r="T32" s="288">
        <f t="shared" ref="T32:T37" si="80">100-ABS(($K12-G12)/($K12))*100</f>
        <v>97.467749641662692</v>
      </c>
      <c r="U32" s="328"/>
      <c r="V32" s="461">
        <f t="shared" ref="V32:V37" si="81">100-ABS((($K12-J12)/($K12)))*100</f>
        <v>97.620599180366455</v>
      </c>
      <c r="X32" s="290">
        <f t="shared" ref="X32:X37" si="82">100-ABS((($K12-I12)/($K12)))*100</f>
        <v>97.677131794904852</v>
      </c>
      <c r="AA32" s="736">
        <f t="shared" ref="AA32:AA37" si="83">(E12+C12)/2</f>
        <v>4.088587252791374</v>
      </c>
      <c r="AF32" s="709" t="str">
        <f t="shared" si="67"/>
        <v>AAPL</v>
      </c>
      <c r="AG32" s="710">
        <v>-1.5</v>
      </c>
      <c r="AH32" s="711">
        <f>AG32/2</f>
        <v>-0.75</v>
      </c>
      <c r="AI32" s="661"/>
      <c r="AJ32" s="709" t="str">
        <f t="shared" si="68"/>
        <v>AAPL</v>
      </c>
      <c r="AK32" s="712">
        <v>0.77500000000000002</v>
      </c>
      <c r="AL32" s="713">
        <f>1-AK32</f>
        <v>0.22499999999999998</v>
      </c>
      <c r="AN32" s="714">
        <v>1</v>
      </c>
      <c r="AP32" s="715">
        <f>(AK32*I17+AL32*J17)+AG32</f>
        <v>285.61979073596564</v>
      </c>
      <c r="AQ32" s="715">
        <f>AK7+AH32</f>
        <v>284.86979073596564</v>
      </c>
      <c r="AR32" s="661"/>
      <c r="AS32" s="716">
        <f t="shared" si="69"/>
        <v>285.24479073596564</v>
      </c>
    </row>
    <row r="33" spans="1:45" ht="14.25" customHeight="1" x14ac:dyDescent="0.3">
      <c r="A33" s="82" t="s">
        <v>15</v>
      </c>
      <c r="B33" s="708">
        <v>16.690000000000001</v>
      </c>
      <c r="C33" s="654">
        <f t="shared" si="71"/>
        <v>15.575468543774749</v>
      </c>
      <c r="D33" s="562" t="str">
        <f t="shared" si="72"/>
        <v>-6.68%  ↓</v>
      </c>
      <c r="E33" s="654">
        <f t="shared" si="73"/>
        <v>15.345468543774748</v>
      </c>
      <c r="F33" s="562" t="str">
        <f t="shared" si="74"/>
        <v>-8.06%  ↓</v>
      </c>
      <c r="G33" s="654">
        <f t="shared" si="70"/>
        <v>16.739999999999998</v>
      </c>
      <c r="H33" s="562" t="str">
        <f t="shared" si="75"/>
        <v>0.30%  ↑</v>
      </c>
      <c r="I33" s="652">
        <f t="shared" si="76"/>
        <v>15.74</v>
      </c>
      <c r="J33" s="645" t="str">
        <f t="shared" si="77"/>
        <v>-5.69%  ↓</v>
      </c>
      <c r="N33" s="60" t="s">
        <v>13</v>
      </c>
      <c r="P33" s="291">
        <f t="shared" si="78"/>
        <v>98.182779289580012</v>
      </c>
      <c r="Q33" s="328"/>
      <c r="R33" s="292">
        <f t="shared" si="79"/>
        <v>98.234370304901518</v>
      </c>
      <c r="S33" s="328"/>
      <c r="T33" s="292">
        <f t="shared" si="80"/>
        <v>98.315966077875601</v>
      </c>
      <c r="U33" s="328"/>
      <c r="V33" s="462">
        <f t="shared" si="81"/>
        <v>98.195834797782396</v>
      </c>
      <c r="X33" s="294">
        <f t="shared" si="82"/>
        <v>98.073479493734624</v>
      </c>
      <c r="AA33" s="737">
        <f t="shared" si="83"/>
        <v>47589.960279534331</v>
      </c>
      <c r="AF33" s="661"/>
      <c r="AG33" s="717"/>
      <c r="AH33" s="717"/>
      <c r="AI33" s="661"/>
      <c r="AJ33" s="717"/>
      <c r="AK33" s="717"/>
      <c r="AL33" s="718"/>
      <c r="AN33" s="661"/>
      <c r="AO33" s="661"/>
      <c r="AP33" s="661"/>
      <c r="AQ33" s="661"/>
      <c r="AR33" s="661"/>
      <c r="AS33" s="661"/>
    </row>
    <row r="34" spans="1:45" ht="14.25" customHeight="1" x14ac:dyDescent="0.3">
      <c r="A34" s="99" t="s">
        <v>16</v>
      </c>
      <c r="B34" s="719">
        <v>625.11</v>
      </c>
      <c r="C34" s="658">
        <f t="shared" si="71"/>
        <v>627.03286798528052</v>
      </c>
      <c r="D34" s="569" t="str">
        <f t="shared" si="72"/>
        <v>0.31%  ↑</v>
      </c>
      <c r="E34" s="658">
        <f t="shared" si="73"/>
        <v>628.63286798528054</v>
      </c>
      <c r="F34" s="569" t="str">
        <f t="shared" si="74"/>
        <v>0.56%  ↑</v>
      </c>
      <c r="G34" s="658">
        <f t="shared" si="70"/>
        <v>625.70000000000005</v>
      </c>
      <c r="H34" s="569" t="str">
        <f t="shared" si="75"/>
        <v>0.09%  ↑</v>
      </c>
      <c r="I34" s="660">
        <f t="shared" si="76"/>
        <v>625.48</v>
      </c>
      <c r="J34" s="645" t="str">
        <f t="shared" si="77"/>
        <v>0.06%  ↑</v>
      </c>
      <c r="N34" s="82" t="s">
        <v>14</v>
      </c>
      <c r="P34" s="301">
        <f t="shared" si="78"/>
        <v>99.670691100832812</v>
      </c>
      <c r="Q34" s="328"/>
      <c r="R34" s="302">
        <f t="shared" si="79"/>
        <v>99.641397458432024</v>
      </c>
      <c r="S34" s="328"/>
      <c r="T34" s="302">
        <f t="shared" si="80"/>
        <v>99.59604067129311</v>
      </c>
      <c r="U34" s="328"/>
      <c r="V34" s="463">
        <f t="shared" si="81"/>
        <v>99.869079404365337</v>
      </c>
      <c r="X34" s="304">
        <f t="shared" si="82"/>
        <v>99.730662554136686</v>
      </c>
      <c r="AA34" s="737">
        <f t="shared" si="83"/>
        <v>6850.9033016435205</v>
      </c>
      <c r="AF34" s="661"/>
      <c r="AG34" s="720"/>
      <c r="AH34" s="720"/>
      <c r="AI34" s="661"/>
      <c r="AJ34" s="662"/>
      <c r="AK34" s="662"/>
      <c r="AL34" s="662"/>
      <c r="AN34" s="661"/>
      <c r="AO34" s="661"/>
      <c r="AP34" s="661"/>
      <c r="AQ34" s="661"/>
      <c r="AR34" s="661"/>
      <c r="AS34" s="661"/>
    </row>
    <row r="35" spans="1:45" ht="14.25" customHeight="1" x14ac:dyDescent="0.3">
      <c r="A35" s="109" t="s">
        <v>17</v>
      </c>
      <c r="B35" s="721">
        <v>277.25</v>
      </c>
      <c r="C35" s="665">
        <f t="shared" si="71"/>
        <v>285.61979073596564</v>
      </c>
      <c r="D35" s="575" t="str">
        <f t="shared" si="72"/>
        <v>3.02%  ↑</v>
      </c>
      <c r="E35" s="665">
        <f t="shared" si="73"/>
        <v>284.86979073596564</v>
      </c>
      <c r="F35" s="575" t="str">
        <f t="shared" si="74"/>
        <v>2.75%  ↑</v>
      </c>
      <c r="G35" s="665">
        <f t="shared" si="70"/>
        <v>288.10000000000002</v>
      </c>
      <c r="H35" s="575" t="str">
        <f t="shared" si="75"/>
        <v>3.91%  ↑</v>
      </c>
      <c r="I35" s="667">
        <f t="shared" si="76"/>
        <v>278.23</v>
      </c>
      <c r="J35" s="668" t="str">
        <f t="shared" si="77"/>
        <v>0.35%  ↑</v>
      </c>
      <c r="N35" s="82" t="s">
        <v>15</v>
      </c>
      <c r="P35" s="301">
        <f t="shared" si="78"/>
        <v>98.954692145964088</v>
      </c>
      <c r="Q35" s="328"/>
      <c r="R35" s="302">
        <f t="shared" si="79"/>
        <v>97.493446910894207</v>
      </c>
      <c r="S35" s="328"/>
      <c r="T35" s="302">
        <f t="shared" si="80"/>
        <v>93.646759847522247</v>
      </c>
      <c r="U35" s="328"/>
      <c r="V35" s="463">
        <f t="shared" si="81"/>
        <v>93.499298842447914</v>
      </c>
      <c r="X35" s="304">
        <f t="shared" si="82"/>
        <v>94.310873292409468</v>
      </c>
      <c r="AA35" s="736">
        <f t="shared" si="83"/>
        <v>15.460468543774748</v>
      </c>
      <c r="AF35" s="11">
        <v>-1</v>
      </c>
      <c r="AG35" s="1321" t="s">
        <v>118</v>
      </c>
      <c r="AH35" s="1321"/>
      <c r="AI35" s="661"/>
      <c r="AJ35" s="662"/>
      <c r="AK35" s="1322" t="s">
        <v>119</v>
      </c>
      <c r="AL35" s="1322"/>
      <c r="AO35" s="661"/>
      <c r="AP35" s="2" t="str">
        <f>AG36</f>
        <v>RD</v>
      </c>
      <c r="AQ35" s="2">
        <f>AH36</f>
        <v>85520</v>
      </c>
      <c r="AR35" s="661"/>
      <c r="AS35" s="661"/>
    </row>
    <row r="36" spans="1:45" ht="14.25" customHeight="1" x14ac:dyDescent="0.3">
      <c r="N36" s="99" t="s">
        <v>16</v>
      </c>
      <c r="P36" s="312">
        <f t="shared" si="78"/>
        <v>99.751731792338603</v>
      </c>
      <c r="Q36" s="328"/>
      <c r="R36" s="313">
        <f t="shared" si="79"/>
        <v>99.495928249459539</v>
      </c>
      <c r="S36" s="328"/>
      <c r="T36" s="313">
        <f t="shared" si="80"/>
        <v>99.96482701285413</v>
      </c>
      <c r="U36" s="328"/>
      <c r="V36" s="464">
        <f t="shared" si="81"/>
        <v>99.75339672211598</v>
      </c>
      <c r="X36" s="315">
        <f t="shared" si="82"/>
        <v>99.768636564763142</v>
      </c>
      <c r="AA36" s="738">
        <f t="shared" si="83"/>
        <v>627.83286798528047</v>
      </c>
      <c r="AG36" s="722" t="s">
        <v>47</v>
      </c>
      <c r="AH36" s="723">
        <v>85520</v>
      </c>
      <c r="AI36" s="661"/>
      <c r="AJ36" s="662"/>
      <c r="AK36" s="669" t="s">
        <v>36</v>
      </c>
      <c r="AL36" s="670" t="s">
        <v>49</v>
      </c>
      <c r="AM36" s="661"/>
      <c r="AN36" s="661"/>
      <c r="AO36" s="661"/>
      <c r="AP36" s="1323">
        <f>AF35</f>
        <v>-1</v>
      </c>
      <c r="AQ36" s="1323"/>
      <c r="AR36" s="661"/>
      <c r="AS36" s="661"/>
    </row>
    <row r="37" spans="1:45" ht="14.25" customHeight="1" x14ac:dyDescent="0.3">
      <c r="N37" s="114" t="s">
        <v>17</v>
      </c>
      <c r="P37" s="323">
        <f t="shared" si="78"/>
        <v>97.343999304185161</v>
      </c>
      <c r="Q37" s="328"/>
      <c r="R37" s="324">
        <f t="shared" si="79"/>
        <v>97.613560458625741</v>
      </c>
      <c r="S37" s="328"/>
      <c r="T37" s="324">
        <f t="shared" si="80"/>
        <v>96.452575207562091</v>
      </c>
      <c r="U37" s="328"/>
      <c r="V37" s="465">
        <f t="shared" si="81"/>
        <v>97.16493307153651</v>
      </c>
      <c r="X37" s="326">
        <f t="shared" si="82"/>
        <v>96.700344586075246</v>
      </c>
      <c r="AA37" s="738">
        <f t="shared" si="83"/>
        <v>285.24479073596564</v>
      </c>
      <c r="AF37" s="672" t="str">
        <f t="shared" ref="AF37:AF42" si="84">AF27</f>
        <v>TNX</v>
      </c>
      <c r="AG37" s="673">
        <v>0</v>
      </c>
      <c r="AH37" s="674">
        <f>AG37/2</f>
        <v>0</v>
      </c>
      <c r="AI37" s="661"/>
      <c r="AJ37" s="672" t="str">
        <f t="shared" ref="AJ37:AJ42" si="85">AJ2</f>
        <v>TNX</v>
      </c>
      <c r="AK37" s="675">
        <v>0.92500000000000004</v>
      </c>
      <c r="AL37" s="676">
        <f>1-AK37</f>
        <v>7.4999999999999956E-2</v>
      </c>
      <c r="AO37" s="661"/>
      <c r="AP37" s="678">
        <f>(AK27*I12+AL27*J12)+AG27</f>
        <v>4.088587252791374</v>
      </c>
      <c r="AQ37" s="678">
        <f>AK2+AH37</f>
        <v>4.088587252791374</v>
      </c>
      <c r="AR37" s="661"/>
      <c r="AS37" s="661"/>
    </row>
    <row r="38" spans="1:45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681" t="str">
        <f t="shared" si="84"/>
        <v>DJI</v>
      </c>
      <c r="AG38" s="682">
        <v>50</v>
      </c>
      <c r="AH38" s="683">
        <f>AG38/2</f>
        <v>25</v>
      </c>
      <c r="AI38" s="661"/>
      <c r="AJ38" s="681" t="str">
        <f t="shared" si="85"/>
        <v>DJI</v>
      </c>
      <c r="AK38" s="684">
        <v>0.95</v>
      </c>
      <c r="AL38" s="685">
        <f>1-AK38</f>
        <v>5.0000000000000044E-2</v>
      </c>
      <c r="AO38" s="661"/>
      <c r="AP38" s="687">
        <f>(AK28*I13+AL28*J13)+AG28</f>
        <v>47577.460279534331</v>
      </c>
      <c r="AQ38" s="687">
        <f>AK3+AH38</f>
        <v>47602.460279534331</v>
      </c>
      <c r="AR38" s="661"/>
      <c r="AS38" s="661"/>
    </row>
    <row r="39" spans="1:45" ht="14.25" customHeight="1" x14ac:dyDescent="0.3">
      <c r="N39" s="331" t="str">
        <f>AA1</f>
        <v>AVR-4</v>
      </c>
      <c r="P39" s="332">
        <f t="array" ref="P39">SUM(P33:P36/4)</f>
        <v>99.139973582178882</v>
      </c>
      <c r="Q39" s="328"/>
      <c r="R39" s="333">
        <f t="array" ref="R39">SUM(R33:R36/4)</f>
        <v>98.716285730921825</v>
      </c>
      <c r="S39" s="328"/>
      <c r="T39" s="333">
        <f t="array" ref="T39">SUM(T33:T36/4)</f>
        <v>97.880898402386265</v>
      </c>
      <c r="U39" s="328"/>
      <c r="V39" s="466">
        <f t="array" ref="V39">SUM(V33:V36/4)</f>
        <v>97.8294024416779</v>
      </c>
      <c r="X39" s="335">
        <f t="array" ref="X39">SUM(X33:X36/4)</f>
        <v>97.97091297626099</v>
      </c>
      <c r="AF39" s="689" t="str">
        <f t="shared" si="84"/>
        <v>SPX</v>
      </c>
      <c r="AG39" s="690">
        <v>4</v>
      </c>
      <c r="AH39" s="691">
        <f>AG39/2</f>
        <v>2</v>
      </c>
      <c r="AI39" s="661"/>
      <c r="AJ39" s="689" t="str">
        <f t="shared" si="85"/>
        <v>SPX</v>
      </c>
      <c r="AK39" s="684">
        <v>1.01</v>
      </c>
      <c r="AL39" s="685">
        <f>1-AK39</f>
        <v>-1.0000000000000009E-2</v>
      </c>
      <c r="AM39" s="4"/>
      <c r="AN39" s="661"/>
      <c r="AO39" s="661"/>
      <c r="AP39" s="693">
        <f>(AK29*I14+AL29*J14)+AG29</f>
        <v>6849.9033016435205</v>
      </c>
      <c r="AQ39" s="693">
        <f>AK4+AH39</f>
        <v>6851.9033016435205</v>
      </c>
      <c r="AR39" s="661"/>
      <c r="AS39" s="661"/>
    </row>
    <row r="40" spans="1:45" ht="14.25" customHeight="1" x14ac:dyDescent="0.3">
      <c r="N40" s="336" t="str">
        <f>AB1</f>
        <v>AVR-6</v>
      </c>
      <c r="P40" s="337">
        <f t="array" ref="P40">SUM(P32:P37/6)</f>
        <v>98.596130913619191</v>
      </c>
      <c r="Q40" s="328"/>
      <c r="R40" s="338">
        <f t="array" ref="R40">SUM(R32:R37/6)</f>
        <v>98.358599205187915</v>
      </c>
      <c r="S40" s="328"/>
      <c r="T40" s="338">
        <f t="array" ref="T40">SUM(T32:T37/6)</f>
        <v>97.573986409794983</v>
      </c>
      <c r="U40" s="328"/>
      <c r="V40" s="467">
        <f t="array" ref="V40">SUM(V32:V37/6)</f>
        <v>97.683857003102418</v>
      </c>
      <c r="X40" s="340">
        <f t="array" ref="X40">SUM(X32:X37/6)</f>
        <v>97.71018804767067</v>
      </c>
      <c r="AF40" s="689" t="str">
        <f t="shared" si="84"/>
        <v>VIX</v>
      </c>
      <c r="AG40" s="696">
        <v>-1.06</v>
      </c>
      <c r="AH40" s="697">
        <v>-0.23</v>
      </c>
      <c r="AI40" s="661"/>
      <c r="AJ40" s="689" t="str">
        <f t="shared" si="85"/>
        <v>VIX</v>
      </c>
      <c r="AK40" s="684"/>
      <c r="AL40" s="685"/>
      <c r="AM40" s="4"/>
      <c r="AN40" s="661"/>
      <c r="AO40" s="661"/>
      <c r="AP40" s="699">
        <f>IF(AN30=1,I15+AG30,I15+AG40)</f>
        <v>15.575468543774749</v>
      </c>
      <c r="AQ40" s="699">
        <f>IF(AN30=1,I15+AG30+AH30,I15+AG40+AH40)</f>
        <v>15.345468543774748</v>
      </c>
      <c r="AR40" s="661"/>
      <c r="AS40" s="661"/>
    </row>
    <row r="41" spans="1:45" ht="14.25" customHeight="1" x14ac:dyDescent="0.3">
      <c r="AF41" s="702" t="str">
        <f t="shared" si="84"/>
        <v>QQQ</v>
      </c>
      <c r="AG41" s="724">
        <v>-10</v>
      </c>
      <c r="AH41" s="725">
        <v>-3</v>
      </c>
      <c r="AI41" s="661"/>
      <c r="AJ41" s="702" t="str">
        <f t="shared" si="85"/>
        <v>QQQ</v>
      </c>
      <c r="AK41" s="684">
        <v>0.875</v>
      </c>
      <c r="AL41" s="685">
        <f>1-AK41</f>
        <v>0.125</v>
      </c>
      <c r="AM41" s="4"/>
      <c r="AO41" s="4"/>
      <c r="AP41" s="706">
        <f>IF(AN31=1,(I16+AG31),(I16+AG41))</f>
        <v>627.03286798528052</v>
      </c>
      <c r="AQ41" s="706">
        <f>IF(AN31=1,(I16+AG31+AH31),(I16+AG41+AH41))</f>
        <v>628.63286798528054</v>
      </c>
      <c r="AR41" s="661"/>
      <c r="AS41" s="661"/>
    </row>
    <row r="42" spans="1:45" ht="14.25" customHeight="1" x14ac:dyDescent="0.3">
      <c r="AF42" s="709" t="str">
        <f t="shared" si="84"/>
        <v>AAPL</v>
      </c>
      <c r="AG42" s="710">
        <v>-1.5</v>
      </c>
      <c r="AH42" s="711">
        <f>AG42/2</f>
        <v>-0.75</v>
      </c>
      <c r="AI42" s="661"/>
      <c r="AJ42" s="709" t="str">
        <f t="shared" si="85"/>
        <v>AAPL</v>
      </c>
      <c r="AK42" s="712">
        <v>0.77500000000000002</v>
      </c>
      <c r="AL42" s="713">
        <f>1-AK42</f>
        <v>0.22499999999999998</v>
      </c>
      <c r="AM42" s="4"/>
      <c r="AO42" s="4"/>
      <c r="AP42" s="715">
        <f>(AK32*I17+AL32*J17)+AG32</f>
        <v>285.61979073596564</v>
      </c>
      <c r="AQ42" s="715">
        <f>AK7+AH42</f>
        <v>284.86979073596564</v>
      </c>
      <c r="AR42" s="661"/>
      <c r="AS42" s="661"/>
    </row>
    <row r="43" spans="1:45" ht="14.25" customHeight="1" x14ac:dyDescent="0.3">
      <c r="AK43" s="661"/>
      <c r="AM43" s="4"/>
      <c r="AO43" s="4"/>
      <c r="AP43" s="661"/>
      <c r="AQ43" s="661"/>
      <c r="AR43" s="661"/>
      <c r="AS43" s="661"/>
    </row>
    <row r="44" spans="1:45" ht="14.25" customHeight="1" x14ac:dyDescent="0.3">
      <c r="AP44" s="661"/>
      <c r="AQ44" s="661"/>
      <c r="AR44" s="661"/>
      <c r="AS44" s="661"/>
    </row>
    <row r="45" spans="1:45" ht="14.25" customHeight="1" x14ac:dyDescent="0.3">
      <c r="AF45" s="4"/>
      <c r="AG45" s="9"/>
      <c r="AH45" s="4"/>
      <c r="AJ45" s="4"/>
      <c r="AK45" s="661"/>
      <c r="AL45" s="661"/>
      <c r="AM45" s="661"/>
      <c r="AN45" s="661"/>
      <c r="AR45" s="661"/>
      <c r="AS45" s="661"/>
    </row>
    <row r="46" spans="1:45" ht="14.25" customHeight="1" x14ac:dyDescent="0.3">
      <c r="AF46" s="4"/>
      <c r="AG46" s="9"/>
      <c r="AH46" s="4"/>
      <c r="AK46" s="661"/>
      <c r="AL46" s="661"/>
      <c r="AM46" s="661"/>
      <c r="AN46" s="661"/>
      <c r="AR46" s="661"/>
      <c r="AS46" s="661"/>
    </row>
    <row r="47" spans="1:45" ht="14.25" customHeight="1" x14ac:dyDescent="0.3">
      <c r="AF47" s="4"/>
      <c r="AG47" s="9"/>
      <c r="AH47" s="4"/>
      <c r="AK47" s="661"/>
      <c r="AL47" s="661"/>
      <c r="AM47" s="661"/>
      <c r="AN47" s="661"/>
      <c r="AR47" s="661"/>
      <c r="AS47" s="661"/>
    </row>
    <row r="48" spans="1:45" ht="14.25" customHeight="1" x14ac:dyDescent="0.3">
      <c r="F48" s="6"/>
      <c r="AF48" s="4"/>
      <c r="AG48" s="9"/>
      <c r="AH48" s="4"/>
      <c r="AK48" s="661"/>
      <c r="AL48" s="661"/>
      <c r="AM48" s="661"/>
      <c r="AN48" s="661"/>
      <c r="AR48" s="661"/>
      <c r="AS48" s="661"/>
    </row>
    <row r="49" spans="32:45" ht="14.25" customHeight="1" x14ac:dyDescent="0.3">
      <c r="AG49" s="9"/>
      <c r="AK49" s="661"/>
      <c r="AL49" s="661"/>
      <c r="AM49" s="661"/>
      <c r="AN49" s="661"/>
      <c r="AR49" s="661"/>
      <c r="AS49" s="661"/>
    </row>
    <row r="50" spans="32:45" ht="14.25" customHeight="1" x14ac:dyDescent="0.3">
      <c r="AG50" s="9"/>
      <c r="AK50" s="661"/>
      <c r="AL50" s="661"/>
      <c r="AM50" s="661"/>
      <c r="AN50" s="661"/>
      <c r="AR50" s="661"/>
      <c r="AS50" s="661"/>
    </row>
    <row r="51" spans="32:45" ht="14.25" customHeight="1" x14ac:dyDescent="0.3">
      <c r="AF51" s="661"/>
      <c r="AG51" s="661"/>
      <c r="AH51" s="661"/>
      <c r="AI51" s="661"/>
      <c r="AJ51" s="661"/>
      <c r="AK51" s="661"/>
      <c r="AL51" s="661"/>
      <c r="AM51" s="661"/>
      <c r="AN51" s="661"/>
      <c r="AR51" s="661"/>
      <c r="AS51" s="661"/>
    </row>
    <row r="52" spans="32:45" ht="14.25" customHeight="1" x14ac:dyDescent="0.3">
      <c r="AF52" s="661"/>
      <c r="AG52" s="661"/>
      <c r="AH52" s="661"/>
      <c r="AI52" s="661"/>
      <c r="AJ52" s="661"/>
      <c r="AK52" s="661"/>
      <c r="AL52" s="661"/>
      <c r="AM52" s="661"/>
      <c r="AN52" s="661"/>
      <c r="AR52" s="661"/>
      <c r="AS52" s="661"/>
    </row>
    <row r="53" spans="32:45" ht="14.25" customHeight="1" x14ac:dyDescent="0.3">
      <c r="AG53" s="9"/>
    </row>
    <row r="54" spans="32:45" ht="14.25" customHeight="1" x14ac:dyDescent="0.3">
      <c r="AG54" s="9"/>
    </row>
    <row r="55" spans="32:45" ht="14.25" customHeight="1" x14ac:dyDescent="0.3">
      <c r="AG55" s="9"/>
    </row>
    <row r="56" spans="32:45" ht="14.25" customHeight="1" x14ac:dyDescent="0.3">
      <c r="AG56" s="9"/>
    </row>
    <row r="57" spans="32:45" ht="14.25" customHeight="1" x14ac:dyDescent="0.3">
      <c r="AG57" s="9"/>
    </row>
  </sheetData>
  <mergeCells count="34">
    <mergeCell ref="AK1:AL1"/>
    <mergeCell ref="AN1:AN6"/>
    <mergeCell ref="AO7:AP7"/>
    <mergeCell ref="AQ7:AR7"/>
    <mergeCell ref="AS7:AT7"/>
    <mergeCell ref="AU7:AV7"/>
    <mergeCell ref="AN8:AN13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G25:AH25"/>
    <mergeCell ref="AK25:AL25"/>
    <mergeCell ref="AG35:AH35"/>
    <mergeCell ref="AK35:AL35"/>
    <mergeCell ref="AP36:AQ36"/>
    <mergeCell ref="AP26:AQ26"/>
    <mergeCell ref="C29:D29"/>
    <mergeCell ref="E29:F29"/>
    <mergeCell ref="G29:H29"/>
    <mergeCell ref="I29:J29"/>
  </mergeCells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57"/>
  <sheetViews>
    <sheetView zoomScale="140" zoomScaleNormal="140" workbookViewId="0">
      <selection activeCell="B13" sqref="B13"/>
    </sheetView>
  </sheetViews>
  <sheetFormatPr defaultColWidth="8.77734375" defaultRowHeight="14.25" customHeight="1" x14ac:dyDescent="0.3"/>
  <cols>
    <col min="1" max="1" width="8" style="4" customWidth="1"/>
    <col min="2" max="10" width="7.88671875" style="5" customWidth="1"/>
    <col min="11" max="11" width="8.77734375" style="5"/>
    <col min="12" max="12" width="3.1093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5.88671875" style="5" customWidth="1"/>
    <col min="25" max="25" width="3.33203125" style="4" hidden="1" customWidth="1"/>
    <col min="26" max="26" width="3.109375" style="4" customWidth="1"/>
    <col min="27" max="27" width="8.109375" style="6" customWidth="1"/>
    <col min="28" max="28" width="8.109375" style="7" customWidth="1"/>
    <col min="29" max="30" width="5.77734375" style="6" customWidth="1"/>
    <col min="31" max="31" width="3.109375" style="4" customWidth="1"/>
    <col min="32" max="37" width="7.6640625" style="8" customWidth="1"/>
    <col min="38" max="38" width="7.6640625" style="9" customWidth="1"/>
    <col min="39" max="39" width="4.33203125" style="8" customWidth="1"/>
    <col min="40" max="40" width="6.109375" style="8" customWidth="1"/>
    <col min="41" max="41" width="8.77734375" style="8"/>
  </cols>
  <sheetData>
    <row r="1" spans="1:48" ht="15" x14ac:dyDescent="0.3">
      <c r="A1" s="2" t="s">
        <v>0</v>
      </c>
      <c r="B1" s="739" t="s">
        <v>109</v>
      </c>
      <c r="C1" s="740" t="s">
        <v>2</v>
      </c>
      <c r="D1" s="740" t="s">
        <v>3</v>
      </c>
      <c r="E1" s="740" t="s">
        <v>4</v>
      </c>
      <c r="F1" s="740" t="s">
        <v>110</v>
      </c>
      <c r="G1" s="740" t="s">
        <v>104</v>
      </c>
      <c r="H1" s="740" t="s">
        <v>101</v>
      </c>
      <c r="I1" s="741" t="s">
        <v>8</v>
      </c>
      <c r="K1" s="742" t="s">
        <v>126</v>
      </c>
      <c r="M1" s="19" t="s">
        <v>11</v>
      </c>
      <c r="N1" s="20" t="s">
        <v>12</v>
      </c>
      <c r="O1" s="21">
        <f>SUM(N2:N9)</f>
        <v>798.25436408977555</v>
      </c>
      <c r="P1" s="22" t="s">
        <v>13</v>
      </c>
      <c r="Q1" s="23">
        <f>SUM(P2:P9)</f>
        <v>796.12299549770751</v>
      </c>
      <c r="R1" s="24" t="s">
        <v>14</v>
      </c>
      <c r="S1" s="23">
        <f>SUM(R2:R9)</f>
        <v>791.85817657261987</v>
      </c>
      <c r="T1" s="24" t="s">
        <v>15</v>
      </c>
      <c r="U1" s="23">
        <f>SUM(T2:T9)</f>
        <v>693.82262996941893</v>
      </c>
      <c r="V1" s="25" t="s">
        <v>16</v>
      </c>
      <c r="W1" s="26">
        <f>SUM(V2:V9)</f>
        <v>788.90593459830438</v>
      </c>
      <c r="X1" s="27" t="s">
        <v>17</v>
      </c>
      <c r="Y1" s="28">
        <f>SUM(X2:X9)</f>
        <v>798.1746458669536</v>
      </c>
      <c r="Z1" s="29"/>
      <c r="AA1" s="30" t="s">
        <v>18</v>
      </c>
      <c r="AB1" s="31" t="s">
        <v>19</v>
      </c>
      <c r="AF1" s="579" t="s">
        <v>20</v>
      </c>
      <c r="AG1" s="4"/>
      <c r="AH1" s="4"/>
      <c r="AK1" s="1314" t="s">
        <v>68</v>
      </c>
      <c r="AL1" s="1314"/>
      <c r="AN1" s="1315" t="str">
        <f>B20</f>
        <v>Close YF</v>
      </c>
      <c r="AO1" s="163">
        <f t="shared" ref="AO1:AO6" si="0">(I21-B21)/B21</f>
        <v>1.9990004997501266E-3</v>
      </c>
      <c r="AP1" s="164" t="str">
        <f>IF(K12-B21&gt;0,"↑","↓")</f>
        <v>↑</v>
      </c>
      <c r="AQ1" s="165">
        <f t="shared" ref="AQ1:AQ6" si="1">(C21-B21)/B21</f>
        <v>2.8593269706576516E-3</v>
      </c>
      <c r="AR1" s="166" t="str">
        <f t="shared" ref="AR1:AR6" si="2">IF(C21-B21&gt;0,"↑","↓")</f>
        <v>↑</v>
      </c>
      <c r="AS1" s="163">
        <f t="shared" ref="AS1:AS6" si="3">(E21-B21)/B21</f>
        <v>2.8593269706576516E-3</v>
      </c>
      <c r="AT1" s="164" t="str">
        <f t="shared" ref="AT1:AT6" si="4">IF(E21-B21&gt;0,"↑","↓")</f>
        <v>↑</v>
      </c>
      <c r="AU1" s="163">
        <f t="shared" ref="AU1:AU6" si="5">(G21-B21)/B21</f>
        <v>1.9990004997501266E-3</v>
      </c>
      <c r="AV1" s="164" t="str">
        <f t="shared" ref="AV1:AV6" si="6">IF(G21-B21&gt;0,"↑","↓")</f>
        <v>↑</v>
      </c>
    </row>
    <row r="2" spans="1:48" ht="15" x14ac:dyDescent="0.3">
      <c r="A2" s="743" t="s">
        <v>12</v>
      </c>
      <c r="B2" s="528">
        <v>4</v>
      </c>
      <c r="C2" s="529">
        <v>4.01</v>
      </c>
      <c r="D2" s="529">
        <v>4.01</v>
      </c>
      <c r="E2" s="529">
        <v>4.03</v>
      </c>
      <c r="F2" s="529">
        <v>4.01</v>
      </c>
      <c r="G2" s="529">
        <v>4.0199999999999996</v>
      </c>
      <c r="H2" s="530">
        <v>4</v>
      </c>
      <c r="I2" s="531">
        <v>4.03</v>
      </c>
      <c r="M2" s="493" t="str">
        <f>B1</f>
        <v>o 5.1</v>
      </c>
      <c r="N2" s="494">
        <f>100-ABS((($K12-B2)/($K12)))*100</f>
        <v>99.750623441396513</v>
      </c>
      <c r="O2" s="495">
        <f t="shared" ref="O2:O9" si="7">N2/$O$1</f>
        <v>0.12496094970321775</v>
      </c>
      <c r="P2" s="496">
        <f>100-ABS((($K13-B3)/($K13)))*100</f>
        <v>99.268783192340749</v>
      </c>
      <c r="Q2" s="497">
        <f t="shared" ref="Q2:Q9" si="8">P2/$Q$1</f>
        <v>0.12469025986403202</v>
      </c>
      <c r="R2" s="497">
        <f>100-ABS((($K14-B4)/($K14)))*100</f>
        <v>98.553382352082323</v>
      </c>
      <c r="S2" s="497">
        <f t="shared" ref="S2:S9" si="9">R2/$S$1</f>
        <v>0.12445837558772012</v>
      </c>
      <c r="T2" s="497">
        <f>100-ABS((($K15-B5)/($K15)))*100</f>
        <v>86.850152905198783</v>
      </c>
      <c r="U2" s="497">
        <f t="shared" ref="U2:U9" si="10">T2/$U$1</f>
        <v>0.1251763046544429</v>
      </c>
      <c r="V2" s="498">
        <f>100-ABS((($K16-B6)/($K16)))*100</f>
        <v>98.183286233346792</v>
      </c>
      <c r="W2" s="499">
        <f t="shared" ref="W2:W9" si="11">V2/$W$1</f>
        <v>0.12445499764599922</v>
      </c>
      <c r="X2" s="500">
        <f>100-ABS((($K17-B7)/($K17)))*100</f>
        <v>99.695176618253527</v>
      </c>
      <c r="Y2" s="48">
        <f t="shared" ref="Y2:Y9" si="12">X2/$Y$1</f>
        <v>0.12490396322971094</v>
      </c>
      <c r="Z2" s="29"/>
      <c r="AA2" s="49">
        <f t="shared" ref="AA2:AA9" si="13">(P2+R2+T2+V2)/4</f>
        <v>95.713901170742162</v>
      </c>
      <c r="AB2" s="50">
        <f t="shared" ref="AB2:AB9" si="14">(N2+P2+R2+T2+V2+X2)/6</f>
        <v>97.050234123769783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80" t="s">
        <v>42</v>
      </c>
      <c r="AH2" s="581">
        <f>MAX(N2:N9)</f>
        <v>100</v>
      </c>
      <c r="AJ2" s="341" t="str">
        <f t="shared" ref="AJ2:AJ7" si="15">A2</f>
        <v>TNX</v>
      </c>
      <c r="AK2" s="342">
        <f t="shared" ref="AK2:AK7" si="16">IF(AN27=1,AP27,AP37)</f>
        <v>4.0134430265365717</v>
      </c>
      <c r="AL2" s="57">
        <f t="shared" ref="AL2:AL7" si="17">100-ABS(($K12-AK2)/($K12))*100</f>
        <v>99.914138989112914</v>
      </c>
      <c r="AN2" s="1315"/>
      <c r="AO2" s="182">
        <f t="shared" si="0"/>
        <v>7.0998218093095405E-3</v>
      </c>
      <c r="AP2" s="183" t="str">
        <f>IF(I22-B22&gt;0,"↑","↓")</f>
        <v>↑</v>
      </c>
      <c r="AQ2" s="184">
        <f t="shared" si="1"/>
        <v>3.022542667971508E-3</v>
      </c>
      <c r="AR2" s="185" t="str">
        <f t="shared" si="2"/>
        <v>↑</v>
      </c>
      <c r="AS2" s="182">
        <f t="shared" si="3"/>
        <v>3.5531879644907934E-3</v>
      </c>
      <c r="AT2" s="183" t="str">
        <f t="shared" si="4"/>
        <v>↑</v>
      </c>
      <c r="AU2" s="182">
        <f t="shared" si="5"/>
        <v>2.0918037588790843E-3</v>
      </c>
      <c r="AV2" s="183" t="str">
        <f t="shared" si="6"/>
        <v>↑</v>
      </c>
    </row>
    <row r="3" spans="1:48" ht="15" x14ac:dyDescent="0.3">
      <c r="A3" s="82" t="s">
        <v>13</v>
      </c>
      <c r="B3" s="532">
        <v>47100</v>
      </c>
      <c r="C3" s="533">
        <v>47350</v>
      </c>
      <c r="D3" s="533">
        <v>47250</v>
      </c>
      <c r="E3" s="533">
        <v>47200</v>
      </c>
      <c r="F3" s="533">
        <v>47250</v>
      </c>
      <c r="G3" s="533">
        <v>47180</v>
      </c>
      <c r="H3" s="533">
        <v>47156</v>
      </c>
      <c r="I3" s="534">
        <v>47250</v>
      </c>
      <c r="K3" s="64" t="s">
        <v>127</v>
      </c>
      <c r="M3" s="501" t="str">
        <f>C1</f>
        <v>Grok 4.1</v>
      </c>
      <c r="N3" s="502">
        <f>100-ABS((($K12-C2)/($K12)))*100</f>
        <v>100</v>
      </c>
      <c r="O3" s="503">
        <f t="shared" si="7"/>
        <v>0.12527335207747578</v>
      </c>
      <c r="P3" s="504">
        <f>100-ABS((($K13-C3)/($K13)))*100</f>
        <v>99.795687561726837</v>
      </c>
      <c r="Q3" s="505">
        <f t="shared" si="8"/>
        <v>0.12535209776139949</v>
      </c>
      <c r="R3" s="505">
        <f>100-ABS((($K14-C4)/($K14)))*100</f>
        <v>99.283407406542196</v>
      </c>
      <c r="S3" s="505">
        <f t="shared" si="9"/>
        <v>0.1253802894809625</v>
      </c>
      <c r="T3" s="505">
        <f>100-ABS((($K15-C5)/($K15)))*100</f>
        <v>91.131498470948017</v>
      </c>
      <c r="U3" s="505">
        <f t="shared" si="10"/>
        <v>0.1313469675599436</v>
      </c>
      <c r="V3" s="506">
        <f>100-ABS((($K16-C6)/($K16)))*100</f>
        <v>98.829228905934599</v>
      </c>
      <c r="W3" s="507">
        <f t="shared" si="11"/>
        <v>0.12527378052524923</v>
      </c>
      <c r="X3" s="508">
        <f>100-ABS((($K17-C7)/($K17)))*100</f>
        <v>99.587591895284206</v>
      </c>
      <c r="Y3" s="48">
        <f t="shared" si="12"/>
        <v>0.1247691747801825</v>
      </c>
      <c r="Z3" s="29"/>
      <c r="AA3" s="73">
        <f t="shared" si="13"/>
        <v>97.259955586287916</v>
      </c>
      <c r="AB3" s="74">
        <f t="shared" si="14"/>
        <v>98.104569040072647</v>
      </c>
      <c r="AC3" s="51" t="str">
        <f>IF($AA3=MAX(AA2:AA9),"TOP","")</f>
        <v>TOP</v>
      </c>
      <c r="AD3" s="51" t="str">
        <f>IF($AB3=MAX(AB2:AB9),"TOP","")</f>
        <v>TOP</v>
      </c>
      <c r="AE3" s="52"/>
      <c r="AF3" s="60" t="s">
        <v>13</v>
      </c>
      <c r="AG3" s="583" t="s">
        <v>42</v>
      </c>
      <c r="AH3" s="584">
        <f>MAX(P2:P9)</f>
        <v>99.795687561726837</v>
      </c>
      <c r="AJ3" s="343" t="str">
        <f t="shared" si="15"/>
        <v>DJI</v>
      </c>
      <c r="AK3" s="344">
        <f t="shared" si="16"/>
        <v>47254.849390317671</v>
      </c>
      <c r="AL3" s="78">
        <f t="shared" si="17"/>
        <v>99.595146473761361</v>
      </c>
      <c r="AN3" s="1315"/>
      <c r="AO3" s="182">
        <f t="shared" si="0"/>
        <v>1.2296996103980534E-2</v>
      </c>
      <c r="AP3" s="183" t="str">
        <f>IF(I23-B23&gt;0,"↑","↓")</f>
        <v>↑</v>
      </c>
      <c r="AQ3" s="184">
        <f t="shared" si="1"/>
        <v>2.6933969523339134E-3</v>
      </c>
      <c r="AR3" s="185" t="str">
        <f t="shared" si="2"/>
        <v>↑</v>
      </c>
      <c r="AS3" s="182">
        <f t="shared" si="3"/>
        <v>2.9889978202180616E-3</v>
      </c>
      <c r="AT3" s="183" t="str">
        <f t="shared" si="4"/>
        <v>↑</v>
      </c>
      <c r="AU3" s="182">
        <f t="shared" si="5"/>
        <v>1.6435408254358473E-3</v>
      </c>
      <c r="AV3" s="183" t="str">
        <f t="shared" si="6"/>
        <v>↑</v>
      </c>
    </row>
    <row r="4" spans="1:48" ht="15" x14ac:dyDescent="0.3">
      <c r="A4" s="82" t="s">
        <v>14</v>
      </c>
      <c r="B4" s="535">
        <v>6750</v>
      </c>
      <c r="C4" s="536">
        <v>6800</v>
      </c>
      <c r="D4" s="536">
        <v>6800</v>
      </c>
      <c r="E4" s="536">
        <v>6780</v>
      </c>
      <c r="F4" s="536">
        <v>6785</v>
      </c>
      <c r="G4" s="536">
        <v>6770</v>
      </c>
      <c r="H4" s="536">
        <v>6775</v>
      </c>
      <c r="I4" s="537">
        <v>6775</v>
      </c>
      <c r="M4" s="501" t="str">
        <f>D1</f>
        <v>Gemini Pro 3</v>
      </c>
      <c r="N4" s="502">
        <f>100-ABS((($K12-D2)/($K12)))*100</f>
        <v>100</v>
      </c>
      <c r="O4" s="503">
        <f t="shared" si="7"/>
        <v>0.12527335207747578</v>
      </c>
      <c r="P4" s="504">
        <f>100-ABS((($K13-D3)/($K13)))*100</f>
        <v>99.584925813972404</v>
      </c>
      <c r="Q4" s="505">
        <f t="shared" si="8"/>
        <v>0.12508736260245251</v>
      </c>
      <c r="R4" s="505">
        <f>100-ABS((($K14-D4)/($K14)))*100</f>
        <v>99.283407406542196</v>
      </c>
      <c r="S4" s="505">
        <f t="shared" si="9"/>
        <v>0.1253802894809625</v>
      </c>
      <c r="T4" s="505">
        <f>100-ABS((($K15-D5)/($K15)))*100</f>
        <v>88.379204892966371</v>
      </c>
      <c r="U4" s="505">
        <f t="shared" si="10"/>
        <v>0.12738011283497885</v>
      </c>
      <c r="V4" s="506">
        <f>100-ABS((($K16-D6)/($K16)))*100</f>
        <v>98.829228905934599</v>
      </c>
      <c r="W4" s="507">
        <f t="shared" si="11"/>
        <v>0.12527378052524923</v>
      </c>
      <c r="X4" s="508">
        <f>100-ABS((($K17-D7)/($K17)))*100</f>
        <v>99.946207638515332</v>
      </c>
      <c r="Y4" s="48">
        <f t="shared" si="12"/>
        <v>0.12521846961194405</v>
      </c>
      <c r="Z4" s="29"/>
      <c r="AA4" s="73">
        <f t="shared" si="13"/>
        <v>96.519191754853892</v>
      </c>
      <c r="AB4" s="74">
        <f t="shared" si="14"/>
        <v>97.670495776321829</v>
      </c>
      <c r="AC4" s="51" t="str">
        <f>IF($AA4=MAX(AA2:AA9),"TOP","")</f>
        <v/>
      </c>
      <c r="AD4" s="51" t="str">
        <f>IF($AB4=MAX(AB2:AB9),"TOP","")</f>
        <v/>
      </c>
      <c r="AE4" s="52"/>
      <c r="AF4" s="82" t="s">
        <v>14</v>
      </c>
      <c r="AG4" s="585" t="s">
        <v>37</v>
      </c>
      <c r="AH4" s="586">
        <f>MAX(R2:R9)</f>
        <v>99.283407406542196</v>
      </c>
      <c r="AJ4" s="345" t="str">
        <f t="shared" si="15"/>
        <v>SPX</v>
      </c>
      <c r="AK4" s="346">
        <f t="shared" si="16"/>
        <v>6784.1032005718571</v>
      </c>
      <c r="AL4" s="89">
        <f t="shared" si="17"/>
        <v>99.05130616917684</v>
      </c>
      <c r="AN4" s="1315"/>
      <c r="AO4" s="182">
        <f t="shared" si="0"/>
        <v>-0.12049488972565887</v>
      </c>
      <c r="AP4" s="183" t="str">
        <f>IF(I24-B24&gt;0,"↑","↓")</f>
        <v>↓</v>
      </c>
      <c r="AQ4" s="184">
        <f t="shared" si="1"/>
        <v>-6.0671155218002912E-2</v>
      </c>
      <c r="AR4" s="185" t="str">
        <f t="shared" si="2"/>
        <v>↓</v>
      </c>
      <c r="AS4" s="182">
        <f t="shared" si="3"/>
        <v>-7.3043398359476847E-2</v>
      </c>
      <c r="AT4" s="183" t="str">
        <f t="shared" si="4"/>
        <v>↓</v>
      </c>
      <c r="AU4" s="182">
        <f t="shared" si="5"/>
        <v>5.917159763313579E-3</v>
      </c>
      <c r="AV4" s="183" t="str">
        <f t="shared" si="6"/>
        <v>↑</v>
      </c>
    </row>
    <row r="5" spans="1:48" ht="15" x14ac:dyDescent="0.3">
      <c r="A5" s="82" t="s">
        <v>15</v>
      </c>
      <c r="B5" s="538">
        <v>18.5</v>
      </c>
      <c r="C5" s="539">
        <v>17.8</v>
      </c>
      <c r="D5" s="539">
        <v>18.25</v>
      </c>
      <c r="E5" s="539">
        <v>18.600000000000001</v>
      </c>
      <c r="F5" s="539">
        <v>18.850000000000001</v>
      </c>
      <c r="G5" s="539">
        <v>18.7</v>
      </c>
      <c r="H5" s="540">
        <v>18.71</v>
      </c>
      <c r="I5" s="541">
        <v>18.75</v>
      </c>
      <c r="K5" s="744" t="s">
        <v>36</v>
      </c>
      <c r="M5" s="501" t="str">
        <f>E1</f>
        <v>Claude</v>
      </c>
      <c r="N5" s="502">
        <f>100-ABS((($K12-E2)/($K12)))*100</f>
        <v>99.501246882793012</v>
      </c>
      <c r="O5" s="503">
        <f t="shared" si="7"/>
        <v>0.12464854732895969</v>
      </c>
      <c r="P5" s="504">
        <f>100-ABS((($K13-E3)/($K13)))*100</f>
        <v>99.479544940095181</v>
      </c>
      <c r="Q5" s="505">
        <f t="shared" si="8"/>
        <v>0.12495499502297901</v>
      </c>
      <c r="R5" s="505">
        <f>100-ABS((($K14-E4)/($K14)))*100</f>
        <v>98.991397384758244</v>
      </c>
      <c r="S5" s="505">
        <f t="shared" si="9"/>
        <v>0.12501152392366555</v>
      </c>
      <c r="T5" s="505">
        <f>100-ABS((($K15-E5)/($K15)))*100</f>
        <v>86.238532110091739</v>
      </c>
      <c r="U5" s="505">
        <f t="shared" si="10"/>
        <v>0.12429478138222849</v>
      </c>
      <c r="V5" s="506">
        <f>100-ABS((($K16-E6)/($K16)))*100</f>
        <v>98.667743237787647</v>
      </c>
      <c r="W5" s="507">
        <f t="shared" si="11"/>
        <v>0.12506908480543671</v>
      </c>
      <c r="X5" s="508">
        <f>100-ABS((($K17-E7)/($K17)))*100</f>
        <v>99.874484489869104</v>
      </c>
      <c r="Y5" s="48">
        <f t="shared" si="12"/>
        <v>0.12512861064559175</v>
      </c>
      <c r="Z5" s="29"/>
      <c r="AA5" s="73">
        <f t="shared" si="13"/>
        <v>95.844304418183199</v>
      </c>
      <c r="AB5" s="74">
        <f t="shared" si="14"/>
        <v>97.125491507565826</v>
      </c>
      <c r="AC5" s="51" t="str">
        <f>IF($AA5=MAX(AA2:AA9),"TOP","")</f>
        <v/>
      </c>
      <c r="AD5" s="51" t="str">
        <f>IF($AB5=MAX(AB2:AB9),"TOP","")</f>
        <v/>
      </c>
      <c r="AE5" s="52"/>
      <c r="AF5" s="82" t="s">
        <v>15</v>
      </c>
      <c r="AG5" s="585" t="s">
        <v>95</v>
      </c>
      <c r="AH5" s="586">
        <f>MAX(T2:T9)</f>
        <v>91.131498470948017</v>
      </c>
      <c r="AJ5" s="345" t="str">
        <f t="shared" si="15"/>
        <v>VIX</v>
      </c>
      <c r="AK5" s="347">
        <f t="shared" si="16"/>
        <v>17.462123224497326</v>
      </c>
      <c r="AL5" s="89">
        <f t="shared" si="17"/>
        <v>93.198023091759481</v>
      </c>
      <c r="AN5" s="1315"/>
      <c r="AO5" s="182">
        <f t="shared" si="0"/>
        <v>1.7014567491665186E-2</v>
      </c>
      <c r="AP5" s="183" t="str">
        <f>IF(I25-B25&gt;0,"↑","↓")</f>
        <v>↑</v>
      </c>
      <c r="AQ5" s="184">
        <f t="shared" si="1"/>
        <v>7.8472285431302035E-3</v>
      </c>
      <c r="AR5" s="185" t="str">
        <f t="shared" si="2"/>
        <v>↑</v>
      </c>
      <c r="AS5" s="182">
        <f t="shared" si="3"/>
        <v>1.047496097427544E-2</v>
      </c>
      <c r="AT5" s="183" t="str">
        <f t="shared" si="4"/>
        <v>↑</v>
      </c>
      <c r="AU5" s="182">
        <f t="shared" si="5"/>
        <v>4.2864885283056282E-3</v>
      </c>
      <c r="AV5" s="183" t="str">
        <f t="shared" si="6"/>
        <v>↑</v>
      </c>
    </row>
    <row r="6" spans="1:48" ht="15" x14ac:dyDescent="0.3">
      <c r="A6" s="82" t="s">
        <v>16</v>
      </c>
      <c r="B6" s="542">
        <v>608</v>
      </c>
      <c r="C6" s="543">
        <v>612</v>
      </c>
      <c r="D6" s="543">
        <v>612</v>
      </c>
      <c r="E6" s="543">
        <v>611</v>
      </c>
      <c r="F6" s="543">
        <v>610.5</v>
      </c>
      <c r="G6" s="543">
        <v>610</v>
      </c>
      <c r="H6" s="544">
        <v>611.79999999999995</v>
      </c>
      <c r="I6" s="545">
        <v>610</v>
      </c>
      <c r="M6" s="501" t="str">
        <f>F1</f>
        <v>Minimax 2</v>
      </c>
      <c r="N6" s="502">
        <f>100-ABS((($K12-F2)/($K12)))*100</f>
        <v>100</v>
      </c>
      <c r="O6" s="503">
        <f t="shared" si="7"/>
        <v>0.12527335207747578</v>
      </c>
      <c r="P6" s="504">
        <f>100-ABS((($K13-F3)/($K13)))*100</f>
        <v>99.584925813972404</v>
      </c>
      <c r="Q6" s="505">
        <f t="shared" si="8"/>
        <v>0.12508736260245251</v>
      </c>
      <c r="R6" s="505">
        <f>100-ABS((($K14-F4)/($K14)))*100</f>
        <v>99.064399890204228</v>
      </c>
      <c r="S6" s="505">
        <f t="shared" si="9"/>
        <v>0.12510371531298978</v>
      </c>
      <c r="T6" s="505">
        <f>100-ABS((($K15-F5)/($K15)))*100</f>
        <v>84.709480122324166</v>
      </c>
      <c r="U6" s="505">
        <f t="shared" si="10"/>
        <v>0.12209097320169254</v>
      </c>
      <c r="V6" s="506">
        <f>100-ABS((($K16-F6)/($K16)))*100</f>
        <v>98.587000403714171</v>
      </c>
      <c r="W6" s="507">
        <f t="shared" si="11"/>
        <v>0.12496673694553047</v>
      </c>
      <c r="X6" s="508">
        <f>100-ABS((($K17-F7)/($K17)))*100</f>
        <v>99.874484489869104</v>
      </c>
      <c r="Y6" s="48">
        <f t="shared" si="12"/>
        <v>0.12512861064559175</v>
      </c>
      <c r="Z6" s="29"/>
      <c r="AA6" s="73">
        <f t="shared" si="13"/>
        <v>95.48645155755375</v>
      </c>
      <c r="AB6" s="74">
        <f t="shared" si="14"/>
        <v>96.97004845334736</v>
      </c>
      <c r="AC6" s="11" t="str">
        <f>IF($AA6=MAX(AA2:AA9),"TOP","")</f>
        <v/>
      </c>
      <c r="AD6" s="11" t="str">
        <f>IF($AB6=MAX(AB2:AB9),"TOP","")</f>
        <v/>
      </c>
      <c r="AE6" s="52"/>
      <c r="AF6" s="99" t="s">
        <v>16</v>
      </c>
      <c r="AG6" s="587" t="s">
        <v>39</v>
      </c>
      <c r="AH6" s="588">
        <f>MAX(V2:V9)</f>
        <v>98.829228905934599</v>
      </c>
      <c r="AJ6" s="348" t="str">
        <f t="shared" si="15"/>
        <v>QQQ</v>
      </c>
      <c r="AK6" s="349">
        <f t="shared" si="16"/>
        <v>613.66809898762654</v>
      </c>
      <c r="AL6" s="107">
        <f t="shared" si="17"/>
        <v>99.098602985486721</v>
      </c>
      <c r="AN6" s="1315"/>
      <c r="AO6" s="223">
        <f t="shared" si="0"/>
        <v>6.7877387442683151E-3</v>
      </c>
      <c r="AP6" s="224" t="str">
        <f>IF(I26-B26&gt;0,"↑","↓")</f>
        <v>↑</v>
      </c>
      <c r="AQ6" s="225">
        <f t="shared" si="1"/>
        <v>-1.4375588276768092E-4</v>
      </c>
      <c r="AR6" s="226" t="str">
        <f t="shared" si="2"/>
        <v>↓</v>
      </c>
      <c r="AS6" s="223">
        <f t="shared" si="3"/>
        <v>-2.8516303818108984E-3</v>
      </c>
      <c r="AT6" s="224" t="str">
        <f t="shared" si="4"/>
        <v>↓</v>
      </c>
      <c r="AU6" s="223">
        <f t="shared" si="5"/>
        <v>3.3577643788134091E-3</v>
      </c>
      <c r="AV6" s="224" t="str">
        <f t="shared" si="6"/>
        <v>↑</v>
      </c>
    </row>
    <row r="7" spans="1:48" ht="14.4" x14ac:dyDescent="0.3">
      <c r="A7" s="745" t="s">
        <v>17</v>
      </c>
      <c r="B7" s="546">
        <v>278</v>
      </c>
      <c r="C7" s="547">
        <v>280</v>
      </c>
      <c r="D7" s="547">
        <v>279</v>
      </c>
      <c r="E7" s="547">
        <v>278.5</v>
      </c>
      <c r="F7" s="547">
        <v>278.5</v>
      </c>
      <c r="G7" s="547">
        <v>278.5</v>
      </c>
      <c r="H7" s="548">
        <v>278.31</v>
      </c>
      <c r="I7" s="549">
        <v>277.5</v>
      </c>
      <c r="K7" s="744" t="s">
        <v>41</v>
      </c>
      <c r="M7" s="501" t="str">
        <f>G1</f>
        <v>Kimi 2</v>
      </c>
      <c r="N7" s="502">
        <f>100-ABS((($K12-G2)/($K12)))*100</f>
        <v>99.750623441396513</v>
      </c>
      <c r="O7" s="503">
        <f t="shared" si="7"/>
        <v>0.12496094970321775</v>
      </c>
      <c r="P7" s="504">
        <f>100-ABS((($K13-G3)/($K13)))*100</f>
        <v>99.437392590544292</v>
      </c>
      <c r="Q7" s="505">
        <f t="shared" si="8"/>
        <v>0.1249020479911896</v>
      </c>
      <c r="R7" s="505">
        <f>100-ABS((($K14-G4)/($K14)))*100</f>
        <v>98.845392373866275</v>
      </c>
      <c r="S7" s="505">
        <f t="shared" si="9"/>
        <v>0.12482714114501707</v>
      </c>
      <c r="T7" s="505">
        <f>100-ABS((($K15-G5)/($K15)))*100</f>
        <v>85.626911314984724</v>
      </c>
      <c r="U7" s="505">
        <f t="shared" si="10"/>
        <v>0.12341325811001413</v>
      </c>
      <c r="V7" s="506">
        <f>100-ABS((($K16-G6)/($K16)))*100</f>
        <v>98.506257569640695</v>
      </c>
      <c r="W7" s="507">
        <f t="shared" si="11"/>
        <v>0.12486438908562422</v>
      </c>
      <c r="X7" s="508">
        <f>100-ABS((($K17-G7)/($K17)))*100</f>
        <v>99.874484489869104</v>
      </c>
      <c r="Y7" s="48">
        <f t="shared" si="12"/>
        <v>0.12512861064559175</v>
      </c>
      <c r="Z7" s="29"/>
      <c r="AA7" s="73">
        <f t="shared" si="13"/>
        <v>95.603988462258997</v>
      </c>
      <c r="AB7" s="74">
        <f t="shared" si="14"/>
        <v>97.006843630050284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589" t="s">
        <v>96</v>
      </c>
      <c r="AH7" s="590">
        <f>MAX(X2:X9)</f>
        <v>99.946207638515332</v>
      </c>
      <c r="AJ7" s="350" t="str">
        <f t="shared" si="15"/>
        <v>AAPL</v>
      </c>
      <c r="AK7" s="351">
        <f t="shared" si="16"/>
        <v>276.93018393314986</v>
      </c>
      <c r="AL7" s="118">
        <f t="shared" si="17"/>
        <v>99.311523734319465</v>
      </c>
      <c r="AN7" s="228"/>
      <c r="AO7" s="1316" t="str">
        <f>K11</f>
        <v xml:space="preserve">+3-day </v>
      </c>
      <c r="AP7" s="1316"/>
      <c r="AQ7" s="1317" t="str">
        <f>C11</f>
        <v>RD</v>
      </c>
      <c r="AR7" s="1317"/>
      <c r="AS7" s="1318">
        <f>E11</f>
        <v>85520</v>
      </c>
      <c r="AT7" s="1318"/>
      <c r="AU7" s="1318" t="str">
        <f>G11</f>
        <v>MICH</v>
      </c>
      <c r="AV7" s="1318"/>
    </row>
    <row r="8" spans="1:48" ht="14.25" customHeight="1" x14ac:dyDescent="0.3">
      <c r="K8" s="307">
        <v>15</v>
      </c>
      <c r="M8" s="501" t="str">
        <f>H1</f>
        <v>Qwen3 Max</v>
      </c>
      <c r="N8" s="502">
        <f>100-ABS((($K12-H2)/($K12)))*100</f>
        <v>99.750623441396513</v>
      </c>
      <c r="O8" s="503">
        <f t="shared" si="7"/>
        <v>0.12496094970321775</v>
      </c>
      <c r="P8" s="504">
        <f>100-ABS((($K13-H3)/($K13)))*100</f>
        <v>99.386809771083236</v>
      </c>
      <c r="Q8" s="505">
        <f t="shared" si="8"/>
        <v>0.12483851155304235</v>
      </c>
      <c r="R8" s="505">
        <f>100-ABS((($K14-H4)/($K14)))*100</f>
        <v>98.91839487931226</v>
      </c>
      <c r="S8" s="505">
        <f t="shared" si="9"/>
        <v>0.12491933253434132</v>
      </c>
      <c r="T8" s="505">
        <f>100-ABS((($K15-H5)/($K15)))*100</f>
        <v>85.565749235474016</v>
      </c>
      <c r="U8" s="505">
        <f t="shared" si="10"/>
        <v>0.12332510578279268</v>
      </c>
      <c r="V8" s="506">
        <f>100-ABS((($K16-H6)/($K16)))*100</f>
        <v>98.7969317723052</v>
      </c>
      <c r="W8" s="507">
        <f t="shared" si="11"/>
        <v>0.12523284138128671</v>
      </c>
      <c r="X8" s="508">
        <f>100-ABS((($K17-H7)/($K17)))*100</f>
        <v>99.806347498655185</v>
      </c>
      <c r="Y8" s="48">
        <f t="shared" si="12"/>
        <v>0.12504324462755703</v>
      </c>
      <c r="Z8" s="29"/>
      <c r="AA8" s="73">
        <f t="shared" si="13"/>
        <v>95.666971414543681</v>
      </c>
      <c r="AB8" s="74">
        <f t="shared" si="14"/>
        <v>97.037476099704406</v>
      </c>
      <c r="AC8" s="51" t="str">
        <f>IF($AA8=MAX(AA2:AA9),"TOP","")</f>
        <v/>
      </c>
      <c r="AD8" s="51" t="str">
        <f>IF($AB8=MAX(AB2:AB9),"TOP","")</f>
        <v/>
      </c>
      <c r="AE8" s="52"/>
      <c r="AF8" s="4"/>
      <c r="AG8" s="4"/>
      <c r="AH8" s="5"/>
      <c r="AN8" s="1315" t="str">
        <f>B29</f>
        <v>Oraclum</v>
      </c>
      <c r="AO8" s="163">
        <f t="shared" ref="AO8:AO13" si="18">(I30-B30)/B30</f>
        <v>-4.0210627094303529E-2</v>
      </c>
      <c r="AP8" s="164" t="str">
        <f t="shared" ref="AP8:AP13" si="19">IF(I30-B30&gt;0,"↑","↓")</f>
        <v>↓</v>
      </c>
      <c r="AQ8" s="165">
        <f t="shared" ref="AQ8:AQ13" si="20">(C30-B30)/B30</f>
        <v>-3.938654223633993E-2</v>
      </c>
      <c r="AR8" s="166" t="str">
        <f t="shared" ref="AR8:AR13" si="21">IF(C30-B30&gt;0,"↑","↓")</f>
        <v>↓</v>
      </c>
      <c r="AS8" s="163">
        <f t="shared" ref="AS8:AS13" si="22">(E30-B30)/B30</f>
        <v>-3.938654223633993E-2</v>
      </c>
      <c r="AT8" s="164" t="str">
        <f t="shared" ref="AT8:AT13" si="23">IF(E30-B30&gt;0,"↑","↓")</f>
        <v>↓</v>
      </c>
      <c r="AU8" s="163">
        <f t="shared" ref="AU8:AU13" si="24">(G30-B30)/B30</f>
        <v>-4.0210627094303529E-2</v>
      </c>
      <c r="AV8" s="164" t="str">
        <f t="shared" ref="AV8:AV13" si="25">IF(G30-B30&gt;0,"↑","↓")</f>
        <v>↓</v>
      </c>
    </row>
    <row r="9" spans="1:48" ht="15" x14ac:dyDescent="0.3">
      <c r="M9" s="509" t="str">
        <f>I1</f>
        <v>LeChat</v>
      </c>
      <c r="N9" s="510">
        <f>100-ABS((($K12-I2)/($K12)))*100</f>
        <v>99.501246882793012</v>
      </c>
      <c r="O9" s="511">
        <f t="shared" si="7"/>
        <v>0.12464854732895969</v>
      </c>
      <c r="P9" s="512">
        <f>100-ABS((($K13-I3)/($K13)))*100</f>
        <v>99.584925813972404</v>
      </c>
      <c r="Q9" s="513">
        <f t="shared" si="8"/>
        <v>0.12508736260245251</v>
      </c>
      <c r="R9" s="513">
        <f>100-ABS((($K14-I4)/($K14)))*100</f>
        <v>98.91839487931226</v>
      </c>
      <c r="S9" s="513">
        <f t="shared" si="9"/>
        <v>0.12491933253434132</v>
      </c>
      <c r="T9" s="514">
        <f>100-ABS((($K15-I5)/($K15)))*100</f>
        <v>85.32110091743121</v>
      </c>
      <c r="U9" s="513">
        <f t="shared" si="10"/>
        <v>0.12297249647390694</v>
      </c>
      <c r="V9" s="515">
        <f>100-ABS((($K16-I6)/($K16)))*100</f>
        <v>98.506257569640695</v>
      </c>
      <c r="W9" s="516">
        <f t="shared" si="11"/>
        <v>0.12486438908562422</v>
      </c>
      <c r="X9" s="517">
        <f>100-ABS((($K17-I7)/($K17)))*100</f>
        <v>99.515868746637963</v>
      </c>
      <c r="Y9" s="124">
        <f t="shared" si="12"/>
        <v>0.12467931581383017</v>
      </c>
      <c r="Z9" s="29"/>
      <c r="AA9" s="139">
        <f t="shared" si="13"/>
        <v>95.582669795089132</v>
      </c>
      <c r="AB9" s="140">
        <f t="shared" si="14"/>
        <v>96.891299134964584</v>
      </c>
      <c r="AC9" s="51" t="str">
        <f>IF($AA9=MAX(AA2:AA9),"TOP","")</f>
        <v/>
      </c>
      <c r="AD9" s="51" t="str">
        <f>IF($AB9=MAX(AB2:AB9),"TOP","")</f>
        <v/>
      </c>
      <c r="AE9" s="52"/>
      <c r="AF9" s="1319" t="s">
        <v>44</v>
      </c>
      <c r="AG9" s="1319"/>
      <c r="AH9" s="125">
        <f>AVERAGE(AH3:AH6)</f>
        <v>97.259955586287916</v>
      </c>
      <c r="AJ9" s="1310" t="s">
        <v>44</v>
      </c>
      <c r="AK9" s="1310"/>
      <c r="AL9" s="126">
        <f>AVERAGE(AL3:AL6)</f>
        <v>97.73576968004609</v>
      </c>
      <c r="AN9" s="1315"/>
      <c r="AO9" s="182">
        <f t="shared" si="18"/>
        <v>-6.3014395212178768E-3</v>
      </c>
      <c r="AP9" s="183" t="str">
        <f t="shared" si="19"/>
        <v>↓</v>
      </c>
      <c r="AQ9" s="184">
        <f t="shared" si="20"/>
        <v>-1.0324463183498814E-2</v>
      </c>
      <c r="AR9" s="185" t="str">
        <f t="shared" si="21"/>
        <v>↓</v>
      </c>
      <c r="AS9" s="182">
        <f t="shared" si="22"/>
        <v>-9.8008790701298691E-3</v>
      </c>
      <c r="AT9" s="183" t="str">
        <f t="shared" si="23"/>
        <v>↓</v>
      </c>
      <c r="AU9" s="182">
        <f t="shared" si="24"/>
        <v>-1.1242816949548685E-2</v>
      </c>
      <c r="AV9" s="183" t="str">
        <f t="shared" si="25"/>
        <v>↓</v>
      </c>
    </row>
    <row r="10" spans="1:48" ht="15" x14ac:dyDescent="0.3"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98.164338330611159</v>
      </c>
      <c r="AJ10" s="1311" t="s">
        <v>51</v>
      </c>
      <c r="AK10" s="1311"/>
      <c r="AL10" s="142">
        <f>AVERAGE(AL2:AL7)</f>
        <v>98.361456907269471</v>
      </c>
      <c r="AN10" s="1315"/>
      <c r="AO10" s="182">
        <f t="shared" si="18"/>
        <v>3.7683487913531402E-4</v>
      </c>
      <c r="AP10" s="183" t="str">
        <f t="shared" si="19"/>
        <v>↑</v>
      </c>
      <c r="AQ10" s="184">
        <f t="shared" si="20"/>
        <v>-9.1136784383470254E-3</v>
      </c>
      <c r="AR10" s="185" t="str">
        <f t="shared" si="21"/>
        <v>↓</v>
      </c>
      <c r="AS10" s="182">
        <f t="shared" si="22"/>
        <v>-8.8215583770018136E-3</v>
      </c>
      <c r="AT10" s="183" t="str">
        <f t="shared" si="23"/>
        <v>↓</v>
      </c>
      <c r="AU10" s="182">
        <f t="shared" si="24"/>
        <v>-1.0151172131746147E-2</v>
      </c>
      <c r="AV10" s="183" t="str">
        <f t="shared" si="25"/>
        <v>↓</v>
      </c>
    </row>
    <row r="11" spans="1:48" ht="15" x14ac:dyDescent="0.3">
      <c r="B11" s="746" t="s">
        <v>46</v>
      </c>
      <c r="C11" s="1325" t="str">
        <f>C20</f>
        <v>RD</v>
      </c>
      <c r="D11" s="1325"/>
      <c r="E11" s="1325">
        <v>85520</v>
      </c>
      <c r="F11" s="1325"/>
      <c r="G11" s="1325" t="s">
        <v>48</v>
      </c>
      <c r="H11" s="1325"/>
      <c r="I11" s="747" t="s">
        <v>36</v>
      </c>
      <c r="J11" s="747" t="s">
        <v>49</v>
      </c>
      <c r="K11" s="748" t="s">
        <v>50</v>
      </c>
      <c r="M11" s="19" t="s">
        <v>53</v>
      </c>
      <c r="N11" s="487" t="s">
        <v>12</v>
      </c>
      <c r="O11" s="21">
        <f>SUM(N12:N19)</f>
        <v>765</v>
      </c>
      <c r="P11" s="591" t="s">
        <v>13</v>
      </c>
      <c r="Q11" s="592">
        <f>SUM(P12:P19)</f>
        <v>685</v>
      </c>
      <c r="R11" s="593" t="s">
        <v>14</v>
      </c>
      <c r="S11" s="592">
        <f>SUM(R12:R19)</f>
        <v>585</v>
      </c>
      <c r="T11" s="593" t="s">
        <v>15</v>
      </c>
      <c r="U11" s="592">
        <f>SUM(T12:T19)</f>
        <v>57</v>
      </c>
      <c r="V11" s="593" t="s">
        <v>16</v>
      </c>
      <c r="W11" s="26">
        <f>SUM(V12:V19)</f>
        <v>555</v>
      </c>
      <c r="X11" s="488" t="s">
        <v>17</v>
      </c>
      <c r="Y11" s="28">
        <f>SUM(X12:X19)</f>
        <v>745</v>
      </c>
      <c r="Z11" s="29"/>
      <c r="AA11" s="30" t="s">
        <v>54</v>
      </c>
      <c r="AB11" s="524" t="s">
        <v>55</v>
      </c>
      <c r="AF11" s="150"/>
      <c r="AN11" s="1315"/>
      <c r="AO11" s="182">
        <f t="shared" si="18"/>
        <v>-2.037147992810065E-2</v>
      </c>
      <c r="AP11" s="183" t="str">
        <f t="shared" si="19"/>
        <v>↓</v>
      </c>
      <c r="AQ11" s="184">
        <f t="shared" si="20"/>
        <v>4.6262625793728238E-2</v>
      </c>
      <c r="AR11" s="185" t="str">
        <f t="shared" si="21"/>
        <v>↑</v>
      </c>
      <c r="AS11" s="182">
        <f t="shared" si="22"/>
        <v>3.2481918783542479E-2</v>
      </c>
      <c r="AT11" s="183" t="str">
        <f t="shared" si="23"/>
        <v>↑</v>
      </c>
      <c r="AU11" s="182">
        <f t="shared" si="24"/>
        <v>0.12043139604553613</v>
      </c>
      <c r="AV11" s="183" t="str">
        <f t="shared" si="25"/>
        <v>↑</v>
      </c>
    </row>
    <row r="12" spans="1:48" ht="15" x14ac:dyDescent="0.3">
      <c r="A12" s="53" t="s">
        <v>12</v>
      </c>
      <c r="B12" s="550">
        <v>4.0019999999999998</v>
      </c>
      <c r="C12" s="551">
        <f t="shared" ref="C12:C17" si="26">AK2</f>
        <v>4.0134430265365717</v>
      </c>
      <c r="D12" s="552" t="str">
        <f t="shared" ref="D12:D17" si="27">IF(ABS(K12-I12)&lt;ABS(C12-K12),$I$11,$C$11)</f>
        <v>RD</v>
      </c>
      <c r="E12" s="551">
        <f t="shared" ref="E12:E17" si="28">AK14</f>
        <v>4.0134430265365717</v>
      </c>
      <c r="F12" s="594">
        <f t="shared" ref="F12:F17" si="29">IF(ABS(K12-I12)&lt;ABS(K12-E12),$I$11,$E$11)</f>
        <v>85520</v>
      </c>
      <c r="G12" s="551">
        <v>4.01</v>
      </c>
      <c r="H12" s="552" t="str">
        <f t="shared" ref="H12:H17" si="30">IF(ABS(I12-K12)&lt;ABS(K12-G12),$I$11,$G$11)</f>
        <v>MICH</v>
      </c>
      <c r="I12" s="553">
        <f>(B2*O22)+(C2*O23)+(D2*O24)+(E2*O25)+(F2*O26)+(G2*O27)+(H2*O28)+(I2*O29)</f>
        <v>4.013709372637944</v>
      </c>
      <c r="J12" s="554">
        <v>4.0101580912863097</v>
      </c>
      <c r="K12" s="597">
        <v>4.01</v>
      </c>
      <c r="M12" s="410" t="str">
        <f t="shared" ref="M12:M19" si="31">M2</f>
        <v>o 5.1</v>
      </c>
      <c r="N12" s="489">
        <f t="shared" ref="N12:N19" si="32">IF(N2=0,0, LOOKUP(N2-0.000000000001,$AA$12:$AA$28,$AB$12:$AB$28))</f>
        <v>95</v>
      </c>
      <c r="O12" s="412">
        <f t="shared" ref="O12:O19" si="33">N12/$O$11</f>
        <v>0.12418300653594772</v>
      </c>
      <c r="P12" s="598">
        <f t="shared" ref="P12:P19" si="34">IF(P2=0,0, LOOKUP(P2-0.000000000001,$AA$12:$AA$28,$AB$12:$AB$28))</f>
        <v>80</v>
      </c>
      <c r="Q12" s="599">
        <f t="shared" ref="Q12:Q19" si="35">P12/$Q$11</f>
        <v>0.11678832116788321</v>
      </c>
      <c r="R12" s="415">
        <f t="shared" ref="R12:R19" si="36">IF(R2=0,0, LOOKUP(R2-0.000000000001,$AA$12:$AA$28,$AB$12:$AB$28))</f>
        <v>70</v>
      </c>
      <c r="S12" s="599">
        <f t="shared" ref="S12:S19" si="37">R12/$S$11</f>
        <v>0.11965811965811966</v>
      </c>
      <c r="T12" s="415">
        <f t="shared" ref="T12:T19" si="38">IF(T2=0,0, LOOKUP(T2-0.000000000001,$AA$12:$AA$28,$AB$12:$AB$28))</f>
        <v>5</v>
      </c>
      <c r="U12" s="599">
        <f t="shared" ref="U12:U19" si="39">T12/$U$11</f>
        <v>8.771929824561403E-2</v>
      </c>
      <c r="V12" s="415">
        <f t="shared" ref="V12:V19" si="40">IF(V2=0,0, LOOKUP(V2-0.000000000001,$AA$12:$AA$28,$AB$12:$AB$28))</f>
        <v>65</v>
      </c>
      <c r="W12" s="415">
        <f t="shared" ref="W12:W19" si="41">V12/$W$11</f>
        <v>0.11711711711711711</v>
      </c>
      <c r="X12" s="490">
        <f t="shared" ref="X12:X19" si="42">IF(X2=0,0, LOOKUP(X2-0.000000000001,$AA$12:$AA$28,$AB$12:$AB$28))</f>
        <v>90</v>
      </c>
      <c r="Y12" s="179">
        <f t="shared" ref="Y12:Y19" si="43">X12/$Y$11</f>
        <v>0.12080536912751678</v>
      </c>
      <c r="Z12" s="29"/>
      <c r="AA12" s="49">
        <v>1</v>
      </c>
      <c r="AB12" s="525">
        <v>0.1</v>
      </c>
      <c r="AN12" s="1315"/>
      <c r="AO12" s="182">
        <f t="shared" si="18"/>
        <v>-9.374350114379891E-3</v>
      </c>
      <c r="AP12" s="183" t="str">
        <f t="shared" si="19"/>
        <v>↓</v>
      </c>
      <c r="AQ12" s="184">
        <f t="shared" si="20"/>
        <v>-1.8303820147451612E-2</v>
      </c>
      <c r="AR12" s="185" t="str">
        <f t="shared" si="21"/>
        <v>↓</v>
      </c>
      <c r="AS12" s="182">
        <f t="shared" si="22"/>
        <v>-1.5744270628166971E-2</v>
      </c>
      <c r="AT12" s="183" t="str">
        <f t="shared" si="23"/>
        <v>↓</v>
      </c>
      <c r="AU12" s="182">
        <f t="shared" si="24"/>
        <v>-2.1772168098414701E-2</v>
      </c>
      <c r="AV12" s="183" t="str">
        <f t="shared" si="25"/>
        <v>↓</v>
      </c>
    </row>
    <row r="13" spans="1:48" ht="15" x14ac:dyDescent="0.3">
      <c r="A13" s="60" t="s">
        <v>13</v>
      </c>
      <c r="B13" s="556">
        <v>47112.45</v>
      </c>
      <c r="C13" s="532">
        <f t="shared" si="26"/>
        <v>47254.849390317671</v>
      </c>
      <c r="D13" s="600" t="str">
        <f t="shared" si="27"/>
        <v>RD</v>
      </c>
      <c r="E13" s="532">
        <f t="shared" si="28"/>
        <v>47279.849390317671</v>
      </c>
      <c r="F13" s="600">
        <f t="shared" si="29"/>
        <v>85520</v>
      </c>
      <c r="G13" s="532">
        <v>47211</v>
      </c>
      <c r="H13" s="600" t="str">
        <f t="shared" si="30"/>
        <v>LLM</v>
      </c>
      <c r="I13" s="558">
        <f>(B3*Q22)+(C3*Q23)+(D3*Q24)+(E3*Q25)+(F3*Q26)+(G3*Q27)+(H3*Q28)+(I3*Q29)</f>
        <v>47217.776097702816</v>
      </c>
      <c r="J13" s="559">
        <v>46959.241950000003</v>
      </c>
      <c r="K13" s="603">
        <v>47446.94</v>
      </c>
      <c r="M13" s="420" t="str">
        <f t="shared" si="31"/>
        <v>Grok 4.1</v>
      </c>
      <c r="N13" s="489">
        <f t="shared" si="32"/>
        <v>100</v>
      </c>
      <c r="O13" s="412">
        <f t="shared" si="33"/>
        <v>0.13071895424836602</v>
      </c>
      <c r="P13" s="598">
        <f t="shared" si="34"/>
        <v>95</v>
      </c>
      <c r="Q13" s="599">
        <f t="shared" si="35"/>
        <v>0.13868613138686131</v>
      </c>
      <c r="R13" s="415">
        <f t="shared" si="36"/>
        <v>80</v>
      </c>
      <c r="S13" s="599">
        <f t="shared" si="37"/>
        <v>0.13675213675213677</v>
      </c>
      <c r="T13" s="415">
        <f t="shared" si="38"/>
        <v>20</v>
      </c>
      <c r="U13" s="599">
        <f t="shared" si="39"/>
        <v>0.35087719298245612</v>
      </c>
      <c r="V13" s="415">
        <f t="shared" si="40"/>
        <v>70</v>
      </c>
      <c r="W13" s="415">
        <f t="shared" si="41"/>
        <v>0.12612612612612611</v>
      </c>
      <c r="X13" s="490">
        <f t="shared" si="42"/>
        <v>90</v>
      </c>
      <c r="Y13" s="179">
        <f t="shared" si="43"/>
        <v>0.12080536912751678</v>
      </c>
      <c r="Z13" s="29"/>
      <c r="AA13" s="73">
        <v>80</v>
      </c>
      <c r="AB13" s="526">
        <v>1</v>
      </c>
      <c r="AF13" s="4"/>
      <c r="AG13" s="1314" t="s">
        <v>21</v>
      </c>
      <c r="AH13" s="1314"/>
      <c r="AJ13" s="4"/>
      <c r="AK13" s="1314" t="s">
        <v>69</v>
      </c>
      <c r="AL13" s="1314"/>
      <c r="AN13" s="1315"/>
      <c r="AO13" s="269">
        <f t="shared" si="18"/>
        <v>5.7709648331831301E-3</v>
      </c>
      <c r="AP13" s="270" t="str">
        <f t="shared" si="19"/>
        <v>↑</v>
      </c>
      <c r="AQ13" s="271">
        <f t="shared" si="20"/>
        <v>-1.1535295467994132E-3</v>
      </c>
      <c r="AR13" s="272" t="str">
        <f t="shared" si="21"/>
        <v>↓</v>
      </c>
      <c r="AS13" s="269">
        <f t="shared" si="22"/>
        <v>-3.8586693123539668E-3</v>
      </c>
      <c r="AT13" s="270" t="str">
        <f t="shared" si="23"/>
        <v>↓</v>
      </c>
      <c r="AU13" s="269">
        <f t="shared" si="24"/>
        <v>2.344454463480531E-3</v>
      </c>
      <c r="AV13" s="270" t="str">
        <f t="shared" si="25"/>
        <v>↑</v>
      </c>
    </row>
    <row r="14" spans="1:48" ht="14.4" x14ac:dyDescent="0.3">
      <c r="A14" s="82" t="s">
        <v>14</v>
      </c>
      <c r="B14" s="561">
        <v>6765.88</v>
      </c>
      <c r="C14" s="535">
        <f t="shared" si="26"/>
        <v>6784.1032005718571</v>
      </c>
      <c r="D14" s="604" t="str">
        <f t="shared" si="27"/>
        <v>RD</v>
      </c>
      <c r="E14" s="535">
        <f t="shared" si="28"/>
        <v>6786.1032005718571</v>
      </c>
      <c r="F14" s="604">
        <f t="shared" si="29"/>
        <v>85520</v>
      </c>
      <c r="G14" s="535">
        <v>6777</v>
      </c>
      <c r="H14" s="604" t="str">
        <f t="shared" si="30"/>
        <v>LLM</v>
      </c>
      <c r="I14" s="563">
        <f>(B4*S22)+(C4*S23)+(D4*S24)+(E4*S25)+(F4*S26)+(G4*S27)+(H4*S28)+(I4*S29)</f>
        <v>6779.6211180124228</v>
      </c>
      <c r="J14" s="564">
        <v>6731.4128620689698</v>
      </c>
      <c r="K14" s="607">
        <v>6849.08</v>
      </c>
      <c r="M14" s="420" t="str">
        <f t="shared" si="31"/>
        <v>Gemini Pro 3</v>
      </c>
      <c r="N14" s="489">
        <f t="shared" si="32"/>
        <v>100</v>
      </c>
      <c r="O14" s="412">
        <f t="shared" si="33"/>
        <v>0.13071895424836602</v>
      </c>
      <c r="P14" s="598">
        <f t="shared" si="34"/>
        <v>90</v>
      </c>
      <c r="Q14" s="599">
        <f t="shared" si="35"/>
        <v>0.13138686131386862</v>
      </c>
      <c r="R14" s="415">
        <f t="shared" si="36"/>
        <v>80</v>
      </c>
      <c r="S14" s="599">
        <f t="shared" si="37"/>
        <v>0.13675213675213677</v>
      </c>
      <c r="T14" s="415">
        <f t="shared" si="38"/>
        <v>10</v>
      </c>
      <c r="U14" s="599">
        <f t="shared" si="39"/>
        <v>0.17543859649122806</v>
      </c>
      <c r="V14" s="415">
        <f t="shared" si="40"/>
        <v>70</v>
      </c>
      <c r="W14" s="415">
        <f t="shared" si="41"/>
        <v>0.12612612612612611</v>
      </c>
      <c r="X14" s="490">
        <f t="shared" si="42"/>
        <v>95</v>
      </c>
      <c r="Y14" s="179">
        <f t="shared" si="43"/>
        <v>0.12751677852348994</v>
      </c>
      <c r="Z14" s="29"/>
      <c r="AA14" s="73">
        <v>82.5</v>
      </c>
      <c r="AB14" s="526">
        <v>2</v>
      </c>
      <c r="AF14" s="341" t="str">
        <f t="shared" ref="AF14:AF19" si="44">AF27</f>
        <v>TNX</v>
      </c>
      <c r="AG14" s="342">
        <f>AK2</f>
        <v>4.0134430265365717</v>
      </c>
      <c r="AH14" s="57">
        <f t="shared" ref="AH14:AH19" si="45">100-ABS(($K12-AG14)/($K12))*100</f>
        <v>99.914138989112914</v>
      </c>
      <c r="AJ14" s="341" t="str">
        <f t="shared" ref="AJ14:AJ19" si="46">AJ2</f>
        <v>TNX</v>
      </c>
      <c r="AK14" s="342">
        <f t="shared" ref="AK14:AK19" si="47">IF(AN27=1,AQ27,AQ37)</f>
        <v>4.0134430265365717</v>
      </c>
      <c r="AL14" s="57">
        <f t="shared" ref="AL14:AL19" si="48">100-ABS(($K12-AK14)/($K12))*100</f>
        <v>99.914138989112914</v>
      </c>
    </row>
    <row r="15" spans="1:48" ht="14.4" x14ac:dyDescent="0.3">
      <c r="A15" s="82" t="s">
        <v>15</v>
      </c>
      <c r="B15" s="561">
        <v>18.59</v>
      </c>
      <c r="C15" s="538">
        <f t="shared" si="26"/>
        <v>17.462123224497326</v>
      </c>
      <c r="D15" s="604" t="str">
        <f t="shared" si="27"/>
        <v>RD</v>
      </c>
      <c r="E15" s="538">
        <f t="shared" si="28"/>
        <v>17.232123224497325</v>
      </c>
      <c r="F15" s="604">
        <f t="shared" si="29"/>
        <v>85520</v>
      </c>
      <c r="G15" s="538">
        <v>18.7</v>
      </c>
      <c r="H15" s="604" t="str">
        <f t="shared" si="30"/>
        <v>LLM</v>
      </c>
      <c r="I15" s="566">
        <f>(B5*U22)+(C5*U23)+(D5*U24)+(E5*U25)+(F5*U26)+(G5*U27)+(H5*U28)+(I5*U29)</f>
        <v>18.522123224497324</v>
      </c>
      <c r="J15" s="567">
        <v>18.806438677054899</v>
      </c>
      <c r="K15" s="607">
        <v>16.350000000000001</v>
      </c>
      <c r="M15" s="420" t="str">
        <f t="shared" si="31"/>
        <v>Claude</v>
      </c>
      <c r="N15" s="489">
        <f t="shared" si="32"/>
        <v>90</v>
      </c>
      <c r="O15" s="412">
        <f t="shared" si="33"/>
        <v>0.11764705882352941</v>
      </c>
      <c r="P15" s="598">
        <f t="shared" si="34"/>
        <v>80</v>
      </c>
      <c r="Q15" s="599">
        <f t="shared" si="35"/>
        <v>0.11678832116788321</v>
      </c>
      <c r="R15" s="415">
        <f t="shared" si="36"/>
        <v>70</v>
      </c>
      <c r="S15" s="599">
        <f t="shared" si="37"/>
        <v>0.11965811965811966</v>
      </c>
      <c r="T15" s="415">
        <f t="shared" si="38"/>
        <v>5</v>
      </c>
      <c r="U15" s="599">
        <f t="shared" si="39"/>
        <v>8.771929824561403E-2</v>
      </c>
      <c r="V15" s="415">
        <f t="shared" si="40"/>
        <v>70</v>
      </c>
      <c r="W15" s="415">
        <f t="shared" si="41"/>
        <v>0.12612612612612611</v>
      </c>
      <c r="X15" s="490">
        <f t="shared" si="42"/>
        <v>95</v>
      </c>
      <c r="Y15" s="179">
        <f t="shared" si="43"/>
        <v>0.12751677852348994</v>
      </c>
      <c r="Z15" s="29"/>
      <c r="AA15" s="73">
        <v>85</v>
      </c>
      <c r="AB15" s="526">
        <v>5</v>
      </c>
      <c r="AF15" s="343" t="str">
        <f t="shared" si="44"/>
        <v>DJI</v>
      </c>
      <c r="AG15" s="344">
        <f>AK3-9</f>
        <v>47245.849390317671</v>
      </c>
      <c r="AH15" s="78">
        <f t="shared" si="45"/>
        <v>99.576177916463465</v>
      </c>
      <c r="AJ15" s="343" t="str">
        <f t="shared" si="46"/>
        <v>DJI</v>
      </c>
      <c r="AK15" s="344">
        <f t="shared" si="47"/>
        <v>47279.849390317671</v>
      </c>
      <c r="AL15" s="78">
        <f t="shared" si="48"/>
        <v>99.647836910699965</v>
      </c>
    </row>
    <row r="16" spans="1:48" ht="14.4" x14ac:dyDescent="0.3">
      <c r="A16" s="99" t="s">
        <v>16</v>
      </c>
      <c r="B16" s="568">
        <v>608.89</v>
      </c>
      <c r="C16" s="542">
        <f t="shared" si="26"/>
        <v>613.66809898762654</v>
      </c>
      <c r="D16" s="608" t="str">
        <f t="shared" si="27"/>
        <v>RD</v>
      </c>
      <c r="E16" s="542">
        <f t="shared" si="28"/>
        <v>615.26809898762656</v>
      </c>
      <c r="F16" s="609">
        <f t="shared" si="29"/>
        <v>85520</v>
      </c>
      <c r="G16" s="542">
        <v>611.5</v>
      </c>
      <c r="H16" s="608" t="str">
        <f t="shared" si="30"/>
        <v>MICH</v>
      </c>
      <c r="I16" s="570">
        <f>(B6*W22)+(C6*W23)+(D6*W24)+(E6*W25)+(F6*W26)+(G6*W27)+(H6*W28)+(I6*W29)</f>
        <v>610.66809898762654</v>
      </c>
      <c r="J16" s="571">
        <v>604.93052898550695</v>
      </c>
      <c r="K16" s="612">
        <v>619.25</v>
      </c>
      <c r="M16" s="420" t="str">
        <f t="shared" si="31"/>
        <v>Minimax 2</v>
      </c>
      <c r="N16" s="489">
        <f t="shared" si="32"/>
        <v>100</v>
      </c>
      <c r="O16" s="412">
        <f t="shared" si="33"/>
        <v>0.13071895424836602</v>
      </c>
      <c r="P16" s="598">
        <f t="shared" si="34"/>
        <v>90</v>
      </c>
      <c r="Q16" s="599">
        <f t="shared" si="35"/>
        <v>0.13138686131386862</v>
      </c>
      <c r="R16" s="415">
        <f t="shared" si="36"/>
        <v>75</v>
      </c>
      <c r="S16" s="599">
        <f t="shared" si="37"/>
        <v>0.12820512820512819</v>
      </c>
      <c r="T16" s="415">
        <f t="shared" si="38"/>
        <v>2</v>
      </c>
      <c r="U16" s="599">
        <f t="shared" si="39"/>
        <v>3.5087719298245612E-2</v>
      </c>
      <c r="V16" s="415">
        <f t="shared" si="40"/>
        <v>70</v>
      </c>
      <c r="W16" s="415">
        <f t="shared" si="41"/>
        <v>0.12612612612612611</v>
      </c>
      <c r="X16" s="490">
        <f t="shared" si="42"/>
        <v>95</v>
      </c>
      <c r="Y16" s="179">
        <f t="shared" si="43"/>
        <v>0.12751677852348994</v>
      </c>
      <c r="Z16" s="29"/>
      <c r="AA16" s="73">
        <v>87.5</v>
      </c>
      <c r="AB16" s="526">
        <v>10</v>
      </c>
      <c r="AF16" s="345" t="str">
        <f t="shared" si="44"/>
        <v>SPX</v>
      </c>
      <c r="AG16" s="346">
        <f>AK4</f>
        <v>6784.1032005718571</v>
      </c>
      <c r="AH16" s="89">
        <f t="shared" si="45"/>
        <v>99.05130616917684</v>
      </c>
      <c r="AJ16" s="345" t="str">
        <f t="shared" si="46"/>
        <v>SPX</v>
      </c>
      <c r="AK16" s="346">
        <f t="shared" si="47"/>
        <v>6786.1032005718571</v>
      </c>
      <c r="AL16" s="89">
        <f t="shared" si="48"/>
        <v>99.080507171355237</v>
      </c>
      <c r="AN16" s="613" t="str">
        <f>A2</f>
        <v>TNX</v>
      </c>
      <c r="AO16" s="614" t="str">
        <f>A3</f>
        <v>DJI</v>
      </c>
      <c r="AP16" s="614" t="str">
        <f>A4</f>
        <v>SPX</v>
      </c>
      <c r="AQ16" s="614" t="str">
        <f>A5</f>
        <v>VIX</v>
      </c>
      <c r="AR16" s="614" t="str">
        <f>A6</f>
        <v>QQQ</v>
      </c>
      <c r="AS16" s="614" t="str">
        <f>A7</f>
        <v>AAPL</v>
      </c>
      <c r="AT16" s="615" t="s">
        <v>113</v>
      </c>
    </row>
    <row r="17" spans="1:46" ht="14.4" x14ac:dyDescent="0.3">
      <c r="A17" s="114" t="s">
        <v>17</v>
      </c>
      <c r="B17" s="573">
        <v>276.97000000000003</v>
      </c>
      <c r="C17" s="574">
        <f t="shared" si="26"/>
        <v>276.93018393314986</v>
      </c>
      <c r="D17" s="575" t="str">
        <f t="shared" si="27"/>
        <v>LLM</v>
      </c>
      <c r="E17" s="574">
        <f t="shared" si="28"/>
        <v>276.18018393314986</v>
      </c>
      <c r="F17" s="616" t="str">
        <f t="shared" si="29"/>
        <v>LLM</v>
      </c>
      <c r="G17" s="574">
        <v>277.89999999999998</v>
      </c>
      <c r="H17" s="575" t="str">
        <f t="shared" si="30"/>
        <v>LLM</v>
      </c>
      <c r="I17" s="576">
        <f>(B7*Y22)+(C7*Y23)+(D7*Y24)+(E7*Y25)+(F7*Y26)+(G7*Y27)+(H7*Y28)+(I7*Y29)</f>
        <v>278.56412786812206</v>
      </c>
      <c r="J17" s="577">
        <v>277.96882149046797</v>
      </c>
      <c r="K17" s="619">
        <v>278.85000000000002</v>
      </c>
      <c r="M17" s="420" t="str">
        <f t="shared" si="31"/>
        <v>Kimi 2</v>
      </c>
      <c r="N17" s="489">
        <f t="shared" si="32"/>
        <v>95</v>
      </c>
      <c r="O17" s="412">
        <f t="shared" si="33"/>
        <v>0.12418300653594772</v>
      </c>
      <c r="P17" s="598">
        <f t="shared" si="34"/>
        <v>80</v>
      </c>
      <c r="Q17" s="599">
        <f t="shared" si="35"/>
        <v>0.11678832116788321</v>
      </c>
      <c r="R17" s="415">
        <f t="shared" si="36"/>
        <v>70</v>
      </c>
      <c r="S17" s="599">
        <f t="shared" si="37"/>
        <v>0.11965811965811966</v>
      </c>
      <c r="T17" s="415">
        <f t="shared" si="38"/>
        <v>5</v>
      </c>
      <c r="U17" s="599">
        <f t="shared" si="39"/>
        <v>8.771929824561403E-2</v>
      </c>
      <c r="V17" s="415">
        <f t="shared" si="40"/>
        <v>70</v>
      </c>
      <c r="W17" s="415">
        <f t="shared" si="41"/>
        <v>0.12612612612612611</v>
      </c>
      <c r="X17" s="490">
        <f t="shared" si="42"/>
        <v>95</v>
      </c>
      <c r="Y17" s="179">
        <f t="shared" si="43"/>
        <v>0.12751677852348994</v>
      </c>
      <c r="Z17" s="29"/>
      <c r="AA17" s="73">
        <v>90</v>
      </c>
      <c r="AB17" s="526">
        <v>20</v>
      </c>
      <c r="AF17" s="345" t="str">
        <f t="shared" si="44"/>
        <v>VIX</v>
      </c>
      <c r="AG17" s="347">
        <f>AK5+0.4</f>
        <v>17.862123224497324</v>
      </c>
      <c r="AH17" s="89">
        <f t="shared" si="45"/>
        <v>90.751539911331363</v>
      </c>
      <c r="AJ17" s="345" t="str">
        <f t="shared" si="46"/>
        <v>VIX</v>
      </c>
      <c r="AK17" s="347">
        <f t="shared" si="47"/>
        <v>17.232123224497325</v>
      </c>
      <c r="AL17" s="89">
        <f t="shared" si="48"/>
        <v>94.604750920505666</v>
      </c>
      <c r="AN17" s="620">
        <f>J12</f>
        <v>4.0101580912863097</v>
      </c>
      <c r="AO17" s="621">
        <f>J13</f>
        <v>46959.241950000003</v>
      </c>
      <c r="AP17" s="621">
        <f>J14</f>
        <v>6731.4128620689698</v>
      </c>
      <c r="AQ17" s="622">
        <f>J15</f>
        <v>18.806438677054899</v>
      </c>
      <c r="AR17" s="623">
        <f>J16</f>
        <v>604.93052898550695</v>
      </c>
      <c r="AS17" s="623">
        <f>J17</f>
        <v>277.96882149046797</v>
      </c>
      <c r="AT17" s="624" t="str">
        <f>J11</f>
        <v>ML</v>
      </c>
    </row>
    <row r="18" spans="1:46" ht="14.4" x14ac:dyDescent="0.3">
      <c r="M18" s="420" t="str">
        <f t="shared" si="31"/>
        <v>Qwen3 Max</v>
      </c>
      <c r="N18" s="489">
        <f t="shared" si="32"/>
        <v>95</v>
      </c>
      <c r="O18" s="412">
        <f t="shared" si="33"/>
        <v>0.12418300653594772</v>
      </c>
      <c r="P18" s="598">
        <f t="shared" si="34"/>
        <v>80</v>
      </c>
      <c r="Q18" s="599">
        <f t="shared" si="35"/>
        <v>0.11678832116788321</v>
      </c>
      <c r="R18" s="415">
        <f t="shared" si="36"/>
        <v>70</v>
      </c>
      <c r="S18" s="599">
        <f t="shared" si="37"/>
        <v>0.11965811965811966</v>
      </c>
      <c r="T18" s="415">
        <f t="shared" si="38"/>
        <v>5</v>
      </c>
      <c r="U18" s="599">
        <f t="shared" si="39"/>
        <v>8.771929824561403E-2</v>
      </c>
      <c r="V18" s="415">
        <f t="shared" si="40"/>
        <v>70</v>
      </c>
      <c r="W18" s="415">
        <f t="shared" si="41"/>
        <v>0.12612612612612611</v>
      </c>
      <c r="X18" s="490">
        <f t="shared" si="42"/>
        <v>95</v>
      </c>
      <c r="Y18" s="179">
        <f t="shared" si="43"/>
        <v>0.12751677852348994</v>
      </c>
      <c r="Z18" s="29"/>
      <c r="AA18" s="73">
        <v>92.5</v>
      </c>
      <c r="AB18" s="526">
        <v>30</v>
      </c>
      <c r="AF18" s="348" t="str">
        <f t="shared" si="44"/>
        <v>QQQ</v>
      </c>
      <c r="AG18" s="349">
        <f>(I16+J16)/2+AQ30/5*2</f>
        <v>614.6921632763657</v>
      </c>
      <c r="AH18" s="107">
        <f t="shared" si="45"/>
        <v>99.263974691379204</v>
      </c>
      <c r="AJ18" s="348" t="str">
        <f t="shared" si="46"/>
        <v>QQQ</v>
      </c>
      <c r="AK18" s="349">
        <f t="shared" si="47"/>
        <v>615.26809898762656</v>
      </c>
      <c r="AL18" s="107">
        <f t="shared" si="48"/>
        <v>99.356980054521856</v>
      </c>
      <c r="AN18" s="625">
        <v>1.5762676609459601E-2</v>
      </c>
      <c r="AO18" s="626">
        <v>261.53141368494801</v>
      </c>
      <c r="AP18" s="626">
        <v>19.625261182951402</v>
      </c>
      <c r="AQ18" s="627">
        <v>0.70066596170273798</v>
      </c>
      <c r="AR18" s="627">
        <v>-1.5210822886962201</v>
      </c>
      <c r="AS18" s="627">
        <v>7.5887507371021498E-2</v>
      </c>
      <c r="AT18" s="628" t="s">
        <v>114</v>
      </c>
    </row>
    <row r="19" spans="1:46" ht="14.4" x14ac:dyDescent="0.3">
      <c r="M19" s="431" t="str">
        <f t="shared" si="31"/>
        <v>LeChat</v>
      </c>
      <c r="N19" s="491">
        <f t="shared" si="32"/>
        <v>90</v>
      </c>
      <c r="O19" s="433">
        <f t="shared" si="33"/>
        <v>0.11764705882352941</v>
      </c>
      <c r="P19" s="629">
        <f t="shared" si="34"/>
        <v>90</v>
      </c>
      <c r="Q19" s="630">
        <f t="shared" si="35"/>
        <v>0.13138686131386862</v>
      </c>
      <c r="R19" s="436">
        <f t="shared" si="36"/>
        <v>70</v>
      </c>
      <c r="S19" s="630">
        <f t="shared" si="37"/>
        <v>0.11965811965811966</v>
      </c>
      <c r="T19" s="436">
        <f t="shared" si="38"/>
        <v>5</v>
      </c>
      <c r="U19" s="630">
        <f t="shared" si="39"/>
        <v>8.771929824561403E-2</v>
      </c>
      <c r="V19" s="436">
        <f t="shared" si="40"/>
        <v>70</v>
      </c>
      <c r="W19" s="436">
        <f t="shared" si="41"/>
        <v>0.12612612612612611</v>
      </c>
      <c r="X19" s="492">
        <f t="shared" si="42"/>
        <v>90</v>
      </c>
      <c r="Y19" s="235">
        <f t="shared" si="43"/>
        <v>0.12080536912751678</v>
      </c>
      <c r="Z19" s="29"/>
      <c r="AA19" s="73">
        <v>95</v>
      </c>
      <c r="AB19" s="526">
        <v>40</v>
      </c>
      <c r="AF19" s="350" t="str">
        <f t="shared" si="44"/>
        <v>AAPL</v>
      </c>
      <c r="AG19" s="351">
        <f>(I17+J17)/2*0.98</f>
        <v>272.70114518570909</v>
      </c>
      <c r="AH19" s="118">
        <f t="shared" si="45"/>
        <v>97.79492386075276</v>
      </c>
      <c r="AJ19" s="350" t="str">
        <f t="shared" si="46"/>
        <v>AAPL</v>
      </c>
      <c r="AK19" s="351">
        <f t="shared" si="47"/>
        <v>276.18018393314986</v>
      </c>
      <c r="AL19" s="118">
        <f t="shared" si="48"/>
        <v>99.042561926896127</v>
      </c>
      <c r="AN19" s="625">
        <v>-0.19032300632235599</v>
      </c>
      <c r="AO19" s="626">
        <v>0.75325559260472097</v>
      </c>
      <c r="AP19" s="626">
        <v>1.2020222192249099</v>
      </c>
      <c r="AQ19" s="627">
        <v>0.58515758208608903</v>
      </c>
      <c r="AR19" s="627">
        <v>-0.36158464541153601</v>
      </c>
      <c r="AS19" s="627">
        <v>9.2241796344370002</v>
      </c>
      <c r="AT19" s="631" t="s">
        <v>115</v>
      </c>
    </row>
    <row r="20" spans="1:46" ht="14.4" x14ac:dyDescent="0.3">
      <c r="A20" s="2" t="s">
        <v>0</v>
      </c>
      <c r="B20" s="749" t="str">
        <f t="shared" ref="B20:B26" si="49">B11</f>
        <v>Close YF</v>
      </c>
      <c r="C20" s="1325" t="s">
        <v>47</v>
      </c>
      <c r="D20" s="1325"/>
      <c r="E20" s="1325">
        <v>85520</v>
      </c>
      <c r="F20" s="1325"/>
      <c r="G20" s="1325" t="str">
        <f t="shared" ref="G20:G26" si="50">G11</f>
        <v>MICH</v>
      </c>
      <c r="H20" s="1325"/>
      <c r="I20" s="1326" t="s">
        <v>50</v>
      </c>
      <c r="J20" s="1326"/>
      <c r="AA20" s="73">
        <v>96</v>
      </c>
      <c r="AB20" s="526">
        <v>50</v>
      </c>
      <c r="AN20" s="632">
        <f t="shared" ref="AN20:AS20" si="51">AN18/AN17</f>
        <v>3.9306870828136158E-3</v>
      </c>
      <c r="AO20" s="633">
        <f t="shared" si="51"/>
        <v>5.5693278431413855E-3</v>
      </c>
      <c r="AP20" s="633">
        <f t="shared" si="51"/>
        <v>2.9154742971625384E-3</v>
      </c>
      <c r="AQ20" s="633">
        <f t="shared" si="51"/>
        <v>3.7256706266114957E-2</v>
      </c>
      <c r="AR20" s="633">
        <f t="shared" si="51"/>
        <v>-2.5144743335191511E-3</v>
      </c>
      <c r="AS20" s="633">
        <f t="shared" si="51"/>
        <v>2.7300726377912785E-4</v>
      </c>
      <c r="AT20" s="634" t="s">
        <v>116</v>
      </c>
    </row>
    <row r="21" spans="1:46" ht="14.4" x14ac:dyDescent="0.3">
      <c r="A21" s="35" t="s">
        <v>12</v>
      </c>
      <c r="B21" s="635">
        <f t="shared" si="49"/>
        <v>4.0019999999999998</v>
      </c>
      <c r="C21" s="636">
        <f t="shared" ref="C21:C26" si="52">C12</f>
        <v>4.0134430265365717</v>
      </c>
      <c r="D21" s="552" t="str">
        <f t="shared" ref="D21:D26" si="53">CONCATENATE(TEXT(AQ1,"0.00%"),"  ",AR1)</f>
        <v>0.29%  ↑</v>
      </c>
      <c r="E21" s="636">
        <f t="shared" ref="E21:E26" si="54">E12</f>
        <v>4.0134430265365717</v>
      </c>
      <c r="F21" s="552" t="str">
        <f t="shared" ref="F21:F26" si="55">CONCATENATE(TEXT(AS1,"0.00%"),"  ",AT1)</f>
        <v>0.29%  ↑</v>
      </c>
      <c r="G21" s="636">
        <f t="shared" si="50"/>
        <v>4.01</v>
      </c>
      <c r="H21" s="552" t="str">
        <f t="shared" ref="H21:H26" si="56">CONCATENATE(TEXT(AU1,"0.00%"),"  ",AV1)</f>
        <v>0.20%  ↑</v>
      </c>
      <c r="I21" s="638">
        <f t="shared" ref="I21:I26" si="57">K12</f>
        <v>4.01</v>
      </c>
      <c r="J21" s="639" t="str">
        <f t="shared" ref="J21:J26" si="58">CONCATENATE(TEXT(AO1,"0.00%"),"  ",AP1)</f>
        <v>0.20%  ↑</v>
      </c>
      <c r="M21" s="19" t="s">
        <v>60</v>
      </c>
      <c r="N21" s="518" t="s">
        <v>12</v>
      </c>
      <c r="O21" s="254">
        <f>SUM(N22:N29)</f>
        <v>661.5</v>
      </c>
      <c r="P21" s="255" t="s">
        <v>13</v>
      </c>
      <c r="Q21" s="256">
        <f>SUM(P22:P29)</f>
        <v>644.8125</v>
      </c>
      <c r="R21" s="257" t="s">
        <v>14</v>
      </c>
      <c r="S21" s="256">
        <f>SUM(R22:R29)</f>
        <v>603.75</v>
      </c>
      <c r="T21" s="257" t="s">
        <v>15</v>
      </c>
      <c r="U21" s="256">
        <f>SUM(T22:T29)</f>
        <v>338.8125</v>
      </c>
      <c r="V21" s="257" t="s">
        <v>16</v>
      </c>
      <c r="W21" s="258">
        <f>SUM(V22:V29)</f>
        <v>555.625</v>
      </c>
      <c r="X21" s="519" t="s">
        <v>17</v>
      </c>
      <c r="Y21" s="28">
        <f>SUM(X22:X29)</f>
        <v>561.125</v>
      </c>
      <c r="Z21" s="29"/>
      <c r="AA21" s="73">
        <v>97</v>
      </c>
      <c r="AB21" s="526">
        <v>60</v>
      </c>
      <c r="AF21" s="1310" t="s">
        <v>44</v>
      </c>
      <c r="AG21" s="1310"/>
      <c r="AH21" s="126">
        <f>AVERAGE(AH15:AH18)</f>
        <v>97.160749672087718</v>
      </c>
      <c r="AJ21" s="1310" t="s">
        <v>44</v>
      </c>
      <c r="AK21" s="1310"/>
      <c r="AL21" s="126">
        <f>AVERAGE(AL15:AL18)</f>
        <v>98.172518764270677</v>
      </c>
      <c r="AN21" s="620">
        <f>K12</f>
        <v>4.01</v>
      </c>
      <c r="AO21" s="621">
        <f>K13</f>
        <v>47446.94</v>
      </c>
      <c r="AP21" s="621">
        <f>K14</f>
        <v>6849.08</v>
      </c>
      <c r="AQ21" s="622">
        <f>K15</f>
        <v>16.350000000000001</v>
      </c>
      <c r="AR21" s="623">
        <f>K16</f>
        <v>619.25</v>
      </c>
      <c r="AS21" s="623">
        <f>K17</f>
        <v>278.85000000000002</v>
      </c>
      <c r="AT21" s="640" t="str">
        <f>K11</f>
        <v xml:space="preserve">+3-day </v>
      </c>
    </row>
    <row r="22" spans="1:46" ht="14.4" x14ac:dyDescent="0.3">
      <c r="A22" s="60" t="s">
        <v>13</v>
      </c>
      <c r="B22" s="641">
        <f t="shared" si="49"/>
        <v>47112.45</v>
      </c>
      <c r="C22" s="642">
        <f t="shared" si="52"/>
        <v>47254.849390317671</v>
      </c>
      <c r="D22" s="557" t="str">
        <f t="shared" si="53"/>
        <v>0.30%  ↑</v>
      </c>
      <c r="E22" s="642">
        <f t="shared" si="54"/>
        <v>47279.849390317671</v>
      </c>
      <c r="F22" s="557" t="str">
        <f t="shared" si="55"/>
        <v>0.36%  ↑</v>
      </c>
      <c r="G22" s="642">
        <f t="shared" si="50"/>
        <v>47211</v>
      </c>
      <c r="H22" s="557" t="str">
        <f t="shared" si="56"/>
        <v>0.21%  ↑</v>
      </c>
      <c r="I22" s="644">
        <f t="shared" si="57"/>
        <v>47446.94</v>
      </c>
      <c r="J22" s="645" t="str">
        <f t="shared" si="58"/>
        <v>0.71%  ↑</v>
      </c>
      <c r="M22" s="410" t="str">
        <f t="shared" ref="M22:M29" si="59">M12</f>
        <v>o 5.1</v>
      </c>
      <c r="N22" s="520">
        <v>83</v>
      </c>
      <c r="O22" s="443">
        <f t="shared" ref="O22:O29" si="60">N22/$O$21</f>
        <v>0.12547241118669691</v>
      </c>
      <c r="P22" s="444">
        <v>75.25</v>
      </c>
      <c r="Q22" s="445">
        <f t="shared" ref="Q22:Q29" si="61">P22/$Q$21</f>
        <v>0.11670059125714839</v>
      </c>
      <c r="R22" s="445">
        <v>70.875</v>
      </c>
      <c r="S22" s="445">
        <f t="shared" ref="S22:S29" si="62">R22/$S$21</f>
        <v>0.11739130434782609</v>
      </c>
      <c r="T22" s="445">
        <v>47</v>
      </c>
      <c r="U22" s="445">
        <f t="shared" ref="U22:U29" si="63">T22/$U$21</f>
        <v>0.13871979339605239</v>
      </c>
      <c r="V22" s="445">
        <v>65.875</v>
      </c>
      <c r="W22" s="446">
        <f t="shared" ref="W22:W29" si="64">V22/$W$21</f>
        <v>0.11856017997750282</v>
      </c>
      <c r="X22" s="521">
        <v>72</v>
      </c>
      <c r="Y22" s="48">
        <f t="shared" ref="Y22:Y29" si="65">X22/$Y$21</f>
        <v>0.12831365560258409</v>
      </c>
      <c r="Z22" s="29"/>
      <c r="AA22" s="73">
        <v>98</v>
      </c>
      <c r="AB22" s="526">
        <v>65</v>
      </c>
      <c r="AF22" s="1311" t="s">
        <v>51</v>
      </c>
      <c r="AG22" s="1311"/>
      <c r="AH22" s="142">
        <f>AVERAGE(AH14:AH19)</f>
        <v>97.725343589702746</v>
      </c>
      <c r="AJ22" s="1311" t="s">
        <v>51</v>
      </c>
      <c r="AK22" s="1311"/>
      <c r="AL22" s="142">
        <f>AVERAGE(AL14:AL19)</f>
        <v>98.607795995515289</v>
      </c>
      <c r="AN22" s="646">
        <f t="shared" ref="AN22:AS22" si="66">AN21/AN17</f>
        <v>0.99996057729328591</v>
      </c>
      <c r="AO22" s="647">
        <f t="shared" si="66"/>
        <v>1.0103855605360768</v>
      </c>
      <c r="AP22" s="647">
        <f t="shared" si="66"/>
        <v>1.017480303220454</v>
      </c>
      <c r="AQ22" s="647">
        <f t="shared" si="66"/>
        <v>0.86938310228549998</v>
      </c>
      <c r="AR22" s="647">
        <f t="shared" si="66"/>
        <v>1.0236712652583553</v>
      </c>
      <c r="AS22" s="647">
        <f t="shared" si="66"/>
        <v>1.0031700624005497</v>
      </c>
      <c r="AT22" s="648" t="s">
        <v>117</v>
      </c>
    </row>
    <row r="23" spans="1:46" ht="14.4" x14ac:dyDescent="0.3">
      <c r="A23" s="82" t="s">
        <v>14</v>
      </c>
      <c r="B23" s="649">
        <f t="shared" si="49"/>
        <v>6765.88</v>
      </c>
      <c r="C23" s="650">
        <f t="shared" si="52"/>
        <v>6784.1032005718571</v>
      </c>
      <c r="D23" s="562" t="str">
        <f t="shared" si="53"/>
        <v>0.27%  ↑</v>
      </c>
      <c r="E23" s="650">
        <f t="shared" si="54"/>
        <v>6786.1032005718571</v>
      </c>
      <c r="F23" s="562" t="str">
        <f t="shared" si="55"/>
        <v>0.30%  ↑</v>
      </c>
      <c r="G23" s="650">
        <f t="shared" si="50"/>
        <v>6777</v>
      </c>
      <c r="H23" s="562" t="str">
        <f t="shared" si="56"/>
        <v>0.16%  ↑</v>
      </c>
      <c r="I23" s="652">
        <f t="shared" si="57"/>
        <v>6849.08</v>
      </c>
      <c r="J23" s="645" t="str">
        <f t="shared" si="58"/>
        <v>1.23%  ↑</v>
      </c>
      <c r="M23" s="420" t="str">
        <f t="shared" si="59"/>
        <v>Grok 4.1</v>
      </c>
      <c r="N23" s="520">
        <v>78.5</v>
      </c>
      <c r="O23" s="443">
        <f t="shared" si="60"/>
        <v>0.11866969009826153</v>
      </c>
      <c r="P23" s="444">
        <v>78.25</v>
      </c>
      <c r="Q23" s="445">
        <f t="shared" si="61"/>
        <v>0.12135310652321411</v>
      </c>
      <c r="R23" s="445">
        <v>77.75</v>
      </c>
      <c r="S23" s="445">
        <f t="shared" si="62"/>
        <v>0.12877846790890268</v>
      </c>
      <c r="T23" s="445">
        <v>36.125</v>
      </c>
      <c r="U23" s="445">
        <f t="shared" si="63"/>
        <v>0.10662239439217856</v>
      </c>
      <c r="V23" s="445">
        <v>67.875</v>
      </c>
      <c r="W23" s="446">
        <f t="shared" si="64"/>
        <v>0.12215973003374578</v>
      </c>
      <c r="X23" s="521">
        <v>74</v>
      </c>
      <c r="Y23" s="48">
        <f t="shared" si="65"/>
        <v>0.13187792381376698</v>
      </c>
      <c r="Z23" s="29"/>
      <c r="AA23" s="73">
        <v>98.5</v>
      </c>
      <c r="AB23" s="526">
        <v>70</v>
      </c>
      <c r="AI23" s="449"/>
      <c r="AN23" s="653"/>
    </row>
    <row r="24" spans="1:46" ht="14.4" x14ac:dyDescent="0.3">
      <c r="A24" s="82" t="s">
        <v>15</v>
      </c>
      <c r="B24" s="649">
        <f t="shared" si="49"/>
        <v>18.59</v>
      </c>
      <c r="C24" s="654">
        <f t="shared" si="52"/>
        <v>17.462123224497326</v>
      </c>
      <c r="D24" s="562" t="str">
        <f t="shared" si="53"/>
        <v>-6.07%  ↓</v>
      </c>
      <c r="E24" s="654">
        <f t="shared" si="54"/>
        <v>17.232123224497325</v>
      </c>
      <c r="F24" s="562" t="str">
        <f t="shared" si="55"/>
        <v>-7.30%  ↓</v>
      </c>
      <c r="G24" s="654">
        <f t="shared" si="50"/>
        <v>18.7</v>
      </c>
      <c r="H24" s="562" t="str">
        <f t="shared" si="56"/>
        <v>0.59%  ↑</v>
      </c>
      <c r="I24" s="652">
        <f t="shared" si="57"/>
        <v>16.350000000000001</v>
      </c>
      <c r="J24" s="645" t="str">
        <f t="shared" si="58"/>
        <v>-12.05%  ↓</v>
      </c>
      <c r="M24" s="420" t="str">
        <f t="shared" si="59"/>
        <v>Gemini Pro 3</v>
      </c>
      <c r="N24" s="520">
        <v>81.75</v>
      </c>
      <c r="O24" s="443">
        <f t="shared" si="60"/>
        <v>0.1235827664399093</v>
      </c>
      <c r="P24" s="444">
        <v>83.75</v>
      </c>
      <c r="Q24" s="445">
        <f t="shared" si="61"/>
        <v>0.12988271784433458</v>
      </c>
      <c r="R24" s="445">
        <v>72.875</v>
      </c>
      <c r="S24" s="445">
        <f t="shared" si="62"/>
        <v>0.12070393374741201</v>
      </c>
      <c r="T24" s="445">
        <v>50.75</v>
      </c>
      <c r="U24" s="445">
        <f t="shared" si="63"/>
        <v>0.14978786201807784</v>
      </c>
      <c r="V24" s="445">
        <v>65.875</v>
      </c>
      <c r="W24" s="446">
        <f t="shared" si="64"/>
        <v>0.11856017997750282</v>
      </c>
      <c r="X24" s="521">
        <v>72</v>
      </c>
      <c r="Y24" s="48">
        <f t="shared" si="65"/>
        <v>0.12831365560258409</v>
      </c>
      <c r="Z24" s="29"/>
      <c r="AA24" s="73">
        <v>99</v>
      </c>
      <c r="AB24" s="526">
        <v>75</v>
      </c>
      <c r="AI24" s="449"/>
      <c r="AM24" s="450"/>
      <c r="AN24" s="656"/>
    </row>
    <row r="25" spans="1:46" ht="14.4" x14ac:dyDescent="0.3">
      <c r="A25" s="99" t="s">
        <v>16</v>
      </c>
      <c r="B25" s="657">
        <f t="shared" si="49"/>
        <v>608.89</v>
      </c>
      <c r="C25" s="658">
        <f t="shared" si="52"/>
        <v>613.66809898762654</v>
      </c>
      <c r="D25" s="569" t="str">
        <f t="shared" si="53"/>
        <v>0.78%  ↑</v>
      </c>
      <c r="E25" s="658">
        <f t="shared" si="54"/>
        <v>615.26809898762656</v>
      </c>
      <c r="F25" s="569" t="str">
        <f t="shared" si="55"/>
        <v>1.05%  ↑</v>
      </c>
      <c r="G25" s="658">
        <f t="shared" si="50"/>
        <v>611.5</v>
      </c>
      <c r="H25" s="569" t="str">
        <f t="shared" si="56"/>
        <v>0.43%  ↑</v>
      </c>
      <c r="I25" s="660">
        <f t="shared" si="57"/>
        <v>619.25</v>
      </c>
      <c r="J25" s="645" t="str">
        <f t="shared" si="58"/>
        <v>1.70%  ↑</v>
      </c>
      <c r="M25" s="420" t="str">
        <f t="shared" si="59"/>
        <v>Claude</v>
      </c>
      <c r="N25" s="520">
        <v>80.25</v>
      </c>
      <c r="O25" s="443">
        <f t="shared" si="60"/>
        <v>0.12131519274376418</v>
      </c>
      <c r="P25" s="444">
        <v>75</v>
      </c>
      <c r="Q25" s="445">
        <f t="shared" si="61"/>
        <v>0.11631288165164291</v>
      </c>
      <c r="R25" s="445">
        <v>83</v>
      </c>
      <c r="S25" s="445">
        <f t="shared" si="62"/>
        <v>0.13747412008281573</v>
      </c>
      <c r="T25" s="445">
        <v>30.5</v>
      </c>
      <c r="U25" s="445">
        <f t="shared" si="63"/>
        <v>9.0020291459140381E-2</v>
      </c>
      <c r="V25" s="445">
        <v>62.75</v>
      </c>
      <c r="W25" s="446">
        <f t="shared" si="64"/>
        <v>0.11293588301462318</v>
      </c>
      <c r="X25" s="521">
        <v>69.25</v>
      </c>
      <c r="Y25" s="48">
        <f t="shared" si="65"/>
        <v>0.12341278681220762</v>
      </c>
      <c r="Z25" s="29"/>
      <c r="AA25" s="73">
        <v>99.25</v>
      </c>
      <c r="AB25" s="526">
        <v>80</v>
      </c>
      <c r="AF25" s="11">
        <v>1</v>
      </c>
      <c r="AG25" s="1322" t="s">
        <v>118</v>
      </c>
      <c r="AH25" s="1322"/>
      <c r="AI25" s="661"/>
      <c r="AJ25" s="662"/>
      <c r="AK25" s="1312" t="s">
        <v>119</v>
      </c>
      <c r="AL25" s="1312"/>
      <c r="AM25" s="663"/>
      <c r="AN25" s="1" t="s">
        <v>120</v>
      </c>
      <c r="AO25" s="661"/>
      <c r="AP25" s="2" t="str">
        <f>AG26</f>
        <v>RD</v>
      </c>
      <c r="AQ25" s="2">
        <f>AH26</f>
        <v>85520</v>
      </c>
      <c r="AR25" s="661"/>
      <c r="AS25" s="2" t="s">
        <v>121</v>
      </c>
    </row>
    <row r="26" spans="1:46" ht="14.4" x14ac:dyDescent="0.3">
      <c r="A26" s="109" t="s">
        <v>17</v>
      </c>
      <c r="B26" s="664">
        <f t="shared" si="49"/>
        <v>276.97000000000003</v>
      </c>
      <c r="C26" s="665">
        <f t="shared" si="52"/>
        <v>276.93018393314986</v>
      </c>
      <c r="D26" s="575" t="str">
        <f t="shared" si="53"/>
        <v>-0.01%  ↓</v>
      </c>
      <c r="E26" s="665">
        <f t="shared" si="54"/>
        <v>276.18018393314986</v>
      </c>
      <c r="F26" s="575" t="str">
        <f t="shared" si="55"/>
        <v>-0.29%  ↓</v>
      </c>
      <c r="G26" s="665">
        <f t="shared" si="50"/>
        <v>277.89999999999998</v>
      </c>
      <c r="H26" s="575" t="str">
        <f t="shared" si="56"/>
        <v>0.34%  ↑</v>
      </c>
      <c r="I26" s="667">
        <f t="shared" si="57"/>
        <v>278.85000000000002</v>
      </c>
      <c r="J26" s="668" t="str">
        <f t="shared" si="58"/>
        <v>0.68%  ↑</v>
      </c>
      <c r="M26" s="420" t="str">
        <f t="shared" si="59"/>
        <v>Minimax 2</v>
      </c>
      <c r="N26" s="520">
        <v>84.875</v>
      </c>
      <c r="O26" s="443">
        <f t="shared" si="60"/>
        <v>0.12830687830687831</v>
      </c>
      <c r="P26" s="444">
        <v>84.25</v>
      </c>
      <c r="Q26" s="445">
        <f t="shared" si="61"/>
        <v>0.13065813705534554</v>
      </c>
      <c r="R26" s="445">
        <v>76</v>
      </c>
      <c r="S26" s="445">
        <f t="shared" si="62"/>
        <v>0.125879917184265</v>
      </c>
      <c r="T26" s="445">
        <v>29.25</v>
      </c>
      <c r="U26" s="445">
        <f t="shared" si="63"/>
        <v>8.6330935251798566E-2</v>
      </c>
      <c r="V26" s="445">
        <v>71.375</v>
      </c>
      <c r="W26" s="446">
        <f t="shared" si="64"/>
        <v>0.12845894263217097</v>
      </c>
      <c r="X26" s="521">
        <v>71.5</v>
      </c>
      <c r="Y26" s="48">
        <f t="shared" si="65"/>
        <v>0.12742258854978838</v>
      </c>
      <c r="Z26" s="29"/>
      <c r="AA26" s="73">
        <v>99.5</v>
      </c>
      <c r="AB26" s="526">
        <v>90</v>
      </c>
      <c r="AG26" s="669" t="s">
        <v>47</v>
      </c>
      <c r="AH26" s="670">
        <v>85520</v>
      </c>
      <c r="AI26" s="661"/>
      <c r="AJ26" s="662"/>
      <c r="AK26" s="669" t="s">
        <v>36</v>
      </c>
      <c r="AL26" s="670" t="s">
        <v>49</v>
      </c>
      <c r="AO26" s="661"/>
      <c r="AP26" s="1323">
        <f>AF25</f>
        <v>1</v>
      </c>
      <c r="AQ26" s="1323"/>
      <c r="AR26" s="671"/>
    </row>
    <row r="27" spans="1:46" ht="14.4" x14ac:dyDescent="0.3">
      <c r="M27" s="420" t="str">
        <f t="shared" si="59"/>
        <v>Kimi 2</v>
      </c>
      <c r="N27" s="520">
        <v>81.5</v>
      </c>
      <c r="O27" s="443">
        <f t="shared" si="60"/>
        <v>0.12320483749055178</v>
      </c>
      <c r="P27" s="444">
        <v>87.125</v>
      </c>
      <c r="Q27" s="445">
        <f t="shared" si="61"/>
        <v>0.13511679751865852</v>
      </c>
      <c r="R27" s="445">
        <v>75.75</v>
      </c>
      <c r="S27" s="445">
        <f t="shared" si="62"/>
        <v>0.12546583850931678</v>
      </c>
      <c r="T27" s="445">
        <v>40.625</v>
      </c>
      <c r="U27" s="445">
        <f t="shared" si="63"/>
        <v>0.11990407673860912</v>
      </c>
      <c r="V27" s="445">
        <v>80</v>
      </c>
      <c r="W27" s="446">
        <f t="shared" si="64"/>
        <v>0.1439820022497188</v>
      </c>
      <c r="X27" s="521">
        <v>74</v>
      </c>
      <c r="Y27" s="48">
        <f t="shared" si="65"/>
        <v>0.13187792381376698</v>
      </c>
      <c r="Z27" s="29"/>
      <c r="AA27" s="73">
        <v>99.75</v>
      </c>
      <c r="AB27" s="526">
        <v>95</v>
      </c>
      <c r="AF27" s="672" t="str">
        <f t="shared" ref="AF27:AF32" si="67">AF2</f>
        <v>TNX</v>
      </c>
      <c r="AG27" s="673">
        <v>0</v>
      </c>
      <c r="AH27" s="674">
        <f>AG27/2</f>
        <v>0</v>
      </c>
      <c r="AI27" s="661"/>
      <c r="AJ27" s="672" t="str">
        <f t="shared" ref="AJ27:AJ32" si="68">AJ2</f>
        <v>TNX</v>
      </c>
      <c r="AK27" s="675">
        <v>0.92500000000000004</v>
      </c>
      <c r="AL27" s="676">
        <f>1-AK27</f>
        <v>7.4999999999999956E-2</v>
      </c>
      <c r="AN27" s="677">
        <v>1</v>
      </c>
      <c r="AO27" s="661"/>
      <c r="AP27" s="678">
        <f>(AK27*I12+AL27*J12)+AG27</f>
        <v>4.0134430265365717</v>
      </c>
      <c r="AQ27" s="678">
        <f>AK2+AH27</f>
        <v>4.0134430265365717</v>
      </c>
      <c r="AR27" s="679"/>
      <c r="AS27" s="680">
        <f t="shared" ref="AS27:AS32" si="69">(E12+C12)/2</f>
        <v>4.0134430265365717</v>
      </c>
    </row>
    <row r="28" spans="1:46" ht="14.25" customHeight="1" x14ac:dyDescent="0.3">
      <c r="M28" s="420" t="str">
        <f t="shared" si="59"/>
        <v>Qwen3 Max</v>
      </c>
      <c r="N28" s="520">
        <v>85.625</v>
      </c>
      <c r="O28" s="443">
        <f t="shared" si="60"/>
        <v>0.12944066515495087</v>
      </c>
      <c r="P28" s="444">
        <v>79.4375</v>
      </c>
      <c r="Q28" s="445">
        <f t="shared" si="61"/>
        <v>0.12319472714936512</v>
      </c>
      <c r="R28" s="445">
        <v>73.75</v>
      </c>
      <c r="S28" s="445">
        <f t="shared" si="62"/>
        <v>0.12215320910973085</v>
      </c>
      <c r="T28" s="445">
        <v>52.0625</v>
      </c>
      <c r="U28" s="445">
        <f t="shared" si="63"/>
        <v>0.15366168603578675</v>
      </c>
      <c r="V28" s="445">
        <v>76.125</v>
      </c>
      <c r="W28" s="446">
        <f t="shared" si="64"/>
        <v>0.13700787401574804</v>
      </c>
      <c r="X28" s="521">
        <v>65.875</v>
      </c>
      <c r="Y28" s="48">
        <f t="shared" si="65"/>
        <v>0.11739808420583649</v>
      </c>
      <c r="Z28" s="29"/>
      <c r="AA28" s="139">
        <v>99.99</v>
      </c>
      <c r="AB28" s="527">
        <v>100</v>
      </c>
      <c r="AF28" s="681" t="str">
        <f t="shared" si="67"/>
        <v>DJI</v>
      </c>
      <c r="AG28" s="682">
        <v>50</v>
      </c>
      <c r="AH28" s="683">
        <f>AG28/2</f>
        <v>25</v>
      </c>
      <c r="AI28" s="661"/>
      <c r="AJ28" s="681" t="str">
        <f t="shared" si="68"/>
        <v>DJI</v>
      </c>
      <c r="AK28" s="684">
        <v>0.95</v>
      </c>
      <c r="AL28" s="685">
        <f>1-AK28</f>
        <v>5.0000000000000044E-2</v>
      </c>
      <c r="AM28" s="661"/>
      <c r="AN28" s="686">
        <v>1</v>
      </c>
      <c r="AO28" s="661"/>
      <c r="AP28" s="687">
        <f>(AK28*I13+AL28*J13)+AG28</f>
        <v>47254.849390317671</v>
      </c>
      <c r="AQ28" s="687">
        <f>AK3+AH28</f>
        <v>47279.849390317671</v>
      </c>
      <c r="AR28" s="679"/>
      <c r="AS28" s="688">
        <f t="shared" si="69"/>
        <v>47267.349390317671</v>
      </c>
    </row>
    <row r="29" spans="1:46" ht="14.25" customHeight="1" x14ac:dyDescent="0.3">
      <c r="A29" s="2" t="s">
        <v>0</v>
      </c>
      <c r="B29" s="749" t="s">
        <v>61</v>
      </c>
      <c r="C29" s="1325" t="s">
        <v>47</v>
      </c>
      <c r="D29" s="1325"/>
      <c r="E29" s="1325">
        <v>85520</v>
      </c>
      <c r="F29" s="1325"/>
      <c r="G29" s="1325" t="str">
        <f t="shared" ref="G29:G35" si="70">G20</f>
        <v>MICH</v>
      </c>
      <c r="H29" s="1325"/>
      <c r="I29" s="1326" t="s">
        <v>50</v>
      </c>
      <c r="J29" s="1326"/>
      <c r="M29" s="431" t="str">
        <f t="shared" si="59"/>
        <v>LeChat</v>
      </c>
      <c r="N29" s="522">
        <v>86</v>
      </c>
      <c r="O29" s="455">
        <f t="shared" si="60"/>
        <v>0.13000755857898716</v>
      </c>
      <c r="P29" s="456">
        <v>81.75</v>
      </c>
      <c r="Q29" s="457">
        <f t="shared" si="61"/>
        <v>0.12678104100029078</v>
      </c>
      <c r="R29" s="457">
        <v>73.75</v>
      </c>
      <c r="S29" s="457">
        <f t="shared" si="62"/>
        <v>0.12215320910973085</v>
      </c>
      <c r="T29" s="457">
        <v>52.5</v>
      </c>
      <c r="U29" s="457">
        <f t="shared" si="63"/>
        <v>0.1549529607083564</v>
      </c>
      <c r="V29" s="457">
        <v>65.75</v>
      </c>
      <c r="W29" s="458">
        <f t="shared" si="64"/>
        <v>0.11833520809898762</v>
      </c>
      <c r="X29" s="523">
        <v>62.5</v>
      </c>
      <c r="Y29" s="124">
        <f t="shared" si="65"/>
        <v>0.11138338159946536</v>
      </c>
      <c r="Z29" s="29"/>
      <c r="AF29" s="689" t="str">
        <f t="shared" si="67"/>
        <v>SPX</v>
      </c>
      <c r="AG29" s="690">
        <v>4</v>
      </c>
      <c r="AH29" s="691">
        <f>AG29/2</f>
        <v>2</v>
      </c>
      <c r="AI29" s="661"/>
      <c r="AJ29" s="689" t="str">
        <f t="shared" si="68"/>
        <v>SPX</v>
      </c>
      <c r="AK29" s="684">
        <v>1.01</v>
      </c>
      <c r="AL29" s="685">
        <f>1-AK29</f>
        <v>-1.0000000000000009E-2</v>
      </c>
      <c r="AM29" s="661"/>
      <c r="AN29" s="692">
        <v>1</v>
      </c>
      <c r="AO29" s="661"/>
      <c r="AP29" s="693">
        <f>(AK29*I14+AL29*J14)+AG29</f>
        <v>6784.1032005718571</v>
      </c>
      <c r="AQ29" s="693">
        <f>AK4+AH29</f>
        <v>6786.1032005718571</v>
      </c>
      <c r="AR29" s="679"/>
      <c r="AS29" s="694">
        <f t="shared" si="69"/>
        <v>6785.1032005718571</v>
      </c>
    </row>
    <row r="30" spans="1:46" ht="14.25" customHeight="1" x14ac:dyDescent="0.3">
      <c r="A30" s="35" t="s">
        <v>12</v>
      </c>
      <c r="B30" s="695">
        <v>4.1779999999999999</v>
      </c>
      <c r="C30" s="636">
        <f t="shared" ref="C30:C35" si="71">C21</f>
        <v>4.0134430265365717</v>
      </c>
      <c r="D30" s="552" t="str">
        <f t="shared" ref="D30:D35" si="72">CONCATENATE(TEXT(AQ8,"0.00%"),"  ",AR8)</f>
        <v>-3.94%  ↓</v>
      </c>
      <c r="E30" s="636">
        <f t="shared" ref="E30:E35" si="73">E21</f>
        <v>4.0134430265365717</v>
      </c>
      <c r="F30" s="552" t="str">
        <f t="shared" ref="F30:F35" si="74">CONCATENATE(TEXT(AS8,"0.00%"),"  ",AT8)</f>
        <v>-3.94%  ↓</v>
      </c>
      <c r="G30" s="636">
        <f t="shared" si="70"/>
        <v>4.01</v>
      </c>
      <c r="H30" s="552" t="str">
        <f t="shared" ref="H30:H35" si="75">CONCATENATE(TEXT(AU8,"0.00%"),"  ",AV8)</f>
        <v>-4.02%  ↓</v>
      </c>
      <c r="I30" s="638">
        <f t="shared" ref="I30:I35" si="76">I21</f>
        <v>4.01</v>
      </c>
      <c r="J30" s="639" t="str">
        <f t="shared" ref="J30:J35" si="77">CONCATENATE(TEXT(AO8,"0.00%"),"  ",AP8)</f>
        <v>-4.02%  ↓</v>
      </c>
      <c r="AF30" s="689" t="str">
        <f t="shared" si="67"/>
        <v>VIX</v>
      </c>
      <c r="AG30" s="696">
        <v>1.56</v>
      </c>
      <c r="AH30" s="697">
        <v>0.33</v>
      </c>
      <c r="AI30" s="661"/>
      <c r="AJ30" s="689" t="str">
        <f t="shared" si="68"/>
        <v>VIX</v>
      </c>
      <c r="AK30" s="684"/>
      <c r="AL30" s="685"/>
      <c r="AM30" s="661"/>
      <c r="AN30" s="698">
        <v>-1</v>
      </c>
      <c r="AP30" s="699">
        <f>IF(AN30=1,I15+AG30,I15+AG40)</f>
        <v>17.462123224497326</v>
      </c>
      <c r="AQ30" s="699">
        <f>IF(AN30=1,I15+AG30+AH30,I15+AG40+AH40)</f>
        <v>17.232123224497325</v>
      </c>
      <c r="AR30" s="679"/>
      <c r="AS30" s="700">
        <f t="shared" si="69"/>
        <v>17.347123224497324</v>
      </c>
    </row>
    <row r="31" spans="1:46" ht="14.25" customHeight="1" x14ac:dyDescent="0.3">
      <c r="A31" s="60" t="s">
        <v>13</v>
      </c>
      <c r="B31" s="701">
        <v>47747.82</v>
      </c>
      <c r="C31" s="642">
        <f t="shared" si="71"/>
        <v>47254.849390317671</v>
      </c>
      <c r="D31" s="557" t="str">
        <f t="shared" si="72"/>
        <v>-1.03%  ↓</v>
      </c>
      <c r="E31" s="642">
        <f t="shared" si="73"/>
        <v>47279.849390317671</v>
      </c>
      <c r="F31" s="557" t="str">
        <f t="shared" si="74"/>
        <v>-0.98%  ↓</v>
      </c>
      <c r="G31" s="642">
        <f t="shared" si="70"/>
        <v>47211</v>
      </c>
      <c r="H31" s="557" t="str">
        <f t="shared" si="75"/>
        <v>-1.12%  ↓</v>
      </c>
      <c r="I31" s="644">
        <f t="shared" si="76"/>
        <v>47446.94</v>
      </c>
      <c r="J31" s="645" t="str">
        <f t="shared" si="77"/>
        <v>-0.63%  ↓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A31" s="51"/>
      <c r="AF31" s="702" t="str">
        <f t="shared" si="67"/>
        <v>QQQ</v>
      </c>
      <c r="AG31" s="703">
        <v>3</v>
      </c>
      <c r="AH31" s="704">
        <v>1.6</v>
      </c>
      <c r="AI31" s="661"/>
      <c r="AJ31" s="702" t="str">
        <f t="shared" si="68"/>
        <v>QQQ</v>
      </c>
      <c r="AK31" s="684">
        <v>0.875</v>
      </c>
      <c r="AL31" s="685">
        <f>1-AK31</f>
        <v>0.125</v>
      </c>
      <c r="AN31" s="705">
        <v>1</v>
      </c>
      <c r="AP31" s="706">
        <f>IF($AN$31=1,($I$16+$AG$31),($I$16+$AG$41))</f>
        <v>613.66809898762654</v>
      </c>
      <c r="AQ31" s="706">
        <f>IF($AN31=1,($I16+$AG31+$AH31),($I16+$AG41+$AH41))</f>
        <v>615.26809898762656</v>
      </c>
      <c r="AR31" s="679"/>
      <c r="AS31" s="707">
        <f t="shared" si="69"/>
        <v>614.46809898762649</v>
      </c>
    </row>
    <row r="32" spans="1:46" ht="14.25" customHeight="1" x14ac:dyDescent="0.3">
      <c r="A32" s="82" t="s">
        <v>14</v>
      </c>
      <c r="B32" s="708">
        <v>6846.5</v>
      </c>
      <c r="C32" s="650">
        <f t="shared" si="71"/>
        <v>6784.1032005718571</v>
      </c>
      <c r="D32" s="562" t="str">
        <f t="shared" si="72"/>
        <v>-0.91%  ↓</v>
      </c>
      <c r="E32" s="650">
        <f t="shared" si="73"/>
        <v>6786.1032005718571</v>
      </c>
      <c r="F32" s="562" t="str">
        <f t="shared" si="74"/>
        <v>-0.88%  ↓</v>
      </c>
      <c r="G32" s="650">
        <f t="shared" si="70"/>
        <v>6777</v>
      </c>
      <c r="H32" s="562" t="str">
        <f t="shared" si="75"/>
        <v>-1.02%  ↓</v>
      </c>
      <c r="I32" s="652">
        <f t="shared" si="76"/>
        <v>6849.08</v>
      </c>
      <c r="J32" s="645" t="str">
        <f t="shared" si="77"/>
        <v>0.04%  ↑</v>
      </c>
      <c r="N32" s="53" t="s">
        <v>12</v>
      </c>
      <c r="P32" s="287">
        <f t="shared" ref="P32:P37" si="78">100-ABS(($K12-C12)/($K12))*100</f>
        <v>99.914138989112914</v>
      </c>
      <c r="Q32" s="328"/>
      <c r="R32" s="288">
        <f t="shared" ref="R32:R37" si="79">100-ABS(($K12-E12)/($K12))*100</f>
        <v>99.914138989112914</v>
      </c>
      <c r="S32" s="328"/>
      <c r="T32" s="288">
        <f t="shared" ref="T32:T37" si="80">100-ABS(($K12-G12)/($K12))*100</f>
        <v>100</v>
      </c>
      <c r="U32" s="328"/>
      <c r="V32" s="461">
        <f t="shared" ref="V32:V37" si="81">100-ABS((($K12-J12)/($K12)))*100</f>
        <v>99.996057573907478</v>
      </c>
      <c r="X32" s="290">
        <f t="shared" ref="X32:X37" si="82">100-ABS((($K12-I12)/($K12)))*100</f>
        <v>99.907496941697147</v>
      </c>
      <c r="AA32" s="736"/>
      <c r="AF32" s="709" t="str">
        <f t="shared" si="67"/>
        <v>AAPL</v>
      </c>
      <c r="AG32" s="710">
        <v>-1.5</v>
      </c>
      <c r="AH32" s="711">
        <f>AG32/2</f>
        <v>-0.75</v>
      </c>
      <c r="AI32" s="661"/>
      <c r="AJ32" s="709" t="str">
        <f t="shared" si="68"/>
        <v>AAPL</v>
      </c>
      <c r="AK32" s="712">
        <v>0.77500000000000002</v>
      </c>
      <c r="AL32" s="713">
        <f>1-AK32</f>
        <v>0.22499999999999998</v>
      </c>
      <c r="AN32" s="714">
        <v>1</v>
      </c>
      <c r="AP32" s="715">
        <f>(AK32*I17+AL32*J17)+AG32</f>
        <v>276.93018393314986</v>
      </c>
      <c r="AQ32" s="715">
        <f>AK7+AH32</f>
        <v>276.18018393314986</v>
      </c>
      <c r="AR32" s="661"/>
      <c r="AS32" s="716">
        <f t="shared" si="69"/>
        <v>276.55518393314986</v>
      </c>
    </row>
    <row r="33" spans="1:45" ht="14.25" customHeight="1" x14ac:dyDescent="0.3">
      <c r="A33" s="82" t="s">
        <v>15</v>
      </c>
      <c r="B33" s="708">
        <v>16.690000000000001</v>
      </c>
      <c r="C33" s="654">
        <f t="shared" si="71"/>
        <v>17.462123224497326</v>
      </c>
      <c r="D33" s="562" t="str">
        <f t="shared" si="72"/>
        <v>4.63%  ↑</v>
      </c>
      <c r="E33" s="654">
        <f t="shared" si="73"/>
        <v>17.232123224497325</v>
      </c>
      <c r="F33" s="562" t="str">
        <f t="shared" si="74"/>
        <v>3.25%  ↑</v>
      </c>
      <c r="G33" s="654">
        <f t="shared" si="70"/>
        <v>18.7</v>
      </c>
      <c r="H33" s="562" t="str">
        <f t="shared" si="75"/>
        <v>12.04%  ↑</v>
      </c>
      <c r="I33" s="652">
        <f t="shared" si="76"/>
        <v>16.350000000000001</v>
      </c>
      <c r="J33" s="645" t="str">
        <f t="shared" si="77"/>
        <v>-2.04%  ↓</v>
      </c>
      <c r="N33" s="60" t="s">
        <v>13</v>
      </c>
      <c r="P33" s="291">
        <f t="shared" si="78"/>
        <v>99.595146473761361</v>
      </c>
      <c r="Q33" s="328"/>
      <c r="R33" s="292">
        <f t="shared" si="79"/>
        <v>99.647836910699965</v>
      </c>
      <c r="S33" s="328"/>
      <c r="T33" s="292">
        <f t="shared" si="80"/>
        <v>99.502728732348174</v>
      </c>
      <c r="U33" s="328"/>
      <c r="V33" s="462">
        <f t="shared" si="81"/>
        <v>98.972119066055683</v>
      </c>
      <c r="X33" s="294">
        <f t="shared" si="82"/>
        <v>99.517010154296173</v>
      </c>
      <c r="AA33" s="737"/>
      <c r="AF33" s="661"/>
      <c r="AG33" s="717"/>
      <c r="AH33" s="717"/>
      <c r="AI33" s="661"/>
      <c r="AJ33" s="717"/>
      <c r="AK33" s="717"/>
      <c r="AL33" s="718"/>
      <c r="AN33" s="661"/>
      <c r="AO33" s="661"/>
      <c r="AP33" s="661"/>
      <c r="AQ33" s="661"/>
      <c r="AR33" s="661"/>
      <c r="AS33" s="661"/>
    </row>
    <row r="34" spans="1:45" ht="14.25" customHeight="1" x14ac:dyDescent="0.3">
      <c r="A34" s="99" t="s">
        <v>16</v>
      </c>
      <c r="B34" s="719">
        <v>625.11</v>
      </c>
      <c r="C34" s="658">
        <f t="shared" si="71"/>
        <v>613.66809898762654</v>
      </c>
      <c r="D34" s="569" t="str">
        <f t="shared" si="72"/>
        <v>-1.83%  ↓</v>
      </c>
      <c r="E34" s="658">
        <f t="shared" si="73"/>
        <v>615.26809898762656</v>
      </c>
      <c r="F34" s="569" t="str">
        <f t="shared" si="74"/>
        <v>-1.57%  ↓</v>
      </c>
      <c r="G34" s="658">
        <f t="shared" si="70"/>
        <v>611.5</v>
      </c>
      <c r="H34" s="569" t="str">
        <f t="shared" si="75"/>
        <v>-2.18%  ↓</v>
      </c>
      <c r="I34" s="660">
        <f t="shared" si="76"/>
        <v>619.25</v>
      </c>
      <c r="J34" s="645" t="str">
        <f t="shared" si="77"/>
        <v>-0.94%  ↓</v>
      </c>
      <c r="N34" s="82" t="s">
        <v>14</v>
      </c>
      <c r="P34" s="301">
        <f t="shared" si="78"/>
        <v>99.05130616917684</v>
      </c>
      <c r="Q34" s="328"/>
      <c r="R34" s="302">
        <f t="shared" si="79"/>
        <v>99.080507171355237</v>
      </c>
      <c r="S34" s="328"/>
      <c r="T34" s="302">
        <f t="shared" si="80"/>
        <v>98.947595881490656</v>
      </c>
      <c r="U34" s="328"/>
      <c r="V34" s="463">
        <f t="shared" si="81"/>
        <v>98.282000824475261</v>
      </c>
      <c r="X34" s="304">
        <f t="shared" si="82"/>
        <v>98.985865517885941</v>
      </c>
      <c r="AA34" s="737"/>
      <c r="AF34" s="661"/>
      <c r="AG34" s="720"/>
      <c r="AH34" s="720"/>
      <c r="AI34" s="661"/>
      <c r="AJ34" s="662"/>
      <c r="AK34" s="662"/>
      <c r="AL34" s="662"/>
      <c r="AN34" s="661"/>
      <c r="AO34" s="661"/>
      <c r="AP34" s="661"/>
      <c r="AQ34" s="661"/>
      <c r="AR34" s="661"/>
      <c r="AS34" s="661"/>
    </row>
    <row r="35" spans="1:45" ht="14.25" customHeight="1" x14ac:dyDescent="0.3">
      <c r="A35" s="109" t="s">
        <v>17</v>
      </c>
      <c r="B35" s="721">
        <v>277.25</v>
      </c>
      <c r="C35" s="665">
        <f t="shared" si="71"/>
        <v>276.93018393314986</v>
      </c>
      <c r="D35" s="575" t="str">
        <f t="shared" si="72"/>
        <v>-0.12%  ↓</v>
      </c>
      <c r="E35" s="665">
        <f t="shared" si="73"/>
        <v>276.18018393314986</v>
      </c>
      <c r="F35" s="575" t="str">
        <f t="shared" si="74"/>
        <v>-0.39%  ↓</v>
      </c>
      <c r="G35" s="665">
        <f t="shared" si="70"/>
        <v>277.89999999999998</v>
      </c>
      <c r="H35" s="575" t="str">
        <f t="shared" si="75"/>
        <v>0.23%  ↑</v>
      </c>
      <c r="I35" s="667">
        <f t="shared" si="76"/>
        <v>278.85000000000002</v>
      </c>
      <c r="J35" s="668" t="str">
        <f t="shared" si="77"/>
        <v>0.58%  ↑</v>
      </c>
      <c r="N35" s="82" t="s">
        <v>15</v>
      </c>
      <c r="P35" s="301">
        <f t="shared" si="78"/>
        <v>93.198023091759481</v>
      </c>
      <c r="Q35" s="328"/>
      <c r="R35" s="302">
        <f t="shared" si="79"/>
        <v>94.604750920505666</v>
      </c>
      <c r="S35" s="328"/>
      <c r="T35" s="302">
        <f t="shared" si="80"/>
        <v>85.626911314984724</v>
      </c>
      <c r="U35" s="328"/>
      <c r="V35" s="463">
        <f t="shared" si="81"/>
        <v>84.975910232080139</v>
      </c>
      <c r="X35" s="304">
        <f t="shared" si="82"/>
        <v>86.714842663624935</v>
      </c>
      <c r="AA35" s="736"/>
      <c r="AF35" s="11">
        <v>-1</v>
      </c>
      <c r="AG35" s="1321" t="s">
        <v>118</v>
      </c>
      <c r="AH35" s="1321"/>
      <c r="AI35" s="661"/>
      <c r="AJ35" s="662"/>
      <c r="AK35" s="1322" t="s">
        <v>119</v>
      </c>
      <c r="AL35" s="1322"/>
      <c r="AO35" s="661"/>
      <c r="AP35" s="2" t="str">
        <f>AG36</f>
        <v>RD</v>
      </c>
      <c r="AQ35" s="2">
        <f>AH36</f>
        <v>85520</v>
      </c>
      <c r="AR35" s="661"/>
      <c r="AS35" s="661"/>
    </row>
    <row r="36" spans="1:45" ht="14.25" customHeight="1" x14ac:dyDescent="0.3">
      <c r="N36" s="99" t="s">
        <v>16</v>
      </c>
      <c r="P36" s="312">
        <f t="shared" si="78"/>
        <v>99.098602985486721</v>
      </c>
      <c r="Q36" s="328"/>
      <c r="R36" s="313">
        <f t="shared" si="79"/>
        <v>99.356980054521856</v>
      </c>
      <c r="S36" s="328"/>
      <c r="T36" s="313">
        <f t="shared" si="80"/>
        <v>98.748486071861123</v>
      </c>
      <c r="U36" s="328"/>
      <c r="V36" s="464">
        <f t="shared" si="81"/>
        <v>97.687610655713684</v>
      </c>
      <c r="X36" s="315">
        <f t="shared" si="82"/>
        <v>98.614145981045866</v>
      </c>
      <c r="AA36" s="738"/>
      <c r="AG36" s="722" t="s">
        <v>47</v>
      </c>
      <c r="AH36" s="723">
        <v>85520</v>
      </c>
      <c r="AI36" s="661"/>
      <c r="AJ36" s="662"/>
      <c r="AK36" s="669" t="s">
        <v>36</v>
      </c>
      <c r="AL36" s="670" t="s">
        <v>49</v>
      </c>
      <c r="AM36" s="661"/>
      <c r="AN36" s="661"/>
      <c r="AO36" s="661"/>
      <c r="AP36" s="1323">
        <f>AF35</f>
        <v>-1</v>
      </c>
      <c r="AQ36" s="1323"/>
      <c r="AR36" s="661"/>
      <c r="AS36" s="661"/>
    </row>
    <row r="37" spans="1:45" ht="14.25" customHeight="1" x14ac:dyDescent="0.3">
      <c r="N37" s="114" t="s">
        <v>17</v>
      </c>
      <c r="P37" s="323">
        <f t="shared" si="78"/>
        <v>99.311523734319465</v>
      </c>
      <c r="Q37" s="328"/>
      <c r="R37" s="324">
        <f t="shared" si="79"/>
        <v>99.042561926896127</v>
      </c>
      <c r="S37" s="328"/>
      <c r="T37" s="324">
        <f t="shared" si="80"/>
        <v>99.659315043930405</v>
      </c>
      <c r="U37" s="328"/>
      <c r="V37" s="465">
        <f t="shared" si="81"/>
        <v>99.683995513884867</v>
      </c>
      <c r="X37" s="326">
        <f t="shared" si="82"/>
        <v>99.897481752957518</v>
      </c>
      <c r="AA37" s="738"/>
      <c r="AF37" s="672" t="str">
        <f t="shared" ref="AF37:AF42" si="83">AF27</f>
        <v>TNX</v>
      </c>
      <c r="AG37" s="673">
        <v>0</v>
      </c>
      <c r="AH37" s="674">
        <f>AG37/2</f>
        <v>0</v>
      </c>
      <c r="AI37" s="661"/>
      <c r="AJ37" s="672" t="str">
        <f t="shared" ref="AJ37:AJ42" si="84">AJ2</f>
        <v>TNX</v>
      </c>
      <c r="AK37" s="675">
        <v>0.92500000000000004</v>
      </c>
      <c r="AL37" s="676">
        <f>1-AK37</f>
        <v>7.4999999999999956E-2</v>
      </c>
      <c r="AO37" s="661"/>
      <c r="AP37" s="678">
        <f>(AK27*I12+AL27*J12)+AG27</f>
        <v>4.0134430265365717</v>
      </c>
      <c r="AQ37" s="678">
        <f>AK2+AH37</f>
        <v>4.0134430265365717</v>
      </c>
      <c r="AR37" s="661"/>
      <c r="AS37" s="661"/>
    </row>
    <row r="38" spans="1:45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681" t="str">
        <f t="shared" si="83"/>
        <v>DJI</v>
      </c>
      <c r="AG38" s="682">
        <v>50</v>
      </c>
      <c r="AH38" s="683">
        <f>AG38/2</f>
        <v>25</v>
      </c>
      <c r="AI38" s="661"/>
      <c r="AJ38" s="681" t="str">
        <f t="shared" si="84"/>
        <v>DJI</v>
      </c>
      <c r="AK38" s="684">
        <v>0.95</v>
      </c>
      <c r="AL38" s="685">
        <f>1-AK38</f>
        <v>5.0000000000000044E-2</v>
      </c>
      <c r="AO38" s="661"/>
      <c r="AP38" s="687">
        <f>(AK28*I13+AL28*J13)+AG28</f>
        <v>47254.849390317671</v>
      </c>
      <c r="AQ38" s="687">
        <f>AK3+AH38</f>
        <v>47279.849390317671</v>
      </c>
      <c r="AR38" s="661"/>
      <c r="AS38" s="661"/>
    </row>
    <row r="39" spans="1:45" ht="14.25" customHeight="1" x14ac:dyDescent="0.3">
      <c r="N39" s="331" t="str">
        <f>AA1</f>
        <v>AVR-4</v>
      </c>
      <c r="P39" s="332">
        <f t="array" ref="P39">SUM(P33:P36/4)</f>
        <v>97.73576968004609</v>
      </c>
      <c r="Q39" s="328"/>
      <c r="R39" s="333">
        <f t="array" ref="R39">SUM(R33:R36/4)</f>
        <v>98.172518764270677</v>
      </c>
      <c r="S39" s="328"/>
      <c r="T39" s="333">
        <f t="array" ref="T39">SUM(T33:T36/4)</f>
        <v>95.706430500171166</v>
      </c>
      <c r="U39" s="328"/>
      <c r="V39" s="466">
        <f t="array" ref="V39">SUM(V33:V36/4)</f>
        <v>94.979410194581192</v>
      </c>
      <c r="X39" s="335">
        <f t="array" ref="X39">SUM(X33:X36/4)</f>
        <v>95.957966079213222</v>
      </c>
      <c r="AF39" s="689" t="str">
        <f t="shared" si="83"/>
        <v>SPX</v>
      </c>
      <c r="AG39" s="690">
        <v>4</v>
      </c>
      <c r="AH39" s="691">
        <f>AG39/2</f>
        <v>2</v>
      </c>
      <c r="AI39" s="661"/>
      <c r="AJ39" s="689" t="str">
        <f t="shared" si="84"/>
        <v>SPX</v>
      </c>
      <c r="AK39" s="684">
        <v>1.01</v>
      </c>
      <c r="AL39" s="685">
        <f>1-AK39</f>
        <v>-1.0000000000000009E-2</v>
      </c>
      <c r="AM39" s="4"/>
      <c r="AN39" s="661"/>
      <c r="AO39" s="661"/>
      <c r="AP39" s="693">
        <f>(AK29*I14+AL29*J14)+AG29</f>
        <v>6784.1032005718571</v>
      </c>
      <c r="AQ39" s="693">
        <f>AK4+AH39</f>
        <v>6786.1032005718571</v>
      </c>
      <c r="AR39" s="661"/>
      <c r="AS39" s="661"/>
    </row>
    <row r="40" spans="1:45" ht="14.25" customHeight="1" x14ac:dyDescent="0.3">
      <c r="N40" s="336" t="str">
        <f>AB1</f>
        <v>AVR-6</v>
      </c>
      <c r="P40" s="337">
        <f t="array" ref="P40">SUM(P32:P37/6)</f>
        <v>98.361456907269456</v>
      </c>
      <c r="Q40" s="328"/>
      <c r="R40" s="338">
        <f t="array" ref="R40">SUM(R32:R37/6)</f>
        <v>98.607795995515275</v>
      </c>
      <c r="S40" s="328"/>
      <c r="T40" s="338">
        <f t="array" ref="T40">SUM(T32:T37/6)</f>
        <v>97.080839507435854</v>
      </c>
      <c r="U40" s="328"/>
      <c r="V40" s="467">
        <f t="array" ref="V40">SUM(V32:V37/6)</f>
        <v>96.599615644352866</v>
      </c>
      <c r="X40" s="340">
        <f t="array" ref="X40">SUM(X32:X37/6)</f>
        <v>97.272807168584592</v>
      </c>
      <c r="AF40" s="689" t="str">
        <f t="shared" si="83"/>
        <v>VIX</v>
      </c>
      <c r="AG40" s="696">
        <v>-1.06</v>
      </c>
      <c r="AH40" s="697">
        <v>-0.23</v>
      </c>
      <c r="AI40" s="661"/>
      <c r="AJ40" s="689" t="str">
        <f t="shared" si="84"/>
        <v>VIX</v>
      </c>
      <c r="AK40" s="684"/>
      <c r="AL40" s="685"/>
      <c r="AM40" s="4"/>
      <c r="AN40" s="661"/>
      <c r="AO40" s="661"/>
      <c r="AP40" s="699">
        <f>IF(AN30=1,I15+AG30,I15+AG40)</f>
        <v>17.462123224497326</v>
      </c>
      <c r="AQ40" s="699">
        <f>IF(AN30=1,I15+AG30+AH30,I15+AG40+AH40)</f>
        <v>17.232123224497325</v>
      </c>
      <c r="AR40" s="661"/>
      <c r="AS40" s="661"/>
    </row>
    <row r="41" spans="1:45" ht="14.25" customHeight="1" x14ac:dyDescent="0.3">
      <c r="AF41" s="702" t="str">
        <f t="shared" si="83"/>
        <v>QQQ</v>
      </c>
      <c r="AG41" s="724">
        <v>-10</v>
      </c>
      <c r="AH41" s="725">
        <v>-3</v>
      </c>
      <c r="AI41" s="661"/>
      <c r="AJ41" s="702" t="str">
        <f t="shared" si="84"/>
        <v>QQQ</v>
      </c>
      <c r="AK41" s="684">
        <v>0.875</v>
      </c>
      <c r="AL41" s="685">
        <f>1-AK41</f>
        <v>0.125</v>
      </c>
      <c r="AM41" s="4"/>
      <c r="AO41" s="4"/>
      <c r="AP41" s="706">
        <f>IF(AN31=1,(I16+AG31),(I16+AG41))</f>
        <v>613.66809898762654</v>
      </c>
      <c r="AQ41" s="706">
        <f>IF(AN31=1,(I16+AG31+AH31),(I16+AG41+AH41))</f>
        <v>615.26809898762656</v>
      </c>
      <c r="AR41" s="661"/>
      <c r="AS41" s="661"/>
    </row>
    <row r="42" spans="1:45" ht="14.25" customHeight="1" x14ac:dyDescent="0.3">
      <c r="AF42" s="709" t="str">
        <f t="shared" si="83"/>
        <v>AAPL</v>
      </c>
      <c r="AG42" s="710">
        <v>-1.5</v>
      </c>
      <c r="AH42" s="711">
        <f>AG42/2</f>
        <v>-0.75</v>
      </c>
      <c r="AI42" s="661"/>
      <c r="AJ42" s="709" t="str">
        <f t="shared" si="84"/>
        <v>AAPL</v>
      </c>
      <c r="AK42" s="712">
        <v>0.77500000000000002</v>
      </c>
      <c r="AL42" s="713">
        <f>1-AK42</f>
        <v>0.22499999999999998</v>
      </c>
      <c r="AM42" s="4"/>
      <c r="AO42" s="4"/>
      <c r="AP42" s="715">
        <f>(AK32*I17+AL32*J17)+AG32</f>
        <v>276.93018393314986</v>
      </c>
      <c r="AQ42" s="715">
        <f>AK7+AH42</f>
        <v>276.18018393314986</v>
      </c>
      <c r="AR42" s="661"/>
      <c r="AS42" s="661"/>
    </row>
    <row r="43" spans="1:45" ht="14.25" customHeight="1" x14ac:dyDescent="0.3">
      <c r="AK43" s="661"/>
      <c r="AM43" s="4"/>
      <c r="AO43" s="4"/>
      <c r="AP43" s="661"/>
      <c r="AQ43" s="661"/>
      <c r="AR43" s="661"/>
      <c r="AS43" s="661"/>
    </row>
    <row r="44" spans="1:45" ht="14.25" customHeight="1" x14ac:dyDescent="0.3">
      <c r="AP44" s="661"/>
      <c r="AQ44" s="661"/>
      <c r="AR44" s="661"/>
      <c r="AS44" s="661"/>
    </row>
    <row r="45" spans="1:45" ht="14.25" customHeight="1" x14ac:dyDescent="0.3">
      <c r="AF45" s="9"/>
      <c r="AG45" s="4"/>
      <c r="AJ45" s="661"/>
      <c r="AK45" s="661"/>
      <c r="AL45" s="661"/>
      <c r="AM45" s="661"/>
      <c r="AO45" s="4"/>
      <c r="AP45" s="661"/>
      <c r="AQ45" s="661"/>
      <c r="AR45" s="661"/>
      <c r="AS45" s="661"/>
    </row>
    <row r="46" spans="1:45" ht="14.25" customHeight="1" x14ac:dyDescent="0.3">
      <c r="AF46" s="9"/>
      <c r="AG46" s="4"/>
      <c r="AJ46" s="661"/>
      <c r="AK46" s="661"/>
      <c r="AL46" s="661"/>
      <c r="AM46" s="661"/>
      <c r="AP46" s="661"/>
      <c r="AQ46" s="661"/>
      <c r="AR46" s="661"/>
      <c r="AS46" s="661"/>
    </row>
    <row r="47" spans="1:45" ht="14.25" customHeight="1" x14ac:dyDescent="0.3">
      <c r="AF47" s="9"/>
      <c r="AJ47" s="661"/>
      <c r="AK47" s="661"/>
      <c r="AL47" s="661"/>
      <c r="AM47" s="661"/>
      <c r="AP47" s="661"/>
      <c r="AQ47" s="661"/>
      <c r="AR47" s="661"/>
      <c r="AS47" s="661"/>
    </row>
    <row r="48" spans="1:45" ht="14.25" customHeight="1" x14ac:dyDescent="0.3">
      <c r="AF48" s="9"/>
      <c r="AJ48" s="661"/>
      <c r="AK48" s="661"/>
      <c r="AL48" s="661"/>
      <c r="AM48" s="661"/>
      <c r="AP48" s="661"/>
      <c r="AQ48" s="661"/>
      <c r="AR48" s="661"/>
      <c r="AS48" s="661"/>
    </row>
    <row r="49" spans="32:45" ht="14.25" customHeight="1" x14ac:dyDescent="0.3">
      <c r="AF49" s="661"/>
      <c r="AG49" s="661"/>
      <c r="AH49" s="661"/>
      <c r="AI49" s="661"/>
      <c r="AJ49" s="661"/>
      <c r="AK49" s="661"/>
      <c r="AL49" s="661"/>
      <c r="AM49" s="661"/>
      <c r="AP49" s="661"/>
      <c r="AQ49" s="661"/>
      <c r="AR49" s="661"/>
      <c r="AS49" s="661"/>
    </row>
    <row r="50" spans="32:45" ht="14.25" customHeight="1" x14ac:dyDescent="0.3">
      <c r="AF50" s="661"/>
      <c r="AG50" s="661"/>
      <c r="AH50" s="661"/>
      <c r="AI50" s="661"/>
      <c r="AJ50" s="661"/>
      <c r="AK50" s="661"/>
      <c r="AL50" s="661"/>
      <c r="AM50" s="661"/>
      <c r="AP50" s="661"/>
      <c r="AQ50" s="661"/>
      <c r="AR50" s="661"/>
      <c r="AS50" s="661"/>
    </row>
    <row r="51" spans="32:45" ht="14.25" customHeight="1" x14ac:dyDescent="0.3">
      <c r="AF51" s="9"/>
      <c r="AO51" s="661"/>
      <c r="AP51" s="661"/>
      <c r="AQ51" s="661"/>
      <c r="AR51" s="661"/>
      <c r="AS51" s="661"/>
    </row>
    <row r="52" spans="32:45" ht="14.25" customHeight="1" x14ac:dyDescent="0.3">
      <c r="AF52" s="9"/>
      <c r="AO52" s="661"/>
      <c r="AP52" s="661"/>
      <c r="AQ52" s="661"/>
      <c r="AR52" s="661"/>
      <c r="AS52" s="661"/>
    </row>
    <row r="53" spans="32:45" ht="14.25" customHeight="1" x14ac:dyDescent="0.3">
      <c r="AF53" s="9"/>
    </row>
    <row r="54" spans="32:45" ht="14.25" customHeight="1" x14ac:dyDescent="0.3">
      <c r="AF54" s="9"/>
    </row>
    <row r="55" spans="32:45" ht="14.25" customHeight="1" x14ac:dyDescent="0.3">
      <c r="AF55" s="9"/>
    </row>
    <row r="56" spans="32:45" ht="14.25" customHeight="1" x14ac:dyDescent="0.3">
      <c r="AF56" s="9"/>
    </row>
    <row r="57" spans="32:45" ht="14.25" customHeight="1" x14ac:dyDescent="0.3">
      <c r="AF57" s="9"/>
    </row>
  </sheetData>
  <mergeCells count="34">
    <mergeCell ref="AK1:AL1"/>
    <mergeCell ref="AN1:AN6"/>
    <mergeCell ref="AO7:AP7"/>
    <mergeCell ref="AQ7:AR7"/>
    <mergeCell ref="AS7:AT7"/>
    <mergeCell ref="AU7:AV7"/>
    <mergeCell ref="AN8:AN13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G25:AH25"/>
    <mergeCell ref="AK25:AL25"/>
    <mergeCell ref="AG35:AH35"/>
    <mergeCell ref="AK35:AL35"/>
    <mergeCell ref="AP36:AQ36"/>
    <mergeCell ref="AP26:AQ26"/>
    <mergeCell ref="C29:D29"/>
    <mergeCell ref="E29:F29"/>
    <mergeCell ref="G29:H29"/>
    <mergeCell ref="I29:J29"/>
  </mergeCells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54"/>
  <sheetViews>
    <sheetView zoomScale="140" zoomScaleNormal="140" workbookViewId="0">
      <selection activeCell="B13" sqref="B13"/>
    </sheetView>
  </sheetViews>
  <sheetFormatPr defaultColWidth="8.77734375" defaultRowHeight="14.25" customHeight="1" x14ac:dyDescent="0.3"/>
  <cols>
    <col min="1" max="1" width="8" style="4" customWidth="1"/>
    <col min="2" max="10" width="7.88671875" style="4" customWidth="1"/>
    <col min="11" max="11" width="8.33203125" style="4" customWidth="1"/>
    <col min="12" max="12" width="3.109375" style="4" customWidth="1"/>
    <col min="13" max="13" width="9" style="4" customWidth="1"/>
    <col min="14" max="14" width="5.88671875" style="5" customWidth="1"/>
    <col min="15" max="15" width="3.33203125" style="4" hidden="1" customWidth="1"/>
    <col min="16" max="16" width="5.88671875" style="5" customWidth="1"/>
    <col min="17" max="17" width="3.33203125" style="4" hidden="1" customWidth="1"/>
    <col min="18" max="18" width="5.88671875" style="5" customWidth="1"/>
    <col min="19" max="19" width="3.33203125" style="4" hidden="1" customWidth="1"/>
    <col min="20" max="20" width="5.88671875" style="5" customWidth="1"/>
    <col min="21" max="21" width="3.33203125" style="4" hidden="1" customWidth="1"/>
    <col min="22" max="22" width="5.88671875" style="5" customWidth="1"/>
    <col min="23" max="23" width="3.33203125" style="4" hidden="1" customWidth="1"/>
    <col min="24" max="24" width="5.88671875" style="5" customWidth="1"/>
    <col min="25" max="25" width="3.33203125" style="4" hidden="1" customWidth="1"/>
    <col min="26" max="26" width="3.109375" style="4" customWidth="1"/>
    <col min="27" max="27" width="8.109375" style="6" customWidth="1"/>
    <col min="28" max="28" width="8.109375" style="7" customWidth="1"/>
    <col min="29" max="30" width="5.77734375" style="6" customWidth="1"/>
    <col min="31" max="31" width="3.109375" style="4" customWidth="1"/>
    <col min="32" max="37" width="7.44140625" style="8" customWidth="1"/>
    <col min="38" max="38" width="7.44140625" style="9" customWidth="1"/>
    <col min="39" max="39" width="3.5546875" style="8" customWidth="1"/>
    <col min="40" max="40" width="6" style="8" customWidth="1"/>
    <col min="41" max="16384" width="8.77734375" style="8"/>
  </cols>
  <sheetData>
    <row r="1" spans="1:48" ht="15" x14ac:dyDescent="0.3">
      <c r="A1" s="2" t="s">
        <v>0</v>
      </c>
      <c r="B1" s="15" t="s">
        <v>109</v>
      </c>
      <c r="C1" s="16" t="s">
        <v>2</v>
      </c>
      <c r="D1" s="16" t="s">
        <v>3</v>
      </c>
      <c r="E1" s="16" t="s">
        <v>4</v>
      </c>
      <c r="F1" s="16" t="s">
        <v>110</v>
      </c>
      <c r="G1" s="16" t="s">
        <v>104</v>
      </c>
      <c r="H1" s="16" t="s">
        <v>101</v>
      </c>
      <c r="I1" s="368" t="s">
        <v>8</v>
      </c>
      <c r="K1" s="18" t="s">
        <v>128</v>
      </c>
      <c r="M1" s="19" t="s">
        <v>11</v>
      </c>
      <c r="N1" s="20" t="s">
        <v>12</v>
      </c>
      <c r="O1" s="21">
        <f>SUM(N2:N9)</f>
        <v>796.24756335282643</v>
      </c>
      <c r="P1" s="22" t="s">
        <v>13</v>
      </c>
      <c r="Q1" s="23">
        <f>SUM(P2:P9)</f>
        <v>796.34026382293928</v>
      </c>
      <c r="R1" s="24" t="s">
        <v>14</v>
      </c>
      <c r="S1" s="23">
        <f>SUM(R2:R9)</f>
        <v>797.10494352549915</v>
      </c>
      <c r="T1" s="24" t="s">
        <v>15</v>
      </c>
      <c r="U1" s="23">
        <f>SUM(T2:T9)</f>
        <v>748.62542955326467</v>
      </c>
      <c r="V1" s="25" t="s">
        <v>16</v>
      </c>
      <c r="W1" s="26">
        <f>SUM(V2:V9)</f>
        <v>792.96693612622232</v>
      </c>
      <c r="X1" s="27" t="s">
        <v>17</v>
      </c>
      <c r="Y1" s="28">
        <f>SUM(X2:X9)</f>
        <v>787.07503038785967</v>
      </c>
      <c r="Z1" s="29"/>
      <c r="AA1" s="30" t="s">
        <v>18</v>
      </c>
      <c r="AB1" s="31" t="s">
        <v>19</v>
      </c>
      <c r="AF1" s="579" t="s">
        <v>20</v>
      </c>
      <c r="AG1" s="4"/>
      <c r="AH1" s="4"/>
      <c r="AK1" s="1314" t="s">
        <v>68</v>
      </c>
      <c r="AL1" s="1314"/>
      <c r="AN1" s="1315" t="str">
        <f>B20</f>
        <v>Close YF</v>
      </c>
      <c r="AO1" s="163">
        <f t="shared" ref="AO1:AO6" si="0">(I21-B21)/B21</f>
        <v>-4.6082949308756064E-3</v>
      </c>
      <c r="AP1" s="164" t="str">
        <f>IF(K12-B21&gt;0,"↑","↓")</f>
        <v>↓</v>
      </c>
      <c r="AQ1" s="165">
        <f t="shared" ref="AQ1:AQ6" si="1">(C21-B21)/B21</f>
        <v>-1.1683121249542001E-3</v>
      </c>
      <c r="AR1" s="166" t="str">
        <f t="shared" ref="AR1:AR6" si="2">IF(C21-B21&gt;0,"↑","↓")</f>
        <v>↓</v>
      </c>
      <c r="AS1" s="163">
        <f t="shared" ref="AS1:AS6" si="3">(E21-B21)/B21</f>
        <v>-1.1683121249542001E-3</v>
      </c>
      <c r="AT1" s="164" t="str">
        <f t="shared" ref="AT1:AT6" si="4">IF(E21-B21&gt;0,"↑","↓")</f>
        <v>↓</v>
      </c>
      <c r="AU1" s="163">
        <f t="shared" ref="AU1:AU6" si="5">(G21-B21)/B21</f>
        <v>5.5784622847440419E-3</v>
      </c>
      <c r="AV1" s="164" t="str">
        <f t="shared" ref="AV1:AV6" si="6">IF(G21-B21&gt;0,"↑","↓")</f>
        <v>↑</v>
      </c>
    </row>
    <row r="2" spans="1:48" ht="15" x14ac:dyDescent="0.3">
      <c r="A2" s="743" t="s">
        <v>12</v>
      </c>
      <c r="B2" s="528">
        <v>4.12</v>
      </c>
      <c r="C2" s="529">
        <v>4.12</v>
      </c>
      <c r="D2" s="529">
        <v>4.1399999999999997</v>
      </c>
      <c r="E2" s="529">
        <v>4.1399999999999997</v>
      </c>
      <c r="F2" s="529">
        <v>4.12</v>
      </c>
      <c r="G2" s="529">
        <v>4.09</v>
      </c>
      <c r="H2" s="750">
        <v>4.0999999999999996</v>
      </c>
      <c r="I2" s="531">
        <v>4.12</v>
      </c>
      <c r="M2" s="493" t="str">
        <f>B1</f>
        <v>o 5.1</v>
      </c>
      <c r="N2" s="494">
        <f>100-ABS((($K12-B2)/($K12)))*100</f>
        <v>99.610136452241719</v>
      </c>
      <c r="O2" s="495">
        <f t="shared" ref="O2:O9" si="7">N2/$O$1</f>
        <v>0.12509945529102151</v>
      </c>
      <c r="P2" s="496">
        <f>100-ABS((($K13-B3)/($K13)))*100</f>
        <v>99.469331118482884</v>
      </c>
      <c r="Q2" s="497">
        <f t="shared" ref="Q2:Q9" si="8">P2/$Q$1</f>
        <v>0.12490807715908636</v>
      </c>
      <c r="R2" s="497">
        <f>100-ABS((($K14-B4)/($K14)))*100</f>
        <v>99.43934405374543</v>
      </c>
      <c r="S2" s="497">
        <f t="shared" ref="S2:S9" si="9">R2/$S$1</f>
        <v>0.12475063021681586</v>
      </c>
      <c r="T2" s="497">
        <f>100-ABS((($K15-B5)/($K15)))*100</f>
        <v>92.611683848797256</v>
      </c>
      <c r="U2" s="497">
        <f t="shared" ref="U2:U9" si="10">T2/$U$1</f>
        <v>0.12370897406472343</v>
      </c>
      <c r="V2" s="498">
        <f>100-ABS((($K16-B6)/($K16)))*100</f>
        <v>99.164505906078944</v>
      </c>
      <c r="W2" s="499">
        <f t="shared" ref="W2:W9" si="11">V2/$W$1</f>
        <v>0.12505503242104182</v>
      </c>
      <c r="X2" s="500">
        <f>100-ABS((($K17-B7)/($K17)))*100</f>
        <v>98.714501454933881</v>
      </c>
      <c r="Y2" s="48">
        <f t="shared" ref="Y2:Y9" si="12">X2/$Y$1</f>
        <v>0.12541942971598113</v>
      </c>
      <c r="Z2" s="29"/>
      <c r="AA2" s="751">
        <f t="shared" ref="AA2:AA9" si="13">(P2+R2+T2+V2)/4</f>
        <v>97.671216231776128</v>
      </c>
      <c r="AB2" s="752">
        <f t="shared" ref="AB2:AB9" si="14">(N2+P2+R2+T2+V2+X2)/6</f>
        <v>98.168250472380009</v>
      </c>
      <c r="AC2" s="51" t="str">
        <f>IF($AA2=MAX(AA2:AA9),"TOP","")</f>
        <v/>
      </c>
      <c r="AD2" s="51" t="str">
        <f>IF($AB2=MAX(AB2:AB9),"TOP","")</f>
        <v/>
      </c>
      <c r="AE2" s="52"/>
      <c r="AF2" s="53" t="s">
        <v>12</v>
      </c>
      <c r="AG2" s="580" t="s">
        <v>42</v>
      </c>
      <c r="AH2" s="581">
        <f>MAX(N2:N9)</f>
        <v>99.902534113060412</v>
      </c>
      <c r="AJ2" s="341" t="str">
        <f t="shared" ref="AJ2:AJ7" si="15">A2</f>
        <v>TNX</v>
      </c>
      <c r="AK2" s="753">
        <f t="shared" ref="AK2:AK7" si="16">IF(AN27=1,AP27,AP37)</f>
        <v>4.1181830491088141</v>
      </c>
      <c r="AL2" s="754">
        <f t="shared" ref="AL2:AL7" si="17">100-ABS(($K12-AK2)/($K12))*100</f>
        <v>99.654409134775491</v>
      </c>
      <c r="AN2" s="1315"/>
      <c r="AO2" s="182">
        <f t="shared" si="0"/>
        <v>3.3340030122535089E-3</v>
      </c>
      <c r="AP2" s="183" t="str">
        <f>IF(I22-B22&gt;0,"↑","↓")</f>
        <v>↑</v>
      </c>
      <c r="AQ2" s="184">
        <f t="shared" si="1"/>
        <v>6.1919004396608103E-4</v>
      </c>
      <c r="AR2" s="185" t="str">
        <f t="shared" si="2"/>
        <v>↑</v>
      </c>
      <c r="AS2" s="182">
        <f t="shared" si="3"/>
        <v>1.1615865774881396E-3</v>
      </c>
      <c r="AT2" s="183" t="str">
        <f t="shared" si="4"/>
        <v>↑</v>
      </c>
      <c r="AU2" s="182">
        <f t="shared" si="5"/>
        <v>2.290518865202323E-2</v>
      </c>
      <c r="AV2" s="183" t="str">
        <f t="shared" si="6"/>
        <v>↑</v>
      </c>
    </row>
    <row r="3" spans="1:48" ht="15" x14ac:dyDescent="0.3">
      <c r="A3" s="82" t="s">
        <v>13</v>
      </c>
      <c r="B3" s="532">
        <v>46000</v>
      </c>
      <c r="C3" s="533">
        <v>46362</v>
      </c>
      <c r="D3" s="533">
        <v>45970</v>
      </c>
      <c r="E3" s="533">
        <v>45972</v>
      </c>
      <c r="F3" s="533">
        <v>46100</v>
      </c>
      <c r="G3" s="533">
        <v>46100</v>
      </c>
      <c r="H3" s="533">
        <v>45800</v>
      </c>
      <c r="I3" s="534">
        <v>46200</v>
      </c>
      <c r="K3" s="755">
        <v>45979</v>
      </c>
      <c r="M3" s="501" t="str">
        <f>C1</f>
        <v>Grok 4.1</v>
      </c>
      <c r="N3" s="502">
        <f>100-ABS((($K12-C2)/($K12)))*100</f>
        <v>99.610136452241719</v>
      </c>
      <c r="O3" s="503">
        <f t="shared" si="7"/>
        <v>0.12509945529102151</v>
      </c>
      <c r="P3" s="504">
        <f>100-ABS((($K13-C3)/($K13)))*100</f>
        <v>99.747888493149929</v>
      </c>
      <c r="Q3" s="505">
        <f t="shared" si="8"/>
        <v>0.12525787408299147</v>
      </c>
      <c r="R3" s="505">
        <f>100-ABS((($K14-C4)/($K14)))*100</f>
        <v>99.318186636942713</v>
      </c>
      <c r="S3" s="505">
        <f t="shared" si="9"/>
        <v>0.12459863339658933</v>
      </c>
      <c r="T3" s="505">
        <f>100-ABS((($K15-C5)/($K15)))*100</f>
        <v>95.919243986254301</v>
      </c>
      <c r="U3" s="505">
        <f t="shared" si="10"/>
        <v>0.12812715170989211</v>
      </c>
      <c r="V3" s="506">
        <f>100-ABS((($K16-C6)/($K16)))*100</f>
        <v>97.639263138271744</v>
      </c>
      <c r="W3" s="507">
        <f t="shared" si="11"/>
        <v>0.1231315691613273</v>
      </c>
      <c r="X3" s="508">
        <f>100-ABS((($K17-C7)/($K17)))*100</f>
        <v>99.082839146929899</v>
      </c>
      <c r="Y3" s="48">
        <f t="shared" si="12"/>
        <v>0.12588741266268255</v>
      </c>
      <c r="Z3" s="29"/>
      <c r="AA3" s="756">
        <f t="shared" si="13"/>
        <v>98.156145563654675</v>
      </c>
      <c r="AB3" s="757">
        <f t="shared" si="14"/>
        <v>98.552926308965041</v>
      </c>
      <c r="AC3" s="51" t="str">
        <f>IF($AA3=MAX(AA2:AA9),"TOP","")</f>
        <v/>
      </c>
      <c r="AD3" s="51" t="str">
        <f>IF($AB3=MAX(AB2:AB9),"TOP","")</f>
        <v/>
      </c>
      <c r="AE3" s="52"/>
      <c r="AF3" s="60" t="s">
        <v>13</v>
      </c>
      <c r="AG3" s="583" t="s">
        <v>42</v>
      </c>
      <c r="AH3" s="584">
        <f>MAX(P2:P9)</f>
        <v>99.901806471171938</v>
      </c>
      <c r="AJ3" s="343" t="str">
        <f t="shared" si="15"/>
        <v>DJI</v>
      </c>
      <c r="AK3" s="758">
        <f t="shared" si="16"/>
        <v>46120.279546517071</v>
      </c>
      <c r="AL3" s="759">
        <f t="shared" si="17"/>
        <v>99.72942081498914</v>
      </c>
      <c r="AN3" s="1315"/>
      <c r="AO3" s="182">
        <f t="shared" si="0"/>
        <v>-2.1670404332872137E-3</v>
      </c>
      <c r="AP3" s="183" t="str">
        <f>IF(I23-B23&gt;0,"↑","↓")</f>
        <v>↓</v>
      </c>
      <c r="AQ3" s="184">
        <f t="shared" si="1"/>
        <v>2.007626882054415E-3</v>
      </c>
      <c r="AR3" s="185" t="str">
        <f t="shared" si="2"/>
        <v>↑</v>
      </c>
      <c r="AS3" s="182">
        <f t="shared" si="3"/>
        <v>2.3098640415086958E-3</v>
      </c>
      <c r="AT3" s="183" t="str">
        <f t="shared" si="4"/>
        <v>↑</v>
      </c>
      <c r="AU3" s="182">
        <f t="shared" si="5"/>
        <v>1.7647627740535542E-2</v>
      </c>
      <c r="AV3" s="183" t="str">
        <f t="shared" si="6"/>
        <v>↑</v>
      </c>
    </row>
    <row r="4" spans="1:48" ht="15" x14ac:dyDescent="0.3">
      <c r="A4" s="82" t="s">
        <v>14</v>
      </c>
      <c r="B4" s="535">
        <v>6640</v>
      </c>
      <c r="C4" s="536">
        <v>6648</v>
      </c>
      <c r="D4" s="536">
        <v>6620</v>
      </c>
      <c r="E4" s="536">
        <v>6622</v>
      </c>
      <c r="F4" s="536">
        <v>6610</v>
      </c>
      <c r="G4" s="536">
        <v>6620</v>
      </c>
      <c r="H4" s="536">
        <v>6625</v>
      </c>
      <c r="I4" s="537">
        <v>6630</v>
      </c>
      <c r="K4" s="8"/>
      <c r="M4" s="501" t="str">
        <f>D1</f>
        <v>Gemini Pro 3</v>
      </c>
      <c r="N4" s="502">
        <f>100-ABS((($K12-D2)/($K12)))*100</f>
        <v>99.122807017543863</v>
      </c>
      <c r="O4" s="503">
        <f t="shared" si="7"/>
        <v>0.12448742273088929</v>
      </c>
      <c r="P4" s="504">
        <f>100-ABS((($K13-D3)/($K13)))*100</f>
        <v>99.404459815579528</v>
      </c>
      <c r="Q4" s="505">
        <f t="shared" si="8"/>
        <v>0.12482661536963478</v>
      </c>
      <c r="R4" s="505">
        <f>100-ABS((($K14-D4)/($K14)))*100</f>
        <v>99.742237595752215</v>
      </c>
      <c r="S4" s="505">
        <f t="shared" si="9"/>
        <v>0.12513062226738214</v>
      </c>
      <c r="T4" s="505">
        <f>100-ABS((($K15-D5)/($K15)))*100</f>
        <v>92.139175257731964</v>
      </c>
      <c r="U4" s="505">
        <f t="shared" si="10"/>
        <v>0.12307780582969934</v>
      </c>
      <c r="V4" s="506">
        <f>100-ABS((($K16-D6)/($K16)))*100</f>
        <v>99.310251326113843</v>
      </c>
      <c r="W4" s="507">
        <f t="shared" si="11"/>
        <v>0.12523883002141453</v>
      </c>
      <c r="X4" s="508">
        <f>100-ABS((($K17-D7)/($K17)))*100</f>
        <v>98.456665070536673</v>
      </c>
      <c r="Y4" s="48">
        <f t="shared" si="12"/>
        <v>0.12509184165329015</v>
      </c>
      <c r="Z4" s="29"/>
      <c r="AA4" s="756">
        <f t="shared" si="13"/>
        <v>97.649030998794387</v>
      </c>
      <c r="AB4" s="757">
        <f t="shared" si="14"/>
        <v>98.029266013876352</v>
      </c>
      <c r="AC4" s="51" t="str">
        <f>IF($AA4=MAX(AA2:AA9),"TOP","")</f>
        <v/>
      </c>
      <c r="AD4" s="51" t="str">
        <f>IF($AB4=MAX(AB2:AB9),"TOP","")</f>
        <v/>
      </c>
      <c r="AE4" s="52"/>
      <c r="AF4" s="82" t="s">
        <v>14</v>
      </c>
      <c r="AG4" s="585" t="s">
        <v>37</v>
      </c>
      <c r="AH4" s="586">
        <f>MAX(R2:R9)</f>
        <v>99.893684366755608</v>
      </c>
      <c r="AJ4" s="345" t="str">
        <f t="shared" si="15"/>
        <v>SPX</v>
      </c>
      <c r="AK4" s="760">
        <f t="shared" si="16"/>
        <v>6630.605109519156</v>
      </c>
      <c r="AL4" s="761">
        <f t="shared" si="17"/>
        <v>99.581626636470858</v>
      </c>
      <c r="AN4" s="1315"/>
      <c r="AO4" s="182">
        <f t="shared" si="0"/>
        <v>-5.7108140947752128E-2</v>
      </c>
      <c r="AP4" s="183" t="str">
        <f>IF(I24-B24&gt;0,"↑","↓")</f>
        <v>↓</v>
      </c>
      <c r="AQ4" s="184">
        <f t="shared" si="1"/>
        <v>-3.8834754925900494E-2</v>
      </c>
      <c r="AR4" s="185" t="str">
        <f t="shared" si="2"/>
        <v>↓</v>
      </c>
      <c r="AS4" s="182">
        <f t="shared" si="3"/>
        <v>-4.8150267279079936E-2</v>
      </c>
      <c r="AT4" s="183" t="str">
        <f t="shared" si="4"/>
        <v>↓</v>
      </c>
      <c r="AU4" s="182">
        <f t="shared" si="5"/>
        <v>-0.19684082624544361</v>
      </c>
      <c r="AV4" s="183" t="str">
        <f t="shared" si="6"/>
        <v>↓</v>
      </c>
    </row>
    <row r="5" spans="1:48" ht="15" x14ac:dyDescent="0.3">
      <c r="A5" s="82" t="s">
        <v>15</v>
      </c>
      <c r="B5" s="538">
        <v>25</v>
      </c>
      <c r="C5" s="539">
        <v>24.23</v>
      </c>
      <c r="D5" s="539">
        <v>25.11</v>
      </c>
      <c r="E5" s="539">
        <v>25.11</v>
      </c>
      <c r="F5" s="539">
        <v>24.2</v>
      </c>
      <c r="G5" s="539">
        <v>25.3</v>
      </c>
      <c r="H5" s="540">
        <v>24.25</v>
      </c>
      <c r="I5" s="541">
        <v>25</v>
      </c>
      <c r="K5" s="2" t="s">
        <v>36</v>
      </c>
      <c r="M5" s="501" t="str">
        <f>E1</f>
        <v>Claude</v>
      </c>
      <c r="N5" s="502">
        <f>100-ABS((($K12-E2)/($K12)))*100</f>
        <v>99.122807017543863</v>
      </c>
      <c r="O5" s="503">
        <f t="shared" si="7"/>
        <v>0.12448742273088929</v>
      </c>
      <c r="P5" s="504">
        <f>100-ABS((($K13-E3)/($K13)))*100</f>
        <v>99.408784569106416</v>
      </c>
      <c r="Q5" s="505">
        <f t="shared" si="8"/>
        <v>0.12483204615559822</v>
      </c>
      <c r="R5" s="505">
        <f>100-ABS((($K14-E4)/($K14)))*100</f>
        <v>99.711948241551539</v>
      </c>
      <c r="S5" s="505">
        <f t="shared" si="9"/>
        <v>0.12509262306232552</v>
      </c>
      <c r="T5" s="505">
        <f>100-ABS((($K15-E5)/($K15)))*100</f>
        <v>92.139175257731964</v>
      </c>
      <c r="U5" s="505">
        <f t="shared" si="10"/>
        <v>0.12307780582969934</v>
      </c>
      <c r="V5" s="506">
        <f>100-ABS((($K16-E6)/($K16)))*100</f>
        <v>99.371261036826127</v>
      </c>
      <c r="W5" s="507">
        <f t="shared" si="11"/>
        <v>0.12531576855180313</v>
      </c>
      <c r="X5" s="508">
        <f>100-ABS((($K17-E7)/($K17)))*100</f>
        <v>98.456665070536673</v>
      </c>
      <c r="Y5" s="48">
        <f t="shared" si="12"/>
        <v>0.12509184165329015</v>
      </c>
      <c r="Z5" s="29"/>
      <c r="AA5" s="756">
        <f t="shared" si="13"/>
        <v>97.657792276304008</v>
      </c>
      <c r="AB5" s="757">
        <f t="shared" si="14"/>
        <v>98.035106865549437</v>
      </c>
      <c r="AC5" s="51" t="str">
        <f>IF($AA5=MAX(AA2:AA9),"TOP","")</f>
        <v/>
      </c>
      <c r="AD5" s="51" t="str">
        <f>IF($AB5=MAX(AB2:AB9),"TOP","")</f>
        <v/>
      </c>
      <c r="AE5" s="52"/>
      <c r="AF5" s="82" t="s">
        <v>15</v>
      </c>
      <c r="AG5" s="585" t="s">
        <v>95</v>
      </c>
      <c r="AH5" s="586">
        <f>MAX(T2:T9)</f>
        <v>96.048109965635746</v>
      </c>
      <c r="AJ5" s="345" t="str">
        <f t="shared" si="15"/>
        <v>VIX</v>
      </c>
      <c r="AK5" s="762">
        <f t="shared" si="16"/>
        <v>23.731169900879518</v>
      </c>
      <c r="AL5" s="761">
        <f t="shared" si="17"/>
        <v>98.061984961857746</v>
      </c>
      <c r="AN5" s="1315"/>
      <c r="AO5" s="182">
        <f t="shared" si="0"/>
        <v>-1.0464355788096621E-2</v>
      </c>
      <c r="AP5" s="183" t="str">
        <f>IF(I25-B25&gt;0,"↑","↓")</f>
        <v>↓</v>
      </c>
      <c r="AQ5" s="184">
        <f t="shared" si="1"/>
        <v>2.6397973406255202E-4</v>
      </c>
      <c r="AR5" s="185" t="str">
        <f t="shared" si="2"/>
        <v>↑</v>
      </c>
      <c r="AS5" s="182">
        <f t="shared" si="3"/>
        <v>2.9471478848566404E-3</v>
      </c>
      <c r="AT5" s="183" t="str">
        <f t="shared" si="4"/>
        <v>↑</v>
      </c>
      <c r="AU5" s="182">
        <f t="shared" si="5"/>
        <v>2.1046100182790947E-2</v>
      </c>
      <c r="AV5" s="183" t="str">
        <f t="shared" si="6"/>
        <v>↑</v>
      </c>
    </row>
    <row r="6" spans="1:48" ht="15" x14ac:dyDescent="0.3">
      <c r="A6" s="82" t="s">
        <v>16</v>
      </c>
      <c r="B6" s="542">
        <v>595</v>
      </c>
      <c r="C6" s="543">
        <v>604</v>
      </c>
      <c r="D6" s="543">
        <v>586</v>
      </c>
      <c r="E6" s="543">
        <v>586.36</v>
      </c>
      <c r="F6" s="543">
        <v>590</v>
      </c>
      <c r="G6" s="543">
        <v>595</v>
      </c>
      <c r="H6" s="544">
        <v>595</v>
      </c>
      <c r="I6" s="545">
        <v>595</v>
      </c>
      <c r="M6" s="501" t="str">
        <f>F1</f>
        <v>Minimax 2</v>
      </c>
      <c r="N6" s="502">
        <f>100-ABS((($K12-F2)/($K12)))*100</f>
        <v>99.610136452241719</v>
      </c>
      <c r="O6" s="503">
        <f t="shared" si="7"/>
        <v>0.12509945529102151</v>
      </c>
      <c r="P6" s="504">
        <f>100-ABS((($K13-F3)/($K13)))*100</f>
        <v>99.685568794827418</v>
      </c>
      <c r="Q6" s="505">
        <f t="shared" si="8"/>
        <v>0.12517961645725828</v>
      </c>
      <c r="R6" s="505">
        <f>100-ABS((($K14-F4)/($K14)))*100</f>
        <v>99.893684366755608</v>
      </c>
      <c r="S6" s="505">
        <f t="shared" si="9"/>
        <v>0.1253206182926653</v>
      </c>
      <c r="T6" s="505">
        <f>100-ABS((($K15-F5)/($K15)))*100</f>
        <v>96.048109965635746</v>
      </c>
      <c r="U6" s="505">
        <f t="shared" si="10"/>
        <v>0.12829928850126235</v>
      </c>
      <c r="V6" s="506">
        <f>100-ABS((($K16-F6)/($K16)))*100</f>
        <v>99.98813700069482</v>
      </c>
      <c r="W6" s="507">
        <f t="shared" si="11"/>
        <v>0.12609370258128769</v>
      </c>
      <c r="X6" s="508">
        <f>100-ABS((($K17-F7)/($K17)))*100</f>
        <v>97.609488378945812</v>
      </c>
      <c r="Y6" s="48">
        <f t="shared" si="12"/>
        <v>0.12401548087587687</v>
      </c>
      <c r="Z6" s="29"/>
      <c r="AA6" s="756">
        <f t="shared" si="13"/>
        <v>98.903875031978401</v>
      </c>
      <c r="AB6" s="757">
        <f t="shared" si="14"/>
        <v>98.805854159850185</v>
      </c>
      <c r="AC6" s="11" t="str">
        <f>IF($AA6=MAX(AA2:AA9),"TOP","")</f>
        <v>TOP</v>
      </c>
      <c r="AD6" s="11" t="str">
        <f>IF($AB6=MAX(AB2:AB9),"TOP","")</f>
        <v>TOP</v>
      </c>
      <c r="AE6" s="52"/>
      <c r="AF6" s="99" t="s">
        <v>16</v>
      </c>
      <c r="AG6" s="587" t="s">
        <v>39</v>
      </c>
      <c r="AH6" s="588">
        <f>MAX(V2:V9)</f>
        <v>99.98813700069482</v>
      </c>
      <c r="AJ6" s="348" t="str">
        <f t="shared" si="15"/>
        <v>QQQ</v>
      </c>
      <c r="AK6" s="763">
        <f t="shared" si="16"/>
        <v>596.46741375521879</v>
      </c>
      <c r="AL6" s="764">
        <f t="shared" si="17"/>
        <v>98.915821215242474</v>
      </c>
      <c r="AN6" s="1315"/>
      <c r="AO6" s="223">
        <f t="shared" si="0"/>
        <v>1.5143583607538182E-2</v>
      </c>
      <c r="AP6" s="224" t="str">
        <f>IF(I26-B26&gt;0,"↑","↓")</f>
        <v>↑</v>
      </c>
      <c r="AQ6" s="225">
        <f t="shared" si="1"/>
        <v>-4.7656834373265783E-3</v>
      </c>
      <c r="AR6" s="226" t="str">
        <f t="shared" si="2"/>
        <v>↓</v>
      </c>
      <c r="AS6" s="223">
        <f t="shared" si="3"/>
        <v>-7.5700507720558629E-3</v>
      </c>
      <c r="AT6" s="224" t="str">
        <f t="shared" si="4"/>
        <v>↓</v>
      </c>
      <c r="AU6" s="223">
        <f t="shared" si="5"/>
        <v>1.8583607538139497E-2</v>
      </c>
      <c r="AV6" s="224" t="str">
        <f t="shared" si="6"/>
        <v>↑</v>
      </c>
    </row>
    <row r="7" spans="1:48" ht="14.4" x14ac:dyDescent="0.3">
      <c r="A7" s="745" t="s">
        <v>17</v>
      </c>
      <c r="B7" s="546">
        <v>268</v>
      </c>
      <c r="C7" s="547">
        <v>269</v>
      </c>
      <c r="D7" s="547">
        <v>267.3</v>
      </c>
      <c r="E7" s="547">
        <v>267.3</v>
      </c>
      <c r="F7" s="547">
        <v>265</v>
      </c>
      <c r="G7" s="547">
        <v>262.73</v>
      </c>
      <c r="H7" s="548">
        <v>269</v>
      </c>
      <c r="I7" s="549">
        <v>268.5</v>
      </c>
      <c r="K7" s="2" t="s">
        <v>41</v>
      </c>
      <c r="M7" s="501" t="str">
        <f>G1</f>
        <v>Kimi 2</v>
      </c>
      <c r="N7" s="502">
        <f>100-ABS((($K12-G2)/($K12)))*100</f>
        <v>99.658869395711491</v>
      </c>
      <c r="O7" s="503">
        <f t="shared" si="7"/>
        <v>0.1251606585470347</v>
      </c>
      <c r="P7" s="504">
        <f>100-ABS((($K13-G3)/($K13)))*100</f>
        <v>99.685568794827418</v>
      </c>
      <c r="Q7" s="505">
        <f t="shared" si="8"/>
        <v>0.12517961645725828</v>
      </c>
      <c r="R7" s="505">
        <f>100-ABS((($K14-G4)/($K14)))*100</f>
        <v>99.742237595752215</v>
      </c>
      <c r="S7" s="505">
        <f t="shared" si="9"/>
        <v>0.12513062226738214</v>
      </c>
      <c r="T7" s="505">
        <f>100-ABS((($K15-G5)/($K15)))*100</f>
        <v>91.323024054982824</v>
      </c>
      <c r="U7" s="505">
        <f t="shared" si="10"/>
        <v>0.12198760615102135</v>
      </c>
      <c r="V7" s="506">
        <f>100-ABS((($K16-G6)/($K16)))*100</f>
        <v>99.164505906078944</v>
      </c>
      <c r="W7" s="507">
        <f t="shared" si="11"/>
        <v>0.12505503242104182</v>
      </c>
      <c r="X7" s="508">
        <f>100-ABS((($K17-G7)/($K17)))*100</f>
        <v>96.77336181811485</v>
      </c>
      <c r="Y7" s="48">
        <f t="shared" si="12"/>
        <v>0.12295315958686465</v>
      </c>
      <c r="Z7" s="29"/>
      <c r="AA7" s="756">
        <f t="shared" si="13"/>
        <v>97.478834087910343</v>
      </c>
      <c r="AB7" s="757">
        <f t="shared" si="14"/>
        <v>97.724594594244635</v>
      </c>
      <c r="AC7" s="51" t="str">
        <f>IF($AA7=MAX(AA2:AA9),"TOP","")</f>
        <v/>
      </c>
      <c r="AD7" s="51" t="str">
        <f>IF($AB7=MAX(AB2:AB9),"TOP","")</f>
        <v/>
      </c>
      <c r="AE7" s="52"/>
      <c r="AF7" s="114" t="s">
        <v>17</v>
      </c>
      <c r="AG7" s="589" t="s">
        <v>96</v>
      </c>
      <c r="AH7" s="590">
        <f>MAX(X2:X9)</f>
        <v>99.082839146929899</v>
      </c>
      <c r="AJ7" s="350" t="str">
        <f t="shared" si="15"/>
        <v>AAPL</v>
      </c>
      <c r="AK7" s="765">
        <f t="shared" si="16"/>
        <v>266.16546562152138</v>
      </c>
      <c r="AL7" s="766">
        <f t="shared" si="17"/>
        <v>98.038773296077707</v>
      </c>
      <c r="AN7" s="228"/>
      <c r="AO7" s="1316" t="str">
        <f>K11</f>
        <v xml:space="preserve">+3-day </v>
      </c>
      <c r="AP7" s="1316"/>
      <c r="AQ7" s="1317" t="str">
        <f>C11</f>
        <v>RD</v>
      </c>
      <c r="AR7" s="1317"/>
      <c r="AS7" s="1318">
        <f>E11</f>
        <v>85520</v>
      </c>
      <c r="AT7" s="1318"/>
      <c r="AU7" s="1318" t="str">
        <f>G11</f>
        <v>MICH</v>
      </c>
      <c r="AV7" s="1318"/>
    </row>
    <row r="8" spans="1:48" ht="15" x14ac:dyDescent="0.3">
      <c r="K8" s="485">
        <v>11</v>
      </c>
      <c r="M8" s="501" t="str">
        <f>H1</f>
        <v>Qwen3 Max</v>
      </c>
      <c r="N8" s="502">
        <f>100-ABS((($K12-H2)/($K12)))*100</f>
        <v>99.902534113060412</v>
      </c>
      <c r="O8" s="503">
        <f t="shared" si="7"/>
        <v>0.1254666748271008</v>
      </c>
      <c r="P8" s="504">
        <f>100-ABS((($K13-H3)/($K13)))*100</f>
        <v>99.036855765793831</v>
      </c>
      <c r="Q8" s="505">
        <f t="shared" si="8"/>
        <v>0.12436499856274251</v>
      </c>
      <c r="R8" s="505">
        <f>100-ABS((($K14-H4)/($K14)))*100</f>
        <v>99.666514210250511</v>
      </c>
      <c r="S8" s="505">
        <f t="shared" si="9"/>
        <v>0.12503562425474057</v>
      </c>
      <c r="T8" s="505">
        <f>100-ABS((($K15-H5)/($K15)))*100</f>
        <v>95.833333333333343</v>
      </c>
      <c r="U8" s="505">
        <f t="shared" si="10"/>
        <v>0.12801239384897867</v>
      </c>
      <c r="V8" s="506">
        <f>100-ABS((($K16-H6)/($K16)))*100</f>
        <v>99.164505906078944</v>
      </c>
      <c r="W8" s="507">
        <f t="shared" si="11"/>
        <v>0.12505503242104182</v>
      </c>
      <c r="X8" s="508">
        <f>100-ABS((($K17-H7)/($K17)))*100</f>
        <v>99.082839146929899</v>
      </c>
      <c r="Y8" s="48">
        <f t="shared" si="12"/>
        <v>0.12588741266268255</v>
      </c>
      <c r="Z8" s="29"/>
      <c r="AA8" s="756">
        <f t="shared" si="13"/>
        <v>98.425302303864157</v>
      </c>
      <c r="AB8" s="757">
        <f t="shared" si="14"/>
        <v>98.78109707924115</v>
      </c>
      <c r="AC8" s="51" t="str">
        <f>IF($AA8=MAX(AA2:AA9),"TOP","")</f>
        <v/>
      </c>
      <c r="AD8" s="51" t="str">
        <f>IF($AB8=MAX(AB2:AB9),"TOP","")</f>
        <v/>
      </c>
      <c r="AE8" s="52"/>
      <c r="AF8" s="4"/>
      <c r="AG8" s="4"/>
      <c r="AH8" s="5"/>
      <c r="AN8" s="1315" t="str">
        <f>B29</f>
        <v>Oraclum</v>
      </c>
      <c r="AO8" s="163">
        <f t="shared" ref="AO8:AO13" si="18">(I30-B30)/B30</f>
        <v>-1.7711823839157453E-2</v>
      </c>
      <c r="AP8" s="164" t="str">
        <f t="shared" ref="AP8:AP13" si="19">IF(I30-B30&gt;0,"↑","↓")</f>
        <v>↓</v>
      </c>
      <c r="AQ8" s="165">
        <f t="shared" ref="AQ8:AQ13" si="20">(C30-B30)/B30</f>
        <v>-1.4317125632165122E-2</v>
      </c>
      <c r="AR8" s="166" t="str">
        <f t="shared" ref="AR8:AR13" si="21">IF(C30-B30&gt;0,"↑","↓")</f>
        <v>↓</v>
      </c>
      <c r="AS8" s="163">
        <f t="shared" ref="AS8:AS13" si="22">(E30-B30)/B30</f>
        <v>-1.4317125632165122E-2</v>
      </c>
      <c r="AT8" s="164" t="str">
        <f t="shared" ref="AT8:AT13" si="23">IF(E30-B30&gt;0,"↑","↓")</f>
        <v>↓</v>
      </c>
      <c r="AU8" s="163">
        <f t="shared" ref="AU8:AU13" si="24">(G30-B30)/B30</f>
        <v>-7.6591670655816249E-3</v>
      </c>
      <c r="AV8" s="164" t="str">
        <f t="shared" ref="AV8:AV13" si="25">IF(G30-B30&gt;0,"↑","↓")</f>
        <v>↓</v>
      </c>
    </row>
    <row r="9" spans="1:48" ht="15" x14ac:dyDescent="0.3">
      <c r="M9" s="509" t="str">
        <f>I1</f>
        <v>LeChat</v>
      </c>
      <c r="N9" s="510">
        <f>100-ABS((($K12-I2)/($K12)))*100</f>
        <v>99.610136452241719</v>
      </c>
      <c r="O9" s="511">
        <f t="shared" si="7"/>
        <v>0.12509945529102151</v>
      </c>
      <c r="P9" s="512">
        <f>100-ABS((($K13-I3)/($K13)))*100</f>
        <v>99.901806471171938</v>
      </c>
      <c r="Q9" s="513">
        <f t="shared" si="8"/>
        <v>0.1254511557554302</v>
      </c>
      <c r="R9" s="513">
        <f>100-ABS((($K14-I4)/($K14)))*100</f>
        <v>99.590790824748822</v>
      </c>
      <c r="S9" s="513">
        <f t="shared" si="9"/>
        <v>0.12494062624209901</v>
      </c>
      <c r="T9" s="514">
        <f>100-ABS((($K15-I5)/($K15)))*100</f>
        <v>92.611683848797256</v>
      </c>
      <c r="U9" s="513">
        <f t="shared" si="10"/>
        <v>0.12370897406472343</v>
      </c>
      <c r="V9" s="515">
        <f>100-ABS((($K16-I6)/($K16)))*100</f>
        <v>99.164505906078944</v>
      </c>
      <c r="W9" s="516">
        <f t="shared" si="11"/>
        <v>0.12505503242104182</v>
      </c>
      <c r="X9" s="517">
        <f>100-ABS((($K17-I7)/($K17)))*100</f>
        <v>98.898670300931897</v>
      </c>
      <c r="Y9" s="124">
        <f t="shared" si="12"/>
        <v>0.12565342118933184</v>
      </c>
      <c r="Z9" s="29"/>
      <c r="AA9" s="767">
        <f t="shared" si="13"/>
        <v>97.81719676269924</v>
      </c>
      <c r="AB9" s="768">
        <f t="shared" si="14"/>
        <v>98.296265633995105</v>
      </c>
      <c r="AC9" s="51" t="str">
        <f>IF($AA9=MAX(AA2:AA9),"TOP","")</f>
        <v/>
      </c>
      <c r="AD9" s="51" t="str">
        <f>IF($AB9=MAX(AB2:AB9),"TOP","")</f>
        <v/>
      </c>
      <c r="AE9" s="52"/>
      <c r="AF9" s="1319" t="s">
        <v>44</v>
      </c>
      <c r="AG9" s="1319"/>
      <c r="AH9" s="125">
        <f>AVERAGE(AH3:AH6)</f>
        <v>98.957934451064517</v>
      </c>
      <c r="AJ9" s="1310" t="s">
        <v>44</v>
      </c>
      <c r="AK9" s="1310"/>
      <c r="AL9" s="126">
        <f>AVERAGE(AL3:AL6)</f>
        <v>99.072213407140069</v>
      </c>
      <c r="AN9" s="1315"/>
      <c r="AO9" s="182">
        <f t="shared" si="18"/>
        <v>-3.1465520310665414E-2</v>
      </c>
      <c r="AP9" s="183" t="str">
        <f t="shared" si="19"/>
        <v>↓</v>
      </c>
      <c r="AQ9" s="184">
        <f t="shared" si="20"/>
        <v>-3.4086173012358022E-2</v>
      </c>
      <c r="AR9" s="185" t="str">
        <f t="shared" si="21"/>
        <v>↓</v>
      </c>
      <c r="AS9" s="182">
        <f t="shared" si="22"/>
        <v>-3.3562588898989075E-2</v>
      </c>
      <c r="AT9" s="183" t="str">
        <f t="shared" si="23"/>
        <v>↓</v>
      </c>
      <c r="AU9" s="182">
        <f t="shared" si="24"/>
        <v>-1.2573139464796435E-2</v>
      </c>
      <c r="AV9" s="183" t="str">
        <f t="shared" si="25"/>
        <v>↓</v>
      </c>
    </row>
    <row r="10" spans="1:48" ht="15" x14ac:dyDescent="0.3">
      <c r="E10" s="769"/>
      <c r="N10" s="120"/>
      <c r="O10" s="6"/>
      <c r="P10" s="120"/>
      <c r="Q10" s="6"/>
      <c r="R10" s="120"/>
      <c r="S10" s="6"/>
      <c r="T10" s="120"/>
      <c r="U10" s="6"/>
      <c r="V10" s="120"/>
      <c r="W10" s="6"/>
      <c r="X10" s="120"/>
      <c r="AF10" s="1320" t="s">
        <v>51</v>
      </c>
      <c r="AG10" s="1320"/>
      <c r="AH10" s="141">
        <f>AVERAGE(AH2:AH7)</f>
        <v>99.136185177374742</v>
      </c>
      <c r="AJ10" s="1311" t="s">
        <v>51</v>
      </c>
      <c r="AK10" s="1311"/>
      <c r="AL10" s="142">
        <f>AVERAGE(AL2:AL7)</f>
        <v>98.997006009902236</v>
      </c>
      <c r="AN10" s="1315"/>
      <c r="AO10" s="182">
        <f t="shared" si="18"/>
        <v>-3.5568538669393183E-2</v>
      </c>
      <c r="AP10" s="183" t="str">
        <f t="shared" si="19"/>
        <v>↓</v>
      </c>
      <c r="AQ10" s="184">
        <f t="shared" si="20"/>
        <v>-3.153361432569108E-2</v>
      </c>
      <c r="AR10" s="185" t="str">
        <f t="shared" si="21"/>
        <v>↓</v>
      </c>
      <c r="AS10" s="182">
        <f t="shared" si="22"/>
        <v>-3.1241494264345866E-2</v>
      </c>
      <c r="AT10" s="183" t="str">
        <f t="shared" si="23"/>
        <v>↓</v>
      </c>
      <c r="AU10" s="182">
        <f t="shared" si="24"/>
        <v>-1.6417147447600911E-2</v>
      </c>
      <c r="AV10" s="183" t="str">
        <f t="shared" si="25"/>
        <v>↓</v>
      </c>
    </row>
    <row r="11" spans="1:48" ht="15" x14ac:dyDescent="0.3">
      <c r="B11" s="3" t="s">
        <v>46</v>
      </c>
      <c r="C11" s="1312" t="str">
        <f>C20</f>
        <v>RD</v>
      </c>
      <c r="D11" s="1312"/>
      <c r="E11" s="1312">
        <v>85520</v>
      </c>
      <c r="F11" s="1312"/>
      <c r="G11" s="1312" t="s">
        <v>48</v>
      </c>
      <c r="H11" s="1312"/>
      <c r="I11" s="486" t="s">
        <v>36</v>
      </c>
      <c r="J11" s="747" t="s">
        <v>49</v>
      </c>
      <c r="K11" s="130" t="s">
        <v>50</v>
      </c>
      <c r="M11" s="19" t="s">
        <v>53</v>
      </c>
      <c r="N11" s="487" t="s">
        <v>12</v>
      </c>
      <c r="O11" s="21">
        <f>SUM(N12:N19)</f>
        <v>695</v>
      </c>
      <c r="P11" s="591" t="s">
        <v>13</v>
      </c>
      <c r="Q11" s="592">
        <f>SUM(P12:P19)</f>
        <v>680</v>
      </c>
      <c r="R11" s="593" t="s">
        <v>14</v>
      </c>
      <c r="S11" s="592">
        <f>SUM(R12:R19)</f>
        <v>705</v>
      </c>
      <c r="T11" s="593" t="s">
        <v>15</v>
      </c>
      <c r="U11" s="592">
        <f>SUM(T12:T19)</f>
        <v>250</v>
      </c>
      <c r="V11" s="593" t="s">
        <v>16</v>
      </c>
      <c r="W11" s="26">
        <f>SUM(V12:V19)</f>
        <v>615</v>
      </c>
      <c r="X11" s="488" t="s">
        <v>17</v>
      </c>
      <c r="Y11" s="28">
        <f>SUM(X12:X19)</f>
        <v>530</v>
      </c>
      <c r="Z11" s="29"/>
      <c r="AA11" s="30" t="s">
        <v>54</v>
      </c>
      <c r="AB11" s="524" t="s">
        <v>55</v>
      </c>
      <c r="AF11" s="150"/>
      <c r="AN11" s="1315"/>
      <c r="AO11" s="182">
        <f t="shared" si="18"/>
        <v>0.39484721390053923</v>
      </c>
      <c r="AP11" s="183" t="str">
        <f t="shared" si="19"/>
        <v>↑</v>
      </c>
      <c r="AQ11" s="184">
        <f t="shared" si="20"/>
        <v>0.4218795626650399</v>
      </c>
      <c r="AR11" s="185" t="str">
        <f t="shared" si="21"/>
        <v>↑</v>
      </c>
      <c r="AS11" s="182">
        <f t="shared" si="22"/>
        <v>0.40809885565485415</v>
      </c>
      <c r="AT11" s="183" t="str">
        <f t="shared" si="23"/>
        <v>↑</v>
      </c>
      <c r="AU11" s="182">
        <f t="shared" si="24"/>
        <v>0.18813660874775295</v>
      </c>
      <c r="AV11" s="183" t="str">
        <f t="shared" si="25"/>
        <v>↑</v>
      </c>
    </row>
    <row r="12" spans="1:48" ht="15" x14ac:dyDescent="0.3">
      <c r="A12" s="53" t="s">
        <v>12</v>
      </c>
      <c r="B12" s="550">
        <v>4.1230000000000002</v>
      </c>
      <c r="C12" s="551">
        <f t="shared" ref="C12:C17" si="26">AK2</f>
        <v>4.1181830491088141</v>
      </c>
      <c r="D12" s="552" t="str">
        <f t="shared" ref="D12:D17" si="27">IF(ABS(K12-I12)&lt;ABS(C12-K12),$I$11,$C$11)</f>
        <v>RD</v>
      </c>
      <c r="E12" s="551">
        <f t="shared" ref="E12:E17" si="28">AK14</f>
        <v>4.1181830491088141</v>
      </c>
      <c r="F12" s="594">
        <f t="shared" ref="F12:F17" si="29">IF(ABS(K12-I12)&lt;ABS(K12-E12),$I$11,$E$11)</f>
        <v>85520</v>
      </c>
      <c r="G12" s="551">
        <v>4.1459999999999999</v>
      </c>
      <c r="H12" s="552" t="str">
        <f t="shared" ref="H12:H17" si="30">IF(ABS(I12-K12)&lt;ABS(K12-G12),$I$11,$G$11)</f>
        <v>LLM</v>
      </c>
      <c r="I12" s="553">
        <f>(B2*O22)+(C2*O23)+(D2*O24)+(E2*O25)+(F2*O26)+(G2*O27)+(H2*O28)+(I2*O29)</f>
        <v>4.1185942716570016</v>
      </c>
      <c r="J12" s="554">
        <v>4.1131113043478296</v>
      </c>
      <c r="K12" s="597">
        <v>4.1040000000000001</v>
      </c>
      <c r="M12" s="410" t="str">
        <f t="shared" ref="M12:M19" si="31">M2</f>
        <v>o 5.1</v>
      </c>
      <c r="N12" s="770">
        <f t="shared" ref="N12:N19" si="32">IF(N2=0,0, LOOKUP(N2-0.000000000001,$AA$12:$AA$28,$AB$12:$AB$28))</f>
        <v>90</v>
      </c>
      <c r="O12" s="771">
        <f t="shared" ref="O12:O19" si="33">N12/$O$11</f>
        <v>0.12949640287769784</v>
      </c>
      <c r="P12" s="772">
        <f t="shared" ref="P12:P19" si="34">IF(P2=0,0, LOOKUP(P2-0.000000000001,$AA$12:$AA$28,$AB$12:$AB$28))</f>
        <v>80</v>
      </c>
      <c r="Q12" s="51">
        <f t="shared" ref="Q12:Q19" si="35">P12/$Q$11</f>
        <v>0.11764705882352941</v>
      </c>
      <c r="R12" s="120">
        <f t="shared" ref="R12:R19" si="36">IF(R2=0,0, LOOKUP(R2-0.000000000001,$AA$12:$AA$28,$AB$12:$AB$28))</f>
        <v>80</v>
      </c>
      <c r="S12" s="51">
        <f t="shared" ref="S12:S19" si="37">R12/$S$11</f>
        <v>0.11347517730496454</v>
      </c>
      <c r="T12" s="120">
        <f t="shared" ref="T12:T19" si="38">IF(T2=0,0, LOOKUP(T2-0.000000000001,$AA$12:$AA$28,$AB$12:$AB$28))</f>
        <v>30</v>
      </c>
      <c r="U12" s="51">
        <f t="shared" ref="U12:U19" si="39">T12/$U$11</f>
        <v>0.12</v>
      </c>
      <c r="V12" s="120">
        <f t="shared" ref="V12:V19" si="40">IF(V2=0,0, LOOKUP(V2-0.000000000001,$AA$12:$AA$28,$AB$12:$AB$28))</f>
        <v>75</v>
      </c>
      <c r="W12" s="6">
        <f t="shared" ref="W12:W19" si="41">V12/$W$11</f>
        <v>0.12195121951219512</v>
      </c>
      <c r="X12" s="773">
        <f t="shared" ref="X12:X19" si="42">IF(X2=0,0, LOOKUP(X2-0.000000000001,$AA$12:$AA$28,$AB$12:$AB$28))</f>
        <v>70</v>
      </c>
      <c r="Y12" s="179">
        <f t="shared" ref="Y12:Y19" si="43">X12/$Y$11</f>
        <v>0.13207547169811321</v>
      </c>
      <c r="Z12" s="29"/>
      <c r="AA12" s="751">
        <v>1</v>
      </c>
      <c r="AB12" s="774">
        <v>0.1</v>
      </c>
      <c r="AN12" s="1315"/>
      <c r="AO12" s="182">
        <f t="shared" si="18"/>
        <v>-5.605413447233281E-2</v>
      </c>
      <c r="AP12" s="183" t="str">
        <f t="shared" si="19"/>
        <v>↓</v>
      </c>
      <c r="AQ12" s="184">
        <f t="shared" si="20"/>
        <v>-4.5820073658686032E-2</v>
      </c>
      <c r="AR12" s="185" t="str">
        <f t="shared" si="21"/>
        <v>↓</v>
      </c>
      <c r="AS12" s="182">
        <f t="shared" si="22"/>
        <v>-4.3260524139401395E-2</v>
      </c>
      <c r="AT12" s="183" t="str">
        <f t="shared" si="23"/>
        <v>↓</v>
      </c>
      <c r="AU12" s="182">
        <f t="shared" si="24"/>
        <v>-2.5995424805234278E-2</v>
      </c>
      <c r="AV12" s="183" t="str">
        <f t="shared" si="25"/>
        <v>↓</v>
      </c>
    </row>
    <row r="13" spans="1:48" ht="15" x14ac:dyDescent="0.3">
      <c r="A13" s="60" t="s">
        <v>13</v>
      </c>
      <c r="B13" s="556">
        <v>46091.74</v>
      </c>
      <c r="C13" s="532">
        <f t="shared" si="26"/>
        <v>46120.279546517071</v>
      </c>
      <c r="D13" s="557" t="str">
        <f t="shared" si="27"/>
        <v>RD</v>
      </c>
      <c r="E13" s="532">
        <f t="shared" si="28"/>
        <v>46145.279546517071</v>
      </c>
      <c r="F13" s="557">
        <f t="shared" si="29"/>
        <v>85520</v>
      </c>
      <c r="G13" s="532">
        <v>47147.48</v>
      </c>
      <c r="H13" s="557" t="str">
        <f t="shared" si="30"/>
        <v>LLM</v>
      </c>
      <c r="I13" s="558">
        <f>(B3*Q22)+(C3*Q23)+(D3*Q24)+(E3*Q25)+(F3*Q26)+(G3*Q27)+(H3*Q28)+(I3*Q29)</f>
        <v>46064.510895198568</v>
      </c>
      <c r="J13" s="559">
        <v>46179.883921568602</v>
      </c>
      <c r="K13" s="603">
        <v>46245.41</v>
      </c>
      <c r="M13" s="420" t="str">
        <f t="shared" si="31"/>
        <v>Grok 4.1</v>
      </c>
      <c r="N13" s="770">
        <f t="shared" si="32"/>
        <v>90</v>
      </c>
      <c r="O13" s="771">
        <f t="shared" si="33"/>
        <v>0.12949640287769784</v>
      </c>
      <c r="P13" s="772">
        <f t="shared" si="34"/>
        <v>90</v>
      </c>
      <c r="Q13" s="51">
        <f t="shared" si="35"/>
        <v>0.13235294117647059</v>
      </c>
      <c r="R13" s="120">
        <f t="shared" si="36"/>
        <v>80</v>
      </c>
      <c r="S13" s="51">
        <f t="shared" si="37"/>
        <v>0.11347517730496454</v>
      </c>
      <c r="T13" s="120">
        <f t="shared" si="38"/>
        <v>40</v>
      </c>
      <c r="U13" s="51">
        <f t="shared" si="39"/>
        <v>0.16</v>
      </c>
      <c r="V13" s="120">
        <f t="shared" si="40"/>
        <v>60</v>
      </c>
      <c r="W13" s="6">
        <f t="shared" si="41"/>
        <v>9.7560975609756101E-2</v>
      </c>
      <c r="X13" s="773">
        <f t="shared" si="42"/>
        <v>75</v>
      </c>
      <c r="Y13" s="179">
        <f t="shared" si="43"/>
        <v>0.14150943396226415</v>
      </c>
      <c r="Z13" s="29"/>
      <c r="AA13" s="756">
        <v>80</v>
      </c>
      <c r="AB13" s="775">
        <v>1</v>
      </c>
      <c r="AF13" s="4"/>
      <c r="AG13" s="1314" t="s">
        <v>21</v>
      </c>
      <c r="AH13" s="1314"/>
      <c r="AJ13" s="4"/>
      <c r="AK13" s="1314" t="s">
        <v>69</v>
      </c>
      <c r="AL13" s="1314"/>
      <c r="AN13" s="1315"/>
      <c r="AO13" s="269">
        <f t="shared" si="18"/>
        <v>-2.0775473399458941E-2</v>
      </c>
      <c r="AP13" s="270" t="str">
        <f t="shared" si="19"/>
        <v>↓</v>
      </c>
      <c r="AQ13" s="271">
        <f t="shared" si="20"/>
        <v>-3.9980286306505401E-2</v>
      </c>
      <c r="AR13" s="272" t="str">
        <f t="shared" si="21"/>
        <v>↓</v>
      </c>
      <c r="AS13" s="269">
        <f t="shared" si="22"/>
        <v>-4.2685426072059954E-2</v>
      </c>
      <c r="AT13" s="270" t="str">
        <f t="shared" si="23"/>
        <v>↓</v>
      </c>
      <c r="AU13" s="269">
        <f t="shared" si="24"/>
        <v>-1.7457168620378629E-2</v>
      </c>
      <c r="AV13" s="270" t="str">
        <f t="shared" si="25"/>
        <v>↓</v>
      </c>
    </row>
    <row r="14" spans="1:48" ht="14.4" x14ac:dyDescent="0.3">
      <c r="A14" s="82" t="s">
        <v>14</v>
      </c>
      <c r="B14" s="561">
        <v>6617.32</v>
      </c>
      <c r="C14" s="535">
        <f t="shared" si="26"/>
        <v>6630.605109519156</v>
      </c>
      <c r="D14" s="562" t="str">
        <f t="shared" si="27"/>
        <v>LLM</v>
      </c>
      <c r="E14" s="535">
        <f t="shared" si="28"/>
        <v>6632.605109519156</v>
      </c>
      <c r="F14" s="562" t="str">
        <f t="shared" si="29"/>
        <v>LLM</v>
      </c>
      <c r="G14" s="535">
        <v>6734.1</v>
      </c>
      <c r="H14" s="562" t="str">
        <f t="shared" si="30"/>
        <v>LLM</v>
      </c>
      <c r="I14" s="563">
        <f>(B4*S22)+(C4*S23)+(D4*S24)+(E4*S25)+(F4*S26)+(G4*S27)+(H4*S28)+(I4*S29)</f>
        <v>6626.8220810166813</v>
      </c>
      <c r="J14" s="564">
        <v>6648.5192307692296</v>
      </c>
      <c r="K14" s="607">
        <v>6602.98</v>
      </c>
      <c r="M14" s="420" t="str">
        <f t="shared" si="31"/>
        <v>Gemini Pro 3</v>
      </c>
      <c r="N14" s="770">
        <f t="shared" si="32"/>
        <v>75</v>
      </c>
      <c r="O14" s="771">
        <f t="shared" si="33"/>
        <v>0.1079136690647482</v>
      </c>
      <c r="P14" s="772">
        <f t="shared" si="34"/>
        <v>80</v>
      </c>
      <c r="Q14" s="51">
        <f t="shared" si="35"/>
        <v>0.11764705882352941</v>
      </c>
      <c r="R14" s="120">
        <f t="shared" si="36"/>
        <v>90</v>
      </c>
      <c r="S14" s="51">
        <f t="shared" si="37"/>
        <v>0.1276595744680851</v>
      </c>
      <c r="T14" s="120">
        <f t="shared" si="38"/>
        <v>20</v>
      </c>
      <c r="U14" s="51">
        <f t="shared" si="39"/>
        <v>0.08</v>
      </c>
      <c r="V14" s="120">
        <f t="shared" si="40"/>
        <v>80</v>
      </c>
      <c r="W14" s="6">
        <f t="shared" si="41"/>
        <v>0.13008130081300814</v>
      </c>
      <c r="X14" s="773">
        <f t="shared" si="42"/>
        <v>65</v>
      </c>
      <c r="Y14" s="179">
        <f t="shared" si="43"/>
        <v>0.12264150943396226</v>
      </c>
      <c r="Z14" s="29"/>
      <c r="AA14" s="756">
        <v>82.5</v>
      </c>
      <c r="AB14" s="775">
        <v>2</v>
      </c>
      <c r="AF14" s="341" t="str">
        <f t="shared" ref="AF14:AF19" si="44">AF27</f>
        <v>TNX</v>
      </c>
      <c r="AG14" s="342">
        <f>AK2</f>
        <v>4.1181830491088141</v>
      </c>
      <c r="AH14" s="57">
        <f t="shared" ref="AH14:AH19" si="45">100-ABS(($K12-AG14)/($K12))*100</f>
        <v>99.654409134775491</v>
      </c>
      <c r="AJ14" s="341" t="str">
        <f t="shared" ref="AJ14:AJ19" si="46">AJ2</f>
        <v>TNX</v>
      </c>
      <c r="AK14" s="753">
        <f t="shared" ref="AK14:AK19" si="47">IF(AN27=1,AQ27,AQ37)</f>
        <v>4.1181830491088141</v>
      </c>
      <c r="AL14" s="754">
        <f t="shared" ref="AL14:AL19" si="48">100-ABS(($K12-AK14)/($K12))*100</f>
        <v>99.654409134775491</v>
      </c>
    </row>
    <row r="15" spans="1:48" ht="14.4" x14ac:dyDescent="0.3">
      <c r="A15" s="82" t="s">
        <v>15</v>
      </c>
      <c r="B15" s="561">
        <v>24.69</v>
      </c>
      <c r="C15" s="538">
        <f t="shared" si="26"/>
        <v>23.731169900879518</v>
      </c>
      <c r="D15" s="562" t="str">
        <f t="shared" si="27"/>
        <v>RD</v>
      </c>
      <c r="E15" s="538">
        <f t="shared" si="28"/>
        <v>23.501169900879518</v>
      </c>
      <c r="F15" s="562">
        <f t="shared" si="29"/>
        <v>85520</v>
      </c>
      <c r="G15" s="538">
        <v>19.829999999999998</v>
      </c>
      <c r="H15" s="562" t="str">
        <f t="shared" si="30"/>
        <v>LLM</v>
      </c>
      <c r="I15" s="566">
        <f>(B5*U22)+(C5*U23)+(D5*U24)+(E5*U25)+(F5*U26)+(G5*U27)+(H5*U28)+(I5*U29)</f>
        <v>24.791169900879517</v>
      </c>
      <c r="J15" s="567">
        <v>24.297924528301898</v>
      </c>
      <c r="K15" s="607">
        <v>23.28</v>
      </c>
      <c r="M15" s="420" t="str">
        <f t="shared" si="31"/>
        <v>Claude</v>
      </c>
      <c r="N15" s="770">
        <f t="shared" si="32"/>
        <v>75</v>
      </c>
      <c r="O15" s="771">
        <f t="shared" si="33"/>
        <v>0.1079136690647482</v>
      </c>
      <c r="P15" s="772">
        <f t="shared" si="34"/>
        <v>80</v>
      </c>
      <c r="Q15" s="51">
        <f t="shared" si="35"/>
        <v>0.11764705882352941</v>
      </c>
      <c r="R15" s="120">
        <f t="shared" si="36"/>
        <v>90</v>
      </c>
      <c r="S15" s="51">
        <f t="shared" si="37"/>
        <v>0.1276595744680851</v>
      </c>
      <c r="T15" s="120">
        <f t="shared" si="38"/>
        <v>20</v>
      </c>
      <c r="U15" s="51">
        <f t="shared" si="39"/>
        <v>0.08</v>
      </c>
      <c r="V15" s="120">
        <f t="shared" si="40"/>
        <v>80</v>
      </c>
      <c r="W15" s="6">
        <f t="shared" si="41"/>
        <v>0.13008130081300814</v>
      </c>
      <c r="X15" s="773">
        <f t="shared" si="42"/>
        <v>65</v>
      </c>
      <c r="Y15" s="179">
        <f t="shared" si="43"/>
        <v>0.12264150943396226</v>
      </c>
      <c r="Z15" s="29"/>
      <c r="AA15" s="756">
        <v>85</v>
      </c>
      <c r="AB15" s="775">
        <v>5</v>
      </c>
      <c r="AF15" s="343" t="str">
        <f t="shared" si="44"/>
        <v>DJI</v>
      </c>
      <c r="AG15" s="344">
        <f>AK3-9</f>
        <v>46111.279546517071</v>
      </c>
      <c r="AH15" s="78">
        <f t="shared" si="45"/>
        <v>99.709959424118125</v>
      </c>
      <c r="AJ15" s="343" t="str">
        <f t="shared" si="46"/>
        <v>DJI</v>
      </c>
      <c r="AK15" s="758">
        <f t="shared" si="47"/>
        <v>46145.279546517071</v>
      </c>
      <c r="AL15" s="759">
        <f t="shared" si="48"/>
        <v>99.78348023407527</v>
      </c>
    </row>
    <row r="16" spans="1:48" ht="14.4" x14ac:dyDescent="0.3">
      <c r="A16" s="99" t="s">
        <v>16</v>
      </c>
      <c r="B16" s="568">
        <v>596.30999999999995</v>
      </c>
      <c r="C16" s="542">
        <f t="shared" si="26"/>
        <v>596.46741375521879</v>
      </c>
      <c r="D16" s="569" t="str">
        <f t="shared" si="27"/>
        <v>LLM</v>
      </c>
      <c r="E16" s="542">
        <f t="shared" si="28"/>
        <v>598.06741375521881</v>
      </c>
      <c r="F16" s="726" t="str">
        <f t="shared" si="29"/>
        <v>LLM</v>
      </c>
      <c r="G16" s="542">
        <v>608.86</v>
      </c>
      <c r="H16" s="569" t="str">
        <f t="shared" si="30"/>
        <v>LLM</v>
      </c>
      <c r="I16" s="570">
        <f>(B6*W22)+(C6*W23)+(D6*W24)+(E6*W25)+(F6*W26)+(G6*W27)+(H6*W28)+(I6*W29)</f>
        <v>593.46741375521879</v>
      </c>
      <c r="J16" s="571">
        <v>595.27259740259694</v>
      </c>
      <c r="K16" s="612">
        <v>590.07000000000005</v>
      </c>
      <c r="M16" s="420" t="str">
        <f t="shared" si="31"/>
        <v>Minimax 2</v>
      </c>
      <c r="N16" s="770">
        <f t="shared" si="32"/>
        <v>90</v>
      </c>
      <c r="O16" s="771">
        <f t="shared" si="33"/>
        <v>0.12949640287769784</v>
      </c>
      <c r="P16" s="772">
        <f t="shared" si="34"/>
        <v>90</v>
      </c>
      <c r="Q16" s="51">
        <f t="shared" si="35"/>
        <v>0.13235294117647059</v>
      </c>
      <c r="R16" s="120">
        <f t="shared" si="36"/>
        <v>95</v>
      </c>
      <c r="S16" s="51">
        <f t="shared" si="37"/>
        <v>0.13475177304964539</v>
      </c>
      <c r="T16" s="120">
        <f t="shared" si="38"/>
        <v>50</v>
      </c>
      <c r="U16" s="51">
        <f t="shared" si="39"/>
        <v>0.2</v>
      </c>
      <c r="V16" s="120">
        <f t="shared" si="40"/>
        <v>95</v>
      </c>
      <c r="W16" s="6">
        <f t="shared" si="41"/>
        <v>0.15447154471544716</v>
      </c>
      <c r="X16" s="773">
        <f t="shared" si="42"/>
        <v>60</v>
      </c>
      <c r="Y16" s="179">
        <f t="shared" si="43"/>
        <v>0.11320754716981132</v>
      </c>
      <c r="Z16" s="29"/>
      <c r="AA16" s="756">
        <v>87.5</v>
      </c>
      <c r="AB16" s="775">
        <v>10</v>
      </c>
      <c r="AF16" s="345" t="str">
        <f t="shared" si="44"/>
        <v>SPX</v>
      </c>
      <c r="AG16" s="346">
        <f>AK4</f>
        <v>6630.605109519156</v>
      </c>
      <c r="AH16" s="89">
        <f t="shared" si="45"/>
        <v>99.581626636470858</v>
      </c>
      <c r="AJ16" s="345" t="str">
        <f t="shared" si="46"/>
        <v>SPX</v>
      </c>
      <c r="AK16" s="760">
        <f t="shared" si="47"/>
        <v>6632.605109519156</v>
      </c>
      <c r="AL16" s="761">
        <f t="shared" si="48"/>
        <v>99.551337282270183</v>
      </c>
      <c r="AN16" s="613" t="str">
        <f>A2</f>
        <v>TNX</v>
      </c>
      <c r="AO16" s="614" t="str">
        <f>A3</f>
        <v>DJI</v>
      </c>
      <c r="AP16" s="614" t="str">
        <f>A4</f>
        <v>SPX</v>
      </c>
      <c r="AQ16" s="614" t="str">
        <f>A5</f>
        <v>VIX</v>
      </c>
      <c r="AR16" s="614" t="str">
        <f>A6</f>
        <v>QQQ</v>
      </c>
      <c r="AS16" s="614" t="str">
        <f>A7</f>
        <v>AAPL</v>
      </c>
      <c r="AT16" s="615" t="s">
        <v>113</v>
      </c>
    </row>
    <row r="17" spans="1:46" ht="14.4" x14ac:dyDescent="0.3">
      <c r="A17" s="114" t="s">
        <v>17</v>
      </c>
      <c r="B17" s="573">
        <v>267.44</v>
      </c>
      <c r="C17" s="574">
        <f t="shared" si="26"/>
        <v>266.16546562152138</v>
      </c>
      <c r="D17" s="575" t="str">
        <f t="shared" si="27"/>
        <v>LLM</v>
      </c>
      <c r="E17" s="574">
        <f t="shared" si="28"/>
        <v>265.41546562152138</v>
      </c>
      <c r="F17" s="616" t="str">
        <f t="shared" si="29"/>
        <v>LLM</v>
      </c>
      <c r="G17" s="574">
        <v>272.41000000000003</v>
      </c>
      <c r="H17" s="575" t="str">
        <f t="shared" si="30"/>
        <v>MICH</v>
      </c>
      <c r="I17" s="576">
        <f>(B7*Y22)+(C7*Y23)+(D7*Y24)+(E7*Y25)+(F7*Y26)+(G7*Y27)+(H7*Y28)+(I7*Y29)</f>
        <v>267.58998144712427</v>
      </c>
      <c r="J17" s="577">
        <v>267.92546666666698</v>
      </c>
      <c r="K17" s="619">
        <v>271.49</v>
      </c>
      <c r="M17" s="420" t="str">
        <f t="shared" si="31"/>
        <v>Kimi 2</v>
      </c>
      <c r="N17" s="770">
        <f t="shared" si="32"/>
        <v>90</v>
      </c>
      <c r="O17" s="771">
        <f t="shared" si="33"/>
        <v>0.12949640287769784</v>
      </c>
      <c r="P17" s="772">
        <f t="shared" si="34"/>
        <v>90</v>
      </c>
      <c r="Q17" s="51">
        <f t="shared" si="35"/>
        <v>0.13235294117647059</v>
      </c>
      <c r="R17" s="120">
        <f t="shared" si="36"/>
        <v>90</v>
      </c>
      <c r="S17" s="51">
        <f t="shared" si="37"/>
        <v>0.1276595744680851</v>
      </c>
      <c r="T17" s="120">
        <f t="shared" si="38"/>
        <v>20</v>
      </c>
      <c r="U17" s="51">
        <f t="shared" si="39"/>
        <v>0.08</v>
      </c>
      <c r="V17" s="120">
        <f t="shared" si="40"/>
        <v>75</v>
      </c>
      <c r="W17" s="6">
        <f t="shared" si="41"/>
        <v>0.12195121951219512</v>
      </c>
      <c r="X17" s="773">
        <f t="shared" si="42"/>
        <v>50</v>
      </c>
      <c r="Y17" s="179">
        <f t="shared" si="43"/>
        <v>9.4339622641509441E-2</v>
      </c>
      <c r="Z17" s="29"/>
      <c r="AA17" s="756">
        <v>90</v>
      </c>
      <c r="AB17" s="775">
        <v>20</v>
      </c>
      <c r="AF17" s="345" t="str">
        <f t="shared" si="44"/>
        <v>VIX</v>
      </c>
      <c r="AG17" s="347">
        <f>AK5+0.4</f>
        <v>24.131169900879517</v>
      </c>
      <c r="AH17" s="89">
        <f t="shared" si="45"/>
        <v>96.343771903438508</v>
      </c>
      <c r="AJ17" s="345" t="str">
        <f t="shared" si="46"/>
        <v>VIX</v>
      </c>
      <c r="AK17" s="762">
        <f t="shared" si="47"/>
        <v>23.501169900879518</v>
      </c>
      <c r="AL17" s="761">
        <f t="shared" si="48"/>
        <v>99.049957470448817</v>
      </c>
      <c r="AN17" s="620">
        <f>J12</f>
        <v>4.1131113043478296</v>
      </c>
      <c r="AO17" s="621">
        <f>J13</f>
        <v>46179.883921568602</v>
      </c>
      <c r="AP17" s="621">
        <f>J14</f>
        <v>6648.5192307692296</v>
      </c>
      <c r="AQ17" s="622">
        <f>J15</f>
        <v>24.297924528301898</v>
      </c>
      <c r="AR17" s="623">
        <f>J16</f>
        <v>595.27259740259694</v>
      </c>
      <c r="AS17" s="623">
        <f>J17</f>
        <v>267.92546666666698</v>
      </c>
      <c r="AT17" s="624" t="str">
        <f>J11</f>
        <v>ML</v>
      </c>
    </row>
    <row r="18" spans="1:46" ht="14.4" x14ac:dyDescent="0.3">
      <c r="M18" s="420" t="str">
        <f t="shared" si="31"/>
        <v>Qwen3 Max</v>
      </c>
      <c r="N18" s="770">
        <f t="shared" si="32"/>
        <v>95</v>
      </c>
      <c r="O18" s="771">
        <f t="shared" si="33"/>
        <v>0.1366906474820144</v>
      </c>
      <c r="P18" s="772">
        <f t="shared" si="34"/>
        <v>75</v>
      </c>
      <c r="Q18" s="51">
        <f t="shared" si="35"/>
        <v>0.11029411764705882</v>
      </c>
      <c r="R18" s="120">
        <f t="shared" si="36"/>
        <v>90</v>
      </c>
      <c r="S18" s="51">
        <f t="shared" si="37"/>
        <v>0.1276595744680851</v>
      </c>
      <c r="T18" s="120">
        <f t="shared" si="38"/>
        <v>40</v>
      </c>
      <c r="U18" s="51">
        <f t="shared" si="39"/>
        <v>0.16</v>
      </c>
      <c r="V18" s="120">
        <f t="shared" si="40"/>
        <v>75</v>
      </c>
      <c r="W18" s="6">
        <f t="shared" si="41"/>
        <v>0.12195121951219512</v>
      </c>
      <c r="X18" s="773">
        <f t="shared" si="42"/>
        <v>75</v>
      </c>
      <c r="Y18" s="179">
        <f t="shared" si="43"/>
        <v>0.14150943396226415</v>
      </c>
      <c r="Z18" s="29"/>
      <c r="AA18" s="756">
        <v>92.5</v>
      </c>
      <c r="AB18" s="775">
        <v>30</v>
      </c>
      <c r="AF18" s="348" t="str">
        <f t="shared" si="44"/>
        <v>QQQ</v>
      </c>
      <c r="AG18" s="349">
        <f>(I16+J16)/2+AQ30/5*2</f>
        <v>603.77047353925968</v>
      </c>
      <c r="AH18" s="107">
        <f t="shared" si="45"/>
        <v>97.678161313190017</v>
      </c>
      <c r="AJ18" s="348" t="str">
        <f t="shared" si="46"/>
        <v>QQQ</v>
      </c>
      <c r="AK18" s="763">
        <f t="shared" si="47"/>
        <v>598.06741375521881</v>
      </c>
      <c r="AL18" s="764">
        <f t="shared" si="48"/>
        <v>98.64466694541008</v>
      </c>
      <c r="AN18" s="625">
        <v>1.5762676609459601E-2</v>
      </c>
      <c r="AO18" s="626">
        <v>261.53141368494801</v>
      </c>
      <c r="AP18" s="626">
        <v>19.625261182951402</v>
      </c>
      <c r="AQ18" s="627">
        <v>0.70066596170273798</v>
      </c>
      <c r="AR18" s="627">
        <v>-1.5210822886962201</v>
      </c>
      <c r="AS18" s="627">
        <v>7.5887507371021498E-2</v>
      </c>
      <c r="AT18" s="628" t="s">
        <v>114</v>
      </c>
    </row>
    <row r="19" spans="1:46" ht="14.4" x14ac:dyDescent="0.3">
      <c r="M19" s="431" t="str">
        <f t="shared" si="31"/>
        <v>LeChat</v>
      </c>
      <c r="N19" s="776">
        <f t="shared" si="32"/>
        <v>90</v>
      </c>
      <c r="O19" s="777">
        <f t="shared" si="33"/>
        <v>0.12949640287769784</v>
      </c>
      <c r="P19" s="778">
        <f t="shared" si="34"/>
        <v>95</v>
      </c>
      <c r="Q19" s="779">
        <f t="shared" si="35"/>
        <v>0.13970588235294118</v>
      </c>
      <c r="R19" s="780">
        <f t="shared" si="36"/>
        <v>90</v>
      </c>
      <c r="S19" s="779">
        <f t="shared" si="37"/>
        <v>0.1276595744680851</v>
      </c>
      <c r="T19" s="780">
        <f t="shared" si="38"/>
        <v>30</v>
      </c>
      <c r="U19" s="779">
        <f t="shared" si="39"/>
        <v>0.12</v>
      </c>
      <c r="V19" s="780">
        <f t="shared" si="40"/>
        <v>75</v>
      </c>
      <c r="W19" s="781">
        <f t="shared" si="41"/>
        <v>0.12195121951219512</v>
      </c>
      <c r="X19" s="782">
        <f t="shared" si="42"/>
        <v>70</v>
      </c>
      <c r="Y19" s="235">
        <f t="shared" si="43"/>
        <v>0.13207547169811321</v>
      </c>
      <c r="Z19" s="29"/>
      <c r="AA19" s="756">
        <v>95</v>
      </c>
      <c r="AB19" s="775">
        <v>40</v>
      </c>
      <c r="AF19" s="350" t="str">
        <f t="shared" si="44"/>
        <v>AAPL</v>
      </c>
      <c r="AG19" s="351">
        <f>(I17+J17)/2*0.98</f>
        <v>262.40256957575775</v>
      </c>
      <c r="AH19" s="118">
        <f t="shared" si="45"/>
        <v>96.652756851360181</v>
      </c>
      <c r="AJ19" s="350" t="str">
        <f t="shared" si="46"/>
        <v>AAPL</v>
      </c>
      <c r="AK19" s="765">
        <f t="shared" si="47"/>
        <v>265.41546562152138</v>
      </c>
      <c r="AL19" s="766">
        <f t="shared" si="48"/>
        <v>97.762520027080697</v>
      </c>
      <c r="AN19" s="625">
        <v>-0.19032300632235599</v>
      </c>
      <c r="AO19" s="626">
        <v>0.75325559260472097</v>
      </c>
      <c r="AP19" s="626">
        <v>1.2020222192249099</v>
      </c>
      <c r="AQ19" s="627">
        <v>0.58515758208608903</v>
      </c>
      <c r="AR19" s="627">
        <v>-0.36158464541153601</v>
      </c>
      <c r="AS19" s="627">
        <v>9.2241796344370002</v>
      </c>
      <c r="AT19" s="631" t="s">
        <v>115</v>
      </c>
    </row>
    <row r="20" spans="1:46" ht="14.4" x14ac:dyDescent="0.3">
      <c r="A20" s="2" t="s">
        <v>0</v>
      </c>
      <c r="B20" s="230" t="str">
        <f t="shared" ref="B20:B26" si="49">B11</f>
        <v>Close YF</v>
      </c>
      <c r="C20" s="1312" t="s">
        <v>47</v>
      </c>
      <c r="D20" s="1312"/>
      <c r="E20" s="1312">
        <v>85520</v>
      </c>
      <c r="F20" s="1312"/>
      <c r="G20" s="1312" t="str">
        <f t="shared" ref="G20:G26" si="50">G11</f>
        <v>MICH</v>
      </c>
      <c r="H20" s="1312"/>
      <c r="I20" s="1313" t="s">
        <v>50</v>
      </c>
      <c r="J20" s="1313"/>
      <c r="AA20" s="756">
        <v>96</v>
      </c>
      <c r="AB20" s="775">
        <v>50</v>
      </c>
      <c r="AN20" s="632">
        <f t="shared" ref="AN20:AS20" si="51">AN18/AN17</f>
        <v>3.8323000383669202E-3</v>
      </c>
      <c r="AO20" s="633">
        <f t="shared" si="51"/>
        <v>5.6633189925104624E-3</v>
      </c>
      <c r="AP20" s="633">
        <f t="shared" si="51"/>
        <v>2.9518243840111103E-3</v>
      </c>
      <c r="AQ20" s="633">
        <f t="shared" si="51"/>
        <v>2.8836453125311655E-2</v>
      </c>
      <c r="AR20" s="633">
        <f t="shared" si="51"/>
        <v>-2.5552701322608946E-3</v>
      </c>
      <c r="AS20" s="633">
        <f t="shared" si="51"/>
        <v>2.8324111296756688E-4</v>
      </c>
      <c r="AT20" s="634" t="s">
        <v>116</v>
      </c>
    </row>
    <row r="21" spans="1:46" ht="14.4" x14ac:dyDescent="0.3">
      <c r="A21" s="35" t="s">
        <v>12</v>
      </c>
      <c r="B21" s="635">
        <f t="shared" si="49"/>
        <v>4.1230000000000002</v>
      </c>
      <c r="C21" s="636">
        <f t="shared" ref="C21:C26" si="52">C12</f>
        <v>4.1181830491088141</v>
      </c>
      <c r="D21" s="552" t="str">
        <f t="shared" ref="D21:D26" si="53">CONCATENATE(TEXT(AQ1,"0.00%"),"  ",AR1)</f>
        <v>-0.12%  ↓</v>
      </c>
      <c r="E21" s="636">
        <f t="shared" ref="E21:E26" si="54">E12</f>
        <v>4.1181830491088141</v>
      </c>
      <c r="F21" s="552" t="str">
        <f t="shared" ref="F21:F26" si="55">CONCATENATE(TEXT(AS1,"0.00%"),"  ",AT1)</f>
        <v>-0.12%  ↓</v>
      </c>
      <c r="G21" s="636">
        <f t="shared" si="50"/>
        <v>4.1459999999999999</v>
      </c>
      <c r="H21" s="552" t="str">
        <f t="shared" ref="H21:H26" si="56">CONCATENATE(TEXT(AU1,"0.00%"),"  ",AV1)</f>
        <v>0.56%  ↑</v>
      </c>
      <c r="I21" s="638">
        <f t="shared" ref="I21:I26" si="57">K12</f>
        <v>4.1040000000000001</v>
      </c>
      <c r="J21" s="639" t="str">
        <f t="shared" ref="J21:J26" si="58">CONCATENATE(TEXT(AO1,"0.00%"),"  ",AP1)</f>
        <v>-0.46%  ↓</v>
      </c>
      <c r="M21" s="19" t="s">
        <v>60</v>
      </c>
      <c r="N21" s="518" t="s">
        <v>12</v>
      </c>
      <c r="O21" s="254">
        <f>SUM(N22:N29)</f>
        <v>711.375</v>
      </c>
      <c r="P21" s="255" t="s">
        <v>13</v>
      </c>
      <c r="Q21" s="256">
        <f>SUM(P22:P29)</f>
        <v>662.5625</v>
      </c>
      <c r="R21" s="257" t="s">
        <v>14</v>
      </c>
      <c r="S21" s="256">
        <f>SUM(R22:R29)</f>
        <v>629.5</v>
      </c>
      <c r="T21" s="257" t="s">
        <v>15</v>
      </c>
      <c r="U21" s="256">
        <f>SUM(T22:T29)</f>
        <v>447.6875</v>
      </c>
      <c r="V21" s="257" t="s">
        <v>16</v>
      </c>
      <c r="W21" s="258">
        <f>SUM(V22:V29)</f>
        <v>568.875</v>
      </c>
      <c r="X21" s="519" t="s">
        <v>17</v>
      </c>
      <c r="Y21" s="28">
        <f>SUM(X22:X29)</f>
        <v>471.625</v>
      </c>
      <c r="Z21" s="29"/>
      <c r="AA21" s="756">
        <v>97</v>
      </c>
      <c r="AB21" s="775">
        <v>60</v>
      </c>
      <c r="AF21" s="1310" t="s">
        <v>44</v>
      </c>
      <c r="AG21" s="1310"/>
      <c r="AH21" s="126">
        <f>AVERAGE(AH15:AH18)</f>
        <v>98.328379819304374</v>
      </c>
      <c r="AJ21" s="1310" t="s">
        <v>44</v>
      </c>
      <c r="AK21" s="1310"/>
      <c r="AL21" s="126">
        <f>AVERAGE(AL15:AL18)</f>
        <v>99.257360483051087</v>
      </c>
      <c r="AN21" s="620">
        <f>K12</f>
        <v>4.1040000000000001</v>
      </c>
      <c r="AO21" s="621">
        <f>K13</f>
        <v>46245.41</v>
      </c>
      <c r="AP21" s="621">
        <f>K14</f>
        <v>6602.98</v>
      </c>
      <c r="AQ21" s="622">
        <f>K15</f>
        <v>23.28</v>
      </c>
      <c r="AR21" s="623">
        <f>K16</f>
        <v>590.07000000000005</v>
      </c>
      <c r="AS21" s="623">
        <f>K17</f>
        <v>271.49</v>
      </c>
      <c r="AT21" s="640" t="str">
        <f>K11</f>
        <v xml:space="preserve">+3-day </v>
      </c>
    </row>
    <row r="22" spans="1:46" ht="14.4" x14ac:dyDescent="0.3">
      <c r="A22" s="60" t="s">
        <v>13</v>
      </c>
      <c r="B22" s="641">
        <f t="shared" si="49"/>
        <v>46091.74</v>
      </c>
      <c r="C22" s="642">
        <f t="shared" si="52"/>
        <v>46120.279546517071</v>
      </c>
      <c r="D22" s="557" t="str">
        <f t="shared" si="53"/>
        <v>0.06%  ↑</v>
      </c>
      <c r="E22" s="642">
        <f t="shared" si="54"/>
        <v>46145.279546517071</v>
      </c>
      <c r="F22" s="557" t="str">
        <f t="shared" si="55"/>
        <v>0.12%  ↑</v>
      </c>
      <c r="G22" s="642">
        <f t="shared" si="50"/>
        <v>47147.48</v>
      </c>
      <c r="H22" s="557" t="str">
        <f t="shared" si="56"/>
        <v>2.29%  ↑</v>
      </c>
      <c r="I22" s="644">
        <f t="shared" si="57"/>
        <v>46245.41</v>
      </c>
      <c r="J22" s="645" t="str">
        <f t="shared" si="58"/>
        <v>0.33%  ↑</v>
      </c>
      <c r="M22" s="410" t="str">
        <f t="shared" ref="M22:M29" si="59">M12</f>
        <v>o 5.1</v>
      </c>
      <c r="N22" s="783">
        <v>89.75</v>
      </c>
      <c r="O22" s="784">
        <f t="shared" ref="O22:O29" si="60">N22/$O$21</f>
        <v>0.12616411878404499</v>
      </c>
      <c r="P22" s="785">
        <v>77.75</v>
      </c>
      <c r="Q22" s="786">
        <f t="shared" ref="Q22:Q29" si="61">P22/$Q$21</f>
        <v>0.11734742005471183</v>
      </c>
      <c r="R22" s="787">
        <v>76.75</v>
      </c>
      <c r="S22" s="786">
        <f t="shared" ref="S22:S29" si="62">R22/$S$21</f>
        <v>0.12192216044479746</v>
      </c>
      <c r="T22" s="787">
        <v>66.25</v>
      </c>
      <c r="U22" s="786">
        <f t="shared" ref="U22:U29" si="63">T22/$U$21</f>
        <v>0.14798268881753454</v>
      </c>
      <c r="V22" s="787">
        <v>69.25</v>
      </c>
      <c r="W22" s="788">
        <f t="shared" ref="W22:W29" si="64">V22/$W$21</f>
        <v>0.12173148758514613</v>
      </c>
      <c r="X22" s="789">
        <v>71.75</v>
      </c>
      <c r="Y22" s="48">
        <f t="shared" ref="Y22:Y29" si="65">X22/$Y$21</f>
        <v>0.15213358070500926</v>
      </c>
      <c r="Z22" s="29"/>
      <c r="AA22" s="756">
        <v>98</v>
      </c>
      <c r="AB22" s="775">
        <v>65</v>
      </c>
      <c r="AF22" s="1311" t="s">
        <v>51</v>
      </c>
      <c r="AG22" s="1311"/>
      <c r="AH22" s="142">
        <f>AVERAGE(AH14:AH19)</f>
        <v>98.270114210558859</v>
      </c>
      <c r="AJ22" s="1311" t="s">
        <v>51</v>
      </c>
      <c r="AK22" s="1311"/>
      <c r="AL22" s="142">
        <f>AVERAGE(AL14:AL19)</f>
        <v>99.074395182343423</v>
      </c>
      <c r="AN22" s="646">
        <f t="shared" ref="AN22:AS22" si="66">AN21/AN17</f>
        <v>0.9977848145421695</v>
      </c>
      <c r="AO22" s="647">
        <f t="shared" si="66"/>
        <v>1.0014189312069881</v>
      </c>
      <c r="AP22" s="647">
        <f t="shared" si="66"/>
        <v>0.99315047017409908</v>
      </c>
      <c r="AQ22" s="647">
        <f t="shared" si="66"/>
        <v>0.9581065235791546</v>
      </c>
      <c r="AR22" s="647">
        <f t="shared" si="66"/>
        <v>0.99126014295753273</v>
      </c>
      <c r="AS22" s="647">
        <f t="shared" si="66"/>
        <v>1.0133041975355324</v>
      </c>
      <c r="AT22" s="648" t="s">
        <v>117</v>
      </c>
    </row>
    <row r="23" spans="1:46" ht="14.4" x14ac:dyDescent="0.3">
      <c r="A23" s="82" t="s">
        <v>14</v>
      </c>
      <c r="B23" s="649">
        <f t="shared" si="49"/>
        <v>6617.32</v>
      </c>
      <c r="C23" s="650">
        <f t="shared" si="52"/>
        <v>6630.605109519156</v>
      </c>
      <c r="D23" s="562" t="str">
        <f t="shared" si="53"/>
        <v>0.20%  ↑</v>
      </c>
      <c r="E23" s="650">
        <f t="shared" si="54"/>
        <v>6632.605109519156</v>
      </c>
      <c r="F23" s="562" t="str">
        <f t="shared" si="55"/>
        <v>0.23%  ↑</v>
      </c>
      <c r="G23" s="650">
        <f t="shared" si="50"/>
        <v>6734.1</v>
      </c>
      <c r="H23" s="562" t="str">
        <f t="shared" si="56"/>
        <v>1.76%  ↑</v>
      </c>
      <c r="I23" s="652">
        <f t="shared" si="57"/>
        <v>6602.98</v>
      </c>
      <c r="J23" s="645" t="str">
        <f t="shared" si="58"/>
        <v>-0.22%  ↓</v>
      </c>
      <c r="M23" s="420" t="str">
        <f t="shared" si="59"/>
        <v>Grok 4.1</v>
      </c>
      <c r="N23" s="783">
        <v>84</v>
      </c>
      <c r="O23" s="784">
        <f t="shared" si="60"/>
        <v>0.11808118081180811</v>
      </c>
      <c r="P23" s="785">
        <v>82.5</v>
      </c>
      <c r="Q23" s="786">
        <f t="shared" si="61"/>
        <v>0.12451655504197717</v>
      </c>
      <c r="R23" s="787">
        <v>80</v>
      </c>
      <c r="S23" s="786">
        <f t="shared" si="62"/>
        <v>0.12708498808578236</v>
      </c>
      <c r="T23" s="787">
        <v>52</v>
      </c>
      <c r="U23" s="786">
        <f t="shared" si="63"/>
        <v>0.1161524500907441</v>
      </c>
      <c r="V23" s="787">
        <v>73.25</v>
      </c>
      <c r="W23" s="788">
        <f t="shared" si="64"/>
        <v>0.12876290925071412</v>
      </c>
      <c r="X23" s="789">
        <v>75.75</v>
      </c>
      <c r="Y23" s="48">
        <f t="shared" si="65"/>
        <v>0.16061489530877285</v>
      </c>
      <c r="Z23" s="29"/>
      <c r="AA23" s="756">
        <v>98.5</v>
      </c>
      <c r="AB23" s="775">
        <v>70</v>
      </c>
      <c r="AI23" s="449"/>
      <c r="AN23" s="653"/>
    </row>
    <row r="24" spans="1:46" ht="14.4" x14ac:dyDescent="0.3">
      <c r="A24" s="82" t="s">
        <v>15</v>
      </c>
      <c r="B24" s="649">
        <f t="shared" si="49"/>
        <v>24.69</v>
      </c>
      <c r="C24" s="654">
        <f t="shared" si="52"/>
        <v>23.731169900879518</v>
      </c>
      <c r="D24" s="562" t="str">
        <f t="shared" si="53"/>
        <v>-3.88%  ↓</v>
      </c>
      <c r="E24" s="654">
        <f t="shared" si="54"/>
        <v>23.501169900879518</v>
      </c>
      <c r="F24" s="562" t="str">
        <f t="shared" si="55"/>
        <v>-4.82%  ↓</v>
      </c>
      <c r="G24" s="654">
        <f t="shared" si="50"/>
        <v>19.829999999999998</v>
      </c>
      <c r="H24" s="562" t="str">
        <f t="shared" si="56"/>
        <v>-19.68%  ↓</v>
      </c>
      <c r="I24" s="652">
        <f t="shared" si="57"/>
        <v>23.28</v>
      </c>
      <c r="J24" s="645" t="str">
        <f t="shared" si="58"/>
        <v>-5.71%  ↓</v>
      </c>
      <c r="M24" s="420" t="str">
        <f t="shared" si="59"/>
        <v>Gemini Pro 3</v>
      </c>
      <c r="N24" s="783">
        <v>88.5</v>
      </c>
      <c r="O24" s="784">
        <f t="shared" si="60"/>
        <v>0.12440695835529784</v>
      </c>
      <c r="P24" s="785">
        <v>82.5</v>
      </c>
      <c r="Q24" s="786">
        <f t="shared" si="61"/>
        <v>0.12451655504197717</v>
      </c>
      <c r="R24" s="787">
        <v>76.75</v>
      </c>
      <c r="S24" s="786">
        <f t="shared" si="62"/>
        <v>0.12192216044479746</v>
      </c>
      <c r="T24" s="787">
        <v>53.75</v>
      </c>
      <c r="U24" s="786">
        <f t="shared" si="63"/>
        <v>0.1200614267764903</v>
      </c>
      <c r="V24" s="787">
        <v>69.25</v>
      </c>
      <c r="W24" s="788">
        <f t="shared" si="64"/>
        <v>0.12173148758514613</v>
      </c>
      <c r="X24" s="789">
        <v>71.75</v>
      </c>
      <c r="Y24" s="48">
        <f t="shared" si="65"/>
        <v>0.15213358070500926</v>
      </c>
      <c r="Z24" s="29"/>
      <c r="AA24" s="756">
        <v>99</v>
      </c>
      <c r="AB24" s="775">
        <v>75</v>
      </c>
      <c r="AI24" s="449"/>
      <c r="AM24" s="450"/>
      <c r="AN24" s="656"/>
    </row>
    <row r="25" spans="1:46" ht="14.4" x14ac:dyDescent="0.3">
      <c r="A25" s="99" t="s">
        <v>16</v>
      </c>
      <c r="B25" s="657">
        <f t="shared" si="49"/>
        <v>596.30999999999995</v>
      </c>
      <c r="C25" s="658">
        <f t="shared" si="52"/>
        <v>596.46741375521879</v>
      </c>
      <c r="D25" s="569" t="str">
        <f t="shared" si="53"/>
        <v>0.03%  ↑</v>
      </c>
      <c r="E25" s="658">
        <f t="shared" si="54"/>
        <v>598.06741375521881</v>
      </c>
      <c r="F25" s="569" t="str">
        <f t="shared" si="55"/>
        <v>0.29%  ↑</v>
      </c>
      <c r="G25" s="658">
        <f t="shared" si="50"/>
        <v>608.86</v>
      </c>
      <c r="H25" s="569" t="str">
        <f t="shared" si="56"/>
        <v>2.10%  ↑</v>
      </c>
      <c r="I25" s="660">
        <f t="shared" si="57"/>
        <v>590.07000000000005</v>
      </c>
      <c r="J25" s="645" t="str">
        <f t="shared" si="58"/>
        <v>-1.05%  ↓</v>
      </c>
      <c r="M25" s="420" t="str">
        <f t="shared" si="59"/>
        <v>Claude</v>
      </c>
      <c r="N25" s="783">
        <v>87.5</v>
      </c>
      <c r="O25" s="784">
        <f t="shared" si="60"/>
        <v>0.12300123001230012</v>
      </c>
      <c r="P25" s="785">
        <v>82.5</v>
      </c>
      <c r="Q25" s="786">
        <f t="shared" si="61"/>
        <v>0.12451655504197717</v>
      </c>
      <c r="R25" s="787">
        <v>83.5</v>
      </c>
      <c r="S25" s="786">
        <f t="shared" si="62"/>
        <v>0.13264495631453535</v>
      </c>
      <c r="T25" s="787">
        <v>47.75</v>
      </c>
      <c r="U25" s="786">
        <f t="shared" si="63"/>
        <v>0.10665922099678905</v>
      </c>
      <c r="V25" s="787">
        <v>65</v>
      </c>
      <c r="W25" s="788">
        <f t="shared" si="64"/>
        <v>0.11426060206548011</v>
      </c>
      <c r="X25" s="789">
        <v>73.25</v>
      </c>
      <c r="Y25" s="48">
        <f t="shared" si="65"/>
        <v>0.15531407368142061</v>
      </c>
      <c r="Z25" s="29"/>
      <c r="AA25" s="756">
        <v>99.25</v>
      </c>
      <c r="AB25" s="775">
        <v>80</v>
      </c>
      <c r="AF25" s="11">
        <v>1</v>
      </c>
      <c r="AG25" s="1322" t="s">
        <v>118</v>
      </c>
      <c r="AH25" s="1322"/>
      <c r="AI25" s="661"/>
      <c r="AJ25" s="662"/>
      <c r="AK25" s="1312" t="s">
        <v>119</v>
      </c>
      <c r="AL25" s="1312"/>
      <c r="AM25" s="663"/>
      <c r="AN25" s="1" t="s">
        <v>120</v>
      </c>
      <c r="AO25" s="661"/>
      <c r="AP25" s="2" t="str">
        <f>AG26</f>
        <v>RD</v>
      </c>
      <c r="AQ25" s="2">
        <f>AH26</f>
        <v>85520</v>
      </c>
      <c r="AR25" s="661"/>
      <c r="AS25" s="2" t="s">
        <v>121</v>
      </c>
    </row>
    <row r="26" spans="1:46" ht="14.4" x14ac:dyDescent="0.3">
      <c r="A26" s="109" t="s">
        <v>17</v>
      </c>
      <c r="B26" s="664">
        <f t="shared" si="49"/>
        <v>267.44</v>
      </c>
      <c r="C26" s="665">
        <f t="shared" si="52"/>
        <v>266.16546562152138</v>
      </c>
      <c r="D26" s="575" t="str">
        <f t="shared" si="53"/>
        <v>-0.48%  ↓</v>
      </c>
      <c r="E26" s="665">
        <f t="shared" si="54"/>
        <v>265.41546562152138</v>
      </c>
      <c r="F26" s="575" t="str">
        <f t="shared" si="55"/>
        <v>-0.76%  ↓</v>
      </c>
      <c r="G26" s="665">
        <f t="shared" si="50"/>
        <v>272.41000000000003</v>
      </c>
      <c r="H26" s="575" t="str">
        <f t="shared" si="56"/>
        <v>1.86%  ↑</v>
      </c>
      <c r="I26" s="667">
        <f t="shared" si="57"/>
        <v>271.49</v>
      </c>
      <c r="J26" s="668" t="str">
        <f t="shared" si="58"/>
        <v>1.51%  ↑</v>
      </c>
      <c r="M26" s="420" t="str">
        <f t="shared" si="59"/>
        <v>Minimax 2</v>
      </c>
      <c r="N26" s="783">
        <v>87</v>
      </c>
      <c r="O26" s="784">
        <f t="shared" si="60"/>
        <v>0.12229836584080127</v>
      </c>
      <c r="P26" s="785">
        <v>82.5</v>
      </c>
      <c r="Q26" s="786">
        <f t="shared" si="61"/>
        <v>0.12451655504197717</v>
      </c>
      <c r="R26" s="787">
        <v>80</v>
      </c>
      <c r="S26" s="786">
        <f t="shared" si="62"/>
        <v>0.12708498808578236</v>
      </c>
      <c r="T26" s="787">
        <v>52</v>
      </c>
      <c r="U26" s="786">
        <f t="shared" si="63"/>
        <v>0.1161524500907441</v>
      </c>
      <c r="V26" s="787">
        <v>69.25</v>
      </c>
      <c r="W26" s="788">
        <f t="shared" si="64"/>
        <v>0.12173148758514613</v>
      </c>
      <c r="X26" s="789">
        <v>0</v>
      </c>
      <c r="Y26" s="48">
        <f t="shared" si="65"/>
        <v>0</v>
      </c>
      <c r="Z26" s="29"/>
      <c r="AA26" s="756">
        <v>99.5</v>
      </c>
      <c r="AB26" s="775">
        <v>90</v>
      </c>
      <c r="AG26" s="669" t="s">
        <v>47</v>
      </c>
      <c r="AH26" s="670">
        <v>85520</v>
      </c>
      <c r="AI26" s="661"/>
      <c r="AJ26" s="662"/>
      <c r="AK26" s="669" t="s">
        <v>36</v>
      </c>
      <c r="AL26" s="670" t="s">
        <v>49</v>
      </c>
      <c r="AO26" s="661"/>
      <c r="AP26" s="1323">
        <f>AF25</f>
        <v>1</v>
      </c>
      <c r="AQ26" s="1323"/>
      <c r="AR26" s="671"/>
    </row>
    <row r="27" spans="1:46" ht="14.4" x14ac:dyDescent="0.3">
      <c r="M27" s="420" t="str">
        <f t="shared" si="59"/>
        <v>Kimi 2</v>
      </c>
      <c r="N27" s="783">
        <v>88.75</v>
      </c>
      <c r="O27" s="784">
        <f t="shared" si="60"/>
        <v>0.12475839044104726</v>
      </c>
      <c r="P27" s="785">
        <v>89.25</v>
      </c>
      <c r="Q27" s="786">
        <f t="shared" si="61"/>
        <v>0.1347042731817753</v>
      </c>
      <c r="R27" s="787">
        <v>80</v>
      </c>
      <c r="S27" s="786">
        <f t="shared" si="62"/>
        <v>0.12708498808578236</v>
      </c>
      <c r="T27" s="787">
        <v>55</v>
      </c>
      <c r="U27" s="786">
        <f t="shared" si="63"/>
        <v>0.12285355298059472</v>
      </c>
      <c r="V27" s="787">
        <v>80</v>
      </c>
      <c r="W27" s="788">
        <f t="shared" si="64"/>
        <v>0.14062843331136013</v>
      </c>
      <c r="X27" s="789">
        <v>50</v>
      </c>
      <c r="Y27" s="48">
        <f t="shared" si="65"/>
        <v>0.10601643254704479</v>
      </c>
      <c r="Z27" s="29"/>
      <c r="AA27" s="756">
        <v>99.75</v>
      </c>
      <c r="AB27" s="775">
        <v>95</v>
      </c>
      <c r="AF27" s="672" t="str">
        <f t="shared" ref="AF27:AF32" si="67">AF2</f>
        <v>TNX</v>
      </c>
      <c r="AG27" s="673">
        <v>0</v>
      </c>
      <c r="AH27" s="674">
        <f>AG27/2</f>
        <v>0</v>
      </c>
      <c r="AI27" s="661"/>
      <c r="AJ27" s="672" t="str">
        <f t="shared" ref="AJ27:AJ32" si="68">AJ2</f>
        <v>TNX</v>
      </c>
      <c r="AK27" s="675">
        <v>0.92500000000000004</v>
      </c>
      <c r="AL27" s="676">
        <f>1-AK27</f>
        <v>7.4999999999999956E-2</v>
      </c>
      <c r="AN27" s="677">
        <v>1</v>
      </c>
      <c r="AO27" s="661"/>
      <c r="AP27" s="678">
        <f>(AK27*I12+AL27*J12)+AG27</f>
        <v>4.1181830491088141</v>
      </c>
      <c r="AQ27" s="678">
        <f>AK2+AH27</f>
        <v>4.1181830491088141</v>
      </c>
      <c r="AR27" s="679"/>
      <c r="AS27" s="680">
        <f t="shared" ref="AS27:AS32" si="69">(E12+C12)/2</f>
        <v>4.1181830491088141</v>
      </c>
    </row>
    <row r="28" spans="1:46" ht="14.25" customHeight="1" x14ac:dyDescent="0.3">
      <c r="M28" s="420" t="str">
        <f t="shared" si="59"/>
        <v>Qwen3 Max</v>
      </c>
      <c r="N28" s="783">
        <v>92.875</v>
      </c>
      <c r="O28" s="784">
        <f t="shared" si="60"/>
        <v>0.13055701985591284</v>
      </c>
      <c r="P28" s="785">
        <v>81.5625</v>
      </c>
      <c r="Q28" s="786">
        <f t="shared" si="61"/>
        <v>0.12310159418922743</v>
      </c>
      <c r="R28" s="787">
        <v>74.5</v>
      </c>
      <c r="S28" s="786">
        <f t="shared" si="62"/>
        <v>0.11834789515488484</v>
      </c>
      <c r="T28" s="787">
        <v>52.6875</v>
      </c>
      <c r="U28" s="786">
        <f t="shared" si="63"/>
        <v>0.11768811950300154</v>
      </c>
      <c r="V28" s="787">
        <v>69.375</v>
      </c>
      <c r="W28" s="788">
        <f t="shared" si="64"/>
        <v>0.12195121951219512</v>
      </c>
      <c r="X28" s="789">
        <v>62.625</v>
      </c>
      <c r="Y28" s="48">
        <f t="shared" si="65"/>
        <v>0.1327855817651736</v>
      </c>
      <c r="Z28" s="29"/>
      <c r="AA28" s="767">
        <v>99.99</v>
      </c>
      <c r="AB28" s="790">
        <v>100</v>
      </c>
      <c r="AF28" s="681" t="str">
        <f t="shared" si="67"/>
        <v>DJI</v>
      </c>
      <c r="AG28" s="682">
        <v>50</v>
      </c>
      <c r="AH28" s="683">
        <f>AG28/2</f>
        <v>25</v>
      </c>
      <c r="AI28" s="661"/>
      <c r="AJ28" s="681" t="str">
        <f t="shared" si="68"/>
        <v>DJI</v>
      </c>
      <c r="AK28" s="684">
        <v>0.95</v>
      </c>
      <c r="AL28" s="685">
        <f>1-AK28</f>
        <v>5.0000000000000044E-2</v>
      </c>
      <c r="AM28" s="661"/>
      <c r="AN28" s="686">
        <v>1</v>
      </c>
      <c r="AO28" s="661"/>
      <c r="AP28" s="687">
        <f>(AK28*I13+AL28*J13)+AG28</f>
        <v>46120.279546517071</v>
      </c>
      <c r="AQ28" s="687">
        <f>AK3+AH28</f>
        <v>46145.279546517071</v>
      </c>
      <c r="AR28" s="679"/>
      <c r="AS28" s="688">
        <f t="shared" si="69"/>
        <v>46132.779546517071</v>
      </c>
    </row>
    <row r="29" spans="1:46" ht="14.25" customHeight="1" x14ac:dyDescent="0.3">
      <c r="A29" s="2" t="s">
        <v>0</v>
      </c>
      <c r="B29" s="230" t="s">
        <v>61</v>
      </c>
      <c r="C29" s="1312" t="s">
        <v>47</v>
      </c>
      <c r="D29" s="1312"/>
      <c r="E29" s="1312">
        <v>85520</v>
      </c>
      <c r="F29" s="1312"/>
      <c r="G29" s="1312" t="str">
        <f t="shared" ref="G29:G35" si="70">G20</f>
        <v>MICH</v>
      </c>
      <c r="H29" s="1312"/>
      <c r="I29" s="1313" t="s">
        <v>50</v>
      </c>
      <c r="J29" s="1313"/>
      <c r="M29" s="431" t="str">
        <f t="shared" si="59"/>
        <v>LeChat</v>
      </c>
      <c r="N29" s="791">
        <v>93</v>
      </c>
      <c r="O29" s="792">
        <f t="shared" si="60"/>
        <v>0.13073273589878756</v>
      </c>
      <c r="P29" s="793">
        <v>84</v>
      </c>
      <c r="Q29" s="794">
        <f t="shared" si="61"/>
        <v>0.12678049240637676</v>
      </c>
      <c r="R29" s="795">
        <v>78</v>
      </c>
      <c r="S29" s="794">
        <f t="shared" si="62"/>
        <v>0.12390786338363781</v>
      </c>
      <c r="T29" s="795">
        <v>68.25</v>
      </c>
      <c r="U29" s="794">
        <f t="shared" si="63"/>
        <v>0.15245009074410162</v>
      </c>
      <c r="V29" s="795">
        <v>73.5</v>
      </c>
      <c r="W29" s="796">
        <f t="shared" si="64"/>
        <v>0.12920237310481214</v>
      </c>
      <c r="X29" s="797">
        <v>66.5</v>
      </c>
      <c r="Y29" s="124">
        <f t="shared" si="65"/>
        <v>0.14100185528756956</v>
      </c>
      <c r="Z29" s="29"/>
      <c r="AF29" s="689" t="str">
        <f t="shared" si="67"/>
        <v>SPX</v>
      </c>
      <c r="AG29" s="690">
        <v>4</v>
      </c>
      <c r="AH29" s="691">
        <f>AG29/2</f>
        <v>2</v>
      </c>
      <c r="AI29" s="661"/>
      <c r="AJ29" s="689" t="str">
        <f t="shared" si="68"/>
        <v>SPX</v>
      </c>
      <c r="AK29" s="684">
        <v>1.01</v>
      </c>
      <c r="AL29" s="685">
        <f>1-AK29</f>
        <v>-1.0000000000000009E-2</v>
      </c>
      <c r="AM29" s="661"/>
      <c r="AN29" s="692">
        <v>1</v>
      </c>
      <c r="AO29" s="661"/>
      <c r="AP29" s="693">
        <f>(AK29*I14+AL29*J14)+AG29</f>
        <v>6630.605109519156</v>
      </c>
      <c r="AQ29" s="693">
        <f>AK4+AH29</f>
        <v>6632.605109519156</v>
      </c>
      <c r="AR29" s="679"/>
      <c r="AS29" s="694">
        <f t="shared" si="69"/>
        <v>6631.605109519156</v>
      </c>
    </row>
    <row r="30" spans="1:46" ht="14.25" customHeight="1" x14ac:dyDescent="0.3">
      <c r="A30" s="35" t="s">
        <v>12</v>
      </c>
      <c r="B30" s="695">
        <v>4.1779999999999999</v>
      </c>
      <c r="C30" s="636">
        <f t="shared" ref="C30:C35" si="71">C21</f>
        <v>4.1181830491088141</v>
      </c>
      <c r="D30" s="552" t="str">
        <f t="shared" ref="D30:D35" si="72">CONCATENATE(TEXT(AQ8,"0.00%"),"  ",AR8)</f>
        <v>-1.43%  ↓</v>
      </c>
      <c r="E30" s="636">
        <f t="shared" ref="E30:E35" si="73">E21</f>
        <v>4.1181830491088141</v>
      </c>
      <c r="F30" s="552" t="str">
        <f t="shared" ref="F30:F35" si="74">CONCATENATE(TEXT(AS8,"0.00%"),"  ",AT8)</f>
        <v>-1.43%  ↓</v>
      </c>
      <c r="G30" s="636">
        <f t="shared" si="70"/>
        <v>4.1459999999999999</v>
      </c>
      <c r="H30" s="552" t="str">
        <f t="shared" ref="H30:H35" si="75">CONCATENATE(TEXT(AU8,"0.00%"),"  ",AV8)</f>
        <v>-0.77%  ↓</v>
      </c>
      <c r="I30" s="638">
        <f t="shared" ref="I30:I35" si="76">I21</f>
        <v>4.1040000000000001</v>
      </c>
      <c r="J30" s="639" t="str">
        <f t="shared" ref="J30:J35" si="77">CONCATENATE(TEXT(AO8,"0.00%"),"  ",AP8)</f>
        <v>-1.77%  ↓</v>
      </c>
      <c r="AF30" s="689" t="str">
        <f t="shared" si="67"/>
        <v>VIX</v>
      </c>
      <c r="AG30" s="696">
        <v>1.56</v>
      </c>
      <c r="AH30" s="697">
        <v>0.33</v>
      </c>
      <c r="AI30" s="661"/>
      <c r="AJ30" s="689" t="str">
        <f t="shared" si="68"/>
        <v>VIX</v>
      </c>
      <c r="AK30" s="684"/>
      <c r="AL30" s="685"/>
      <c r="AM30" s="661"/>
      <c r="AN30" s="698">
        <v>-1</v>
      </c>
      <c r="AP30" s="699">
        <f>IF(AN30=1,I15+AG30,I15+AG40)</f>
        <v>23.731169900879518</v>
      </c>
      <c r="AQ30" s="699">
        <f>IF(AN30=1,I15+AG30+AH30,I15+AG40+AH40)</f>
        <v>23.501169900879518</v>
      </c>
      <c r="AR30" s="679"/>
      <c r="AS30" s="700">
        <f t="shared" si="69"/>
        <v>23.61616990087952</v>
      </c>
    </row>
    <row r="31" spans="1:46" ht="14.25" customHeight="1" x14ac:dyDescent="0.3">
      <c r="A31" s="60" t="s">
        <v>13</v>
      </c>
      <c r="B31" s="701">
        <v>47747.82</v>
      </c>
      <c r="C31" s="642">
        <f t="shared" si="71"/>
        <v>46120.279546517071</v>
      </c>
      <c r="D31" s="557" t="str">
        <f t="shared" si="72"/>
        <v>-3.41%  ↓</v>
      </c>
      <c r="E31" s="642">
        <f t="shared" si="73"/>
        <v>46145.279546517071</v>
      </c>
      <c r="F31" s="557" t="str">
        <f t="shared" si="74"/>
        <v>-3.36%  ↓</v>
      </c>
      <c r="G31" s="642">
        <f t="shared" si="70"/>
        <v>47147.48</v>
      </c>
      <c r="H31" s="557" t="str">
        <f t="shared" si="75"/>
        <v>-1.26%  ↓</v>
      </c>
      <c r="I31" s="644">
        <f t="shared" si="76"/>
        <v>46245.41</v>
      </c>
      <c r="J31" s="645" t="str">
        <f t="shared" si="77"/>
        <v>-3.15%  ↓</v>
      </c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X31" s="286" t="str">
        <f>I11</f>
        <v>LLM</v>
      </c>
      <c r="AA31" s="51"/>
      <c r="AF31" s="702" t="str">
        <f t="shared" si="67"/>
        <v>QQQ</v>
      </c>
      <c r="AG31" s="703">
        <v>3</v>
      </c>
      <c r="AH31" s="704">
        <v>1.6</v>
      </c>
      <c r="AI31" s="661"/>
      <c r="AJ31" s="702" t="str">
        <f t="shared" si="68"/>
        <v>QQQ</v>
      </c>
      <c r="AK31" s="684">
        <v>0.875</v>
      </c>
      <c r="AL31" s="685">
        <f>1-AK31</f>
        <v>0.125</v>
      </c>
      <c r="AN31" s="705">
        <v>1</v>
      </c>
      <c r="AP31" s="706">
        <f>IF($AN$31=1,($I$16+$AG$31),($I$16+$AG$41))</f>
        <v>596.46741375521879</v>
      </c>
      <c r="AQ31" s="706">
        <f>IF($AN31=1,($I16+$AG31+$AH31),($I16+$AG41+$AH41))</f>
        <v>598.06741375521881</v>
      </c>
      <c r="AR31" s="679"/>
      <c r="AS31" s="707">
        <f t="shared" si="69"/>
        <v>597.26741375521874</v>
      </c>
    </row>
    <row r="32" spans="1:46" ht="14.25" customHeight="1" x14ac:dyDescent="0.3">
      <c r="A32" s="82" t="s">
        <v>14</v>
      </c>
      <c r="B32" s="708">
        <v>6846.5</v>
      </c>
      <c r="C32" s="650">
        <f t="shared" si="71"/>
        <v>6630.605109519156</v>
      </c>
      <c r="D32" s="562" t="str">
        <f t="shared" si="72"/>
        <v>-3.15%  ↓</v>
      </c>
      <c r="E32" s="650">
        <f t="shared" si="73"/>
        <v>6632.605109519156</v>
      </c>
      <c r="F32" s="562" t="str">
        <f t="shared" si="74"/>
        <v>-3.12%  ↓</v>
      </c>
      <c r="G32" s="650">
        <f t="shared" si="70"/>
        <v>6734.1</v>
      </c>
      <c r="H32" s="562" t="str">
        <f t="shared" si="75"/>
        <v>-1.64%  ↓</v>
      </c>
      <c r="I32" s="652">
        <f t="shared" si="76"/>
        <v>6602.98</v>
      </c>
      <c r="J32" s="645" t="str">
        <f t="shared" si="77"/>
        <v>-3.56%  ↓</v>
      </c>
      <c r="N32" s="53" t="s">
        <v>12</v>
      </c>
      <c r="P32" s="287">
        <f t="shared" ref="P32:P37" si="78">100-ABS(($K12-C12)/($K12))*100</f>
        <v>99.654409134775491</v>
      </c>
      <c r="Q32" s="328"/>
      <c r="R32" s="288">
        <f t="shared" ref="R32:R37" si="79">100-ABS(($K12-E12)/($K12))*100</f>
        <v>99.654409134775491</v>
      </c>
      <c r="S32" s="328"/>
      <c r="T32" s="288">
        <f t="shared" ref="T32:T37" si="80">100-ABS(($K12-G12)/($K12))*100</f>
        <v>98.976608187134502</v>
      </c>
      <c r="U32" s="328"/>
      <c r="V32" s="461">
        <f t="shared" ref="V32:V37" si="81">100-ABS((($K12-J12)/($K12)))*100</f>
        <v>99.777989660140605</v>
      </c>
      <c r="X32" s="290">
        <f t="shared" ref="X32:X37" si="82">100-ABS((($K12-I12)/($K12)))*100</f>
        <v>99.644389092178329</v>
      </c>
      <c r="AA32" s="736"/>
      <c r="AF32" s="709" t="str">
        <f t="shared" si="67"/>
        <v>AAPL</v>
      </c>
      <c r="AG32" s="710">
        <v>-1.5</v>
      </c>
      <c r="AH32" s="711">
        <f>AG32/2</f>
        <v>-0.75</v>
      </c>
      <c r="AI32" s="661"/>
      <c r="AJ32" s="709" t="str">
        <f t="shared" si="68"/>
        <v>AAPL</v>
      </c>
      <c r="AK32" s="712">
        <v>0.77500000000000002</v>
      </c>
      <c r="AL32" s="713">
        <f>1-AK32</f>
        <v>0.22499999999999998</v>
      </c>
      <c r="AN32" s="714">
        <v>1</v>
      </c>
      <c r="AP32" s="715">
        <f>(AK32*I17+AL32*J17)+AG32</f>
        <v>266.16546562152138</v>
      </c>
      <c r="AQ32" s="715">
        <f>AK7+AH32</f>
        <v>265.41546562152138</v>
      </c>
      <c r="AR32" s="661"/>
      <c r="AS32" s="716">
        <f t="shared" si="69"/>
        <v>265.79046562152138</v>
      </c>
    </row>
    <row r="33" spans="1:45" ht="14.25" customHeight="1" x14ac:dyDescent="0.3">
      <c r="A33" s="82" t="s">
        <v>15</v>
      </c>
      <c r="B33" s="708">
        <v>16.690000000000001</v>
      </c>
      <c r="C33" s="654">
        <f t="shared" si="71"/>
        <v>23.731169900879518</v>
      </c>
      <c r="D33" s="562" t="str">
        <f t="shared" si="72"/>
        <v>42.19%  ↑</v>
      </c>
      <c r="E33" s="654">
        <f t="shared" si="73"/>
        <v>23.501169900879518</v>
      </c>
      <c r="F33" s="562" t="str">
        <f t="shared" si="74"/>
        <v>40.81%  ↑</v>
      </c>
      <c r="G33" s="654">
        <f t="shared" si="70"/>
        <v>19.829999999999998</v>
      </c>
      <c r="H33" s="562" t="str">
        <f t="shared" si="75"/>
        <v>18.81%  ↑</v>
      </c>
      <c r="I33" s="652">
        <f t="shared" si="76"/>
        <v>23.28</v>
      </c>
      <c r="J33" s="645" t="str">
        <f t="shared" si="77"/>
        <v>39.48%  ↑</v>
      </c>
      <c r="N33" s="60" t="s">
        <v>13</v>
      </c>
      <c r="P33" s="291">
        <f t="shared" si="78"/>
        <v>99.72942081498914</v>
      </c>
      <c r="Q33" s="328"/>
      <c r="R33" s="292">
        <f t="shared" si="79"/>
        <v>99.78348023407527</v>
      </c>
      <c r="S33" s="328"/>
      <c r="T33" s="292">
        <f t="shared" si="80"/>
        <v>98.049384792998922</v>
      </c>
      <c r="U33" s="328"/>
      <c r="V33" s="462">
        <f t="shared" si="81"/>
        <v>99.858307930600247</v>
      </c>
      <c r="X33" s="294">
        <f t="shared" si="82"/>
        <v>99.608827979249327</v>
      </c>
      <c r="AA33" s="737"/>
      <c r="AF33" s="661"/>
      <c r="AG33" s="717"/>
      <c r="AH33" s="717"/>
      <c r="AI33" s="661"/>
      <c r="AJ33" s="717"/>
      <c r="AK33" s="717"/>
      <c r="AL33" s="718"/>
      <c r="AN33" s="661"/>
      <c r="AO33" s="661"/>
      <c r="AP33" s="661"/>
      <c r="AQ33" s="661"/>
      <c r="AR33" s="661"/>
      <c r="AS33" s="661"/>
    </row>
    <row r="34" spans="1:45" ht="14.25" customHeight="1" x14ac:dyDescent="0.3">
      <c r="A34" s="99" t="s">
        <v>16</v>
      </c>
      <c r="B34" s="719">
        <v>625.11</v>
      </c>
      <c r="C34" s="658">
        <f t="shared" si="71"/>
        <v>596.46741375521879</v>
      </c>
      <c r="D34" s="569" t="str">
        <f t="shared" si="72"/>
        <v>-4.58%  ↓</v>
      </c>
      <c r="E34" s="658">
        <f t="shared" si="73"/>
        <v>598.06741375521881</v>
      </c>
      <c r="F34" s="569" t="str">
        <f t="shared" si="74"/>
        <v>-4.33%  ↓</v>
      </c>
      <c r="G34" s="658">
        <f t="shared" si="70"/>
        <v>608.86</v>
      </c>
      <c r="H34" s="569" t="str">
        <f t="shared" si="75"/>
        <v>-2.60%  ↓</v>
      </c>
      <c r="I34" s="660">
        <f t="shared" si="76"/>
        <v>590.07000000000005</v>
      </c>
      <c r="J34" s="645" t="str">
        <f t="shared" si="77"/>
        <v>-5.61%  ↓</v>
      </c>
      <c r="N34" s="82" t="s">
        <v>14</v>
      </c>
      <c r="P34" s="301">
        <f t="shared" si="78"/>
        <v>99.581626636470858</v>
      </c>
      <c r="Q34" s="328"/>
      <c r="R34" s="302">
        <f t="shared" si="79"/>
        <v>99.551337282270183</v>
      </c>
      <c r="S34" s="328"/>
      <c r="T34" s="302">
        <f t="shared" si="80"/>
        <v>98.014229938603464</v>
      </c>
      <c r="U34" s="328"/>
      <c r="V34" s="463">
        <f t="shared" si="81"/>
        <v>99.310323054602165</v>
      </c>
      <c r="X34" s="304">
        <f t="shared" si="82"/>
        <v>99.638919381602221</v>
      </c>
      <c r="AA34" s="737"/>
      <c r="AF34" s="661"/>
      <c r="AG34" s="720"/>
      <c r="AH34" s="720"/>
      <c r="AI34" s="661"/>
      <c r="AJ34" s="662"/>
      <c r="AK34" s="662"/>
      <c r="AL34" s="662"/>
      <c r="AN34" s="661"/>
      <c r="AO34" s="661"/>
      <c r="AP34" s="661"/>
      <c r="AQ34" s="661"/>
      <c r="AR34" s="661"/>
      <c r="AS34" s="661"/>
    </row>
    <row r="35" spans="1:45" ht="14.25" customHeight="1" x14ac:dyDescent="0.3">
      <c r="A35" s="109" t="s">
        <v>17</v>
      </c>
      <c r="B35" s="721">
        <v>277.25</v>
      </c>
      <c r="C35" s="665">
        <f t="shared" si="71"/>
        <v>266.16546562152138</v>
      </c>
      <c r="D35" s="575" t="str">
        <f t="shared" si="72"/>
        <v>-4.00%  ↓</v>
      </c>
      <c r="E35" s="665">
        <f t="shared" si="73"/>
        <v>265.41546562152138</v>
      </c>
      <c r="F35" s="575" t="str">
        <f t="shared" si="74"/>
        <v>-4.27%  ↓</v>
      </c>
      <c r="G35" s="665">
        <f t="shared" si="70"/>
        <v>272.41000000000003</v>
      </c>
      <c r="H35" s="575" t="str">
        <f t="shared" si="75"/>
        <v>-1.75%  ↓</v>
      </c>
      <c r="I35" s="667">
        <f t="shared" si="76"/>
        <v>271.49</v>
      </c>
      <c r="J35" s="668" t="str">
        <f t="shared" si="77"/>
        <v>-2.08%  ↓</v>
      </c>
      <c r="N35" s="82" t="s">
        <v>15</v>
      </c>
      <c r="P35" s="301">
        <f t="shared" si="78"/>
        <v>98.061984961857746</v>
      </c>
      <c r="Q35" s="328"/>
      <c r="R35" s="302">
        <f t="shared" si="79"/>
        <v>99.049957470448817</v>
      </c>
      <c r="S35" s="328"/>
      <c r="T35" s="302">
        <f t="shared" si="80"/>
        <v>85.180412371134011</v>
      </c>
      <c r="U35" s="328"/>
      <c r="V35" s="463">
        <f t="shared" si="81"/>
        <v>95.627471957466071</v>
      </c>
      <c r="X35" s="304">
        <f t="shared" si="82"/>
        <v>93.508720357046755</v>
      </c>
      <c r="AA35" s="736"/>
      <c r="AF35" s="11">
        <v>-1</v>
      </c>
      <c r="AG35" s="1321" t="s">
        <v>118</v>
      </c>
      <c r="AH35" s="1321"/>
      <c r="AI35" s="661"/>
      <c r="AJ35" s="662"/>
      <c r="AK35" s="1322" t="s">
        <v>119</v>
      </c>
      <c r="AL35" s="1322"/>
      <c r="AO35" s="661"/>
      <c r="AP35" s="2" t="str">
        <f>AG36</f>
        <v>RD</v>
      </c>
      <c r="AQ35" s="2">
        <f>AH36</f>
        <v>85520</v>
      </c>
      <c r="AR35" s="661"/>
      <c r="AS35" s="661"/>
    </row>
    <row r="36" spans="1:45" ht="14.25" customHeight="1" x14ac:dyDescent="0.3">
      <c r="N36" s="99" t="s">
        <v>16</v>
      </c>
      <c r="P36" s="312">
        <f t="shared" si="78"/>
        <v>98.915821215242474</v>
      </c>
      <c r="Q36" s="328"/>
      <c r="R36" s="313">
        <f t="shared" si="79"/>
        <v>98.64466694541008</v>
      </c>
      <c r="S36" s="328"/>
      <c r="T36" s="313">
        <f t="shared" si="80"/>
        <v>96.815632043655839</v>
      </c>
      <c r="U36" s="328"/>
      <c r="V36" s="464">
        <f t="shared" si="81"/>
        <v>99.118308437541842</v>
      </c>
      <c r="X36" s="315">
        <f t="shared" si="82"/>
        <v>99.424235471178207</v>
      </c>
      <c r="AA36" s="738"/>
      <c r="AG36" s="722" t="s">
        <v>47</v>
      </c>
      <c r="AH36" s="723">
        <v>85520</v>
      </c>
      <c r="AI36" s="661"/>
      <c r="AJ36" s="662"/>
      <c r="AK36" s="669" t="s">
        <v>36</v>
      </c>
      <c r="AL36" s="670" t="s">
        <v>49</v>
      </c>
      <c r="AM36" s="661"/>
      <c r="AN36" s="661"/>
      <c r="AO36" s="661"/>
      <c r="AP36" s="1323">
        <f>AF35</f>
        <v>-1</v>
      </c>
      <c r="AQ36" s="1323"/>
      <c r="AR36" s="661"/>
      <c r="AS36" s="661"/>
    </row>
    <row r="37" spans="1:45" ht="14.25" customHeight="1" x14ac:dyDescent="0.3">
      <c r="N37" s="114" t="s">
        <v>17</v>
      </c>
      <c r="P37" s="323">
        <f t="shared" si="78"/>
        <v>98.038773296077707</v>
      </c>
      <c r="Q37" s="328"/>
      <c r="R37" s="324">
        <f t="shared" si="79"/>
        <v>97.762520027080697</v>
      </c>
      <c r="S37" s="328"/>
      <c r="T37" s="324">
        <f t="shared" si="80"/>
        <v>99.661129323363653</v>
      </c>
      <c r="U37" s="328"/>
      <c r="V37" s="465">
        <f t="shared" si="81"/>
        <v>98.687048018957228</v>
      </c>
      <c r="X37" s="326">
        <f t="shared" si="82"/>
        <v>98.563476167492084</v>
      </c>
      <c r="AA37" s="738"/>
      <c r="AF37" s="672" t="str">
        <f t="shared" ref="AF37:AF42" si="83">AF27</f>
        <v>TNX</v>
      </c>
      <c r="AG37" s="673">
        <v>0</v>
      </c>
      <c r="AH37" s="674">
        <f>AG37/2</f>
        <v>0</v>
      </c>
      <c r="AI37" s="661"/>
      <c r="AJ37" s="672" t="str">
        <f t="shared" ref="AJ37:AJ42" si="84">AJ2</f>
        <v>TNX</v>
      </c>
      <c r="AK37" s="675">
        <v>0.92500000000000004</v>
      </c>
      <c r="AL37" s="676">
        <f>1-AK37</f>
        <v>7.4999999999999956E-2</v>
      </c>
      <c r="AO37" s="661"/>
      <c r="AP37" s="678">
        <f>(AK27*I12+AL27*J12)+AG27</f>
        <v>4.1181830491088141</v>
      </c>
      <c r="AQ37" s="678">
        <f>AK2+AH37</f>
        <v>4.1181830491088141</v>
      </c>
      <c r="AR37" s="661"/>
      <c r="AS37" s="661"/>
    </row>
    <row r="38" spans="1:45" ht="14.25" customHeight="1" x14ac:dyDescent="0.3">
      <c r="N38" s="4"/>
      <c r="P38" s="328"/>
      <c r="Q38" s="328"/>
      <c r="R38" s="329"/>
      <c r="S38" s="328"/>
      <c r="T38" s="329"/>
      <c r="U38" s="328"/>
      <c r="V38" s="329"/>
      <c r="X38" s="329"/>
      <c r="AF38" s="681" t="str">
        <f t="shared" si="83"/>
        <v>DJI</v>
      </c>
      <c r="AG38" s="682">
        <v>50</v>
      </c>
      <c r="AH38" s="683">
        <f>AG38/2</f>
        <v>25</v>
      </c>
      <c r="AI38" s="661"/>
      <c r="AJ38" s="681" t="str">
        <f t="shared" si="84"/>
        <v>DJI</v>
      </c>
      <c r="AK38" s="684">
        <v>0.95</v>
      </c>
      <c r="AL38" s="685">
        <f>1-AK38</f>
        <v>5.0000000000000044E-2</v>
      </c>
      <c r="AO38" s="661"/>
      <c r="AP38" s="687">
        <f>(AK28*I13+AL28*J13)+AG28</f>
        <v>46120.279546517071</v>
      </c>
      <c r="AQ38" s="687">
        <f>AK3+AH38</f>
        <v>46145.279546517071</v>
      </c>
      <c r="AR38" s="661"/>
      <c r="AS38" s="661"/>
    </row>
    <row r="39" spans="1:45" ht="14.25" customHeight="1" x14ac:dyDescent="0.3">
      <c r="N39" s="331" t="str">
        <f>AA1</f>
        <v>AVR-4</v>
      </c>
      <c r="P39" s="332">
        <f t="array" ref="P39">SUM(P33:P36/4)</f>
        <v>99.072213407140069</v>
      </c>
      <c r="Q39" s="328"/>
      <c r="R39" s="333">
        <f t="array" ref="R39">SUM(R33:R36/4)</f>
        <v>99.257360483051087</v>
      </c>
      <c r="S39" s="328"/>
      <c r="T39" s="333">
        <f t="array" ref="T39">SUM(T33:T36/4)</f>
        <v>94.514914786598069</v>
      </c>
      <c r="U39" s="328"/>
      <c r="V39" s="466">
        <f t="array" ref="V39">SUM(V33:V36/4)</f>
        <v>98.478602845052578</v>
      </c>
      <c r="X39" s="335">
        <f t="array" ref="X39">SUM(X33:X36/4)</f>
        <v>98.045175797269138</v>
      </c>
      <c r="AF39" s="689" t="str">
        <f t="shared" si="83"/>
        <v>SPX</v>
      </c>
      <c r="AG39" s="690">
        <v>4</v>
      </c>
      <c r="AH39" s="691">
        <f>AG39/2</f>
        <v>2</v>
      </c>
      <c r="AI39" s="661"/>
      <c r="AJ39" s="689" t="str">
        <f t="shared" si="84"/>
        <v>SPX</v>
      </c>
      <c r="AK39" s="684">
        <v>1.01</v>
      </c>
      <c r="AL39" s="685">
        <f>1-AK39</f>
        <v>-1.0000000000000009E-2</v>
      </c>
      <c r="AM39" s="4"/>
      <c r="AN39" s="661"/>
      <c r="AO39" s="661"/>
      <c r="AP39" s="693">
        <f>(AK29*I14+AL29*J14)+AG29</f>
        <v>6630.605109519156</v>
      </c>
      <c r="AQ39" s="693">
        <f>AK4+AH39</f>
        <v>6632.605109519156</v>
      </c>
      <c r="AR39" s="661"/>
      <c r="AS39" s="661"/>
    </row>
    <row r="40" spans="1:45" ht="14.25" customHeight="1" x14ac:dyDescent="0.3">
      <c r="N40" s="336" t="str">
        <f>AB1</f>
        <v>AVR-6</v>
      </c>
      <c r="P40" s="337">
        <f t="array" ref="P40">SUM(P32:P37/6)</f>
        <v>98.997006009902236</v>
      </c>
      <c r="Q40" s="328"/>
      <c r="R40" s="338">
        <f t="array" ref="R40">SUM(R32:R37/6)</f>
        <v>99.074395182343423</v>
      </c>
      <c r="S40" s="328"/>
      <c r="T40" s="338">
        <f t="array" ref="T40">SUM(T32:T37/6)</f>
        <v>96.116232776148394</v>
      </c>
      <c r="U40" s="328"/>
      <c r="V40" s="467">
        <f t="array" ref="V40">SUM(V32:V37/6)</f>
        <v>98.729908176551362</v>
      </c>
      <c r="X40" s="340">
        <f t="array" ref="X40">SUM(X32:X37/6)</f>
        <v>98.398094741457811</v>
      </c>
      <c r="AF40" s="689" t="str">
        <f t="shared" si="83"/>
        <v>VIX</v>
      </c>
      <c r="AG40" s="696">
        <v>-1.06</v>
      </c>
      <c r="AH40" s="697">
        <v>-0.23</v>
      </c>
      <c r="AI40" s="661"/>
      <c r="AJ40" s="689" t="str">
        <f t="shared" si="84"/>
        <v>VIX</v>
      </c>
      <c r="AK40" s="684"/>
      <c r="AL40" s="685"/>
      <c r="AM40" s="4"/>
      <c r="AN40" s="661"/>
      <c r="AO40" s="661"/>
      <c r="AP40" s="699">
        <f>IF(AN30=1,I15+AG30,I15+AG40)</f>
        <v>23.731169900879518</v>
      </c>
      <c r="AQ40" s="699">
        <f>IF(AN30=1,I15+AG30+AH30,I15+AG40+AH40)</f>
        <v>23.501169900879518</v>
      </c>
      <c r="AR40" s="661"/>
      <c r="AS40" s="661"/>
    </row>
    <row r="41" spans="1:45" ht="14.25" customHeight="1" x14ac:dyDescent="0.3">
      <c r="AF41" s="702" t="str">
        <f t="shared" si="83"/>
        <v>QQQ</v>
      </c>
      <c r="AG41" s="724">
        <v>-10</v>
      </c>
      <c r="AH41" s="725">
        <v>-3</v>
      </c>
      <c r="AI41" s="661"/>
      <c r="AJ41" s="702" t="str">
        <f t="shared" si="84"/>
        <v>QQQ</v>
      </c>
      <c r="AK41" s="684">
        <v>0.875</v>
      </c>
      <c r="AL41" s="685">
        <f>1-AK41</f>
        <v>0.125</v>
      </c>
      <c r="AM41" s="4"/>
      <c r="AO41" s="4"/>
      <c r="AP41" s="706">
        <f>IF(AN31=1,(I16+AG31),(I16+AG41))</f>
        <v>596.46741375521879</v>
      </c>
      <c r="AQ41" s="706">
        <f>IF(AN31=1,(I16+AG31+AH31),(I16+AG41+AH41))</f>
        <v>598.06741375521881</v>
      </c>
      <c r="AR41" s="661"/>
      <c r="AS41" s="661"/>
    </row>
    <row r="42" spans="1:45" ht="14.25" customHeight="1" x14ac:dyDescent="0.3">
      <c r="AF42" s="709" t="str">
        <f t="shared" si="83"/>
        <v>AAPL</v>
      </c>
      <c r="AG42" s="710">
        <v>-1.5</v>
      </c>
      <c r="AH42" s="711">
        <f>AG42/2</f>
        <v>-0.75</v>
      </c>
      <c r="AI42" s="661"/>
      <c r="AJ42" s="709" t="str">
        <f t="shared" si="84"/>
        <v>AAPL</v>
      </c>
      <c r="AK42" s="712">
        <v>0.77500000000000002</v>
      </c>
      <c r="AL42" s="713">
        <f>1-AK42</f>
        <v>0.22499999999999998</v>
      </c>
      <c r="AM42" s="4"/>
      <c r="AO42" s="4"/>
      <c r="AP42" s="715">
        <f>(AK32*I17+AL32*J17)+AG32</f>
        <v>266.16546562152138</v>
      </c>
      <c r="AQ42" s="715">
        <f>AK7+AH42</f>
        <v>265.41546562152138</v>
      </c>
      <c r="AR42" s="661"/>
      <c r="AS42" s="661"/>
    </row>
    <row r="43" spans="1:45" ht="14.25" customHeight="1" x14ac:dyDescent="0.3">
      <c r="AK43" s="661"/>
      <c r="AM43" s="4"/>
      <c r="AO43" s="4"/>
      <c r="AP43" s="661"/>
      <c r="AQ43" s="661"/>
      <c r="AR43" s="661"/>
      <c r="AS43" s="661"/>
    </row>
    <row r="44" spans="1:45" ht="14.25" customHeight="1" x14ac:dyDescent="0.3">
      <c r="AP44" s="661"/>
      <c r="AQ44" s="661"/>
      <c r="AR44" s="661"/>
      <c r="AS44" s="661"/>
    </row>
    <row r="45" spans="1:45" ht="14.25" customHeight="1" x14ac:dyDescent="0.3">
      <c r="AF45" s="9"/>
      <c r="AG45" s="4"/>
      <c r="AI45" s="4"/>
      <c r="AJ45" s="661"/>
      <c r="AK45" s="661"/>
      <c r="AL45" s="661"/>
      <c r="AM45" s="661"/>
      <c r="AO45" s="4"/>
      <c r="AP45" s="661"/>
      <c r="AQ45" s="661"/>
      <c r="AR45" s="661"/>
      <c r="AS45" s="661"/>
    </row>
    <row r="46" spans="1:45" ht="14.25" customHeight="1" x14ac:dyDescent="0.3">
      <c r="AF46" s="9"/>
      <c r="AG46" s="4"/>
      <c r="AJ46" s="661"/>
      <c r="AK46" s="661"/>
      <c r="AL46" s="661"/>
      <c r="AM46" s="661"/>
      <c r="AP46" s="661"/>
      <c r="AQ46" s="661"/>
      <c r="AR46" s="661"/>
      <c r="AS46" s="661"/>
    </row>
    <row r="47" spans="1:45" ht="14.25" customHeight="1" x14ac:dyDescent="0.3">
      <c r="AF47" s="9"/>
      <c r="AG47" s="4"/>
      <c r="AJ47" s="661"/>
      <c r="AK47" s="661"/>
      <c r="AL47" s="661"/>
      <c r="AM47" s="661"/>
      <c r="AP47" s="661"/>
      <c r="AQ47" s="661"/>
      <c r="AR47" s="661"/>
      <c r="AS47" s="661"/>
    </row>
    <row r="48" spans="1:45" ht="14.25" customHeight="1" x14ac:dyDescent="0.3">
      <c r="AF48" s="9"/>
      <c r="AG48" s="4"/>
      <c r="AJ48" s="661"/>
      <c r="AK48" s="661"/>
      <c r="AL48" s="661"/>
      <c r="AM48" s="661"/>
      <c r="AP48" s="661"/>
      <c r="AQ48" s="661"/>
      <c r="AR48" s="661"/>
      <c r="AS48" s="661"/>
    </row>
    <row r="49" spans="32:45" ht="14.25" customHeight="1" x14ac:dyDescent="0.3">
      <c r="AF49" s="9"/>
      <c r="AJ49" s="661"/>
      <c r="AK49" s="661"/>
      <c r="AL49" s="661"/>
      <c r="AM49" s="661"/>
      <c r="AP49" s="661"/>
      <c r="AQ49" s="661"/>
      <c r="AR49" s="661"/>
      <c r="AS49" s="661"/>
    </row>
    <row r="50" spans="32:45" ht="14.25" customHeight="1" x14ac:dyDescent="0.3">
      <c r="AF50" s="9"/>
      <c r="AJ50" s="661"/>
      <c r="AK50" s="661"/>
      <c r="AL50" s="661"/>
      <c r="AM50" s="661"/>
      <c r="AP50" s="661"/>
      <c r="AQ50" s="661"/>
      <c r="AR50" s="661"/>
      <c r="AS50" s="661"/>
    </row>
    <row r="51" spans="32:45" ht="14.25" customHeight="1" x14ac:dyDescent="0.3">
      <c r="AF51" s="661"/>
      <c r="AG51" s="661"/>
      <c r="AH51" s="661"/>
      <c r="AI51" s="661"/>
      <c r="AJ51" s="661"/>
      <c r="AK51" s="661"/>
      <c r="AL51" s="661"/>
      <c r="AM51" s="661"/>
      <c r="AO51" s="661"/>
      <c r="AP51" s="661"/>
      <c r="AQ51" s="661"/>
      <c r="AR51" s="661"/>
      <c r="AS51" s="661"/>
    </row>
    <row r="52" spans="32:45" ht="14.25" customHeight="1" x14ac:dyDescent="0.3">
      <c r="AF52" s="661"/>
      <c r="AG52" s="661"/>
      <c r="AH52" s="661"/>
      <c r="AI52" s="661"/>
      <c r="AJ52" s="661"/>
      <c r="AK52" s="661"/>
      <c r="AL52" s="661"/>
      <c r="AM52" s="661"/>
      <c r="AO52" s="661"/>
      <c r="AP52" s="661"/>
      <c r="AQ52" s="661"/>
      <c r="AR52" s="661"/>
      <c r="AS52" s="661"/>
    </row>
    <row r="53" spans="32:45" ht="14.25" customHeight="1" x14ac:dyDescent="0.3">
      <c r="AF53" s="9"/>
      <c r="AL53" s="8"/>
    </row>
    <row r="54" spans="32:45" ht="14.25" customHeight="1" x14ac:dyDescent="0.3">
      <c r="AF54" s="9"/>
      <c r="AL54" s="8"/>
    </row>
  </sheetData>
  <mergeCells count="34">
    <mergeCell ref="AK1:AL1"/>
    <mergeCell ref="AN1:AN6"/>
    <mergeCell ref="AO7:AP7"/>
    <mergeCell ref="AQ7:AR7"/>
    <mergeCell ref="AS7:AT7"/>
    <mergeCell ref="AU7:AV7"/>
    <mergeCell ref="AN8:AN13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G25:AH25"/>
    <mergeCell ref="AK25:AL25"/>
    <mergeCell ref="AG35:AH35"/>
    <mergeCell ref="AK35:AL35"/>
    <mergeCell ref="AP36:AQ36"/>
    <mergeCell ref="AP26:AQ26"/>
    <mergeCell ref="C29:D29"/>
    <mergeCell ref="E29:F29"/>
    <mergeCell ref="G29:H29"/>
    <mergeCell ref="I29:J29"/>
  </mergeCells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V49"/>
  <sheetViews>
    <sheetView zoomScale="140" zoomScaleNormal="140" workbookViewId="0">
      <selection activeCell="B13" sqref="B13"/>
    </sheetView>
  </sheetViews>
  <sheetFormatPr defaultColWidth="8.77734375" defaultRowHeight="14.25" customHeight="1" x14ac:dyDescent="0.3"/>
  <cols>
    <col min="1" max="1" width="7.5546875" style="661" customWidth="1"/>
    <col min="2" max="10" width="8" style="251" customWidth="1"/>
    <col min="11" max="11" width="8.6640625" style="251" customWidth="1"/>
    <col min="12" max="12" width="4" style="661" customWidth="1"/>
    <col min="13" max="13" width="9" style="661" customWidth="1"/>
    <col min="14" max="14" width="5.88671875" style="251" customWidth="1"/>
    <col min="15" max="15" width="3.33203125" style="661" hidden="1" customWidth="1"/>
    <col min="16" max="16" width="5.88671875" style="251" customWidth="1"/>
    <col min="17" max="17" width="3.33203125" style="661" hidden="1" customWidth="1"/>
    <col min="18" max="18" width="5.88671875" style="251" customWidth="1"/>
    <col min="19" max="19" width="3.33203125" style="661" hidden="1" customWidth="1"/>
    <col min="20" max="20" width="5.88671875" style="251" customWidth="1"/>
    <col min="21" max="21" width="3.33203125" style="661" hidden="1" customWidth="1"/>
    <col min="22" max="22" width="5.88671875" style="251" customWidth="1"/>
    <col min="23" max="23" width="3.33203125" style="661" hidden="1" customWidth="1"/>
    <col min="24" max="24" width="5.88671875" style="251" customWidth="1"/>
    <col min="25" max="25" width="3.33203125" style="661" hidden="1" customWidth="1"/>
    <col min="26" max="26" width="4" style="661" customWidth="1"/>
    <col min="27" max="27" width="8.88671875" style="798" customWidth="1"/>
    <col min="28" max="28" width="8.88671875" style="799" customWidth="1"/>
    <col min="29" max="30" width="5.5546875" style="798" customWidth="1"/>
    <col min="31" max="31" width="3.109375" style="661" customWidth="1"/>
    <col min="32" max="38" width="7.44140625" style="661" customWidth="1"/>
    <col min="39" max="39" width="5.21875" style="661" customWidth="1"/>
    <col min="40" max="40" width="6.5546875" style="661" customWidth="1"/>
    <col min="41" max="41" width="6.109375" style="661" customWidth="1"/>
    <col min="42" max="16384" width="8.77734375" style="661"/>
  </cols>
  <sheetData>
    <row r="1" spans="1:48" ht="15" x14ac:dyDescent="0.3">
      <c r="A1" s="2" t="s">
        <v>0</v>
      </c>
      <c r="B1" s="739" t="s">
        <v>129</v>
      </c>
      <c r="C1" s="740" t="s">
        <v>130</v>
      </c>
      <c r="D1" s="740" t="s">
        <v>131</v>
      </c>
      <c r="E1" s="740" t="s">
        <v>34</v>
      </c>
      <c r="F1" s="740">
        <v>4</v>
      </c>
      <c r="G1" s="740" t="s">
        <v>95</v>
      </c>
      <c r="H1" s="740" t="s">
        <v>42</v>
      </c>
      <c r="I1" s="741" t="s">
        <v>96</v>
      </c>
      <c r="K1" s="800" t="s">
        <v>132</v>
      </c>
      <c r="M1" s="19" t="s">
        <v>11</v>
      </c>
      <c r="N1" s="20" t="s">
        <v>12</v>
      </c>
      <c r="O1" s="801">
        <f>SUM(N2:N9)</f>
        <v>693.97009165460679</v>
      </c>
      <c r="P1" s="22" t="s">
        <v>13</v>
      </c>
      <c r="Q1" s="802">
        <f>SUM(P2:P9)</f>
        <v>688.59400332743132</v>
      </c>
      <c r="R1" s="24" t="s">
        <v>14</v>
      </c>
      <c r="S1" s="802">
        <f>SUM(R2:R9)</f>
        <v>687.09107378862814</v>
      </c>
      <c r="T1" s="803" t="s">
        <v>15</v>
      </c>
      <c r="U1" s="802">
        <f>SUM(T2:T9)</f>
        <v>628.13918305597588</v>
      </c>
      <c r="V1" s="804" t="s">
        <v>16</v>
      </c>
      <c r="W1" s="805">
        <f>SUM(V2:V9)</f>
        <v>682.21101731104034</v>
      </c>
      <c r="X1" s="806" t="s">
        <v>17</v>
      </c>
      <c r="Y1" s="807">
        <f>SUM(X2:X9)</f>
        <v>687.15171983407367</v>
      </c>
      <c r="Z1" s="808"/>
      <c r="AA1" s="809" t="s">
        <v>18</v>
      </c>
      <c r="AB1" s="810" t="s">
        <v>19</v>
      </c>
      <c r="AF1" s="579" t="s">
        <v>20</v>
      </c>
      <c r="AG1" s="4"/>
      <c r="AH1" s="4"/>
      <c r="AI1" s="8"/>
      <c r="AJ1" s="8"/>
      <c r="AK1" s="1314" t="s">
        <v>68</v>
      </c>
      <c r="AL1" s="1314"/>
      <c r="AM1" s="8"/>
      <c r="AN1" s="1315" t="str">
        <f>B20</f>
        <v>Close YF</v>
      </c>
      <c r="AO1" s="163">
        <f t="shared" ref="AO1:AO6" si="0">(I21-B21)/B21</f>
        <v>6.3106796116504374E-3</v>
      </c>
      <c r="AP1" s="164" t="str">
        <f>IF(K12-B21&gt;0,"↑","↓")</f>
        <v>↑</v>
      </c>
      <c r="AQ1" s="165">
        <f t="shared" ref="AQ1:AQ6" si="1">(C21-B21)/B21</f>
        <v>-1.6226672224456233E-3</v>
      </c>
      <c r="AR1" s="166" t="str">
        <f t="shared" ref="AR1:AR6" si="2">IF(C21-B21&gt;0,"↑","↓")</f>
        <v>↓</v>
      </c>
      <c r="AS1" s="163">
        <f t="shared" ref="AS1:AS6" si="3">(E21-B21)/B21</f>
        <v>-1.6226672224456233E-3</v>
      </c>
      <c r="AT1" s="164" t="str">
        <f t="shared" ref="AT1:AT6" si="4">IF(E21-B21&gt;0,"↑","↓")</f>
        <v>↓</v>
      </c>
      <c r="AU1" s="163">
        <f t="shared" ref="AU1:AU6" si="5">(G21-B21)/B21</f>
        <v>-2.4271844660193657E-3</v>
      </c>
      <c r="AV1" s="164" t="str">
        <f t="shared" ref="AV1:AV6" si="6">IF(G21-B21&gt;0,"↑","↓")</f>
        <v>↓</v>
      </c>
    </row>
    <row r="2" spans="1:48" ht="15" x14ac:dyDescent="0.3">
      <c r="A2" s="743" t="s">
        <v>12</v>
      </c>
      <c r="B2" s="528">
        <v>4.12</v>
      </c>
      <c r="C2" s="529">
        <v>4.12</v>
      </c>
      <c r="D2" s="529">
        <v>4.0599999999999996</v>
      </c>
      <c r="E2" s="529">
        <v>4.12</v>
      </c>
      <c r="F2" s="529"/>
      <c r="G2" s="529">
        <v>4.12</v>
      </c>
      <c r="H2" s="750">
        <v>4.16</v>
      </c>
      <c r="I2" s="531">
        <v>4.0999999999999996</v>
      </c>
      <c r="M2" s="811" t="str">
        <f>B1</f>
        <v>O</v>
      </c>
      <c r="N2" s="494">
        <f>100-ABS((($K12-B2)/($K12)))*100</f>
        <v>99.372889532079114</v>
      </c>
      <c r="O2" s="812">
        <f t="shared" ref="O2:O9" si="7">N2/$O$1</f>
        <v>0.14319477269567638</v>
      </c>
      <c r="P2" s="496">
        <f>100-ABS((($K13-B3)/($K13)))*100</f>
        <v>98.111203398357674</v>
      </c>
      <c r="Q2" s="813">
        <f t="shared" ref="Q2:Q9" si="8">P2/$Q$1</f>
        <v>0.14248047895314753</v>
      </c>
      <c r="R2" s="497">
        <f>100-ABS((($K14-B4)/($K14)))*100</f>
        <v>97.95221336184494</v>
      </c>
      <c r="S2" s="813">
        <f t="shared" ref="S2:S9" si="9">R2/$S$1</f>
        <v>0.14256074208872385</v>
      </c>
      <c r="T2" s="497">
        <f>100-ABS((($K15-B5)/($K15)))*100</f>
        <v>89.107413010590037</v>
      </c>
      <c r="U2" s="813">
        <f t="shared" ref="U2:U9" si="10">T2/$U$1</f>
        <v>0.14185934489402699</v>
      </c>
      <c r="V2" s="498">
        <f>100-ABS((($K16-B6)/($K16)))*100</f>
        <v>97.331077751864143</v>
      </c>
      <c r="W2" s="814">
        <f t="shared" ref="W2:W9" si="11">V2/$W$1</f>
        <v>0.14267004677745918</v>
      </c>
      <c r="X2" s="500">
        <f>100-ABS((($K17-B7)/($K17)))*100</f>
        <v>97.764399251128822</v>
      </c>
      <c r="Y2" s="815">
        <f t="shared" ref="Y2:Y9" si="12">X2/$Y$1</f>
        <v>0.14227483746200326</v>
      </c>
      <c r="Z2" s="808"/>
      <c r="AA2" s="816">
        <f t="shared" ref="AA2:AA9" si="13">(P2+R2+T2+V2)/4</f>
        <v>95.625476880664195</v>
      </c>
      <c r="AB2" s="817">
        <f t="shared" ref="AB2:AB9" si="14">(N2+P2+R2+T2+V2+X2)/6</f>
        <v>96.606532717644129</v>
      </c>
      <c r="AC2" s="818" t="str">
        <f>IF($AA2=MAX(AA2:AA9),"TOP","")</f>
        <v/>
      </c>
      <c r="AD2" s="51" t="str">
        <f>IF($AB2=MAX(AB2:AB9),"TOP","")</f>
        <v/>
      </c>
      <c r="AE2" s="819"/>
      <c r="AF2" s="53" t="s">
        <v>12</v>
      </c>
      <c r="AG2" s="580" t="s">
        <v>42</v>
      </c>
      <c r="AH2" s="581">
        <f>MAX(N2:N9)</f>
        <v>99.662325132657983</v>
      </c>
      <c r="AI2" s="8"/>
      <c r="AJ2" s="341" t="str">
        <f t="shared" ref="AJ2:AJ7" si="15">A2</f>
        <v>TNX</v>
      </c>
      <c r="AK2" s="342">
        <f t="shared" ref="AK2:AK7" si="16">IF(AN27=1,AP27,AP37)</f>
        <v>4.1133146110435241</v>
      </c>
      <c r="AL2" s="57">
        <f t="shared" ref="AL2:AL7" si="17">100-ABS(($K12-AK2)/($K12))*100</f>
        <v>99.211640401435702</v>
      </c>
      <c r="AM2" s="8"/>
      <c r="AN2" s="1315"/>
      <c r="AO2" s="182">
        <f t="shared" si="0"/>
        <v>-1.6284440230712842E-2</v>
      </c>
      <c r="AP2" s="183" t="str">
        <f>IF(I22-B22&gt;0,"↑","↓")</f>
        <v>↓</v>
      </c>
      <c r="AQ2" s="184">
        <f t="shared" si="1"/>
        <v>7.4248927567166609E-4</v>
      </c>
      <c r="AR2" s="185" t="str">
        <f t="shared" si="2"/>
        <v>↑</v>
      </c>
      <c r="AS2" s="182">
        <f t="shared" si="3"/>
        <v>1.2641054679736125E-3</v>
      </c>
      <c r="AT2" s="183" t="str">
        <f t="shared" si="4"/>
        <v>↑</v>
      </c>
      <c r="AU2" s="182">
        <f t="shared" si="5"/>
        <v>2.1916225935758767E-3</v>
      </c>
      <c r="AV2" s="183" t="str">
        <f t="shared" si="6"/>
        <v>↑</v>
      </c>
    </row>
    <row r="3" spans="1:48" ht="15" x14ac:dyDescent="0.3">
      <c r="A3" s="82" t="s">
        <v>13</v>
      </c>
      <c r="B3" s="532">
        <v>48038</v>
      </c>
      <c r="C3" s="533">
        <v>48000</v>
      </c>
      <c r="D3" s="533">
        <v>48045</v>
      </c>
      <c r="E3" s="533">
        <v>48039</v>
      </c>
      <c r="F3" s="533"/>
      <c r="G3" s="533">
        <v>48038</v>
      </c>
      <c r="H3" s="533">
        <v>48050</v>
      </c>
      <c r="I3" s="534">
        <v>47200</v>
      </c>
      <c r="K3" s="820">
        <v>45972</v>
      </c>
      <c r="M3" s="821" t="str">
        <f>C1</f>
        <v>G</v>
      </c>
      <c r="N3" s="822">
        <f>100-ABS((($K12-C2)/($K12)))*100</f>
        <v>99.372889532079114</v>
      </c>
      <c r="O3" s="823">
        <f t="shared" si="7"/>
        <v>0.14319477269567638</v>
      </c>
      <c r="P3" s="824">
        <f>100-ABS((($K13-C3)/($K13)))*100</f>
        <v>98.191801555459605</v>
      </c>
      <c r="Q3" s="825">
        <f t="shared" si="8"/>
        <v>0.14259752638125822</v>
      </c>
      <c r="R3" s="825">
        <f>100-ABS((($K14-C4)/($K14)))*100</f>
        <v>98.27890883711261</v>
      </c>
      <c r="S3" s="825">
        <f t="shared" si="9"/>
        <v>0.14303621832139599</v>
      </c>
      <c r="T3" s="825">
        <f>100-ABS((($K15-C5)/($K15)))*100</f>
        <v>88.250126071608676</v>
      </c>
      <c r="U3" s="825">
        <f t="shared" si="10"/>
        <v>0.14049454078355811</v>
      </c>
      <c r="V3" s="826">
        <f>100-ABS((($K16-C6)/($K16)))*100</f>
        <v>97.513385671582967</v>
      </c>
      <c r="W3" s="827">
        <f t="shared" si="11"/>
        <v>0.14293727775891915</v>
      </c>
      <c r="X3" s="828">
        <f>100-ABS((($K17-C7)/($K17)))*100</f>
        <v>97.94794611064205</v>
      </c>
      <c r="Y3" s="815">
        <f t="shared" si="12"/>
        <v>0.14254195002858105</v>
      </c>
      <c r="Z3" s="808"/>
      <c r="AA3" s="829">
        <f t="shared" si="13"/>
        <v>95.558555533940961</v>
      </c>
      <c r="AB3" s="830">
        <f t="shared" si="14"/>
        <v>96.592509629747511</v>
      </c>
      <c r="AC3" s="818" t="str">
        <f>IF($AA3=MAX(AA2:AA9),"TOP","")</f>
        <v/>
      </c>
      <c r="AD3" s="51" t="str">
        <f>IF($AB3=MAX(AB2:AB9),"TOP","")</f>
        <v/>
      </c>
      <c r="AE3" s="819"/>
      <c r="AF3" s="60" t="s">
        <v>13</v>
      </c>
      <c r="AG3" s="583" t="s">
        <v>42</v>
      </c>
      <c r="AH3" s="584">
        <f>MAX(P2:P9)</f>
        <v>99.888604862868604</v>
      </c>
      <c r="AI3" s="8"/>
      <c r="AJ3" s="343" t="str">
        <f t="shared" si="15"/>
        <v>DJI</v>
      </c>
      <c r="AK3" s="344">
        <f t="shared" si="16"/>
        <v>47963.54599630482</v>
      </c>
      <c r="AL3" s="78">
        <f t="shared" si="17"/>
        <v>98.269120648007458</v>
      </c>
      <c r="AM3" s="8"/>
      <c r="AN3" s="1315"/>
      <c r="AO3" s="182">
        <f t="shared" si="0"/>
        <v>-1.6432950029284465E-2</v>
      </c>
      <c r="AP3" s="183" t="str">
        <f>IF(I23-B23&gt;0,"↑","↓")</f>
        <v>↓</v>
      </c>
      <c r="AQ3" s="184">
        <f t="shared" si="1"/>
        <v>2.3099453680017253E-3</v>
      </c>
      <c r="AR3" s="185" t="str">
        <f t="shared" si="2"/>
        <v>↑</v>
      </c>
      <c r="AS3" s="182">
        <f t="shared" si="3"/>
        <v>2.6020607360451803E-3</v>
      </c>
      <c r="AT3" s="183" t="str">
        <f t="shared" si="4"/>
        <v>↑</v>
      </c>
      <c r="AU3" s="182">
        <f t="shared" si="5"/>
        <v>2.5399431251378899E-3</v>
      </c>
      <c r="AV3" s="183" t="str">
        <f t="shared" si="6"/>
        <v>↑</v>
      </c>
    </row>
    <row r="4" spans="1:48" ht="15" x14ac:dyDescent="0.3">
      <c r="A4" s="82" t="s">
        <v>14</v>
      </c>
      <c r="B4" s="535">
        <v>6872</v>
      </c>
      <c r="C4" s="536">
        <v>6850</v>
      </c>
      <c r="D4" s="536">
        <v>6872</v>
      </c>
      <c r="E4" s="536">
        <v>6872</v>
      </c>
      <c r="F4" s="536"/>
      <c r="G4" s="536">
        <v>6872</v>
      </c>
      <c r="H4" s="536">
        <v>6870</v>
      </c>
      <c r="I4" s="537">
        <v>6800</v>
      </c>
      <c r="M4" s="821" t="str">
        <f>D1</f>
        <v>P</v>
      </c>
      <c r="N4" s="822">
        <f>100-ABS((($K12-D2)/($K12)))*100</f>
        <v>97.925711529184753</v>
      </c>
      <c r="O4" s="823">
        <f t="shared" si="7"/>
        <v>0.1411094119282636</v>
      </c>
      <c r="P4" s="824">
        <f>100-ABS((($K13-D3)/($K13)))*100</f>
        <v>98.096356369417848</v>
      </c>
      <c r="Q4" s="825">
        <f t="shared" si="8"/>
        <v>0.14245891758481136</v>
      </c>
      <c r="R4" s="825">
        <f>100-ABS((($K14-D4)/($K14)))*100</f>
        <v>97.95221336184494</v>
      </c>
      <c r="S4" s="825">
        <f t="shared" si="9"/>
        <v>0.14256074208872385</v>
      </c>
      <c r="T4" s="825">
        <f>100-ABS((($K15-D5)/($K15)))*100</f>
        <v>87.342410489157857</v>
      </c>
      <c r="U4" s="825">
        <f t="shared" si="10"/>
        <v>0.13904945407835581</v>
      </c>
      <c r="V4" s="826">
        <f>100-ABS((($K16-D6)/($K16)))*100</f>
        <v>97.331077751864143</v>
      </c>
      <c r="W4" s="827">
        <f t="shared" si="11"/>
        <v>0.14267004677745918</v>
      </c>
      <c r="X4" s="828">
        <f>100-ABS((($K17-D7)/($K17)))*100</f>
        <v>97.746044565177499</v>
      </c>
      <c r="Y4" s="815">
        <f t="shared" si="12"/>
        <v>0.14224812620534547</v>
      </c>
      <c r="Z4" s="808"/>
      <c r="AA4" s="829">
        <f t="shared" si="13"/>
        <v>95.180514493071186</v>
      </c>
      <c r="AB4" s="830">
        <f t="shared" si="14"/>
        <v>96.065635677774523</v>
      </c>
      <c r="AC4" s="818" t="str">
        <f>IF($AA4=MAX(AA2:AA9),"TOP","")</f>
        <v/>
      </c>
      <c r="AD4" s="51" t="str">
        <f>IF($AB4=MAX(AB2:AB9),"TOP","")</f>
        <v/>
      </c>
      <c r="AE4" s="819"/>
      <c r="AF4" s="82" t="s">
        <v>14</v>
      </c>
      <c r="AG4" s="585" t="s">
        <v>37</v>
      </c>
      <c r="AH4" s="586">
        <f>MAX(R2:R9)</f>
        <v>99.021398553630036</v>
      </c>
      <c r="AI4" s="8"/>
      <c r="AJ4" s="345" t="str">
        <f t="shared" si="15"/>
        <v>SPX</v>
      </c>
      <c r="AK4" s="346">
        <f t="shared" si="16"/>
        <v>6862.425295056014</v>
      </c>
      <c r="AL4" s="89">
        <f t="shared" si="17"/>
        <v>98.094395761036907</v>
      </c>
      <c r="AM4" s="8"/>
      <c r="AN4" s="1315"/>
      <c r="AO4" s="182">
        <f t="shared" si="0"/>
        <v>0.14756944444444428</v>
      </c>
      <c r="AP4" s="183" t="str">
        <f>IF(I24-B24&gt;0,"↑","↓")</f>
        <v>↑</v>
      </c>
      <c r="AQ4" s="184">
        <f t="shared" si="1"/>
        <v>0.12312019559837825</v>
      </c>
      <c r="AR4" s="185" t="str">
        <f t="shared" si="2"/>
        <v>↑</v>
      </c>
      <c r="AS4" s="182">
        <f t="shared" si="3"/>
        <v>0.14221741782060038</v>
      </c>
      <c r="AT4" s="183" t="str">
        <f t="shared" si="4"/>
        <v>↑</v>
      </c>
      <c r="AU4" s="182">
        <f t="shared" si="5"/>
        <v>8.6805555555554727E-3</v>
      </c>
      <c r="AV4" s="183" t="str">
        <f t="shared" si="6"/>
        <v>↑</v>
      </c>
    </row>
    <row r="5" spans="1:48" ht="15" x14ac:dyDescent="0.3">
      <c r="A5" s="82" t="s">
        <v>15</v>
      </c>
      <c r="B5" s="538">
        <v>17.670000000000002</v>
      </c>
      <c r="C5" s="539">
        <v>17.5</v>
      </c>
      <c r="D5" s="539">
        <v>17.32</v>
      </c>
      <c r="E5" s="539">
        <v>17.670000000000002</v>
      </c>
      <c r="F5" s="539"/>
      <c r="G5" s="539">
        <v>17.7</v>
      </c>
      <c r="H5" s="540">
        <v>17.45</v>
      </c>
      <c r="I5" s="541">
        <v>19.25</v>
      </c>
      <c r="K5" s="744" t="s">
        <v>36</v>
      </c>
      <c r="M5" s="821" t="str">
        <f>E1</f>
        <v>C</v>
      </c>
      <c r="N5" s="822">
        <f>100-ABS((($K12-E2)/($K12)))*100</f>
        <v>99.372889532079114</v>
      </c>
      <c r="O5" s="823">
        <f t="shared" si="7"/>
        <v>0.14319477269567638</v>
      </c>
      <c r="P5" s="824">
        <f>100-ABS((($K13-E3)/($K13)))*100</f>
        <v>98.109082394223407</v>
      </c>
      <c r="Q5" s="825">
        <f t="shared" si="8"/>
        <v>0.1424773987576709</v>
      </c>
      <c r="R5" s="825">
        <f>100-ABS((($K14-E4)/($K14)))*100</f>
        <v>97.95221336184494</v>
      </c>
      <c r="S5" s="825">
        <f t="shared" si="9"/>
        <v>0.14256074208872385</v>
      </c>
      <c r="T5" s="825">
        <f>100-ABS((($K15-E5)/($K15)))*100</f>
        <v>89.107413010590037</v>
      </c>
      <c r="U5" s="825">
        <f t="shared" si="10"/>
        <v>0.14185934489402699</v>
      </c>
      <c r="V5" s="826">
        <f>100-ABS((($K16-E6)/($K16)))*100</f>
        <v>97.331077751864143</v>
      </c>
      <c r="W5" s="827">
        <f t="shared" si="11"/>
        <v>0.14267004677745918</v>
      </c>
      <c r="X5" s="828">
        <f>100-ABS((($K17-E7)/($K17)))*100</f>
        <v>97.764399251128822</v>
      </c>
      <c r="Y5" s="815">
        <f t="shared" si="12"/>
        <v>0.14227483746200326</v>
      </c>
      <c r="Z5" s="808"/>
      <c r="AA5" s="829">
        <f t="shared" si="13"/>
        <v>95.624946629630628</v>
      </c>
      <c r="AB5" s="830">
        <f t="shared" si="14"/>
        <v>96.60617921695507</v>
      </c>
      <c r="AC5" s="818" t="str">
        <f>IF($AA5=MAX(AA2:AA9),"TOP","")</f>
        <v/>
      </c>
      <c r="AD5" s="51" t="str">
        <f>IF($AB5=MAX(AB2:AB9),"TOP","")</f>
        <v/>
      </c>
      <c r="AE5" s="819"/>
      <c r="AF5" s="82" t="s">
        <v>15</v>
      </c>
      <c r="AG5" s="585" t="s">
        <v>95</v>
      </c>
      <c r="AH5" s="586">
        <f>MAX(T2:T9)</f>
        <v>97.075138678769548</v>
      </c>
      <c r="AI5" s="8"/>
      <c r="AJ5" s="345" t="str">
        <f t="shared" si="15"/>
        <v>VIX</v>
      </c>
      <c r="AK5" s="347">
        <f t="shared" si="16"/>
        <v>19.407516979939977</v>
      </c>
      <c r="AL5" s="89">
        <f t="shared" si="17"/>
        <v>97.869475440947951</v>
      </c>
      <c r="AM5" s="8"/>
      <c r="AN5" s="1315"/>
      <c r="AO5" s="182">
        <f t="shared" si="0"/>
        <v>-2.0448219830429454E-2</v>
      </c>
      <c r="AP5" s="183" t="str">
        <f>IF(I25-B25&gt;0,"↑","↓")</f>
        <v>↓</v>
      </c>
      <c r="AQ5" s="184">
        <f t="shared" si="1"/>
        <v>-1.1693781678505282E-2</v>
      </c>
      <c r="AR5" s="185" t="str">
        <f t="shared" si="2"/>
        <v>↓</v>
      </c>
      <c r="AS5" s="182">
        <f t="shared" si="3"/>
        <v>-1.6520269443358798E-2</v>
      </c>
      <c r="AT5" s="183" t="str">
        <f t="shared" si="4"/>
        <v>↓</v>
      </c>
      <c r="AU5" s="182">
        <f t="shared" si="5"/>
        <v>5.3574014189872853E-3</v>
      </c>
      <c r="AV5" s="183" t="str">
        <f t="shared" si="6"/>
        <v>↑</v>
      </c>
    </row>
    <row r="6" spans="1:48" ht="15" x14ac:dyDescent="0.3">
      <c r="A6" s="82" t="s">
        <v>16</v>
      </c>
      <c r="B6" s="542">
        <v>625.11</v>
      </c>
      <c r="C6" s="543">
        <v>624</v>
      </c>
      <c r="D6" s="543">
        <v>625.11</v>
      </c>
      <c r="E6" s="543">
        <v>625.11</v>
      </c>
      <c r="F6" s="543"/>
      <c r="G6" s="543">
        <v>625</v>
      </c>
      <c r="H6" s="544">
        <v>626</v>
      </c>
      <c r="I6" s="545">
        <v>620</v>
      </c>
      <c r="M6" s="821">
        <f>F1</f>
        <v>4</v>
      </c>
      <c r="N6" s="822">
        <f>100-ABS((($K12-F2)/($K12)))*100</f>
        <v>0</v>
      </c>
      <c r="O6" s="823">
        <f t="shared" si="7"/>
        <v>0</v>
      </c>
      <c r="P6" s="824">
        <f>100-ABS((($K13-F3)/($K13)))*100</f>
        <v>0</v>
      </c>
      <c r="Q6" s="825">
        <f t="shared" si="8"/>
        <v>0</v>
      </c>
      <c r="R6" s="825">
        <f>100-ABS((($K14-F4)/($K14)))*100</f>
        <v>0</v>
      </c>
      <c r="S6" s="825">
        <f t="shared" si="9"/>
        <v>0</v>
      </c>
      <c r="T6" s="825">
        <f>100-ABS((($K15-F5)/($K15)))*100</f>
        <v>0</v>
      </c>
      <c r="U6" s="825">
        <f t="shared" si="10"/>
        <v>0</v>
      </c>
      <c r="V6" s="826">
        <f>100-ABS((($K16-F6)/($K16)))*100</f>
        <v>0</v>
      </c>
      <c r="W6" s="827">
        <f t="shared" si="11"/>
        <v>0</v>
      </c>
      <c r="X6" s="828">
        <f>100-ABS((($K17-F7)/($K17)))*100</f>
        <v>0</v>
      </c>
      <c r="Y6" s="815">
        <f t="shared" si="12"/>
        <v>0</v>
      </c>
      <c r="Z6" s="808"/>
      <c r="AA6" s="829">
        <f t="shared" si="13"/>
        <v>0</v>
      </c>
      <c r="AB6" s="830">
        <f t="shared" si="14"/>
        <v>0</v>
      </c>
      <c r="AC6" s="818" t="str">
        <f>IF($AA6=MAX(AA2:AA9),"TOP","")</f>
        <v/>
      </c>
      <c r="AD6" s="11" t="str">
        <f>IF($AB6=MAX(AB2:AB9),"TOP","")</f>
        <v/>
      </c>
      <c r="AE6" s="819"/>
      <c r="AF6" s="99" t="s">
        <v>16</v>
      </c>
      <c r="AG6" s="587" t="s">
        <v>39</v>
      </c>
      <c r="AH6" s="588">
        <f>MAX(V2:V9)</f>
        <v>98.170351148047175</v>
      </c>
      <c r="AI6" s="8"/>
      <c r="AJ6" s="348" t="str">
        <f t="shared" si="15"/>
        <v>QQQ</v>
      </c>
      <c r="AK6" s="349">
        <f t="shared" si="16"/>
        <v>614.30149612209152</v>
      </c>
      <c r="AL6" s="107">
        <f t="shared" si="17"/>
        <v>99.106281226867992</v>
      </c>
      <c r="AM6" s="8"/>
      <c r="AN6" s="1315"/>
      <c r="AO6" s="223">
        <f t="shared" si="0"/>
        <v>-1.0317892824704723E-2</v>
      </c>
      <c r="AP6" s="224" t="str">
        <f>IF(I26-B26&gt;0,"↑","↓")</f>
        <v>↓</v>
      </c>
      <c r="AQ6" s="225">
        <f t="shared" si="1"/>
        <v>3.739487531061203E-4</v>
      </c>
      <c r="AR6" s="226" t="str">
        <f t="shared" si="2"/>
        <v>↑</v>
      </c>
      <c r="AS6" s="223">
        <f t="shared" si="3"/>
        <v>-2.3508468872208551E-3</v>
      </c>
      <c r="AT6" s="224" t="str">
        <f t="shared" si="4"/>
        <v>↓</v>
      </c>
      <c r="AU6" s="223">
        <f t="shared" si="5"/>
        <v>8.5376930063579392E-3</v>
      </c>
      <c r="AV6" s="224" t="str">
        <f t="shared" si="6"/>
        <v>↑</v>
      </c>
    </row>
    <row r="7" spans="1:48" ht="14.4" x14ac:dyDescent="0.3">
      <c r="A7" s="745" t="s">
        <v>17</v>
      </c>
      <c r="B7" s="546">
        <v>278.5</v>
      </c>
      <c r="C7" s="547">
        <v>278</v>
      </c>
      <c r="D7" s="547">
        <v>278.55</v>
      </c>
      <c r="E7" s="547">
        <v>278.5</v>
      </c>
      <c r="F7" s="547"/>
      <c r="G7" s="547">
        <v>278</v>
      </c>
      <c r="H7" s="548">
        <v>277.5</v>
      </c>
      <c r="I7" s="549">
        <v>272</v>
      </c>
      <c r="K7" s="744" t="s">
        <v>41</v>
      </c>
      <c r="M7" s="821" t="str">
        <f>G1</f>
        <v>K</v>
      </c>
      <c r="N7" s="822">
        <f>100-ABS((($K12-G2)/($K12)))*100</f>
        <v>99.372889532079114</v>
      </c>
      <c r="O7" s="823">
        <f t="shared" si="7"/>
        <v>0.14319477269567638</v>
      </c>
      <c r="P7" s="824">
        <f>100-ABS((($K13-G3)/($K13)))*100</f>
        <v>98.111203398357674</v>
      </c>
      <c r="Q7" s="825">
        <f t="shared" si="8"/>
        <v>0.14248047895314753</v>
      </c>
      <c r="R7" s="825">
        <f>100-ABS((($K14-G4)/($K14)))*100</f>
        <v>97.95221336184494</v>
      </c>
      <c r="S7" s="825">
        <f t="shared" si="9"/>
        <v>0.14256074208872385</v>
      </c>
      <c r="T7" s="825">
        <f>100-ABS((($K15-G5)/($K15)))*100</f>
        <v>89.258698940998499</v>
      </c>
      <c r="U7" s="825">
        <f t="shared" si="10"/>
        <v>0.14210019267822735</v>
      </c>
      <c r="V7" s="826">
        <f>100-ABS((($K16-G6)/($K16)))*100</f>
        <v>97.349144302466911</v>
      </c>
      <c r="W7" s="827">
        <f t="shared" si="11"/>
        <v>0.14269652912697323</v>
      </c>
      <c r="X7" s="828">
        <f>100-ABS((($K17-G7)/($K17)))*100</f>
        <v>97.94794611064205</v>
      </c>
      <c r="Y7" s="815">
        <f t="shared" si="12"/>
        <v>0.14254195002858105</v>
      </c>
      <c r="Z7" s="808"/>
      <c r="AA7" s="829">
        <f t="shared" si="13"/>
        <v>95.667815000917017</v>
      </c>
      <c r="AB7" s="830">
        <f t="shared" si="14"/>
        <v>96.665349274398196</v>
      </c>
      <c r="AC7" s="818" t="str">
        <f>IF($AA7=MAX(AA2:AA9),"TOP","")</f>
        <v/>
      </c>
      <c r="AD7" s="51" t="str">
        <f>IF($AB7=MAX(AB2:AB9),"TOP","")</f>
        <v/>
      </c>
      <c r="AE7" s="819"/>
      <c r="AF7" s="114" t="s">
        <v>17</v>
      </c>
      <c r="AG7" s="589" t="s">
        <v>96</v>
      </c>
      <c r="AH7" s="590">
        <f>MAX(X2:X9)</f>
        <v>99.849491575199139</v>
      </c>
      <c r="AI7" s="8"/>
      <c r="AJ7" s="350" t="str">
        <f t="shared" si="15"/>
        <v>AAPL</v>
      </c>
      <c r="AK7" s="351">
        <f t="shared" si="16"/>
        <v>275.35292939429246</v>
      </c>
      <c r="AL7" s="118">
        <f t="shared" si="17"/>
        <v>98.919669103816886</v>
      </c>
      <c r="AM7" s="8"/>
      <c r="AN7" s="228"/>
      <c r="AO7" s="1316" t="str">
        <f>K11</f>
        <v xml:space="preserve">+3-day </v>
      </c>
      <c r="AP7" s="1316"/>
      <c r="AQ7" s="1317" t="str">
        <f>C11</f>
        <v>RD</v>
      </c>
      <c r="AR7" s="1317"/>
      <c r="AS7" s="1318">
        <f>E11</f>
        <v>85520</v>
      </c>
      <c r="AT7" s="1318"/>
      <c r="AU7" s="1318" t="str">
        <f>G11</f>
        <v>MICH</v>
      </c>
      <c r="AV7" s="1318"/>
    </row>
    <row r="8" spans="1:48" ht="15" x14ac:dyDescent="0.3">
      <c r="K8" s="307">
        <v>31</v>
      </c>
      <c r="M8" s="821" t="str">
        <f>H1</f>
        <v>Q</v>
      </c>
      <c r="N8" s="822">
        <f>100-ABS((($K12-H2)/($K12)))*100</f>
        <v>99.662325132657983</v>
      </c>
      <c r="O8" s="823">
        <f t="shared" si="7"/>
        <v>0.14361184484915893</v>
      </c>
      <c r="P8" s="824">
        <f>100-ABS((($K13-H3)/($K13)))*100</f>
        <v>98.085751348746541</v>
      </c>
      <c r="Q8" s="825">
        <f t="shared" si="8"/>
        <v>0.14244351660742835</v>
      </c>
      <c r="R8" s="825">
        <f>100-ABS((($K14-H4)/($K14)))*100</f>
        <v>97.981912950505645</v>
      </c>
      <c r="S8" s="825">
        <f t="shared" si="9"/>
        <v>0.14260396720078497</v>
      </c>
      <c r="T8" s="825">
        <f>100-ABS((($K15-H5)/($K15)))*100</f>
        <v>87.997982854261224</v>
      </c>
      <c r="U8" s="825">
        <f t="shared" si="10"/>
        <v>0.14009312780989081</v>
      </c>
      <c r="V8" s="826">
        <f>100-ABS((($K16-H6)/($K16)))*100</f>
        <v>97.184902933350855</v>
      </c>
      <c r="W8" s="827">
        <f t="shared" si="11"/>
        <v>0.14245578049502733</v>
      </c>
      <c r="X8" s="828">
        <f>100-ABS((($K17-H7)/($K17)))*100</f>
        <v>98.131492970155293</v>
      </c>
      <c r="Y8" s="815">
        <f t="shared" si="12"/>
        <v>0.14280906259515885</v>
      </c>
      <c r="Z8" s="808"/>
      <c r="AA8" s="829">
        <f t="shared" si="13"/>
        <v>95.312637521716056</v>
      </c>
      <c r="AB8" s="830">
        <f t="shared" si="14"/>
        <v>96.507394698279583</v>
      </c>
      <c r="AC8" s="818" t="str">
        <f>IF($AA8=MAX(AA2:AA9),"TOP","")</f>
        <v/>
      </c>
      <c r="AD8" s="51" t="str">
        <f>IF($AB8=MAX(AB2:AB9),"TOP","")</f>
        <v/>
      </c>
      <c r="AE8" s="819"/>
      <c r="AF8" s="4"/>
      <c r="AG8" s="4"/>
      <c r="AH8" s="5"/>
      <c r="AI8" s="8"/>
      <c r="AM8" s="8"/>
      <c r="AN8" s="1315" t="str">
        <f>B29</f>
        <v>Oraclum</v>
      </c>
      <c r="AO8" s="163">
        <f t="shared" ref="AO8:AO13" si="18">(I30-B30)/B30</f>
        <v>-7.6591670655816249E-3</v>
      </c>
      <c r="AP8" s="164" t="str">
        <f t="shared" ref="AP8:AP13" si="19">IF(I30-B30&gt;0,"↑","↓")</f>
        <v>↓</v>
      </c>
      <c r="AQ8" s="165">
        <f t="shared" ref="AQ8:AQ13" si="20">(C30-B30)/B30</f>
        <v>-1.5482381272493011E-2</v>
      </c>
      <c r="AR8" s="166" t="str">
        <f t="shared" ref="AR8:AR13" si="21">IF(C30-B30&gt;0,"↑","↓")</f>
        <v>↓</v>
      </c>
      <c r="AS8" s="163">
        <f t="shared" ref="AS8:AS13" si="22">(E30-B30)/B30</f>
        <v>-1.5482381272493011E-2</v>
      </c>
      <c r="AT8" s="164" t="str">
        <f t="shared" ref="AT8:AT13" si="23">IF(E30-B30&gt;0,"↑","↓")</f>
        <v>↓</v>
      </c>
      <c r="AU8" s="163">
        <f t="shared" ref="AU8:AU13" si="24">(G30-B30)/B30</f>
        <v>-1.6275730014360848E-2</v>
      </c>
      <c r="AV8" s="164" t="str">
        <f t="shared" ref="AV8:AV13" si="25">IF(G30-B30&gt;0,"↑","↓")</f>
        <v>↓</v>
      </c>
    </row>
    <row r="9" spans="1:48" ht="15" x14ac:dyDescent="0.3">
      <c r="M9" s="831" t="str">
        <f>I1</f>
        <v>L</v>
      </c>
      <c r="N9" s="832">
        <f>100-ABS((($K12-I2)/($K12)))*100</f>
        <v>98.890496864447655</v>
      </c>
      <c r="O9" s="833">
        <f t="shared" si="7"/>
        <v>0.14249965243987212</v>
      </c>
      <c r="P9" s="834">
        <f>100-ABS((($K13-I3)/($K13)))*100</f>
        <v>99.888604862868604</v>
      </c>
      <c r="Q9" s="835">
        <f t="shared" si="8"/>
        <v>0.14506168276253614</v>
      </c>
      <c r="R9" s="835">
        <f>100-ABS((($K14-I4)/($K14)))*100</f>
        <v>99.021398553630036</v>
      </c>
      <c r="S9" s="835">
        <f t="shared" si="9"/>
        <v>0.14411684612292355</v>
      </c>
      <c r="T9" s="836">
        <f>100-ABS((($K15-I5)/($K15)))*100</f>
        <v>97.075138678769548</v>
      </c>
      <c r="U9" s="835">
        <f t="shared" si="10"/>
        <v>0.15454399486191392</v>
      </c>
      <c r="V9" s="837">
        <f>100-ABS((($K16-I6)/($K16)))*100</f>
        <v>98.170351148047175</v>
      </c>
      <c r="W9" s="838">
        <f t="shared" si="11"/>
        <v>0.14390027228670274</v>
      </c>
      <c r="X9" s="839">
        <f>100-ABS((($K17-I7)/($K17)))*100</f>
        <v>99.849491575199139</v>
      </c>
      <c r="Y9" s="840">
        <f t="shared" si="12"/>
        <v>0.14530923621832711</v>
      </c>
      <c r="Z9" s="808"/>
      <c r="AA9" s="841">
        <f t="shared" si="13"/>
        <v>98.538873310828848</v>
      </c>
      <c r="AB9" s="842">
        <f t="shared" si="14"/>
        <v>98.815913613827036</v>
      </c>
      <c r="AC9" s="818" t="str">
        <f>IF($AA9=MAX(AA2:AA9),"TOP","")</f>
        <v>TOP</v>
      </c>
      <c r="AD9" s="51" t="str">
        <f>IF($AB9=MAX(AB2:AB9),"TOP","")</f>
        <v>TOP</v>
      </c>
      <c r="AE9" s="819"/>
      <c r="AF9" s="1319" t="s">
        <v>44</v>
      </c>
      <c r="AG9" s="1319"/>
      <c r="AH9" s="125">
        <f>AVERAGE(AH3:AH6)</f>
        <v>98.538873310828848</v>
      </c>
      <c r="AI9" s="8"/>
      <c r="AJ9" s="1310" t="s">
        <v>44</v>
      </c>
      <c r="AK9" s="1310"/>
      <c r="AL9" s="126">
        <f>AVERAGE(AL3:AL6)</f>
        <v>98.334818269215077</v>
      </c>
      <c r="AM9" s="8"/>
      <c r="AN9" s="1315"/>
      <c r="AO9" s="182">
        <f t="shared" si="18"/>
        <v>-1.2573139464796435E-2</v>
      </c>
      <c r="AP9" s="183" t="str">
        <f t="shared" si="19"/>
        <v>↓</v>
      </c>
      <c r="AQ9" s="184">
        <f t="shared" si="20"/>
        <v>4.5180281802356635E-3</v>
      </c>
      <c r="AR9" s="185" t="str">
        <f t="shared" si="21"/>
        <v>↑</v>
      </c>
      <c r="AS9" s="182">
        <f t="shared" si="22"/>
        <v>5.0416122936046085E-3</v>
      </c>
      <c r="AT9" s="183" t="str">
        <f t="shared" si="23"/>
        <v>↑</v>
      </c>
      <c r="AU9" s="182">
        <f t="shared" si="24"/>
        <v>5.9726286980222405E-3</v>
      </c>
      <c r="AV9" s="183" t="str">
        <f t="shared" si="25"/>
        <v>↑</v>
      </c>
    </row>
    <row r="10" spans="1:48" ht="15" x14ac:dyDescent="0.3">
      <c r="E10" s="843"/>
      <c r="N10" s="844"/>
      <c r="O10" s="798"/>
      <c r="P10" s="844"/>
      <c r="Q10" s="798"/>
      <c r="R10" s="844"/>
      <c r="S10" s="798"/>
      <c r="T10" s="844"/>
      <c r="U10" s="798"/>
      <c r="V10" s="844"/>
      <c r="W10" s="798"/>
      <c r="X10" s="844"/>
      <c r="AF10" s="1320" t="s">
        <v>51</v>
      </c>
      <c r="AG10" s="1320"/>
      <c r="AH10" s="141">
        <f>AVERAGE(AH2:AH7)</f>
        <v>98.944551658528766</v>
      </c>
      <c r="AI10" s="8"/>
      <c r="AJ10" s="1311" t="s">
        <v>51</v>
      </c>
      <c r="AK10" s="1311"/>
      <c r="AL10" s="142">
        <f>AVERAGE(AL2:AL7)</f>
        <v>98.578430430352157</v>
      </c>
      <c r="AM10" s="8"/>
      <c r="AN10" s="1315"/>
      <c r="AO10" s="182">
        <f t="shared" si="18"/>
        <v>-1.6417147447600911E-2</v>
      </c>
      <c r="AP10" s="183" t="str">
        <f t="shared" si="19"/>
        <v>↓</v>
      </c>
      <c r="AQ10" s="184">
        <f t="shared" si="20"/>
        <v>2.3260490843517076E-3</v>
      </c>
      <c r="AR10" s="185" t="str">
        <f t="shared" si="21"/>
        <v>↑</v>
      </c>
      <c r="AS10" s="182">
        <f t="shared" si="22"/>
        <v>2.6181691456969203E-3</v>
      </c>
      <c r="AT10" s="183" t="str">
        <f t="shared" si="23"/>
        <v>↑</v>
      </c>
      <c r="AU10" s="182">
        <f t="shared" si="24"/>
        <v>2.5560505367706126E-3</v>
      </c>
      <c r="AV10" s="183" t="str">
        <f t="shared" si="25"/>
        <v>↑</v>
      </c>
    </row>
    <row r="11" spans="1:48" ht="15" x14ac:dyDescent="0.3">
      <c r="A11" s="4"/>
      <c r="B11" s="746" t="s">
        <v>46</v>
      </c>
      <c r="C11" s="1325" t="str">
        <f>C20</f>
        <v>RD</v>
      </c>
      <c r="D11" s="1325"/>
      <c r="E11" s="1325">
        <v>85520</v>
      </c>
      <c r="F11" s="1325"/>
      <c r="G11" s="1325" t="s">
        <v>48</v>
      </c>
      <c r="H11" s="1325"/>
      <c r="I11" s="747" t="s">
        <v>36</v>
      </c>
      <c r="J11" s="747" t="s">
        <v>49</v>
      </c>
      <c r="K11" s="748" t="s">
        <v>50</v>
      </c>
      <c r="M11" s="845" t="s">
        <v>53</v>
      </c>
      <c r="N11" s="846" t="s">
        <v>12</v>
      </c>
      <c r="O11" s="801">
        <f>SUM(N12:N19)</f>
        <v>540</v>
      </c>
      <c r="P11" s="847" t="s">
        <v>13</v>
      </c>
      <c r="Q11" s="848">
        <f>SUM(P12:P19)</f>
        <v>485</v>
      </c>
      <c r="R11" s="849" t="s">
        <v>14</v>
      </c>
      <c r="S11" s="848">
        <f>SUM(R12:R19)</f>
        <v>440</v>
      </c>
      <c r="T11" s="849" t="s">
        <v>15</v>
      </c>
      <c r="U11" s="848">
        <f>SUM(T12:T19)</f>
        <v>115</v>
      </c>
      <c r="V11" s="849" t="s">
        <v>16</v>
      </c>
      <c r="W11" s="805">
        <f>SUM(V12:V19)</f>
        <v>425</v>
      </c>
      <c r="X11" s="850" t="s">
        <v>17</v>
      </c>
      <c r="Y11" s="807">
        <f>SUM(X12:X19)</f>
        <v>460</v>
      </c>
      <c r="Z11" s="808"/>
      <c r="AA11" s="809" t="s">
        <v>54</v>
      </c>
      <c r="AB11" s="851" t="s">
        <v>55</v>
      </c>
      <c r="AF11" s="150"/>
      <c r="AG11" s="8"/>
      <c r="AH11" s="8"/>
      <c r="AI11" s="8"/>
      <c r="AJ11" s="8"/>
      <c r="AK11" s="8"/>
      <c r="AL11" s="9"/>
      <c r="AM11" s="8"/>
      <c r="AN11" s="1315"/>
      <c r="AO11" s="182">
        <f t="shared" si="18"/>
        <v>0.18813660874775295</v>
      </c>
      <c r="AP11" s="183" t="str">
        <f t="shared" si="19"/>
        <v>↑</v>
      </c>
      <c r="AQ11" s="184">
        <f t="shared" si="20"/>
        <v>0.16282306650329395</v>
      </c>
      <c r="AR11" s="185" t="str">
        <f t="shared" si="21"/>
        <v>↑</v>
      </c>
      <c r="AS11" s="182">
        <f t="shared" si="22"/>
        <v>0.18259538525703858</v>
      </c>
      <c r="AT11" s="183" t="str">
        <f t="shared" si="23"/>
        <v>↑</v>
      </c>
      <c r="AU11" s="182">
        <f t="shared" si="24"/>
        <v>4.4337926902336629E-2</v>
      </c>
      <c r="AV11" s="183" t="str">
        <f t="shared" si="25"/>
        <v>↑</v>
      </c>
    </row>
    <row r="12" spans="1:48" ht="15" x14ac:dyDescent="0.3">
      <c r="A12" s="53" t="s">
        <v>12</v>
      </c>
      <c r="B12" s="550">
        <v>4.12</v>
      </c>
      <c r="C12" s="551">
        <f t="shared" ref="C12:C17" si="26">AK2</f>
        <v>4.1133146110435241</v>
      </c>
      <c r="D12" s="552" t="str">
        <f t="shared" ref="D12:D17" si="27">IF(ABS(K12-I12)&lt;ABS(C12-K12),$I$11,$C$11)</f>
        <v>LLM</v>
      </c>
      <c r="E12" s="551">
        <f t="shared" ref="E12:E17" si="28">AK14</f>
        <v>4.1133146110435241</v>
      </c>
      <c r="F12" s="594" t="str">
        <f t="shared" ref="F12:F17" si="29">IF(ABS(K12-I12)&lt;ABS(K12-E12),$I$11,$E$11)</f>
        <v>LLM</v>
      </c>
      <c r="G12" s="595">
        <v>4.1100000000000003</v>
      </c>
      <c r="H12" s="596" t="str">
        <f t="shared" ref="H12:H17" si="30">IF(ABS(I12-K12)&lt;ABS(K12-G12),$I$11,$G$11)</f>
        <v>LLM</v>
      </c>
      <c r="I12" s="553">
        <f>(B2*O22)+(C2*O23)+(D2*O24)+(E2*O25)+(F2*O26)+(G2*O27)+(H2*O28)+(I2*O29)</f>
        <v>4.1144664664664656</v>
      </c>
      <c r="J12" s="554">
        <v>4.0991083941605799</v>
      </c>
      <c r="K12" s="597">
        <v>4.1459999999999999</v>
      </c>
      <c r="M12" s="852" t="s">
        <v>129</v>
      </c>
      <c r="N12" s="853">
        <f>IF(N2=0,0, LOOKUP(N2-0.000000000001,$AA$12:$AA$28,$AB$12:$AB$28))</f>
        <v>80</v>
      </c>
      <c r="O12" s="854">
        <f t="shared" ref="O12:O19" si="31">N12/$O$11</f>
        <v>0.14814814814814814</v>
      </c>
      <c r="P12" s="855">
        <f>IF(P2=0,0, LOOKUP(P2-0.000000000001,$AA$12:$AA$28,$AB$12:$AB$28))</f>
        <v>65</v>
      </c>
      <c r="Q12" s="818">
        <f t="shared" ref="Q12:Q19" si="32">P12/$Q$11</f>
        <v>0.13402061855670103</v>
      </c>
      <c r="R12" s="844">
        <f>IF(R2=0,0, LOOKUP(R2-0.000000000001,$AA$12:$AA$28,$AB$12:$AB$28))</f>
        <v>60</v>
      </c>
      <c r="S12" s="818">
        <f t="shared" ref="S12:S19" si="33">R12/$S$11</f>
        <v>0.13636363636363635</v>
      </c>
      <c r="T12" s="844">
        <f>IF(T2=0,0, LOOKUP(T2-0.000000000001,$AA$12:$AA$28,$AB$12:$AB$28))</f>
        <v>10</v>
      </c>
      <c r="U12" s="818">
        <f t="shared" ref="U12:U19" si="34">T12/$U$11</f>
        <v>8.6956521739130432E-2</v>
      </c>
      <c r="V12" s="844">
        <f>IF(V2=0,0, LOOKUP(V2-0.000000000001,$AA$12:$AA$28,$AB$12:$AB$28))</f>
        <v>60</v>
      </c>
      <c r="W12" s="798">
        <f t="shared" ref="W12:W19" si="35">V12/$W$11</f>
        <v>0.14117647058823529</v>
      </c>
      <c r="X12" s="856">
        <f>IF(X2=0,0, LOOKUP(X2-0.000000000001,$AA$12:$AA$28,$AB$12:$AB$28))</f>
        <v>60</v>
      </c>
      <c r="Y12" s="857">
        <f t="shared" ref="Y12:Y19" si="36">X12/$Y$11</f>
        <v>0.13043478260869565</v>
      </c>
      <c r="Z12" s="808"/>
      <c r="AA12" s="816">
        <v>1</v>
      </c>
      <c r="AB12" s="858">
        <v>0.1</v>
      </c>
      <c r="AM12" s="8"/>
      <c r="AN12" s="1315"/>
      <c r="AO12" s="182">
        <f t="shared" si="18"/>
        <v>-2.5995424805234278E-2</v>
      </c>
      <c r="AP12" s="183" t="str">
        <f t="shared" si="19"/>
        <v>↓</v>
      </c>
      <c r="AQ12" s="184">
        <f t="shared" si="20"/>
        <v>-1.729056306555405E-2</v>
      </c>
      <c r="AR12" s="185" t="str">
        <f t="shared" si="21"/>
        <v>↓</v>
      </c>
      <c r="AS12" s="182">
        <f t="shared" si="22"/>
        <v>-2.2089718414212686E-2</v>
      </c>
      <c r="AT12" s="183" t="str">
        <f t="shared" si="23"/>
        <v>↓</v>
      </c>
      <c r="AU12" s="182">
        <f t="shared" si="24"/>
        <v>-3.3594087440616272E-4</v>
      </c>
      <c r="AV12" s="183" t="str">
        <f t="shared" si="25"/>
        <v>↓</v>
      </c>
    </row>
    <row r="13" spans="1:48" ht="15" x14ac:dyDescent="0.3">
      <c r="A13" s="60" t="s">
        <v>13</v>
      </c>
      <c r="B13" s="556">
        <v>47927.96</v>
      </c>
      <c r="C13" s="532">
        <f t="shared" si="26"/>
        <v>47963.54599630482</v>
      </c>
      <c r="D13" s="557" t="str">
        <f t="shared" si="27"/>
        <v>LLM</v>
      </c>
      <c r="E13" s="532">
        <f t="shared" si="28"/>
        <v>47988.54599630482</v>
      </c>
      <c r="F13" s="557" t="str">
        <f t="shared" si="29"/>
        <v>LLM</v>
      </c>
      <c r="G13" s="601">
        <v>48033</v>
      </c>
      <c r="H13" s="602" t="str">
        <f t="shared" si="30"/>
        <v>LLM</v>
      </c>
      <c r="I13" s="558">
        <f>(B3*Q22)+(C3*Q23)+(D3*Q24)+(E3*Q25)+(F3*Q26)+(G3*Q27)+(H3*Q28)+(I3*Q29)</f>
        <v>47914.068096110335</v>
      </c>
      <c r="J13" s="559">
        <v>47903.626100000001</v>
      </c>
      <c r="K13" s="603">
        <v>47147.48</v>
      </c>
      <c r="M13" s="859" t="s">
        <v>130</v>
      </c>
      <c r="N13" s="853">
        <f>IF(N3=0,0, LOOKUP(N3-0.000000000001,$AA$12:$AA$28,$AB$12:$AB$28))</f>
        <v>80</v>
      </c>
      <c r="O13" s="854">
        <f t="shared" si="31"/>
        <v>0.14814814814814814</v>
      </c>
      <c r="P13" s="855">
        <f>IF(P3=0,0, LOOKUP(P3-0.000000000001,$AA$12:$AA$28,$AB$12:$AB$28))</f>
        <v>65</v>
      </c>
      <c r="Q13" s="818">
        <f t="shared" si="32"/>
        <v>0.13402061855670103</v>
      </c>
      <c r="R13" s="844">
        <f>IF(R3=0,0, LOOKUP(R3-0.000000000001,$AA$12:$AA$28,$AB$12:$AB$28))</f>
        <v>65</v>
      </c>
      <c r="S13" s="818">
        <f t="shared" si="33"/>
        <v>0.14772727272727273</v>
      </c>
      <c r="T13" s="844">
        <f>IF(T3=0,0, LOOKUP(T3-0.000000000001,$AA$12:$AA$28,$AB$12:$AB$28))</f>
        <v>10</v>
      </c>
      <c r="U13" s="818">
        <f t="shared" si="34"/>
        <v>8.6956521739130432E-2</v>
      </c>
      <c r="V13" s="844">
        <f>IF(V3=0,0, LOOKUP(V3-0.000000000001,$AA$12:$AA$28,$AB$12:$AB$28))</f>
        <v>60</v>
      </c>
      <c r="W13" s="798">
        <f t="shared" si="35"/>
        <v>0.14117647058823529</v>
      </c>
      <c r="X13" s="856">
        <f>IF(X3=0,0, LOOKUP(X3-0.000000000001,$AA$12:$AA$28,$AB$12:$AB$28))</f>
        <v>60</v>
      </c>
      <c r="Y13" s="857">
        <f t="shared" si="36"/>
        <v>0.13043478260869565</v>
      </c>
      <c r="Z13" s="808"/>
      <c r="AA13" s="829">
        <v>80</v>
      </c>
      <c r="AB13" s="860">
        <v>1</v>
      </c>
      <c r="AF13" s="4"/>
      <c r="AG13" s="1314" t="s">
        <v>21</v>
      </c>
      <c r="AH13" s="1314"/>
      <c r="AJ13" s="4"/>
      <c r="AK13" s="1314" t="s">
        <v>69</v>
      </c>
      <c r="AL13" s="1314"/>
      <c r="AM13" s="8"/>
      <c r="AN13" s="1315"/>
      <c r="AO13" s="269">
        <f t="shared" si="18"/>
        <v>-1.7457168620378629E-2</v>
      </c>
      <c r="AP13" s="270" t="str">
        <f t="shared" si="19"/>
        <v>↓</v>
      </c>
      <c r="AQ13" s="271">
        <f t="shared" si="20"/>
        <v>-6.8424548447521749E-3</v>
      </c>
      <c r="AR13" s="272" t="str">
        <f t="shared" si="21"/>
        <v>↓</v>
      </c>
      <c r="AS13" s="269">
        <f t="shared" si="22"/>
        <v>-9.5475946103067283E-3</v>
      </c>
      <c r="AT13" s="270" t="str">
        <f t="shared" si="23"/>
        <v>↓</v>
      </c>
      <c r="AU13" s="269">
        <f t="shared" si="24"/>
        <v>1.2623985572588737E-3</v>
      </c>
      <c r="AV13" s="270" t="str">
        <f t="shared" si="25"/>
        <v>↑</v>
      </c>
    </row>
    <row r="14" spans="1:48" ht="14.4" x14ac:dyDescent="0.3">
      <c r="A14" s="82" t="s">
        <v>14</v>
      </c>
      <c r="B14" s="561">
        <v>6846.61</v>
      </c>
      <c r="C14" s="535">
        <f t="shared" si="26"/>
        <v>6862.425295056014</v>
      </c>
      <c r="D14" s="562" t="str">
        <f t="shared" si="27"/>
        <v>LLM</v>
      </c>
      <c r="E14" s="535">
        <f t="shared" si="28"/>
        <v>6864.425295056014</v>
      </c>
      <c r="F14" s="562" t="str">
        <f t="shared" si="29"/>
        <v>LLM</v>
      </c>
      <c r="G14" s="605">
        <v>6864</v>
      </c>
      <c r="H14" s="606" t="str">
        <f t="shared" si="30"/>
        <v>LLM</v>
      </c>
      <c r="I14" s="563">
        <f>(B4*S22)+(C4*S23)+(D4*S24)+(E4*S25)+(F4*S26)+(G4*S27)+(H4*S28)+(I4*S29)</f>
        <v>6858.3057324840756</v>
      </c>
      <c r="J14" s="564">
        <v>6846.3494752902197</v>
      </c>
      <c r="K14" s="607">
        <v>6734.1</v>
      </c>
      <c r="M14" s="859" t="s">
        <v>131</v>
      </c>
      <c r="N14" s="853">
        <f>IF(N4=0,0, LOOKUP(N4-0.000000000001,$AA$12:$AA$28,$AB$12:$AB$28))</f>
        <v>60</v>
      </c>
      <c r="O14" s="854">
        <f t="shared" si="31"/>
        <v>0.1111111111111111</v>
      </c>
      <c r="P14" s="855">
        <f>IF(P4=0,0, LOOKUP(P4-0.000000000001,$AA$12:$AA$28,$AB$12:$AB$28))</f>
        <v>65</v>
      </c>
      <c r="Q14" s="818">
        <f t="shared" si="32"/>
        <v>0.13402061855670103</v>
      </c>
      <c r="R14" s="844">
        <f>IF(R4=0,0, LOOKUP(R4-0.000000000001,$AA$12:$AA$28,$AB$12:$AB$28))</f>
        <v>60</v>
      </c>
      <c r="S14" s="818">
        <f t="shared" si="33"/>
        <v>0.13636363636363635</v>
      </c>
      <c r="T14" s="844">
        <f>IF(T4=0,0, LOOKUP(T4-0.000000000001,$AA$12:$AA$28,$AB$12:$AB$28))</f>
        <v>5</v>
      </c>
      <c r="U14" s="818">
        <f t="shared" si="34"/>
        <v>4.3478260869565216E-2</v>
      </c>
      <c r="V14" s="844">
        <f>IF(V4=0,0, LOOKUP(V4-0.000000000001,$AA$12:$AA$28,$AB$12:$AB$28))</f>
        <v>60</v>
      </c>
      <c r="W14" s="798">
        <f t="shared" si="35"/>
        <v>0.14117647058823529</v>
      </c>
      <c r="X14" s="856">
        <f>IF(X4=0,0, LOOKUP(X4-0.000000000001,$AA$12:$AA$28,$AB$12:$AB$28))</f>
        <v>60</v>
      </c>
      <c r="Y14" s="857">
        <f t="shared" si="36"/>
        <v>0.13043478260869565</v>
      </c>
      <c r="Z14" s="808"/>
      <c r="AA14" s="829">
        <v>82.5</v>
      </c>
      <c r="AB14" s="860">
        <v>2</v>
      </c>
      <c r="AF14" s="341" t="str">
        <f t="shared" ref="AF14:AF19" si="37">AF27</f>
        <v>TNX</v>
      </c>
      <c r="AG14" s="342">
        <f>AK2</f>
        <v>4.1133146110435241</v>
      </c>
      <c r="AH14" s="57">
        <f t="shared" ref="AH14:AH19" si="38">100-ABS(($K12-AG14)/($K12))*100</f>
        <v>99.211640401435702</v>
      </c>
      <c r="AJ14" s="341" t="str">
        <f t="shared" ref="AJ14:AJ19" si="39">AJ2</f>
        <v>TNX</v>
      </c>
      <c r="AK14" s="342">
        <f t="shared" ref="AK14:AK19" si="40">IF(AN27=1,AQ27,AQ37)</f>
        <v>4.1133146110435241</v>
      </c>
      <c r="AL14" s="57">
        <f t="shared" ref="AL14:AL19" si="41">100-ABS(($K12-AK14)/($K12))*100</f>
        <v>99.211640401435702</v>
      </c>
      <c r="AM14" s="8"/>
      <c r="AN14" s="8"/>
      <c r="AO14" s="8"/>
    </row>
    <row r="15" spans="1:48" ht="14.4" x14ac:dyDescent="0.3">
      <c r="A15" s="82" t="s">
        <v>15</v>
      </c>
      <c r="B15" s="561">
        <v>17.28</v>
      </c>
      <c r="C15" s="538">
        <f t="shared" si="26"/>
        <v>19.407516979939977</v>
      </c>
      <c r="D15" s="562" t="str">
        <f t="shared" si="27"/>
        <v>RD</v>
      </c>
      <c r="E15" s="538">
        <f t="shared" si="28"/>
        <v>19.737516979939976</v>
      </c>
      <c r="F15" s="562">
        <f t="shared" si="29"/>
        <v>85520</v>
      </c>
      <c r="G15" s="605">
        <v>17.43</v>
      </c>
      <c r="H15" s="606" t="str">
        <f t="shared" si="30"/>
        <v>LLM</v>
      </c>
      <c r="I15" s="566">
        <f>(B5*U22)+(C5*U23)+(D5*U24)+(E5*U25)+(F5*U26)+(G5*U27)+(H5*U28)+(I5*U29)</f>
        <v>17.847516979939979</v>
      </c>
      <c r="J15" s="567">
        <v>16.670331788745401</v>
      </c>
      <c r="K15" s="607">
        <v>19.829999999999998</v>
      </c>
      <c r="M15" s="859" t="s">
        <v>34</v>
      </c>
      <c r="N15" s="853">
        <f>IF(N5=0,0, LOOKUP(N5-0.000000000001,$AA$12:$AA$28,$AB$12:$AB$28))</f>
        <v>80</v>
      </c>
      <c r="O15" s="854">
        <f t="shared" si="31"/>
        <v>0.14814814814814814</v>
      </c>
      <c r="P15" s="855">
        <f>IF(P5=0,0, LOOKUP(P5-0.000000000001,$AA$12:$AA$28,$AB$12:$AB$28))</f>
        <v>65</v>
      </c>
      <c r="Q15" s="818">
        <f t="shared" si="32"/>
        <v>0.13402061855670103</v>
      </c>
      <c r="R15" s="844">
        <f>IF(R5=0,0, LOOKUP(R5-0.000000000001,$AA$12:$AA$28,$AB$12:$AB$28))</f>
        <v>60</v>
      </c>
      <c r="S15" s="818">
        <f t="shared" si="33"/>
        <v>0.13636363636363635</v>
      </c>
      <c r="T15" s="844">
        <f>IF(T5=0,0, LOOKUP(T5-0.000000000001,$AA$12:$AA$28,$AB$12:$AB$28))</f>
        <v>10</v>
      </c>
      <c r="U15" s="818">
        <f t="shared" si="34"/>
        <v>8.6956521739130432E-2</v>
      </c>
      <c r="V15" s="844">
        <f>IF(V5=0,0, LOOKUP(V5-0.000000000001,$AA$12:$AA$28,$AB$12:$AB$28))</f>
        <v>60</v>
      </c>
      <c r="W15" s="798">
        <f t="shared" si="35"/>
        <v>0.14117647058823529</v>
      </c>
      <c r="X15" s="856">
        <f>IF(X5=0,0, LOOKUP(X5-0.000000000001,$AA$12:$AA$28,$AB$12:$AB$28))</f>
        <v>60</v>
      </c>
      <c r="Y15" s="857">
        <f t="shared" si="36"/>
        <v>0.13043478260869565</v>
      </c>
      <c r="Z15" s="808"/>
      <c r="AA15" s="829">
        <v>85</v>
      </c>
      <c r="AB15" s="860">
        <v>5</v>
      </c>
      <c r="AF15" s="343" t="str">
        <f t="shared" si="37"/>
        <v>DJI</v>
      </c>
      <c r="AG15" s="344">
        <f>AK3-9</f>
        <v>47954.54599630482</v>
      </c>
      <c r="AH15" s="78">
        <f t="shared" si="38"/>
        <v>98.288209685215804</v>
      </c>
      <c r="AJ15" s="343" t="str">
        <f t="shared" si="39"/>
        <v>DJI</v>
      </c>
      <c r="AK15" s="344">
        <f t="shared" si="40"/>
        <v>47988.54599630482</v>
      </c>
      <c r="AL15" s="78">
        <f t="shared" si="41"/>
        <v>98.216095544650926</v>
      </c>
      <c r="AM15" s="8"/>
      <c r="AN15" s="8"/>
      <c r="AO15" s="8"/>
    </row>
    <row r="16" spans="1:48" ht="14.4" x14ac:dyDescent="0.3">
      <c r="A16" s="99" t="s">
        <v>16</v>
      </c>
      <c r="B16" s="568">
        <v>621.57000000000005</v>
      </c>
      <c r="C16" s="542">
        <f t="shared" si="26"/>
        <v>614.30149612209152</v>
      </c>
      <c r="D16" s="569" t="str">
        <f t="shared" si="27"/>
        <v>RD</v>
      </c>
      <c r="E16" s="542">
        <f t="shared" si="28"/>
        <v>611.30149612209152</v>
      </c>
      <c r="F16" s="726">
        <f t="shared" si="29"/>
        <v>85520</v>
      </c>
      <c r="G16" s="610">
        <v>624.9</v>
      </c>
      <c r="H16" s="611" t="str">
        <f t="shared" si="30"/>
        <v>LLM</v>
      </c>
      <c r="I16" s="570">
        <f>(B6*W22)+(C6*W23)+(D6*W24)+(E6*W25)+(F6*W26)+(G6*W27)+(H6*W28)+(I6*W29)</f>
        <v>624.30149612209152</v>
      </c>
      <c r="J16" s="571">
        <v>623.16635243697499</v>
      </c>
      <c r="K16" s="612">
        <v>608.86</v>
      </c>
      <c r="M16" s="859">
        <v>4</v>
      </c>
      <c r="N16" s="853">
        <v>0</v>
      </c>
      <c r="O16" s="854">
        <f t="shared" si="31"/>
        <v>0</v>
      </c>
      <c r="P16" s="855">
        <v>0</v>
      </c>
      <c r="Q16" s="818">
        <f t="shared" si="32"/>
        <v>0</v>
      </c>
      <c r="R16" s="844">
        <v>0</v>
      </c>
      <c r="S16" s="818">
        <f t="shared" si="33"/>
        <v>0</v>
      </c>
      <c r="T16" s="844">
        <v>0</v>
      </c>
      <c r="U16" s="818">
        <f t="shared" si="34"/>
        <v>0</v>
      </c>
      <c r="V16" s="844">
        <v>0</v>
      </c>
      <c r="W16" s="798">
        <f t="shared" si="35"/>
        <v>0</v>
      </c>
      <c r="X16" s="856">
        <v>0</v>
      </c>
      <c r="Y16" s="857">
        <f t="shared" si="36"/>
        <v>0</v>
      </c>
      <c r="Z16" s="808"/>
      <c r="AA16" s="829">
        <v>87.5</v>
      </c>
      <c r="AB16" s="860">
        <v>10</v>
      </c>
      <c r="AF16" s="345" t="str">
        <f t="shared" si="37"/>
        <v>SPX</v>
      </c>
      <c r="AG16" s="346">
        <f>AK4</f>
        <v>6862.425295056014</v>
      </c>
      <c r="AH16" s="89">
        <f t="shared" si="38"/>
        <v>98.094395761036907</v>
      </c>
      <c r="AJ16" s="345" t="str">
        <f t="shared" si="39"/>
        <v>SPX</v>
      </c>
      <c r="AK16" s="346">
        <f t="shared" si="40"/>
        <v>6864.425295056014</v>
      </c>
      <c r="AL16" s="89">
        <f t="shared" si="41"/>
        <v>98.064696172376216</v>
      </c>
      <c r="AM16" s="8"/>
      <c r="AN16" s="613" t="str">
        <f>A2</f>
        <v>TNX</v>
      </c>
      <c r="AO16" s="614" t="str">
        <f>A3</f>
        <v>DJI</v>
      </c>
      <c r="AP16" s="614" t="str">
        <f>A4</f>
        <v>SPX</v>
      </c>
      <c r="AQ16" s="614" t="str">
        <f>A5</f>
        <v>VIX</v>
      </c>
      <c r="AR16" s="614" t="str">
        <f>A6</f>
        <v>QQQ</v>
      </c>
      <c r="AS16" s="614" t="str">
        <f>A7</f>
        <v>AAPL</v>
      </c>
      <c r="AT16" s="615" t="s">
        <v>113</v>
      </c>
    </row>
    <row r="17" spans="1:46" ht="14.4" x14ac:dyDescent="0.3">
      <c r="A17" s="114" t="s">
        <v>17</v>
      </c>
      <c r="B17" s="573">
        <v>275.25</v>
      </c>
      <c r="C17" s="574">
        <f t="shared" si="26"/>
        <v>275.35292939429246</v>
      </c>
      <c r="D17" s="575" t="str">
        <f t="shared" si="27"/>
        <v>RD</v>
      </c>
      <c r="E17" s="574">
        <f t="shared" si="28"/>
        <v>274.60292939429246</v>
      </c>
      <c r="F17" s="616">
        <f t="shared" si="29"/>
        <v>85520</v>
      </c>
      <c r="G17" s="617">
        <v>277.60000000000002</v>
      </c>
      <c r="H17" s="618" t="str">
        <f t="shared" si="30"/>
        <v>LLM</v>
      </c>
      <c r="I17" s="576">
        <f>(B7*Y22)+(C7*Y23)+(D7*Y24)+(E7*Y25)+(F7*Y26)+(G7*Y27)+(H7*Y28)+(I7*Y29)</f>
        <v>277.35993968333753</v>
      </c>
      <c r="J17" s="577">
        <v>275.10656062091499</v>
      </c>
      <c r="K17" s="619">
        <v>272.41000000000003</v>
      </c>
      <c r="M17" s="859" t="s">
        <v>95</v>
      </c>
      <c r="N17" s="853">
        <f>IF(N7=0,0, LOOKUP(N7-0.000000000001,$AA$12:$AA$28,$AB$12:$AB$28))</f>
        <v>80</v>
      </c>
      <c r="O17" s="854">
        <f t="shared" si="31"/>
        <v>0.14814814814814814</v>
      </c>
      <c r="P17" s="855">
        <f>IF(P7=0,0, LOOKUP(P7-0.000000000001,$AA$12:$AA$28,$AB$12:$AB$28))</f>
        <v>65</v>
      </c>
      <c r="Q17" s="818">
        <f t="shared" si="32"/>
        <v>0.13402061855670103</v>
      </c>
      <c r="R17" s="844">
        <f>IF(R7=0,0, LOOKUP(R7-0.000000000001,$AA$12:$AA$28,$AB$12:$AB$28))</f>
        <v>60</v>
      </c>
      <c r="S17" s="818">
        <f t="shared" si="33"/>
        <v>0.13636363636363635</v>
      </c>
      <c r="T17" s="844">
        <f>IF(T7=0,0, LOOKUP(T7-0.000000000001,$AA$12:$AA$28,$AB$12:$AB$28))</f>
        <v>10</v>
      </c>
      <c r="U17" s="818">
        <f t="shared" si="34"/>
        <v>8.6956521739130432E-2</v>
      </c>
      <c r="V17" s="844">
        <f>IF(V7=0,0, LOOKUP(V7-0.000000000001,$AA$12:$AA$28,$AB$12:$AB$28))</f>
        <v>60</v>
      </c>
      <c r="W17" s="798">
        <f t="shared" si="35"/>
        <v>0.14117647058823529</v>
      </c>
      <c r="X17" s="856">
        <f>IF(X7=0,0, LOOKUP(X7-0.000000000001,$AA$12:$AA$28,$AB$12:$AB$28))</f>
        <v>60</v>
      </c>
      <c r="Y17" s="857">
        <f t="shared" si="36"/>
        <v>0.13043478260869565</v>
      </c>
      <c r="Z17" s="808"/>
      <c r="AA17" s="829">
        <v>90</v>
      </c>
      <c r="AB17" s="860">
        <v>20</v>
      </c>
      <c r="AF17" s="345" t="str">
        <f t="shared" si="37"/>
        <v>VIX</v>
      </c>
      <c r="AG17" s="347">
        <f>AK5+0.4</f>
        <v>19.807516979939976</v>
      </c>
      <c r="AH17" s="89">
        <f t="shared" si="38"/>
        <v>99.88662117972757</v>
      </c>
      <c r="AJ17" s="345" t="str">
        <f t="shared" si="39"/>
        <v>VIX</v>
      </c>
      <c r="AK17" s="347">
        <f t="shared" si="40"/>
        <v>19.737516979939976</v>
      </c>
      <c r="AL17" s="89">
        <f t="shared" si="41"/>
        <v>99.533620675441142</v>
      </c>
      <c r="AM17" s="8"/>
      <c r="AN17" s="620">
        <f>J12</f>
        <v>4.0991083941605799</v>
      </c>
      <c r="AO17" s="621">
        <f>J13</f>
        <v>47903.626100000001</v>
      </c>
      <c r="AP17" s="621">
        <f>J14</f>
        <v>6846.3494752902197</v>
      </c>
      <c r="AQ17" s="622">
        <f>J15</f>
        <v>16.670331788745401</v>
      </c>
      <c r="AR17" s="623">
        <f>J16</f>
        <v>623.16635243697499</v>
      </c>
      <c r="AS17" s="623">
        <f>J17</f>
        <v>275.10656062091499</v>
      </c>
      <c r="AT17" s="624" t="str">
        <f>J11</f>
        <v>ML</v>
      </c>
    </row>
    <row r="18" spans="1:46" ht="14.4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M18" s="859" t="s">
        <v>42</v>
      </c>
      <c r="N18" s="853">
        <f>IF(N8=0,0, LOOKUP(N8-0.000000000001,$AA$12:$AA$28,$AB$12:$AB$28))</f>
        <v>90</v>
      </c>
      <c r="O18" s="854">
        <f t="shared" si="31"/>
        <v>0.16666666666666666</v>
      </c>
      <c r="P18" s="855">
        <f>IF(P8=0,0, LOOKUP(P8-0.000000000001,$AA$12:$AA$28,$AB$12:$AB$28))</f>
        <v>65</v>
      </c>
      <c r="Q18" s="818">
        <f t="shared" si="32"/>
        <v>0.13402061855670103</v>
      </c>
      <c r="R18" s="844">
        <f>IF(R8=0,0, LOOKUP(R8-0.000000000001,$AA$12:$AA$28,$AB$12:$AB$28))</f>
        <v>60</v>
      </c>
      <c r="S18" s="818">
        <f t="shared" si="33"/>
        <v>0.13636363636363635</v>
      </c>
      <c r="T18" s="844">
        <f>IF(T8=0,0, LOOKUP(T8-0.000000000001,$AA$12:$AA$28,$AB$12:$AB$28))</f>
        <v>10</v>
      </c>
      <c r="U18" s="818">
        <f t="shared" si="34"/>
        <v>8.6956521739130432E-2</v>
      </c>
      <c r="V18" s="844">
        <f>IF(V8=0,0, LOOKUP(V8-0.000000000001,$AA$12:$AA$28,$AB$12:$AB$28))</f>
        <v>60</v>
      </c>
      <c r="W18" s="798">
        <f t="shared" si="35"/>
        <v>0.14117647058823529</v>
      </c>
      <c r="X18" s="856">
        <f>IF(X8=0,0, LOOKUP(X8-0.000000000001,$AA$12:$AA$28,$AB$12:$AB$28))</f>
        <v>65</v>
      </c>
      <c r="Y18" s="857">
        <f t="shared" si="36"/>
        <v>0.14130434782608695</v>
      </c>
      <c r="Z18" s="808"/>
      <c r="AA18" s="829">
        <v>92.5</v>
      </c>
      <c r="AB18" s="860">
        <v>30</v>
      </c>
      <c r="AF18" s="348" t="str">
        <f t="shared" si="37"/>
        <v>QQQ</v>
      </c>
      <c r="AG18" s="349">
        <f>(I16+J16)/2+AQ30/5*2</f>
        <v>631.62893107150933</v>
      </c>
      <c r="AH18" s="107">
        <f t="shared" si="38"/>
        <v>96.260399587506271</v>
      </c>
      <c r="AJ18" s="348" t="str">
        <f t="shared" si="39"/>
        <v>QQQ</v>
      </c>
      <c r="AK18" s="349">
        <f t="shared" si="40"/>
        <v>611.30149612209152</v>
      </c>
      <c r="AL18" s="107">
        <f t="shared" si="41"/>
        <v>99.599005334216159</v>
      </c>
      <c r="AM18" s="8"/>
      <c r="AN18" s="625">
        <v>1.5762676609459601E-2</v>
      </c>
      <c r="AO18" s="626">
        <v>261.53141368494801</v>
      </c>
      <c r="AP18" s="626">
        <v>19.625261182951402</v>
      </c>
      <c r="AQ18" s="627">
        <v>0.70066596170273798</v>
      </c>
      <c r="AR18" s="627">
        <v>-1.5210822886962201</v>
      </c>
      <c r="AS18" s="627">
        <v>7.5887507371021498E-2</v>
      </c>
      <c r="AT18" s="628" t="s">
        <v>114</v>
      </c>
    </row>
    <row r="19" spans="1:46" ht="14.4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M19" s="861" t="s">
        <v>96</v>
      </c>
      <c r="N19" s="862">
        <f>IF(N9=0,0, LOOKUP(N9-0.000000000001,$AA$12:$AA$28,$AB$12:$AB$28))</f>
        <v>70</v>
      </c>
      <c r="O19" s="863">
        <f t="shared" si="31"/>
        <v>0.12962962962962962</v>
      </c>
      <c r="P19" s="864">
        <f>IF(P9=0,0, LOOKUP(P9-0.000000000001,$AA$12:$AA$28,$AB$12:$AB$28))</f>
        <v>95</v>
      </c>
      <c r="Q19" s="865">
        <f t="shared" si="32"/>
        <v>0.19587628865979381</v>
      </c>
      <c r="R19" s="866">
        <f>IF(R9=0,0, LOOKUP(R9-0.000000000001,$AA$12:$AA$28,$AB$12:$AB$28))</f>
        <v>75</v>
      </c>
      <c r="S19" s="865">
        <f t="shared" si="33"/>
        <v>0.17045454545454544</v>
      </c>
      <c r="T19" s="866">
        <f>IF(T9=0,0, LOOKUP(T9-0.000000000001,$AA$12:$AA$28,$AB$12:$AB$28))</f>
        <v>60</v>
      </c>
      <c r="U19" s="865">
        <f t="shared" si="34"/>
        <v>0.52173913043478259</v>
      </c>
      <c r="V19" s="866">
        <f>IF(V9=0,0, LOOKUP(V9-0.000000000001,$AA$12:$AA$28,$AB$12:$AB$28))</f>
        <v>65</v>
      </c>
      <c r="W19" s="867">
        <f t="shared" si="35"/>
        <v>0.15294117647058825</v>
      </c>
      <c r="X19" s="868">
        <f>IF(X9=0,0, LOOKUP(X9-0.000000000001,$AA$12:$AA$28,$AB$12:$AB$28))</f>
        <v>95</v>
      </c>
      <c r="Y19" s="869">
        <f t="shared" si="36"/>
        <v>0.20652173913043478</v>
      </c>
      <c r="Z19" s="808"/>
      <c r="AA19" s="829">
        <v>95</v>
      </c>
      <c r="AB19" s="860">
        <v>40</v>
      </c>
      <c r="AF19" s="350" t="str">
        <f t="shared" si="37"/>
        <v>AAPL</v>
      </c>
      <c r="AG19" s="351">
        <f>(I17+J17)/2*0.98</f>
        <v>270.70858514908377</v>
      </c>
      <c r="AH19" s="118">
        <f t="shared" si="38"/>
        <v>99.375421294770291</v>
      </c>
      <c r="AJ19" s="350" t="str">
        <f t="shared" si="39"/>
        <v>AAPL</v>
      </c>
      <c r="AK19" s="351">
        <f t="shared" si="40"/>
        <v>274.60292939429246</v>
      </c>
      <c r="AL19" s="118">
        <f t="shared" si="41"/>
        <v>99.194989393086729</v>
      </c>
      <c r="AM19" s="8"/>
      <c r="AN19" s="625">
        <v>-0.19032300632235599</v>
      </c>
      <c r="AO19" s="626">
        <v>0.75325559260472097</v>
      </c>
      <c r="AP19" s="626">
        <v>1.2020222192249099</v>
      </c>
      <c r="AQ19" s="627">
        <v>0.58515758208608903</v>
      </c>
      <c r="AR19" s="627">
        <v>-0.36158464541153601</v>
      </c>
      <c r="AS19" s="627">
        <v>9.2241796344370002</v>
      </c>
      <c r="AT19" s="631" t="s">
        <v>115</v>
      </c>
    </row>
    <row r="20" spans="1:46" ht="14.4" x14ac:dyDescent="0.3">
      <c r="A20" s="2" t="s">
        <v>0</v>
      </c>
      <c r="B20" s="749" t="str">
        <f t="shared" ref="B20:B26" si="42">B11</f>
        <v>Close YF</v>
      </c>
      <c r="C20" s="1327" t="s">
        <v>47</v>
      </c>
      <c r="D20" s="1327"/>
      <c r="E20" s="1325">
        <v>85520</v>
      </c>
      <c r="F20" s="1325"/>
      <c r="G20" s="1325" t="str">
        <f t="shared" ref="G20:G26" si="43">G11</f>
        <v>MICH</v>
      </c>
      <c r="H20" s="1325"/>
      <c r="I20" s="1326" t="s">
        <v>50</v>
      </c>
      <c r="J20" s="1326"/>
      <c r="K20" s="5"/>
      <c r="AA20" s="829">
        <v>96</v>
      </c>
      <c r="AB20" s="860">
        <v>50</v>
      </c>
      <c r="AL20" s="9"/>
      <c r="AM20" s="8"/>
      <c r="AN20" s="632">
        <f t="shared" ref="AN20:AS20" si="44">AN18/AN17</f>
        <v>3.8453915080446412E-3</v>
      </c>
      <c r="AO20" s="633">
        <f t="shared" si="44"/>
        <v>5.4595327113441212E-3</v>
      </c>
      <c r="AP20" s="633">
        <f t="shared" si="44"/>
        <v>2.866529272831121E-3</v>
      </c>
      <c r="AQ20" s="633">
        <f t="shared" si="44"/>
        <v>4.203071484010755E-2</v>
      </c>
      <c r="AR20" s="633">
        <f t="shared" si="44"/>
        <v>-2.4408928414504814E-3</v>
      </c>
      <c r="AS20" s="633">
        <f t="shared" si="44"/>
        <v>2.7584768316591047E-4</v>
      </c>
      <c r="AT20" s="634" t="s">
        <v>116</v>
      </c>
    </row>
    <row r="21" spans="1:46" ht="14.4" x14ac:dyDescent="0.3">
      <c r="A21" s="35" t="s">
        <v>12</v>
      </c>
      <c r="B21" s="635">
        <f t="shared" si="42"/>
        <v>4.12</v>
      </c>
      <c r="C21" s="636">
        <f t="shared" ref="C21:C26" si="45">C12</f>
        <v>4.1133146110435241</v>
      </c>
      <c r="D21" s="552" t="str">
        <f t="shared" ref="D21:D26" si="46">CONCATENATE(TEXT(AQ1,"0.00%"),"  ",AR1)</f>
        <v>-0.16%  ↓</v>
      </c>
      <c r="E21" s="636">
        <f t="shared" ref="E21:E26" si="47">E12</f>
        <v>4.1133146110435241</v>
      </c>
      <c r="F21" s="552" t="str">
        <f t="shared" ref="F21:F26" si="48">CONCATENATE(TEXT(AS1,"0.00%"),"  ",AT1)</f>
        <v>-0.16%  ↓</v>
      </c>
      <c r="G21" s="637">
        <f t="shared" si="43"/>
        <v>4.1100000000000003</v>
      </c>
      <c r="H21" s="552" t="str">
        <f t="shared" ref="H21:H26" si="49">CONCATENATE(TEXT(AU1,"0.00%"),"  ",AV1)</f>
        <v>-0.24%  ↓</v>
      </c>
      <c r="I21" s="638">
        <f t="shared" ref="I21:I26" si="50">K12</f>
        <v>4.1459999999999999</v>
      </c>
      <c r="J21" s="639" t="str">
        <f t="shared" ref="J21:J26" si="51">CONCATENATE(TEXT(AO1,"0.00%"),"  ",AP1)</f>
        <v>0.63%  ↑</v>
      </c>
      <c r="K21" s="5"/>
      <c r="M21" s="845" t="s">
        <v>60</v>
      </c>
      <c r="N21" s="870" t="s">
        <v>12</v>
      </c>
      <c r="O21" s="871">
        <f>SUM(N22:N29)</f>
        <v>624.375</v>
      </c>
      <c r="P21" s="872" t="s">
        <v>13</v>
      </c>
      <c r="Q21" s="873">
        <f>SUM(P22:P29)</f>
        <v>580.0625</v>
      </c>
      <c r="R21" s="874" t="s">
        <v>14</v>
      </c>
      <c r="S21" s="873">
        <f>SUM(R22:R29)</f>
        <v>549.5</v>
      </c>
      <c r="T21" s="874" t="s">
        <v>15</v>
      </c>
      <c r="U21" s="873">
        <f>SUM(T22:T29)</f>
        <v>395.6875</v>
      </c>
      <c r="V21" s="874" t="s">
        <v>16</v>
      </c>
      <c r="W21" s="875">
        <f>SUM(V22:V29)</f>
        <v>499.625</v>
      </c>
      <c r="X21" s="876" t="s">
        <v>17</v>
      </c>
      <c r="Y21" s="807">
        <f>SUM(X22:X29)</f>
        <v>497.375</v>
      </c>
      <c r="Z21" s="808"/>
      <c r="AA21" s="829">
        <v>97</v>
      </c>
      <c r="AB21" s="860">
        <v>60</v>
      </c>
      <c r="AF21" s="1310" t="s">
        <v>44</v>
      </c>
      <c r="AG21" s="1310"/>
      <c r="AH21" s="126">
        <f>AVERAGE(AH15:AH18)</f>
        <v>98.132406553371652</v>
      </c>
      <c r="AJ21" s="1310" t="s">
        <v>44</v>
      </c>
      <c r="AK21" s="1310"/>
      <c r="AL21" s="126">
        <f>AVERAGE(AL15:AL18)</f>
        <v>98.853354431671107</v>
      </c>
      <c r="AM21" s="8"/>
      <c r="AN21" s="620">
        <f>K12</f>
        <v>4.1459999999999999</v>
      </c>
      <c r="AO21" s="621">
        <f>K13</f>
        <v>47147.48</v>
      </c>
      <c r="AP21" s="621">
        <f>K14</f>
        <v>6734.1</v>
      </c>
      <c r="AQ21" s="622">
        <f>K15</f>
        <v>19.829999999999998</v>
      </c>
      <c r="AR21" s="623">
        <f>K16</f>
        <v>608.86</v>
      </c>
      <c r="AS21" s="623">
        <f>K17</f>
        <v>272.41000000000003</v>
      </c>
      <c r="AT21" s="640" t="str">
        <f>K11</f>
        <v xml:space="preserve">+3-day </v>
      </c>
    </row>
    <row r="22" spans="1:46" ht="14.4" x14ac:dyDescent="0.3">
      <c r="A22" s="60" t="s">
        <v>13</v>
      </c>
      <c r="B22" s="641">
        <f t="shared" si="42"/>
        <v>47927.96</v>
      </c>
      <c r="C22" s="642">
        <f t="shared" si="45"/>
        <v>47963.54599630482</v>
      </c>
      <c r="D22" s="557" t="str">
        <f t="shared" si="46"/>
        <v>0.07%  ↑</v>
      </c>
      <c r="E22" s="642">
        <f t="shared" si="47"/>
        <v>47988.54599630482</v>
      </c>
      <c r="F22" s="557" t="str">
        <f t="shared" si="48"/>
        <v>0.13%  ↑</v>
      </c>
      <c r="G22" s="643">
        <f t="shared" si="43"/>
        <v>48033</v>
      </c>
      <c r="H22" s="557" t="str">
        <f t="shared" si="49"/>
        <v>0.22%  ↑</v>
      </c>
      <c r="I22" s="644">
        <f t="shared" si="50"/>
        <v>47147.48</v>
      </c>
      <c r="J22" s="645" t="str">
        <f t="shared" si="51"/>
        <v>-1.63%  ↓</v>
      </c>
      <c r="K22" s="5"/>
      <c r="M22" s="852" t="s">
        <v>129</v>
      </c>
      <c r="N22" s="783">
        <v>89.75</v>
      </c>
      <c r="O22" s="877">
        <f t="shared" ref="O22:O29" si="52">N22/$O$21</f>
        <v>0.14374374374374374</v>
      </c>
      <c r="P22" s="878">
        <v>77.75</v>
      </c>
      <c r="Q22" s="879">
        <f t="shared" ref="Q22:Q29" si="53">P22/$Q$21</f>
        <v>0.13403728046546709</v>
      </c>
      <c r="R22" s="880">
        <v>76.75</v>
      </c>
      <c r="S22" s="879">
        <f t="shared" ref="S22:S29" si="54">R22/$S$21</f>
        <v>0.13967242948134667</v>
      </c>
      <c r="T22" s="880">
        <v>66.25</v>
      </c>
      <c r="U22" s="879">
        <f t="shared" ref="U22:U29" si="55">T22/$U$21</f>
        <v>0.16743010582846313</v>
      </c>
      <c r="V22" s="880">
        <v>69.25</v>
      </c>
      <c r="W22" s="881">
        <f t="shared" ref="W22:W29" si="56">V22/$W$21</f>
        <v>0.13860395296472355</v>
      </c>
      <c r="X22" s="789">
        <v>71.75</v>
      </c>
      <c r="Y22" s="815">
        <f t="shared" ref="Y22:Y29" si="57">X22/$Y$21</f>
        <v>0.14425735109323951</v>
      </c>
      <c r="Z22" s="808"/>
      <c r="AA22" s="829">
        <v>98</v>
      </c>
      <c r="AB22" s="860">
        <v>65</v>
      </c>
      <c r="AF22" s="1311" t="s">
        <v>51</v>
      </c>
      <c r="AG22" s="1311"/>
      <c r="AH22" s="142">
        <f>AVERAGE(AH14:AH19)</f>
        <v>98.519447984948741</v>
      </c>
      <c r="AJ22" s="1311" t="s">
        <v>51</v>
      </c>
      <c r="AK22" s="1311"/>
      <c r="AL22" s="142">
        <f>AVERAGE(AL14:AL19)</f>
        <v>98.970007920201155</v>
      </c>
      <c r="AM22" s="8"/>
      <c r="AN22" s="646">
        <f t="shared" ref="AN22:AS22" si="58">AN21/AN17</f>
        <v>1.0114394647153562</v>
      </c>
      <c r="AO22" s="647">
        <f t="shared" si="58"/>
        <v>0.98421526382112445</v>
      </c>
      <c r="AP22" s="647">
        <f t="shared" si="58"/>
        <v>0.98360447773001525</v>
      </c>
      <c r="AQ22" s="647">
        <f t="shared" si="58"/>
        <v>1.1895384117902066</v>
      </c>
      <c r="AR22" s="647">
        <f t="shared" si="58"/>
        <v>0.97704248250723413</v>
      </c>
      <c r="AS22" s="647">
        <f t="shared" si="58"/>
        <v>0.99019812317514777</v>
      </c>
      <c r="AT22" s="648" t="s">
        <v>117</v>
      </c>
    </row>
    <row r="23" spans="1:46" ht="14.4" x14ac:dyDescent="0.3">
      <c r="A23" s="82" t="s">
        <v>14</v>
      </c>
      <c r="B23" s="649">
        <f t="shared" si="42"/>
        <v>6846.61</v>
      </c>
      <c r="C23" s="650">
        <f t="shared" si="45"/>
        <v>6862.425295056014</v>
      </c>
      <c r="D23" s="562" t="str">
        <f t="shared" si="46"/>
        <v>0.23%  ↑</v>
      </c>
      <c r="E23" s="650">
        <f t="shared" si="47"/>
        <v>6864.425295056014</v>
      </c>
      <c r="F23" s="562" t="str">
        <f t="shared" si="48"/>
        <v>0.26%  ↑</v>
      </c>
      <c r="G23" s="651">
        <f t="shared" si="43"/>
        <v>6864</v>
      </c>
      <c r="H23" s="562" t="str">
        <f t="shared" si="49"/>
        <v>0.25%  ↑</v>
      </c>
      <c r="I23" s="652">
        <f t="shared" si="50"/>
        <v>6734.1</v>
      </c>
      <c r="J23" s="645" t="str">
        <f t="shared" si="51"/>
        <v>-1.64%  ↓</v>
      </c>
      <c r="K23" s="5"/>
      <c r="M23" s="859" t="s">
        <v>130</v>
      </c>
      <c r="N23" s="783">
        <v>84</v>
      </c>
      <c r="O23" s="877">
        <f t="shared" si="52"/>
        <v>0.13453453453453454</v>
      </c>
      <c r="P23" s="878">
        <v>82.5</v>
      </c>
      <c r="Q23" s="879">
        <f t="shared" si="53"/>
        <v>0.14222605322702295</v>
      </c>
      <c r="R23" s="880">
        <v>80</v>
      </c>
      <c r="S23" s="879">
        <f t="shared" si="54"/>
        <v>0.14558689717925385</v>
      </c>
      <c r="T23" s="880">
        <v>52</v>
      </c>
      <c r="U23" s="879">
        <f t="shared" si="55"/>
        <v>0.13141683778234087</v>
      </c>
      <c r="V23" s="880">
        <v>73.25</v>
      </c>
      <c r="W23" s="881">
        <f t="shared" si="56"/>
        <v>0.14660995746810107</v>
      </c>
      <c r="X23" s="789">
        <v>75.75</v>
      </c>
      <c r="Y23" s="815">
        <f t="shared" si="57"/>
        <v>0.15229957275697412</v>
      </c>
      <c r="Z23" s="808"/>
      <c r="AA23" s="829">
        <v>98.5</v>
      </c>
      <c r="AB23" s="860">
        <v>70</v>
      </c>
      <c r="AI23" s="449"/>
      <c r="AM23" s="8"/>
      <c r="AN23" s="653"/>
    </row>
    <row r="24" spans="1:46" ht="14.4" x14ac:dyDescent="0.3">
      <c r="A24" s="82" t="s">
        <v>15</v>
      </c>
      <c r="B24" s="649">
        <f t="shared" si="42"/>
        <v>17.28</v>
      </c>
      <c r="C24" s="654">
        <f t="shared" si="45"/>
        <v>19.407516979939977</v>
      </c>
      <c r="D24" s="562" t="str">
        <f t="shared" si="46"/>
        <v>12.31%  ↑</v>
      </c>
      <c r="E24" s="654">
        <f t="shared" si="47"/>
        <v>19.737516979939976</v>
      </c>
      <c r="F24" s="562" t="str">
        <f t="shared" si="48"/>
        <v>14.22%  ↑</v>
      </c>
      <c r="G24" s="655">
        <f t="shared" si="43"/>
        <v>17.43</v>
      </c>
      <c r="H24" s="562" t="str">
        <f t="shared" si="49"/>
        <v>0.87%  ↑</v>
      </c>
      <c r="I24" s="652">
        <f t="shared" si="50"/>
        <v>19.829999999999998</v>
      </c>
      <c r="J24" s="645" t="str">
        <f t="shared" si="51"/>
        <v>14.76%  ↑</v>
      </c>
      <c r="K24" s="5"/>
      <c r="M24" s="859" t="s">
        <v>131</v>
      </c>
      <c r="N24" s="783">
        <v>88.5</v>
      </c>
      <c r="O24" s="877">
        <f t="shared" si="52"/>
        <v>0.14174174174174173</v>
      </c>
      <c r="P24" s="878">
        <v>82.5</v>
      </c>
      <c r="Q24" s="879">
        <f t="shared" si="53"/>
        <v>0.14222605322702295</v>
      </c>
      <c r="R24" s="880">
        <v>76.75</v>
      </c>
      <c r="S24" s="879">
        <f t="shared" si="54"/>
        <v>0.13967242948134667</v>
      </c>
      <c r="T24" s="880">
        <v>53.75</v>
      </c>
      <c r="U24" s="879">
        <f t="shared" si="55"/>
        <v>0.13583951982309272</v>
      </c>
      <c r="V24" s="880">
        <v>69.25</v>
      </c>
      <c r="W24" s="881">
        <f t="shared" si="56"/>
        <v>0.13860395296472355</v>
      </c>
      <c r="X24" s="789">
        <v>71.75</v>
      </c>
      <c r="Y24" s="815">
        <f t="shared" si="57"/>
        <v>0.14425735109323951</v>
      </c>
      <c r="Z24" s="808"/>
      <c r="AA24" s="829">
        <v>99</v>
      </c>
      <c r="AB24" s="860">
        <v>75</v>
      </c>
      <c r="AF24" s="8"/>
      <c r="AI24" s="449"/>
      <c r="AM24" s="450"/>
      <c r="AN24" s="656"/>
    </row>
    <row r="25" spans="1:46" ht="14.4" x14ac:dyDescent="0.3">
      <c r="A25" s="99" t="s">
        <v>16</v>
      </c>
      <c r="B25" s="657">
        <f t="shared" si="42"/>
        <v>621.57000000000005</v>
      </c>
      <c r="C25" s="658">
        <f t="shared" si="45"/>
        <v>614.30149612209152</v>
      </c>
      <c r="D25" s="569" t="str">
        <f t="shared" si="46"/>
        <v>-1.17%  ↓</v>
      </c>
      <c r="E25" s="658">
        <f t="shared" si="47"/>
        <v>611.30149612209152</v>
      </c>
      <c r="F25" s="569" t="str">
        <f t="shared" si="48"/>
        <v>-1.65%  ↓</v>
      </c>
      <c r="G25" s="659">
        <f t="shared" si="43"/>
        <v>624.9</v>
      </c>
      <c r="H25" s="569" t="str">
        <f t="shared" si="49"/>
        <v>0.54%  ↑</v>
      </c>
      <c r="I25" s="660">
        <f t="shared" si="50"/>
        <v>608.86</v>
      </c>
      <c r="J25" s="645" t="str">
        <f t="shared" si="51"/>
        <v>-2.04%  ↓</v>
      </c>
      <c r="K25" s="5"/>
      <c r="M25" s="859" t="s">
        <v>34</v>
      </c>
      <c r="N25" s="783">
        <v>87.5</v>
      </c>
      <c r="O25" s="877">
        <f t="shared" si="52"/>
        <v>0.14014014014014015</v>
      </c>
      <c r="P25" s="878">
        <v>82.5</v>
      </c>
      <c r="Q25" s="879">
        <f t="shared" si="53"/>
        <v>0.14222605322702295</v>
      </c>
      <c r="R25" s="880">
        <v>83.5</v>
      </c>
      <c r="S25" s="879">
        <f t="shared" si="54"/>
        <v>0.15195632393084624</v>
      </c>
      <c r="T25" s="880">
        <v>47.75</v>
      </c>
      <c r="U25" s="879">
        <f t="shared" si="55"/>
        <v>0.12067603854051492</v>
      </c>
      <c r="V25" s="880">
        <v>65</v>
      </c>
      <c r="W25" s="881">
        <f t="shared" si="56"/>
        <v>0.13009757317988491</v>
      </c>
      <c r="X25" s="789">
        <v>73.25</v>
      </c>
      <c r="Y25" s="815">
        <f t="shared" si="57"/>
        <v>0.14727318421713997</v>
      </c>
      <c r="Z25" s="808"/>
      <c r="AA25" s="829">
        <v>99.25</v>
      </c>
      <c r="AB25" s="860">
        <v>80</v>
      </c>
      <c r="AF25" s="11">
        <v>1</v>
      </c>
      <c r="AG25" s="1322" t="s">
        <v>118</v>
      </c>
      <c r="AH25" s="1322"/>
      <c r="AJ25" s="662"/>
      <c r="AK25" s="1312" t="s">
        <v>119</v>
      </c>
      <c r="AL25" s="1312"/>
      <c r="AM25" s="663"/>
      <c r="AN25" s="1" t="s">
        <v>120</v>
      </c>
      <c r="AP25" s="2" t="str">
        <f>AG26</f>
        <v>RD</v>
      </c>
      <c r="AQ25" s="2">
        <f>AH26</f>
        <v>85520</v>
      </c>
      <c r="AS25" s="2" t="s">
        <v>121</v>
      </c>
    </row>
    <row r="26" spans="1:46" ht="14.4" x14ac:dyDescent="0.3">
      <c r="A26" s="109" t="s">
        <v>17</v>
      </c>
      <c r="B26" s="664">
        <f t="shared" si="42"/>
        <v>275.25</v>
      </c>
      <c r="C26" s="665">
        <f t="shared" si="45"/>
        <v>275.35292939429246</v>
      </c>
      <c r="D26" s="575" t="str">
        <f t="shared" si="46"/>
        <v>0.04%  ↑</v>
      </c>
      <c r="E26" s="665">
        <f t="shared" si="47"/>
        <v>274.60292939429246</v>
      </c>
      <c r="F26" s="575" t="str">
        <f t="shared" si="48"/>
        <v>-0.24%  ↓</v>
      </c>
      <c r="G26" s="666">
        <f t="shared" si="43"/>
        <v>277.60000000000002</v>
      </c>
      <c r="H26" s="575" t="str">
        <f t="shared" si="49"/>
        <v>0.85%  ↑</v>
      </c>
      <c r="I26" s="667">
        <f t="shared" si="50"/>
        <v>272.41000000000003</v>
      </c>
      <c r="J26" s="668" t="str">
        <f t="shared" si="51"/>
        <v>-1.03%  ↓</v>
      </c>
      <c r="K26" s="5"/>
      <c r="M26" s="859">
        <v>4</v>
      </c>
      <c r="N26" s="783">
        <v>0</v>
      </c>
      <c r="O26" s="877">
        <f t="shared" si="52"/>
        <v>0</v>
      </c>
      <c r="P26" s="878">
        <v>0</v>
      </c>
      <c r="Q26" s="879">
        <f t="shared" si="53"/>
        <v>0</v>
      </c>
      <c r="R26" s="880">
        <v>0</v>
      </c>
      <c r="S26" s="879">
        <f t="shared" si="54"/>
        <v>0</v>
      </c>
      <c r="T26" s="880">
        <v>0</v>
      </c>
      <c r="U26" s="879">
        <f t="shared" si="55"/>
        <v>0</v>
      </c>
      <c r="V26" s="880">
        <v>0</v>
      </c>
      <c r="W26" s="881">
        <f t="shared" si="56"/>
        <v>0</v>
      </c>
      <c r="X26" s="789">
        <v>0</v>
      </c>
      <c r="Y26" s="815">
        <f t="shared" si="57"/>
        <v>0</v>
      </c>
      <c r="Z26" s="808"/>
      <c r="AA26" s="829">
        <v>99.5</v>
      </c>
      <c r="AB26" s="860">
        <v>90</v>
      </c>
      <c r="AF26" s="8"/>
      <c r="AG26" s="669" t="s">
        <v>47</v>
      </c>
      <c r="AH26" s="670">
        <v>85520</v>
      </c>
      <c r="AJ26" s="662"/>
      <c r="AK26" s="669" t="s">
        <v>36</v>
      </c>
      <c r="AL26" s="670" t="s">
        <v>49</v>
      </c>
      <c r="AM26" s="8"/>
      <c r="AN26" s="8"/>
      <c r="AP26" s="1323">
        <f>AF25</f>
        <v>1</v>
      </c>
      <c r="AQ26" s="1323"/>
      <c r="AR26" s="671"/>
    </row>
    <row r="27" spans="1:46" ht="14.4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M27" s="859" t="s">
        <v>95</v>
      </c>
      <c r="N27" s="783">
        <v>88.75</v>
      </c>
      <c r="O27" s="877">
        <f t="shared" si="52"/>
        <v>0.14214214214214213</v>
      </c>
      <c r="P27" s="878">
        <v>89.25</v>
      </c>
      <c r="Q27" s="879">
        <f t="shared" si="53"/>
        <v>0.15386273030923392</v>
      </c>
      <c r="R27" s="880">
        <v>80</v>
      </c>
      <c r="S27" s="879">
        <f t="shared" si="54"/>
        <v>0.14558689717925385</v>
      </c>
      <c r="T27" s="880">
        <v>55</v>
      </c>
      <c r="U27" s="879">
        <f t="shared" si="55"/>
        <v>0.13899857842362975</v>
      </c>
      <c r="V27" s="880">
        <v>80</v>
      </c>
      <c r="W27" s="881">
        <f t="shared" si="56"/>
        <v>0.16012009006755065</v>
      </c>
      <c r="X27" s="789">
        <v>75.75</v>
      </c>
      <c r="Y27" s="815">
        <f t="shared" si="57"/>
        <v>0.15229957275697412</v>
      </c>
      <c r="Z27" s="808"/>
      <c r="AA27" s="829">
        <v>99.75</v>
      </c>
      <c r="AB27" s="860">
        <v>95</v>
      </c>
      <c r="AF27" s="672" t="str">
        <f t="shared" ref="AF27:AF32" si="59">AF2</f>
        <v>TNX</v>
      </c>
      <c r="AG27" s="673">
        <v>0</v>
      </c>
      <c r="AH27" s="674">
        <f>AG27/2</f>
        <v>0</v>
      </c>
      <c r="AJ27" s="672" t="str">
        <f t="shared" ref="AJ27:AJ32" si="60">AJ2</f>
        <v>TNX</v>
      </c>
      <c r="AK27" s="675">
        <v>0.92500000000000004</v>
      </c>
      <c r="AL27" s="676">
        <f>1-AK27</f>
        <v>7.4999999999999956E-2</v>
      </c>
      <c r="AM27" s="8"/>
      <c r="AN27" s="677">
        <v>1</v>
      </c>
      <c r="AP27" s="678">
        <f>(AK27*I12+AL27*J12)+AG27</f>
        <v>4.1133146110435241</v>
      </c>
      <c r="AQ27" s="678">
        <f>AK2+AH27</f>
        <v>4.1133146110435241</v>
      </c>
      <c r="AR27" s="679"/>
      <c r="AS27" s="680">
        <f t="shared" ref="AS27:AS32" si="61">(E12+C12)/2</f>
        <v>4.1133146110435241</v>
      </c>
    </row>
    <row r="28" spans="1:46" ht="14.25" customHeight="1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M28" s="859" t="s">
        <v>42</v>
      </c>
      <c r="N28" s="783">
        <v>92.875</v>
      </c>
      <c r="O28" s="877">
        <f t="shared" si="52"/>
        <v>0.14874874874874874</v>
      </c>
      <c r="P28" s="878">
        <v>81.5625</v>
      </c>
      <c r="Q28" s="879">
        <f t="shared" si="53"/>
        <v>0.14060984807671587</v>
      </c>
      <c r="R28" s="880">
        <v>74.5</v>
      </c>
      <c r="S28" s="879">
        <f t="shared" si="54"/>
        <v>0.13557779799818018</v>
      </c>
      <c r="T28" s="880">
        <v>52.6875</v>
      </c>
      <c r="U28" s="879">
        <f t="shared" si="55"/>
        <v>0.13315432001263625</v>
      </c>
      <c r="V28" s="880">
        <v>69.375</v>
      </c>
      <c r="W28" s="881">
        <f t="shared" si="56"/>
        <v>0.13885414060545409</v>
      </c>
      <c r="X28" s="789">
        <v>62.625</v>
      </c>
      <c r="Y28" s="815">
        <f t="shared" si="57"/>
        <v>0.12591103292284495</v>
      </c>
      <c r="Z28" s="808"/>
      <c r="AA28" s="841">
        <v>99.99</v>
      </c>
      <c r="AB28" s="882">
        <v>100</v>
      </c>
      <c r="AF28" s="681" t="str">
        <f t="shared" si="59"/>
        <v>DJI</v>
      </c>
      <c r="AG28" s="682">
        <v>50</v>
      </c>
      <c r="AH28" s="683">
        <f>AG28/2</f>
        <v>25</v>
      </c>
      <c r="AJ28" s="681" t="str">
        <f t="shared" si="60"/>
        <v>DJI</v>
      </c>
      <c r="AK28" s="684">
        <v>0.95</v>
      </c>
      <c r="AL28" s="685">
        <f>1-AK28</f>
        <v>5.0000000000000044E-2</v>
      </c>
      <c r="AN28" s="686">
        <v>1</v>
      </c>
      <c r="AP28" s="687">
        <f>(AK28*I13+AL28*J13)+AG28</f>
        <v>47963.54599630482</v>
      </c>
      <c r="AQ28" s="687">
        <f>AK3+AH28</f>
        <v>47988.54599630482</v>
      </c>
      <c r="AR28" s="679"/>
      <c r="AS28" s="688">
        <f t="shared" si="61"/>
        <v>47976.04599630482</v>
      </c>
    </row>
    <row r="29" spans="1:46" ht="14.25" customHeight="1" x14ac:dyDescent="0.3">
      <c r="A29" s="2" t="s">
        <v>0</v>
      </c>
      <c r="B29" s="749" t="s">
        <v>61</v>
      </c>
      <c r="C29" s="1325" t="s">
        <v>47</v>
      </c>
      <c r="D29" s="1325"/>
      <c r="E29" s="1325">
        <v>85520</v>
      </c>
      <c r="F29" s="1325"/>
      <c r="G29" s="1325" t="str">
        <f t="shared" ref="G29:G35" si="62">G20</f>
        <v>MICH</v>
      </c>
      <c r="H29" s="1325"/>
      <c r="I29" s="1326" t="s">
        <v>50</v>
      </c>
      <c r="J29" s="1326"/>
      <c r="K29" s="5"/>
      <c r="M29" s="861" t="s">
        <v>96</v>
      </c>
      <c r="N29" s="791">
        <v>93</v>
      </c>
      <c r="O29" s="883">
        <f t="shared" si="52"/>
        <v>0.14894894894894894</v>
      </c>
      <c r="P29" s="884">
        <v>84</v>
      </c>
      <c r="Q29" s="885">
        <f t="shared" si="53"/>
        <v>0.14481198146751428</v>
      </c>
      <c r="R29" s="886">
        <v>78</v>
      </c>
      <c r="S29" s="885">
        <f t="shared" si="54"/>
        <v>0.14194722474977253</v>
      </c>
      <c r="T29" s="886">
        <v>68.25</v>
      </c>
      <c r="U29" s="885">
        <f t="shared" si="55"/>
        <v>0.17248459958932238</v>
      </c>
      <c r="V29" s="886">
        <v>73.5</v>
      </c>
      <c r="W29" s="887">
        <f t="shared" si="56"/>
        <v>0.14711033274956217</v>
      </c>
      <c r="X29" s="797">
        <v>66.5</v>
      </c>
      <c r="Y29" s="840">
        <f t="shared" si="57"/>
        <v>0.13370193515958784</v>
      </c>
      <c r="Z29" s="808"/>
      <c r="AF29" s="689" t="str">
        <f t="shared" si="59"/>
        <v>SPX</v>
      </c>
      <c r="AG29" s="690">
        <v>4</v>
      </c>
      <c r="AH29" s="691">
        <f>AG29/2</f>
        <v>2</v>
      </c>
      <c r="AJ29" s="689" t="str">
        <f t="shared" si="60"/>
        <v>SPX</v>
      </c>
      <c r="AK29" s="684">
        <v>1.01</v>
      </c>
      <c r="AL29" s="685">
        <f>1-AK29</f>
        <v>-1.0000000000000009E-2</v>
      </c>
      <c r="AN29" s="692">
        <v>1</v>
      </c>
      <c r="AP29" s="693">
        <f>(AK29*I14+AL29*J14)+AG29</f>
        <v>6862.425295056014</v>
      </c>
      <c r="AQ29" s="693">
        <f>AK4+AH29</f>
        <v>6864.425295056014</v>
      </c>
      <c r="AR29" s="679"/>
      <c r="AS29" s="694">
        <f t="shared" si="61"/>
        <v>6863.425295056014</v>
      </c>
    </row>
    <row r="30" spans="1:46" ht="14.25" customHeight="1" x14ac:dyDescent="0.3">
      <c r="A30" s="35" t="s">
        <v>12</v>
      </c>
      <c r="B30" s="695">
        <v>4.1779999999999999</v>
      </c>
      <c r="C30" s="636">
        <f t="shared" ref="C30:C35" si="63">C21</f>
        <v>4.1133146110435241</v>
      </c>
      <c r="D30" s="552" t="str">
        <f t="shared" ref="D30:D35" si="64">CONCATENATE(TEXT(AQ8,"0.00%"),"  ",AR8)</f>
        <v>-1.55%  ↓</v>
      </c>
      <c r="E30" s="636">
        <f t="shared" ref="E30:E35" si="65">E21</f>
        <v>4.1133146110435241</v>
      </c>
      <c r="F30" s="552" t="str">
        <f t="shared" ref="F30:F35" si="66">CONCATENATE(TEXT(AS8,"0.00%"),"  ",AT8)</f>
        <v>-1.55%  ↓</v>
      </c>
      <c r="G30" s="636">
        <f t="shared" si="62"/>
        <v>4.1100000000000003</v>
      </c>
      <c r="H30" s="552" t="str">
        <f t="shared" ref="H30:H35" si="67">CONCATENATE(TEXT(AU8,"0.00%"),"  ",AV8)</f>
        <v>-1.63%  ↓</v>
      </c>
      <c r="I30" s="638">
        <f t="shared" ref="I30:I35" si="68">I21</f>
        <v>4.1459999999999999</v>
      </c>
      <c r="J30" s="639" t="str">
        <f t="shared" ref="J30:J35" si="69">CONCATENATE(TEXT(AO8,"0.00%"),"  ",AP8)</f>
        <v>-0.77%  ↓</v>
      </c>
      <c r="K30" s="5"/>
      <c r="AF30" s="689" t="str">
        <f t="shared" si="59"/>
        <v>VIX</v>
      </c>
      <c r="AG30" s="696">
        <v>1.56</v>
      </c>
      <c r="AH30" s="697">
        <v>0.33</v>
      </c>
      <c r="AJ30" s="689" t="str">
        <f t="shared" si="60"/>
        <v>VIX</v>
      </c>
      <c r="AK30" s="684"/>
      <c r="AL30" s="685"/>
      <c r="AN30" s="698">
        <v>1</v>
      </c>
      <c r="AO30" s="8"/>
      <c r="AP30" s="699">
        <f>IF(AN30=1,I15+AG30,I15+AG40)</f>
        <v>19.407516979939977</v>
      </c>
      <c r="AQ30" s="699">
        <f>IF(AN30=1,I15+AG30+AH30,I15+AG40+AH40)</f>
        <v>19.737516979939976</v>
      </c>
      <c r="AR30" s="679"/>
      <c r="AS30" s="700">
        <f t="shared" si="61"/>
        <v>19.572516979939977</v>
      </c>
    </row>
    <row r="31" spans="1:46" ht="14.25" customHeight="1" x14ac:dyDescent="0.3">
      <c r="A31" s="60" t="s">
        <v>13</v>
      </c>
      <c r="B31" s="701">
        <v>47747.82</v>
      </c>
      <c r="C31" s="642">
        <f t="shared" si="63"/>
        <v>47963.54599630482</v>
      </c>
      <c r="D31" s="557" t="str">
        <f t="shared" si="64"/>
        <v>0.45%  ↑</v>
      </c>
      <c r="E31" s="642">
        <f t="shared" si="65"/>
        <v>47988.54599630482</v>
      </c>
      <c r="F31" s="557" t="str">
        <f t="shared" si="66"/>
        <v>0.50%  ↑</v>
      </c>
      <c r="G31" s="642">
        <f t="shared" si="62"/>
        <v>48033</v>
      </c>
      <c r="H31" s="557" t="str">
        <f t="shared" si="67"/>
        <v>0.60%  ↑</v>
      </c>
      <c r="I31" s="644">
        <f t="shared" si="68"/>
        <v>47147.48</v>
      </c>
      <c r="J31" s="645" t="str">
        <f t="shared" si="69"/>
        <v>-1.26%  ↓</v>
      </c>
      <c r="K31" s="5"/>
      <c r="N31" s="5"/>
      <c r="O31" s="4"/>
      <c r="P31" s="283" t="s">
        <v>47</v>
      </c>
      <c r="Q31" s="328"/>
      <c r="R31" s="284">
        <v>85220</v>
      </c>
      <c r="S31" s="328"/>
      <c r="T31" s="284" t="s">
        <v>48</v>
      </c>
      <c r="U31" s="328"/>
      <c r="V31" s="460" t="str">
        <f>J11</f>
        <v>ML</v>
      </c>
      <c r="W31" s="4"/>
      <c r="X31" s="286" t="str">
        <f>I11</f>
        <v>LLM</v>
      </c>
      <c r="Y31" s="4"/>
      <c r="Z31" s="4"/>
      <c r="AA31" s="51"/>
      <c r="AF31" s="702" t="str">
        <f t="shared" si="59"/>
        <v>QQQ</v>
      </c>
      <c r="AG31" s="703">
        <v>3</v>
      </c>
      <c r="AH31" s="704">
        <v>1.6</v>
      </c>
      <c r="AJ31" s="702" t="str">
        <f t="shared" si="60"/>
        <v>QQQ</v>
      </c>
      <c r="AK31" s="684">
        <v>0.875</v>
      </c>
      <c r="AL31" s="685">
        <f>1-AK31</f>
        <v>0.125</v>
      </c>
      <c r="AM31" s="8"/>
      <c r="AN31" s="705">
        <v>-1</v>
      </c>
      <c r="AO31" s="8"/>
      <c r="AP31" s="706">
        <f>IF($AN$31=1,($I$16+$AG$31),($I$16+$AG$41))</f>
        <v>614.30149612209152</v>
      </c>
      <c r="AQ31" s="706">
        <f>IF($AN31=1,($I16+$AG31+$AH31),($I16+$AG41+$AH41))</f>
        <v>611.30149612209152</v>
      </c>
      <c r="AR31" s="679"/>
      <c r="AS31" s="707">
        <f t="shared" si="61"/>
        <v>612.80149612209152</v>
      </c>
    </row>
    <row r="32" spans="1:46" ht="14.25" customHeight="1" x14ac:dyDescent="0.3">
      <c r="A32" s="82" t="s">
        <v>14</v>
      </c>
      <c r="B32" s="708">
        <v>6846.5</v>
      </c>
      <c r="C32" s="650">
        <f t="shared" si="63"/>
        <v>6862.425295056014</v>
      </c>
      <c r="D32" s="562" t="str">
        <f t="shared" si="64"/>
        <v>0.23%  ↑</v>
      </c>
      <c r="E32" s="650">
        <f t="shared" si="65"/>
        <v>6864.425295056014</v>
      </c>
      <c r="F32" s="562" t="str">
        <f t="shared" si="66"/>
        <v>0.26%  ↑</v>
      </c>
      <c r="G32" s="650">
        <f t="shared" si="62"/>
        <v>6864</v>
      </c>
      <c r="H32" s="562" t="str">
        <f t="shared" si="67"/>
        <v>0.26%  ↑</v>
      </c>
      <c r="I32" s="652">
        <f t="shared" si="68"/>
        <v>6734.1</v>
      </c>
      <c r="J32" s="645" t="str">
        <f t="shared" si="69"/>
        <v>-1.64%  ↓</v>
      </c>
      <c r="K32" s="5"/>
      <c r="N32" s="53" t="s">
        <v>12</v>
      </c>
      <c r="O32" s="4"/>
      <c r="P32" s="287">
        <f t="shared" ref="P32:P37" si="70">100-ABS(($K12-C12)/($K12))*100</f>
        <v>99.211640401435702</v>
      </c>
      <c r="Q32" s="328"/>
      <c r="R32" s="288">
        <f t="shared" ref="R32:R37" si="71">100-ABS(($K12-E12)/($K12))*100</f>
        <v>99.211640401435702</v>
      </c>
      <c r="S32" s="328"/>
      <c r="T32" s="288">
        <f t="shared" ref="T32:T37" si="72">100-ABS(($K12-G12)/($K12))*100</f>
        <v>99.131693198263392</v>
      </c>
      <c r="U32" s="328"/>
      <c r="V32" s="461">
        <f t="shared" ref="V32:V37" si="73">100-ABS((($K12-J12)/($K12)))*100</f>
        <v>98.868991658479985</v>
      </c>
      <c r="W32" s="4"/>
      <c r="X32" s="290">
        <f t="shared" ref="X32:X37" si="74">100-ABS((($K12-I12)/($K12)))*100</f>
        <v>99.239422731945623</v>
      </c>
      <c r="Y32" s="4"/>
      <c r="Z32" s="4"/>
      <c r="AA32" s="736"/>
      <c r="AF32" s="709" t="str">
        <f t="shared" si="59"/>
        <v>AAPL</v>
      </c>
      <c r="AG32" s="710">
        <v>-1.5</v>
      </c>
      <c r="AH32" s="711">
        <f>AG32/2</f>
        <v>-0.75</v>
      </c>
      <c r="AJ32" s="709" t="str">
        <f t="shared" si="60"/>
        <v>AAPL</v>
      </c>
      <c r="AK32" s="712">
        <v>0.77500000000000002</v>
      </c>
      <c r="AL32" s="713">
        <f>1-AK32</f>
        <v>0.22499999999999998</v>
      </c>
      <c r="AM32" s="8"/>
      <c r="AN32" s="714">
        <v>1</v>
      </c>
      <c r="AO32" s="8"/>
      <c r="AP32" s="715">
        <f>(AK32*I17+AL32*J17)+AG32</f>
        <v>275.35292939429246</v>
      </c>
      <c r="AQ32" s="715">
        <f>AK7+AH32</f>
        <v>274.60292939429246</v>
      </c>
      <c r="AS32" s="716">
        <f t="shared" si="61"/>
        <v>274.97792939429246</v>
      </c>
    </row>
    <row r="33" spans="1:43" ht="14.25" customHeight="1" x14ac:dyDescent="0.3">
      <c r="A33" s="82" t="s">
        <v>15</v>
      </c>
      <c r="B33" s="708">
        <v>16.690000000000001</v>
      </c>
      <c r="C33" s="654">
        <f t="shared" si="63"/>
        <v>19.407516979939977</v>
      </c>
      <c r="D33" s="562" t="str">
        <f t="shared" si="64"/>
        <v>16.28%  ↑</v>
      </c>
      <c r="E33" s="654">
        <f t="shared" si="65"/>
        <v>19.737516979939976</v>
      </c>
      <c r="F33" s="562" t="str">
        <f t="shared" si="66"/>
        <v>18.26%  ↑</v>
      </c>
      <c r="G33" s="654">
        <f t="shared" si="62"/>
        <v>17.43</v>
      </c>
      <c r="H33" s="562" t="str">
        <f t="shared" si="67"/>
        <v>4.43%  ↑</v>
      </c>
      <c r="I33" s="652">
        <f t="shared" si="68"/>
        <v>19.829999999999998</v>
      </c>
      <c r="J33" s="645" t="str">
        <f t="shared" si="69"/>
        <v>18.81%  ↑</v>
      </c>
      <c r="K33" s="5"/>
      <c r="N33" s="60" t="s">
        <v>13</v>
      </c>
      <c r="O33" s="4"/>
      <c r="P33" s="291">
        <f t="shared" si="70"/>
        <v>98.269120648007458</v>
      </c>
      <c r="Q33" s="328"/>
      <c r="R33" s="292">
        <f t="shared" si="71"/>
        <v>98.216095544650926</v>
      </c>
      <c r="S33" s="328"/>
      <c r="T33" s="292">
        <f t="shared" si="72"/>
        <v>98.12180841902898</v>
      </c>
      <c r="U33" s="328"/>
      <c r="V33" s="462">
        <f t="shared" si="73"/>
        <v>98.396210995794476</v>
      </c>
      <c r="W33" s="4"/>
      <c r="X33" s="294">
        <f t="shared" si="74"/>
        <v>98.374063478874518</v>
      </c>
      <c r="Y33" s="4"/>
      <c r="Z33" s="4"/>
      <c r="AA33" s="737"/>
      <c r="AG33" s="717"/>
      <c r="AH33" s="717"/>
      <c r="AJ33" s="717"/>
      <c r="AK33" s="717"/>
      <c r="AL33" s="718"/>
      <c r="AM33" s="8"/>
    </row>
    <row r="34" spans="1:43" ht="14.25" customHeight="1" x14ac:dyDescent="0.3">
      <c r="A34" s="99" t="s">
        <v>16</v>
      </c>
      <c r="B34" s="719">
        <v>625.11</v>
      </c>
      <c r="C34" s="658">
        <f t="shared" si="63"/>
        <v>614.30149612209152</v>
      </c>
      <c r="D34" s="569" t="str">
        <f t="shared" si="64"/>
        <v>-1.73%  ↓</v>
      </c>
      <c r="E34" s="658">
        <f t="shared" si="65"/>
        <v>611.30149612209152</v>
      </c>
      <c r="F34" s="569" t="str">
        <f t="shared" si="66"/>
        <v>-2.21%  ↓</v>
      </c>
      <c r="G34" s="658">
        <f t="shared" si="62"/>
        <v>624.9</v>
      </c>
      <c r="H34" s="569" t="str">
        <f t="shared" si="67"/>
        <v>-0.03%  ↓</v>
      </c>
      <c r="I34" s="660">
        <f t="shared" si="68"/>
        <v>608.86</v>
      </c>
      <c r="J34" s="645" t="str">
        <f t="shared" si="69"/>
        <v>-2.60%  ↓</v>
      </c>
      <c r="K34" s="5"/>
      <c r="N34" s="82" t="s">
        <v>14</v>
      </c>
      <c r="O34" s="4"/>
      <c r="P34" s="301">
        <f t="shared" si="70"/>
        <v>98.094395761036907</v>
      </c>
      <c r="Q34" s="328"/>
      <c r="R34" s="302">
        <f t="shared" si="71"/>
        <v>98.064696172376216</v>
      </c>
      <c r="S34" s="328"/>
      <c r="T34" s="302">
        <f t="shared" si="72"/>
        <v>98.071011716487732</v>
      </c>
      <c r="U34" s="328"/>
      <c r="V34" s="463">
        <f t="shared" si="73"/>
        <v>98.333118378250703</v>
      </c>
      <c r="W34" s="4"/>
      <c r="X34" s="304">
        <f t="shared" si="74"/>
        <v>98.155570417961201</v>
      </c>
      <c r="Y34" s="4"/>
      <c r="Z34" s="4"/>
      <c r="AA34" s="737"/>
      <c r="AG34" s="720"/>
      <c r="AH34" s="720"/>
      <c r="AJ34" s="662"/>
      <c r="AK34" s="662"/>
      <c r="AL34" s="662"/>
      <c r="AM34" s="8"/>
    </row>
    <row r="35" spans="1:43" ht="14.25" customHeight="1" x14ac:dyDescent="0.3">
      <c r="A35" s="109" t="s">
        <v>17</v>
      </c>
      <c r="B35" s="721">
        <v>277.25</v>
      </c>
      <c r="C35" s="665">
        <f t="shared" si="63"/>
        <v>275.35292939429246</v>
      </c>
      <c r="D35" s="575" t="str">
        <f t="shared" si="64"/>
        <v>-0.68%  ↓</v>
      </c>
      <c r="E35" s="665">
        <f t="shared" si="65"/>
        <v>274.60292939429246</v>
      </c>
      <c r="F35" s="575" t="str">
        <f t="shared" si="66"/>
        <v>-0.95%  ↓</v>
      </c>
      <c r="G35" s="665">
        <f t="shared" si="62"/>
        <v>277.60000000000002</v>
      </c>
      <c r="H35" s="575" t="str">
        <f t="shared" si="67"/>
        <v>0.13%  ↑</v>
      </c>
      <c r="I35" s="667">
        <f t="shared" si="68"/>
        <v>272.41000000000003</v>
      </c>
      <c r="J35" s="668" t="str">
        <f t="shared" si="69"/>
        <v>-1.75%  ↓</v>
      </c>
      <c r="K35" s="5"/>
      <c r="N35" s="82" t="s">
        <v>15</v>
      </c>
      <c r="O35" s="4"/>
      <c r="P35" s="301">
        <f t="shared" si="70"/>
        <v>97.869475440947951</v>
      </c>
      <c r="Q35" s="328"/>
      <c r="R35" s="302">
        <f t="shared" si="71"/>
        <v>99.533620675441142</v>
      </c>
      <c r="S35" s="328"/>
      <c r="T35" s="302">
        <f t="shared" si="72"/>
        <v>87.897125567322249</v>
      </c>
      <c r="U35" s="328"/>
      <c r="V35" s="463">
        <f t="shared" si="73"/>
        <v>84.066221829275861</v>
      </c>
      <c r="W35" s="4"/>
      <c r="X35" s="304">
        <f t="shared" si="74"/>
        <v>90.002607059707415</v>
      </c>
      <c r="Y35" s="4"/>
      <c r="Z35" s="4"/>
      <c r="AA35" s="736"/>
      <c r="AF35" s="11">
        <v>-1</v>
      </c>
      <c r="AG35" s="1321" t="s">
        <v>118</v>
      </c>
      <c r="AH35" s="1321"/>
      <c r="AJ35" s="662"/>
      <c r="AK35" s="1322" t="s">
        <v>119</v>
      </c>
      <c r="AL35" s="1322"/>
      <c r="AM35" s="8"/>
      <c r="AN35" s="8"/>
      <c r="AP35" s="2" t="str">
        <f>AG36</f>
        <v>RD</v>
      </c>
      <c r="AQ35" s="2">
        <f>AH36</f>
        <v>85520</v>
      </c>
    </row>
    <row r="36" spans="1:43" ht="14.25" customHeight="1" x14ac:dyDescent="0.3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N36" s="99" t="s">
        <v>16</v>
      </c>
      <c r="O36" s="4"/>
      <c r="P36" s="312">
        <f t="shared" si="70"/>
        <v>99.106281226867992</v>
      </c>
      <c r="Q36" s="328"/>
      <c r="R36" s="313">
        <f t="shared" si="71"/>
        <v>99.599005334216159</v>
      </c>
      <c r="S36" s="328"/>
      <c r="T36" s="313">
        <f t="shared" si="72"/>
        <v>97.365568439378521</v>
      </c>
      <c r="U36" s="328"/>
      <c r="V36" s="464">
        <f t="shared" si="73"/>
        <v>97.650305088694452</v>
      </c>
      <c r="W36" s="4"/>
      <c r="X36" s="315">
        <f t="shared" si="74"/>
        <v>97.463867535707465</v>
      </c>
      <c r="Y36" s="4"/>
      <c r="Z36" s="4"/>
      <c r="AA36" s="738"/>
      <c r="AF36" s="8"/>
      <c r="AG36" s="722" t="s">
        <v>47</v>
      </c>
      <c r="AH36" s="723">
        <v>85520</v>
      </c>
      <c r="AJ36" s="662"/>
      <c r="AK36" s="669" t="s">
        <v>36</v>
      </c>
      <c r="AL36" s="670" t="s">
        <v>49</v>
      </c>
      <c r="AP36" s="1323">
        <f>AF35</f>
        <v>-1</v>
      </c>
      <c r="AQ36" s="1323"/>
    </row>
    <row r="37" spans="1:43" ht="14.25" customHeight="1" x14ac:dyDescent="0.3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N37" s="114" t="s">
        <v>17</v>
      </c>
      <c r="O37" s="4"/>
      <c r="P37" s="323">
        <f t="shared" si="70"/>
        <v>98.919669103816886</v>
      </c>
      <c r="Q37" s="328"/>
      <c r="R37" s="324">
        <f t="shared" si="71"/>
        <v>99.194989393086729</v>
      </c>
      <c r="S37" s="328"/>
      <c r="T37" s="324">
        <f t="shared" si="72"/>
        <v>98.094783598252633</v>
      </c>
      <c r="U37" s="328"/>
      <c r="V37" s="465">
        <f t="shared" si="73"/>
        <v>99.010109533087999</v>
      </c>
      <c r="W37" s="4"/>
      <c r="X37" s="326">
        <f t="shared" si="74"/>
        <v>98.182908232686941</v>
      </c>
      <c r="Y37" s="4"/>
      <c r="Z37" s="4"/>
      <c r="AA37" s="738"/>
      <c r="AF37" s="672" t="str">
        <f t="shared" ref="AF37:AF42" si="75">AF27</f>
        <v>TNX</v>
      </c>
      <c r="AG37" s="673">
        <v>0</v>
      </c>
      <c r="AH37" s="674">
        <f>AG37/2</f>
        <v>0</v>
      </c>
      <c r="AJ37" s="672" t="str">
        <f t="shared" ref="AJ37:AJ42" si="76">AJ2</f>
        <v>TNX</v>
      </c>
      <c r="AK37" s="675">
        <v>0.92500000000000004</v>
      </c>
      <c r="AL37" s="676">
        <f>1-AK37</f>
        <v>7.4999999999999956E-2</v>
      </c>
      <c r="AM37" s="8"/>
      <c r="AN37" s="8"/>
      <c r="AP37" s="678">
        <f>(AK27*I12+AL27*J12)+AG27</f>
        <v>4.1133146110435241</v>
      </c>
      <c r="AQ37" s="678">
        <f>AK2+AH37</f>
        <v>4.1133146110435241</v>
      </c>
    </row>
    <row r="38" spans="1:43" ht="14.25" customHeight="1" x14ac:dyDescent="0.3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N38" s="4"/>
      <c r="O38" s="4"/>
      <c r="P38" s="328"/>
      <c r="Q38" s="328"/>
      <c r="R38" s="329"/>
      <c r="S38" s="328"/>
      <c r="T38" s="329"/>
      <c r="U38" s="328"/>
      <c r="V38" s="329"/>
      <c r="W38" s="4"/>
      <c r="X38" s="329"/>
      <c r="Y38" s="4"/>
      <c r="Z38" s="4"/>
      <c r="AA38" s="6"/>
      <c r="AF38" s="681" t="str">
        <f t="shared" si="75"/>
        <v>DJI</v>
      </c>
      <c r="AG38" s="682">
        <v>50</v>
      </c>
      <c r="AH38" s="683">
        <f>AG38/2</f>
        <v>25</v>
      </c>
      <c r="AJ38" s="681" t="str">
        <f t="shared" si="76"/>
        <v>DJI</v>
      </c>
      <c r="AK38" s="684">
        <v>0.95</v>
      </c>
      <c r="AL38" s="685">
        <f>1-AK38</f>
        <v>5.0000000000000044E-2</v>
      </c>
      <c r="AM38" s="8"/>
      <c r="AN38" s="8"/>
      <c r="AP38" s="687">
        <f>(AK28*I13+AL28*J13)+AG28</f>
        <v>47963.54599630482</v>
      </c>
      <c r="AQ38" s="687">
        <f>AK3+AH38</f>
        <v>47988.54599630482</v>
      </c>
    </row>
    <row r="39" spans="1:43" ht="14.25" customHeight="1" x14ac:dyDescent="0.3">
      <c r="N39" s="331" t="str">
        <f>AA1</f>
        <v>AVR-4</v>
      </c>
      <c r="O39" s="4"/>
      <c r="P39" s="332">
        <f t="array" ref="P39">SUM(P33:P36/4)</f>
        <v>98.334818269215077</v>
      </c>
      <c r="Q39" s="328"/>
      <c r="R39" s="333">
        <f t="array" ref="R39">SUM(R33:R36/4)</f>
        <v>98.853354431671107</v>
      </c>
      <c r="S39" s="328"/>
      <c r="T39" s="333">
        <f t="array" ref="T39">SUM(T33:T36/4)</f>
        <v>95.363878535554377</v>
      </c>
      <c r="U39" s="328"/>
      <c r="V39" s="466">
        <f t="array" ref="V39">SUM(V33:V36/4)</f>
        <v>94.611464073003859</v>
      </c>
      <c r="W39" s="4"/>
      <c r="X39" s="335">
        <f t="array" ref="X39">SUM(X33:X36/4)</f>
        <v>95.99902712306266</v>
      </c>
      <c r="Y39" s="4"/>
      <c r="Z39" s="4"/>
      <c r="AA39" s="6"/>
      <c r="AF39" s="689" t="str">
        <f t="shared" si="75"/>
        <v>SPX</v>
      </c>
      <c r="AG39" s="690">
        <v>4</v>
      </c>
      <c r="AH39" s="691">
        <f>AG39/2</f>
        <v>2</v>
      </c>
      <c r="AJ39" s="689" t="str">
        <f t="shared" si="76"/>
        <v>SPX</v>
      </c>
      <c r="AK39" s="684">
        <v>1.01</v>
      </c>
      <c r="AL39" s="685">
        <f>1-AK39</f>
        <v>-1.0000000000000009E-2</v>
      </c>
      <c r="AM39" s="4"/>
      <c r="AP39" s="693">
        <f>(AK29*I14+AL29*J14)+AG29</f>
        <v>6862.425295056014</v>
      </c>
      <c r="AQ39" s="693">
        <f>AK4+AH39</f>
        <v>6864.425295056014</v>
      </c>
    </row>
    <row r="40" spans="1:43" ht="14.25" customHeight="1" x14ac:dyDescent="0.3">
      <c r="N40" s="336" t="str">
        <f>AB1</f>
        <v>AVR-6</v>
      </c>
      <c r="O40" s="4"/>
      <c r="P40" s="337">
        <f t="array" ref="P40">SUM(P32:P37/6)</f>
        <v>98.578430430352157</v>
      </c>
      <c r="Q40" s="328"/>
      <c r="R40" s="338">
        <f t="array" ref="R40">SUM(R32:R37/6)</f>
        <v>98.970007920201141</v>
      </c>
      <c r="S40" s="328"/>
      <c r="T40" s="338">
        <f t="array" ref="T40">SUM(T32:T37/6)</f>
        <v>96.446998489788911</v>
      </c>
      <c r="U40" s="328"/>
      <c r="V40" s="467">
        <f t="array" ref="V40">SUM(V32:V37/6)</f>
        <v>96.054159580597229</v>
      </c>
      <c r="W40" s="4"/>
      <c r="X40" s="340">
        <f t="array" ref="X40">SUM(X32:X37/6)</f>
        <v>96.903073242813875</v>
      </c>
      <c r="Y40" s="4"/>
      <c r="Z40" s="4"/>
      <c r="AA40" s="6"/>
      <c r="AF40" s="689" t="str">
        <f t="shared" si="75"/>
        <v>VIX</v>
      </c>
      <c r="AG40" s="696">
        <v>-1.06</v>
      </c>
      <c r="AH40" s="697">
        <v>-0.23</v>
      </c>
      <c r="AJ40" s="689" t="str">
        <f t="shared" si="76"/>
        <v>VIX</v>
      </c>
      <c r="AK40" s="684"/>
      <c r="AL40" s="685"/>
      <c r="AM40" s="4"/>
      <c r="AP40" s="699">
        <f>IF(AN30=1,I15+AG30,I15+AG40)</f>
        <v>19.407516979939977</v>
      </c>
      <c r="AQ40" s="699">
        <f>IF(AN30=1,I15+AG30+AH30,I15+AG40+AH40)</f>
        <v>19.737516979939976</v>
      </c>
    </row>
    <row r="41" spans="1:43" ht="14.25" customHeight="1" x14ac:dyDescent="0.3">
      <c r="AF41" s="702" t="str">
        <f t="shared" si="75"/>
        <v>QQQ</v>
      </c>
      <c r="AG41" s="724">
        <v>-10</v>
      </c>
      <c r="AH41" s="725">
        <v>-3</v>
      </c>
      <c r="AJ41" s="702" t="str">
        <f t="shared" si="76"/>
        <v>QQQ</v>
      </c>
      <c r="AK41" s="684">
        <v>0.875</v>
      </c>
      <c r="AL41" s="685">
        <f>1-AK41</f>
        <v>0.125</v>
      </c>
      <c r="AM41" s="4"/>
      <c r="AN41" s="8"/>
      <c r="AO41" s="4"/>
      <c r="AP41" s="706">
        <f>IF(AN31=1,(I16+AG31),(I16+AG41))</f>
        <v>614.30149612209152</v>
      </c>
      <c r="AQ41" s="706">
        <f>IF(AN31=1,(I16+AG31+AH31),(I16+AG41+AH41))</f>
        <v>611.30149612209152</v>
      </c>
    </row>
    <row r="42" spans="1:43" ht="14.25" customHeight="1" x14ac:dyDescent="0.3">
      <c r="AF42" s="709" t="str">
        <f t="shared" si="75"/>
        <v>AAPL</v>
      </c>
      <c r="AG42" s="710">
        <v>-1.5</v>
      </c>
      <c r="AH42" s="711">
        <f>AG42/2</f>
        <v>-0.75</v>
      </c>
      <c r="AJ42" s="709" t="str">
        <f t="shared" si="76"/>
        <v>AAPL</v>
      </c>
      <c r="AK42" s="712">
        <v>0.77500000000000002</v>
      </c>
      <c r="AL42" s="713">
        <f>1-AK42</f>
        <v>0.22499999999999998</v>
      </c>
      <c r="AM42" s="4"/>
      <c r="AN42" s="8"/>
      <c r="AO42" s="4"/>
      <c r="AP42" s="715">
        <f>(AK32*I17+AL32*J17)+AG32</f>
        <v>275.35292939429246</v>
      </c>
      <c r="AQ42" s="715">
        <f>AK7+AH42</f>
        <v>274.60292939429246</v>
      </c>
    </row>
    <row r="43" spans="1:43" ht="14.25" customHeight="1" x14ac:dyDescent="0.3">
      <c r="AF43" s="8"/>
      <c r="AG43" s="8"/>
      <c r="AH43" s="8"/>
      <c r="AI43" s="8"/>
      <c r="AJ43" s="8"/>
      <c r="AL43" s="9"/>
      <c r="AM43" s="4"/>
      <c r="AN43" s="8"/>
      <c r="AO43" s="4"/>
    </row>
    <row r="44" spans="1:43" ht="14.25" customHeight="1" x14ac:dyDescent="0.3">
      <c r="AF44" s="4"/>
      <c r="AG44" s="9"/>
      <c r="AH44" s="4"/>
      <c r="AI44" s="8"/>
      <c r="AJ44" s="4"/>
    </row>
    <row r="45" spans="1:43" ht="14.25" customHeight="1" x14ac:dyDescent="0.3">
      <c r="AF45" s="4"/>
      <c r="AG45" s="9"/>
      <c r="AH45" s="4"/>
      <c r="AI45" s="8"/>
      <c r="AJ45" s="8"/>
    </row>
    <row r="46" spans="1:43" ht="14.25" customHeight="1" x14ac:dyDescent="0.3">
      <c r="AF46" s="4"/>
      <c r="AG46" s="9"/>
      <c r="AH46" s="4"/>
      <c r="AI46" s="8"/>
      <c r="AJ46" s="8"/>
    </row>
    <row r="47" spans="1:43" ht="14.25" customHeight="1" x14ac:dyDescent="0.3">
      <c r="AF47" s="4"/>
      <c r="AG47" s="9"/>
      <c r="AH47" s="4"/>
      <c r="AI47" s="8"/>
      <c r="AJ47" s="8"/>
    </row>
    <row r="48" spans="1:43" ht="14.25" customHeight="1" x14ac:dyDescent="0.3">
      <c r="AF48" s="8"/>
      <c r="AG48" s="9"/>
      <c r="AH48" s="8"/>
      <c r="AI48" s="8"/>
      <c r="AJ48" s="8"/>
    </row>
    <row r="49" spans="32:36" ht="14.25" customHeight="1" x14ac:dyDescent="0.3">
      <c r="AF49" s="8"/>
      <c r="AG49" s="9"/>
      <c r="AH49" s="8"/>
      <c r="AI49" s="8"/>
      <c r="AJ49" s="8"/>
    </row>
  </sheetData>
  <mergeCells count="34">
    <mergeCell ref="AK1:AL1"/>
    <mergeCell ref="AN1:AN6"/>
    <mergeCell ref="AO7:AP7"/>
    <mergeCell ref="AQ7:AR7"/>
    <mergeCell ref="AS7:AT7"/>
    <mergeCell ref="AU7:AV7"/>
    <mergeCell ref="AN8:AN13"/>
    <mergeCell ref="AF9:AG9"/>
    <mergeCell ref="AJ9:AK9"/>
    <mergeCell ref="AF10:AG10"/>
    <mergeCell ref="AJ10:AK10"/>
    <mergeCell ref="C11:D11"/>
    <mergeCell ref="E11:F11"/>
    <mergeCell ref="G11:H11"/>
    <mergeCell ref="AG13:AH13"/>
    <mergeCell ref="AK13:AL13"/>
    <mergeCell ref="C20:D20"/>
    <mergeCell ref="E20:F20"/>
    <mergeCell ref="G20:H20"/>
    <mergeCell ref="I20:J20"/>
    <mergeCell ref="AF21:AG21"/>
    <mergeCell ref="AJ21:AK21"/>
    <mergeCell ref="AF22:AG22"/>
    <mergeCell ref="AJ22:AK22"/>
    <mergeCell ref="AG25:AH25"/>
    <mergeCell ref="AK25:AL25"/>
    <mergeCell ref="AG35:AH35"/>
    <mergeCell ref="AK35:AL35"/>
    <mergeCell ref="AP36:AQ36"/>
    <mergeCell ref="AP26:AQ26"/>
    <mergeCell ref="C29:D29"/>
    <mergeCell ref="E29:F29"/>
    <mergeCell ref="G29:H29"/>
    <mergeCell ref="I29:J29"/>
  </mergeCells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36"/>
  <sheetViews>
    <sheetView zoomScale="140" zoomScaleNormal="140" workbookViewId="0">
      <selection activeCell="I23" sqref="I23"/>
    </sheetView>
  </sheetViews>
  <sheetFormatPr defaultColWidth="8.77734375" defaultRowHeight="14.25" customHeight="1" x14ac:dyDescent="0.3"/>
  <cols>
    <col min="1" max="1" width="8.77734375" style="661"/>
    <col min="2" max="11" width="8.6640625" style="661" customWidth="1"/>
    <col min="12" max="12" width="4" style="661" customWidth="1"/>
    <col min="13" max="13" width="9" style="661" customWidth="1"/>
    <col min="14" max="14" width="5.88671875" style="251" customWidth="1"/>
    <col min="15" max="15" width="3.33203125" style="661" hidden="1" customWidth="1"/>
    <col min="16" max="16" width="5.88671875" style="251" customWidth="1"/>
    <col min="17" max="17" width="3.33203125" style="661" hidden="1" customWidth="1"/>
    <col min="18" max="18" width="5.88671875" style="251" customWidth="1"/>
    <col min="19" max="19" width="3.33203125" style="661" hidden="1" customWidth="1"/>
    <col min="20" max="20" width="5.88671875" style="251" customWidth="1"/>
    <col min="21" max="21" width="3.33203125" style="661" hidden="1" customWidth="1"/>
    <col min="22" max="22" width="5.88671875" style="251" customWidth="1"/>
    <col min="23" max="23" width="3.33203125" style="661" hidden="1" customWidth="1"/>
    <col min="24" max="24" width="5.88671875" style="251" customWidth="1"/>
    <col min="25" max="25" width="3.33203125" style="661" hidden="1" customWidth="1"/>
    <col min="26" max="26" width="4" style="661" customWidth="1"/>
    <col min="27" max="27" width="8.88671875" style="798" customWidth="1"/>
    <col min="28" max="28" width="8.88671875" style="799" customWidth="1"/>
    <col min="29" max="29" width="8.77734375" style="798"/>
    <col min="30" max="16384" width="8.77734375" style="661"/>
  </cols>
  <sheetData>
    <row r="1" spans="1:39" ht="14.4" x14ac:dyDescent="0.3">
      <c r="A1" s="2" t="s">
        <v>0</v>
      </c>
      <c r="B1" s="888" t="s">
        <v>129</v>
      </c>
      <c r="C1" s="889" t="s">
        <v>130</v>
      </c>
      <c r="D1" s="889" t="s">
        <v>131</v>
      </c>
      <c r="E1" s="889" t="s">
        <v>34</v>
      </c>
      <c r="F1" s="889">
        <v>4</v>
      </c>
      <c r="G1" s="889" t="s">
        <v>95</v>
      </c>
      <c r="H1" s="889" t="s">
        <v>42</v>
      </c>
      <c r="I1" s="890" t="s">
        <v>96</v>
      </c>
      <c r="J1" s="891" t="s">
        <v>133</v>
      </c>
      <c r="K1" s="892" t="s">
        <v>134</v>
      </c>
      <c r="M1" s="19" t="s">
        <v>11</v>
      </c>
      <c r="N1" s="20" t="s">
        <v>12</v>
      </c>
      <c r="O1" s="801">
        <f>SUM(N2:N9)</f>
        <v>798.58294649401421</v>
      </c>
      <c r="P1" s="22" t="s">
        <v>13</v>
      </c>
      <c r="Q1" s="802">
        <f>SUM(P2:P9)</f>
        <v>794.96414973471451</v>
      </c>
      <c r="R1" s="24" t="s">
        <v>14</v>
      </c>
      <c r="S1" s="802">
        <f>SUM(R2:R9)</f>
        <v>790.49579346125097</v>
      </c>
      <c r="T1" s="803" t="s">
        <v>15</v>
      </c>
      <c r="U1" s="802">
        <f>SUM(T2:T9)</f>
        <v>771.6457023060799</v>
      </c>
      <c r="V1" s="804" t="s">
        <v>16</v>
      </c>
      <c r="W1" s="805">
        <f>SUM(V2:V9)</f>
        <v>781.5249122576837</v>
      </c>
      <c r="X1" s="806" t="s">
        <v>17</v>
      </c>
      <c r="Y1" s="807">
        <f>SUM(X2:X9)</f>
        <v>789.77539389875972</v>
      </c>
      <c r="Z1" s="808"/>
      <c r="AA1" s="809" t="s">
        <v>18</v>
      </c>
      <c r="AB1" s="810" t="s">
        <v>19</v>
      </c>
      <c r="AF1" s="893" t="s">
        <v>47</v>
      </c>
      <c r="AG1" s="894"/>
      <c r="AH1" s="895">
        <v>85220</v>
      </c>
      <c r="AI1" s="896"/>
      <c r="AJ1" s="895" t="s">
        <v>48</v>
      </c>
      <c r="AK1" s="897"/>
    </row>
    <row r="2" spans="1:39" ht="14.4" x14ac:dyDescent="0.3">
      <c r="A2" s="743" t="s">
        <v>12</v>
      </c>
      <c r="B2" s="898">
        <v>4.09</v>
      </c>
      <c r="C2" s="899">
        <v>4.08</v>
      </c>
      <c r="D2" s="899">
        <v>4.08</v>
      </c>
      <c r="E2" s="899">
        <v>4.08</v>
      </c>
      <c r="F2" s="899">
        <v>4.09</v>
      </c>
      <c r="G2" s="899">
        <v>4.09</v>
      </c>
      <c r="H2" s="900">
        <v>4.09</v>
      </c>
      <c r="I2" s="901">
        <v>4.0999999999999996</v>
      </c>
      <c r="K2" s="902">
        <v>4.093</v>
      </c>
      <c r="M2" s="811" t="str">
        <f>B1</f>
        <v>O</v>
      </c>
      <c r="N2" s="494">
        <f>100-ABS((($K2-B2)/($K2)))*100</f>
        <v>99.926704129000726</v>
      </c>
      <c r="O2" s="812">
        <f t="shared" ref="O2:O9" si="0">N2/$O$1</f>
        <v>0.12513002508719329</v>
      </c>
      <c r="P2" s="496">
        <f>100-ABS((($K3-B3)/($K3)))*100</f>
        <v>99.227660357842893</v>
      </c>
      <c r="Q2" s="813">
        <f t="shared" ref="Q2:Q9" si="1">P2/$Q$1</f>
        <v>0.12482029584724784</v>
      </c>
      <c r="R2" s="497">
        <f>100-ABS((($K4-B4)/($K4)))*100</f>
        <v>98.644782658449273</v>
      </c>
      <c r="S2" s="813">
        <f t="shared" ref="S2:S9" si="2">R2/$S$1</f>
        <v>0.12478849789513106</v>
      </c>
      <c r="T2" s="497">
        <f>100-ABS((($K5-B5)/($K5)))*100</f>
        <v>97.484276729559767</v>
      </c>
      <c r="U2" s="813">
        <f t="shared" ref="U2:U9" si="3">T2/$U$1</f>
        <v>0.12633294844800649</v>
      </c>
      <c r="V2" s="498">
        <f>100-ABS((($K6-B6)/($K6)))*100</f>
        <v>97.202086135073969</v>
      </c>
      <c r="W2" s="814">
        <f t="shared" ref="W2:W9" si="4">V2/$W$1</f>
        <v>0.12437490425516287</v>
      </c>
      <c r="X2" s="500">
        <f>100-ABS((($K7-B7)/($K7)))*100</f>
        <v>98.722389838715699</v>
      </c>
      <c r="Y2" s="815">
        <f t="shared" ref="Y2:Y9" si="5">X2/$Y$1</f>
        <v>0.12500058953643572</v>
      </c>
      <c r="Z2" s="808"/>
      <c r="AA2" s="816">
        <f t="shared" ref="AA2:AA9" si="6">(P2+R2+T2+V2)/4</f>
        <v>98.139701470231472</v>
      </c>
      <c r="AB2" s="817">
        <f t="shared" ref="AB2:AB9" si="7">(N2+P2+R2+T2+V2+X2)/6</f>
        <v>98.534649974773728</v>
      </c>
      <c r="AC2" s="818" t="str">
        <f>IF($AA2=MAX(AA2:AA9),"TOP","")</f>
        <v/>
      </c>
      <c r="AD2" s="819"/>
      <c r="AE2" s="53" t="s">
        <v>12</v>
      </c>
      <c r="AF2" s="903">
        <v>4.08</v>
      </c>
      <c r="AG2" s="904" t="str">
        <f t="shared" ref="AG2:AG7" si="8">IF(ABS(K2-I12)&lt;ABS(AF2-K2),$J$1,$AF$1)</f>
        <v>Comb</v>
      </c>
      <c r="AH2" s="903">
        <v>4.09</v>
      </c>
      <c r="AI2" s="904">
        <f t="shared" ref="AI2:AI7" si="9">IF(ABS(K2-I12)&lt;ABS(K2-AH2),$J$1,$AH$1)</f>
        <v>85220</v>
      </c>
      <c r="AJ2" s="903">
        <v>4.09</v>
      </c>
      <c r="AK2" s="905" t="str">
        <f t="shared" ref="AK2:AK7" si="10">IF(ABS(I12-K2)&lt;ABS(K2-AJ2),$J$1,$AJ$1)</f>
        <v>MICH</v>
      </c>
    </row>
    <row r="3" spans="1:39" ht="14.4" x14ac:dyDescent="0.3">
      <c r="A3" s="82" t="s">
        <v>13</v>
      </c>
      <c r="B3" s="906">
        <v>47350</v>
      </c>
      <c r="C3" s="907">
        <v>47300</v>
      </c>
      <c r="D3" s="907">
        <v>47310</v>
      </c>
      <c r="E3" s="907">
        <v>47280</v>
      </c>
      <c r="F3" s="907">
        <v>47393</v>
      </c>
      <c r="G3" s="907">
        <v>47180</v>
      </c>
      <c r="H3" s="907">
        <v>47250</v>
      </c>
      <c r="I3" s="908">
        <v>47200</v>
      </c>
      <c r="K3" s="909">
        <v>46987.1</v>
      </c>
      <c r="M3" s="821" t="str">
        <f>C1</f>
        <v>G</v>
      </c>
      <c r="N3" s="822">
        <f>100-ABS((($K2-C2)/($K2)))*100</f>
        <v>99.682384559003182</v>
      </c>
      <c r="O3" s="823">
        <f t="shared" si="0"/>
        <v>0.12482408370556201</v>
      </c>
      <c r="P3" s="824">
        <f>100-ABS((($K3-C3)/($K3)))*100</f>
        <v>99.334072543315074</v>
      </c>
      <c r="Q3" s="825">
        <f t="shared" si="1"/>
        <v>0.12495415368914888</v>
      </c>
      <c r="R3" s="825">
        <f>100-ABS((($K4-C4)/($K4)))*100</f>
        <v>98.79339734663337</v>
      </c>
      <c r="S3" s="825">
        <f t="shared" si="2"/>
        <v>0.12497649976612568</v>
      </c>
      <c r="T3" s="825">
        <f>100-ABS((($K5-C5)/($K5)))*100</f>
        <v>94.916142557651995</v>
      </c>
      <c r="U3" s="825">
        <f t="shared" si="3"/>
        <v>0.12300482238674181</v>
      </c>
      <c r="V3" s="826">
        <f>100-ABS((($K6-C6)/($K6)))*100</f>
        <v>97.989306917702635</v>
      </c>
      <c r="W3" s="827">
        <f t="shared" si="4"/>
        <v>0.12538219240462764</v>
      </c>
      <c r="X3" s="828">
        <f>100-ABS((($K7-C7)/($K7)))*100</f>
        <v>98.685141729057264</v>
      </c>
      <c r="Y3" s="815">
        <f t="shared" si="5"/>
        <v>0.12495342662157892</v>
      </c>
      <c r="Z3" s="808"/>
      <c r="AA3" s="829">
        <f t="shared" si="6"/>
        <v>97.758229841325772</v>
      </c>
      <c r="AB3" s="830">
        <f t="shared" si="7"/>
        <v>98.233407608893913</v>
      </c>
      <c r="AC3" s="818" t="str">
        <f>IF($AA3=MAX(AA2:AA9),"TOP","")</f>
        <v/>
      </c>
      <c r="AD3" s="819"/>
      <c r="AE3" s="60" t="s">
        <v>13</v>
      </c>
      <c r="AF3" s="910">
        <v>47288</v>
      </c>
      <c r="AG3" s="911" t="str">
        <f t="shared" si="8"/>
        <v>Comb</v>
      </c>
      <c r="AH3" s="910">
        <v>47298</v>
      </c>
      <c r="AI3" s="911" t="str">
        <f t="shared" si="9"/>
        <v>Comb</v>
      </c>
      <c r="AJ3" s="910">
        <v>47280</v>
      </c>
      <c r="AK3" s="912" t="str">
        <f t="shared" si="10"/>
        <v>MICH</v>
      </c>
    </row>
    <row r="4" spans="1:39" ht="14.4" x14ac:dyDescent="0.3">
      <c r="A4" s="82" t="s">
        <v>14</v>
      </c>
      <c r="B4" s="906">
        <v>6820</v>
      </c>
      <c r="C4" s="907">
        <v>6810</v>
      </c>
      <c r="D4" s="907">
        <v>6810</v>
      </c>
      <c r="E4" s="907">
        <v>6810</v>
      </c>
      <c r="F4" s="907">
        <v>6810</v>
      </c>
      <c r="G4" s="907">
        <v>6800</v>
      </c>
      <c r="H4" s="907">
        <v>6810</v>
      </c>
      <c r="I4" s="908">
        <v>6800</v>
      </c>
      <c r="K4" s="909">
        <v>6728.81</v>
      </c>
      <c r="M4" s="821" t="str">
        <f>D1</f>
        <v>P</v>
      </c>
      <c r="N4" s="822">
        <f>100-ABS((($K2-D2)/($K2)))*100</f>
        <v>99.682384559003182</v>
      </c>
      <c r="O4" s="823">
        <f t="shared" si="0"/>
        <v>0.12482408370556201</v>
      </c>
      <c r="P4" s="824">
        <f>100-ABS((($K3-D3)/($K3)))*100</f>
        <v>99.312790106220646</v>
      </c>
      <c r="Q4" s="825">
        <f t="shared" si="1"/>
        <v>0.12492738212076868</v>
      </c>
      <c r="R4" s="825">
        <f>100-ABS((($K4-D4)/($K4)))*100</f>
        <v>98.79339734663337</v>
      </c>
      <c r="S4" s="825">
        <f t="shared" si="2"/>
        <v>0.12497649976612568</v>
      </c>
      <c r="T4" s="825">
        <f>100-ABS((($K5-D5)/($K5)))*100</f>
        <v>96.960167714884705</v>
      </c>
      <c r="U4" s="825">
        <f t="shared" si="3"/>
        <v>0.1256537390477484</v>
      </c>
      <c r="V4" s="826">
        <f>100-ABS((($K6-D6)/($K6)))*100</f>
        <v>97.579296093416872</v>
      </c>
      <c r="W4" s="827">
        <f t="shared" si="4"/>
        <v>0.12485756316011475</v>
      </c>
      <c r="X4" s="828">
        <f>100-ABS((($K7-D7)/($K7)))*100</f>
        <v>98.722389838715699</v>
      </c>
      <c r="Y4" s="815">
        <f t="shared" si="5"/>
        <v>0.12500058953643572</v>
      </c>
      <c r="Z4" s="808"/>
      <c r="AA4" s="829">
        <f t="shared" si="6"/>
        <v>98.161412815288898</v>
      </c>
      <c r="AB4" s="830">
        <f t="shared" si="7"/>
        <v>98.508404276479084</v>
      </c>
      <c r="AC4" s="818" t="str">
        <f>IF($AA4=MAX(AA2:AA9),"TOP","")</f>
        <v/>
      </c>
      <c r="AD4" s="819"/>
      <c r="AE4" s="82" t="s">
        <v>14</v>
      </c>
      <c r="AF4" s="913">
        <v>6808</v>
      </c>
      <c r="AG4" s="914" t="str">
        <f t="shared" si="8"/>
        <v>RD</v>
      </c>
      <c r="AH4" s="913">
        <v>6811</v>
      </c>
      <c r="AI4" s="914" t="str">
        <f t="shared" si="9"/>
        <v>Comb</v>
      </c>
      <c r="AJ4" s="913">
        <v>6811</v>
      </c>
      <c r="AK4" s="915" t="str">
        <f t="shared" si="10"/>
        <v>Comb</v>
      </c>
    </row>
    <row r="5" spans="1:39" ht="14.4" x14ac:dyDescent="0.3">
      <c r="A5" s="82" t="s">
        <v>15</v>
      </c>
      <c r="B5" s="916">
        <v>18.600000000000001</v>
      </c>
      <c r="C5" s="917">
        <v>18.11</v>
      </c>
      <c r="D5" s="917">
        <v>18.5</v>
      </c>
      <c r="E5" s="917">
        <v>18.5</v>
      </c>
      <c r="F5" s="917">
        <v>18.11</v>
      </c>
      <c r="G5" s="917">
        <v>17.8</v>
      </c>
      <c r="H5" s="918">
        <v>18.7</v>
      </c>
      <c r="I5" s="919">
        <v>19.25</v>
      </c>
      <c r="K5" s="909">
        <v>19.079999999999998</v>
      </c>
      <c r="M5" s="821" t="str">
        <f>E1</f>
        <v>C</v>
      </c>
      <c r="N5" s="822">
        <f>100-ABS((($K2-E2)/($K2)))*100</f>
        <v>99.682384559003182</v>
      </c>
      <c r="O5" s="823">
        <f t="shared" si="0"/>
        <v>0.12482408370556201</v>
      </c>
      <c r="P5" s="824">
        <f>100-ABS((($K3-E3)/($K3)))*100</f>
        <v>99.376637417503943</v>
      </c>
      <c r="Q5" s="825">
        <f t="shared" si="1"/>
        <v>0.12500769682590929</v>
      </c>
      <c r="R5" s="825">
        <f>100-ABS((($K4-E4)/($K4)))*100</f>
        <v>98.79339734663337</v>
      </c>
      <c r="S5" s="825">
        <f t="shared" si="2"/>
        <v>0.12497649976612568</v>
      </c>
      <c r="T5" s="825">
        <f>100-ABS((($K5-E5)/($K5)))*100</f>
        <v>96.960167714884705</v>
      </c>
      <c r="U5" s="825">
        <f t="shared" si="3"/>
        <v>0.1256537390477484</v>
      </c>
      <c r="V5" s="826">
        <f>100-ABS((($K6-E6)/($K6)))*100</f>
        <v>97.579296093416872</v>
      </c>
      <c r="W5" s="827">
        <f t="shared" si="4"/>
        <v>0.12485756316011475</v>
      </c>
      <c r="X5" s="828">
        <f>100-ABS((($K7-E7)/($K7)))*100</f>
        <v>98.908630387007875</v>
      </c>
      <c r="Y5" s="815">
        <f t="shared" si="5"/>
        <v>0.12523640411071968</v>
      </c>
      <c r="Z5" s="808"/>
      <c r="AA5" s="829">
        <f t="shared" si="6"/>
        <v>98.177374643109729</v>
      </c>
      <c r="AB5" s="830">
        <f t="shared" si="7"/>
        <v>98.550085586408329</v>
      </c>
      <c r="AC5" s="818" t="str">
        <f>IF($AA5=MAX(AA2:AA9),"TOP","")</f>
        <v/>
      </c>
      <c r="AD5" s="819"/>
      <c r="AE5" s="82" t="s">
        <v>15</v>
      </c>
      <c r="AF5" s="913">
        <v>18.399999999999999</v>
      </c>
      <c r="AG5" s="914" t="str">
        <f t="shared" si="8"/>
        <v>Comb</v>
      </c>
      <c r="AH5" s="913">
        <v>18.5</v>
      </c>
      <c r="AI5" s="914">
        <f t="shared" si="9"/>
        <v>85220</v>
      </c>
      <c r="AJ5" s="913">
        <v>18.5</v>
      </c>
      <c r="AK5" s="915" t="str">
        <f t="shared" si="10"/>
        <v>MICH</v>
      </c>
    </row>
    <row r="6" spans="1:39" ht="14.4" x14ac:dyDescent="0.3">
      <c r="A6" s="82" t="s">
        <v>16</v>
      </c>
      <c r="B6" s="916">
        <v>626.79999999999995</v>
      </c>
      <c r="C6" s="917">
        <v>622</v>
      </c>
      <c r="D6" s="917">
        <v>624.5</v>
      </c>
      <c r="E6" s="917">
        <v>624.5</v>
      </c>
      <c r="F6" s="917">
        <v>622.37</v>
      </c>
      <c r="G6" s="917">
        <v>622.4</v>
      </c>
      <c r="H6" s="918">
        <v>628</v>
      </c>
      <c r="I6" s="919">
        <v>620</v>
      </c>
      <c r="K6" s="909">
        <v>609.74</v>
      </c>
      <c r="M6" s="821">
        <f>F1</f>
        <v>4</v>
      </c>
      <c r="N6" s="822">
        <f>100-ABS((($K2-F2)/($K2)))*100</f>
        <v>99.926704129000726</v>
      </c>
      <c r="O6" s="823">
        <f t="shared" si="0"/>
        <v>0.12513002508719329</v>
      </c>
      <c r="P6" s="824">
        <f>100-ABS((($K3-F3)/($K3)))*100</f>
        <v>99.136145878336819</v>
      </c>
      <c r="Q6" s="825">
        <f t="shared" si="1"/>
        <v>0.12470517810321295</v>
      </c>
      <c r="R6" s="825">
        <f>100-ABS((($K4-F4)/($K4)))*100</f>
        <v>98.79339734663337</v>
      </c>
      <c r="S6" s="825">
        <f t="shared" si="2"/>
        <v>0.12497649976612568</v>
      </c>
      <c r="T6" s="825">
        <f>100-ABS((($K5-F5)/($K5)))*100</f>
        <v>94.916142557651995</v>
      </c>
      <c r="U6" s="825">
        <f t="shared" si="3"/>
        <v>0.12300482238674181</v>
      </c>
      <c r="V6" s="826">
        <f>100-ABS((($K6-F6)/($K6)))*100</f>
        <v>97.928625315708331</v>
      </c>
      <c r="W6" s="827">
        <f t="shared" si="4"/>
        <v>0.12530454727643972</v>
      </c>
      <c r="X6" s="828">
        <f>100-ABS((($K7-F7)/($K7)))*100</f>
        <v>98.681416918091415</v>
      </c>
      <c r="Y6" s="815">
        <f t="shared" si="5"/>
        <v>0.12494871033009324</v>
      </c>
      <c r="Z6" s="808"/>
      <c r="AA6" s="829">
        <f t="shared" si="6"/>
        <v>97.693577774582621</v>
      </c>
      <c r="AB6" s="830">
        <f t="shared" si="7"/>
        <v>98.230405357570433</v>
      </c>
      <c r="AC6" s="818" t="str">
        <f>IF($AA6=MAX(AA2:AA9),"TOP","")</f>
        <v/>
      </c>
      <c r="AD6" s="819"/>
      <c r="AE6" s="99" t="s">
        <v>16</v>
      </c>
      <c r="AF6" s="920">
        <v>623.9</v>
      </c>
      <c r="AG6" s="921" t="str">
        <f t="shared" si="8"/>
        <v>Comb</v>
      </c>
      <c r="AH6" s="920">
        <v>623.29999999999995</v>
      </c>
      <c r="AI6" s="921">
        <f t="shared" si="9"/>
        <v>85220</v>
      </c>
      <c r="AJ6" s="920">
        <v>622.1</v>
      </c>
      <c r="AK6" s="922" t="str">
        <f t="shared" si="10"/>
        <v>MICH</v>
      </c>
    </row>
    <row r="7" spans="1:39" ht="14.4" x14ac:dyDescent="0.3">
      <c r="A7" s="745" t="s">
        <v>17</v>
      </c>
      <c r="B7" s="923">
        <v>271.89999999999998</v>
      </c>
      <c r="C7" s="924">
        <v>272</v>
      </c>
      <c r="D7" s="924">
        <v>271.89999999999998</v>
      </c>
      <c r="E7" s="924">
        <v>271.39999999999998</v>
      </c>
      <c r="F7" s="924">
        <v>272.01</v>
      </c>
      <c r="G7" s="924">
        <v>272</v>
      </c>
      <c r="H7" s="925">
        <v>272</v>
      </c>
      <c r="I7" s="926">
        <v>272</v>
      </c>
      <c r="K7" s="927">
        <v>268.47000000000003</v>
      </c>
      <c r="M7" s="821" t="str">
        <f>G1</f>
        <v>K</v>
      </c>
      <c r="N7" s="822">
        <f>100-ABS((($K2-G2)/($K2)))*100</f>
        <v>99.926704129000726</v>
      </c>
      <c r="O7" s="823">
        <f t="shared" si="0"/>
        <v>0.12513002508719329</v>
      </c>
      <c r="P7" s="824">
        <f>100-ABS((($K3-G3)/($K3)))*100</f>
        <v>99.589461788448318</v>
      </c>
      <c r="Q7" s="825">
        <f t="shared" si="1"/>
        <v>0.12527541250971136</v>
      </c>
      <c r="R7" s="825">
        <f>100-ABS((($K4-G4)/($K4)))*100</f>
        <v>98.942012034817452</v>
      </c>
      <c r="S7" s="825">
        <f t="shared" si="2"/>
        <v>0.12516450163712028</v>
      </c>
      <c r="T7" s="825">
        <f>100-ABS((($K5-G5)/($K5)))*100</f>
        <v>93.29140461215934</v>
      </c>
      <c r="U7" s="825">
        <f t="shared" si="3"/>
        <v>0.1208992732459417</v>
      </c>
      <c r="V7" s="826">
        <f>100-ABS((($K6-G6)/($K6)))*100</f>
        <v>97.923705185816914</v>
      </c>
      <c r="W7" s="827">
        <f t="shared" si="4"/>
        <v>0.12529825172550557</v>
      </c>
      <c r="X7" s="828">
        <f>100-ABS((($K7-G7)/($K7)))*100</f>
        <v>98.685141729057264</v>
      </c>
      <c r="Y7" s="815">
        <f t="shared" si="5"/>
        <v>0.12495342662157892</v>
      </c>
      <c r="Z7" s="808"/>
      <c r="AA7" s="829">
        <f t="shared" si="6"/>
        <v>97.436645905310499</v>
      </c>
      <c r="AB7" s="830">
        <f t="shared" si="7"/>
        <v>98.059738246550012</v>
      </c>
      <c r="AC7" s="818" t="str">
        <f>IF($AA7=MAX(AA2:AA9),"TOP","")</f>
        <v/>
      </c>
      <c r="AD7" s="819"/>
      <c r="AE7" s="114" t="s">
        <v>17</v>
      </c>
      <c r="AF7" s="928">
        <v>272</v>
      </c>
      <c r="AG7" s="929" t="str">
        <f t="shared" si="8"/>
        <v>Comb</v>
      </c>
      <c r="AH7" s="928">
        <v>271.8</v>
      </c>
      <c r="AI7" s="929">
        <f t="shared" si="9"/>
        <v>85220</v>
      </c>
      <c r="AJ7" s="928">
        <v>271.10000000000002</v>
      </c>
      <c r="AK7" s="930" t="str">
        <f t="shared" si="10"/>
        <v>MICH</v>
      </c>
    </row>
    <row r="8" spans="1:39" ht="14.4" x14ac:dyDescent="0.3">
      <c r="M8" s="821" t="str">
        <f>H1</f>
        <v>Q</v>
      </c>
      <c r="N8" s="822">
        <f>100-ABS((($K2-H2)/($K2)))*100</f>
        <v>99.926704129000726</v>
      </c>
      <c r="O8" s="823">
        <f t="shared" si="0"/>
        <v>0.12513002508719329</v>
      </c>
      <c r="P8" s="824">
        <f>100-ABS((($K3-H3)/($K3)))*100</f>
        <v>99.440484728787254</v>
      </c>
      <c r="Q8" s="825">
        <f t="shared" si="1"/>
        <v>0.1250880115310499</v>
      </c>
      <c r="R8" s="825">
        <f>100-ABS((($K4-H4)/($K4)))*100</f>
        <v>98.79339734663337</v>
      </c>
      <c r="S8" s="825">
        <f t="shared" si="2"/>
        <v>0.12497649976612568</v>
      </c>
      <c r="T8" s="825">
        <f>100-ABS((($K5-H5)/($K5)))*100</f>
        <v>98.008385744234801</v>
      </c>
      <c r="U8" s="825">
        <f t="shared" si="3"/>
        <v>0.12701215784826458</v>
      </c>
      <c r="V8" s="826">
        <f>100-ABS((($K6-H6)/($K6)))*100</f>
        <v>97.005280939416807</v>
      </c>
      <c r="W8" s="827">
        <f t="shared" si="4"/>
        <v>0.12412308221779668</v>
      </c>
      <c r="X8" s="828">
        <f>100-ABS((($K7-H7)/($K7)))*100</f>
        <v>98.685141729057264</v>
      </c>
      <c r="Y8" s="815">
        <f t="shared" si="5"/>
        <v>0.12495342662157892</v>
      </c>
      <c r="Z8" s="808"/>
      <c r="AA8" s="829">
        <f t="shared" si="6"/>
        <v>98.311887189768072</v>
      </c>
      <c r="AB8" s="830">
        <f t="shared" si="7"/>
        <v>98.64323243618837</v>
      </c>
      <c r="AC8" s="818" t="str">
        <f>IF($AA8=MAX(AA2:AA9),"TOP","")</f>
        <v/>
      </c>
      <c r="AD8" s="819"/>
    </row>
    <row r="9" spans="1:39" ht="14.4" x14ac:dyDescent="0.3">
      <c r="M9" s="831" t="str">
        <f>I1</f>
        <v>L</v>
      </c>
      <c r="N9" s="832">
        <f>100-ABS((($K2-I2)/($K2)))*100</f>
        <v>99.828976301001717</v>
      </c>
      <c r="O9" s="833">
        <f t="shared" si="0"/>
        <v>0.12500764853454077</v>
      </c>
      <c r="P9" s="834">
        <f>100-ABS((($K3-I3)/($K3)))*100</f>
        <v>99.546896914259449</v>
      </c>
      <c r="Q9" s="835">
        <f t="shared" si="1"/>
        <v>0.12522186937295096</v>
      </c>
      <c r="R9" s="835">
        <f>100-ABS((($K4-I4)/($K4)))*100</f>
        <v>98.942012034817452</v>
      </c>
      <c r="S9" s="835">
        <f t="shared" si="2"/>
        <v>0.12516450163712028</v>
      </c>
      <c r="T9" s="836">
        <f>100-ABS((($K5-I5)/($K5)))*100</f>
        <v>99.109014675052407</v>
      </c>
      <c r="U9" s="835">
        <f t="shared" si="3"/>
        <v>0.12843849758880657</v>
      </c>
      <c r="V9" s="837">
        <f>100-ABS((($K6-I6)/($K6)))*100</f>
        <v>98.317315577131239</v>
      </c>
      <c r="W9" s="838">
        <f t="shared" si="4"/>
        <v>0.12580189580023796</v>
      </c>
      <c r="X9" s="839">
        <f>100-ABS((($K7-I7)/($K7)))*100</f>
        <v>98.685141729057264</v>
      </c>
      <c r="Y9" s="840">
        <f t="shared" si="5"/>
        <v>0.12495342662157892</v>
      </c>
      <c r="Z9" s="808"/>
      <c r="AA9" s="841">
        <f t="shared" si="6"/>
        <v>98.978809800315133</v>
      </c>
      <c r="AB9" s="842">
        <f t="shared" si="7"/>
        <v>99.071559538553245</v>
      </c>
      <c r="AC9" s="818" t="str">
        <f>IF($AA9=MAX(AA2:AA9),"TOP","FLOP")</f>
        <v>TOP</v>
      </c>
      <c r="AD9" s="819"/>
    </row>
    <row r="10" spans="1:39" ht="14.4" x14ac:dyDescent="0.3">
      <c r="E10" s="931"/>
      <c r="N10" s="844"/>
      <c r="O10" s="798"/>
      <c r="P10" s="844"/>
      <c r="Q10" s="798"/>
      <c r="R10" s="844"/>
      <c r="S10" s="798"/>
      <c r="T10" s="844"/>
      <c r="U10" s="798"/>
      <c r="V10" s="844"/>
      <c r="W10" s="798"/>
      <c r="X10" s="844"/>
    </row>
    <row r="11" spans="1:39" ht="14.4" x14ac:dyDescent="0.3">
      <c r="B11" s="893" t="s">
        <v>46</v>
      </c>
      <c r="C11" s="893" t="s">
        <v>47</v>
      </c>
      <c r="D11" s="894"/>
      <c r="E11" s="895">
        <v>85220</v>
      </c>
      <c r="F11" s="896"/>
      <c r="G11" s="895" t="s">
        <v>48</v>
      </c>
      <c r="H11" s="897"/>
      <c r="I11" s="891" t="s">
        <v>36</v>
      </c>
      <c r="J11" s="891" t="s">
        <v>49</v>
      </c>
      <c r="K11" s="932" t="s">
        <v>50</v>
      </c>
      <c r="M11" s="845" t="s">
        <v>53</v>
      </c>
      <c r="N11" s="846" t="s">
        <v>12</v>
      </c>
      <c r="O11" s="801">
        <f>SUM(N12:N19)</f>
        <v>745</v>
      </c>
      <c r="P11" s="847" t="s">
        <v>13</v>
      </c>
      <c r="Q11" s="848">
        <f>SUM(P12:P19)</f>
        <v>650</v>
      </c>
      <c r="R11" s="849" t="s">
        <v>14</v>
      </c>
      <c r="S11" s="848">
        <f>SUM(R12:R19)</f>
        <v>560</v>
      </c>
      <c r="T11" s="849" t="s">
        <v>15</v>
      </c>
      <c r="U11" s="848">
        <f>SUM(T12:T19)</f>
        <v>390</v>
      </c>
      <c r="V11" s="849" t="s">
        <v>16</v>
      </c>
      <c r="W11" s="805">
        <f>SUM(V12:V19)</f>
        <v>485</v>
      </c>
      <c r="X11" s="850" t="s">
        <v>17</v>
      </c>
      <c r="Y11" s="807">
        <f>SUM(X12:X19)</f>
        <v>560</v>
      </c>
      <c r="Z11" s="808"/>
      <c r="AA11" s="809" t="s">
        <v>54</v>
      </c>
      <c r="AB11" s="851" t="s">
        <v>55</v>
      </c>
      <c r="AF11" s="30" t="s">
        <v>47</v>
      </c>
      <c r="AG11" s="933">
        <v>85220</v>
      </c>
      <c r="AH11" s="933" t="s">
        <v>48</v>
      </c>
      <c r="AI11" s="934" t="s">
        <v>133</v>
      </c>
      <c r="AK11" s="935" t="s">
        <v>20</v>
      </c>
    </row>
    <row r="12" spans="1:39" ht="14.4" x14ac:dyDescent="0.3">
      <c r="A12" s="53" t="s">
        <v>12</v>
      </c>
      <c r="B12" s="936">
        <v>4.12</v>
      </c>
      <c r="C12" s="936">
        <v>4.08</v>
      </c>
      <c r="D12" s="904" t="str">
        <f t="shared" ref="D12:D17" si="11">IF(ABS(K12-I12)&lt;ABS(C12-K12),$I$11,$C$11)</f>
        <v>LLM</v>
      </c>
      <c r="E12" s="936">
        <v>4.09</v>
      </c>
      <c r="F12" s="904">
        <f t="shared" ref="F12:F17" si="12">IF(ABS(K12-I12)&lt;ABS(K12-E12),$I$11,$E$11)</f>
        <v>85220</v>
      </c>
      <c r="G12" s="936">
        <v>4.09</v>
      </c>
      <c r="H12" s="905" t="str">
        <f t="shared" ref="H12:H17" si="13">IF(ABS(I12-K12)&lt;ABS(K12-G12),$I$11,$G$11)</f>
        <v>MICH</v>
      </c>
      <c r="I12" s="937">
        <f>(B2*O22)+(C2*O23)+(D2*O24)+(E2*O25)+(F2*O26)+(G2*O27)+(H2*O28)+(I2*O29)</f>
        <v>4.0875666541494553</v>
      </c>
      <c r="J12" s="938">
        <v>4.0875666541494597</v>
      </c>
      <c r="K12" s="939">
        <v>4.093</v>
      </c>
      <c r="M12" s="852" t="s">
        <v>129</v>
      </c>
      <c r="N12" s="853">
        <f t="shared" ref="N12:N19" si="14">IF(N2=0,0, LOOKUP(N2-0.000000000001,$AA$12:$AA$28,$AB$12:$AB$28))</f>
        <v>95</v>
      </c>
      <c r="O12" s="854">
        <f t="shared" ref="O12:O19" si="15">N12/$O$11</f>
        <v>0.12751677852348994</v>
      </c>
      <c r="P12" s="855">
        <f t="shared" ref="P12:P19" si="16">IF(P2=0,0, LOOKUP(P2-0.000000000001,$AA$12:$AA$28,$AB$12:$AB$28))</f>
        <v>75</v>
      </c>
      <c r="Q12" s="818">
        <f t="shared" ref="Q12:Q19" si="17">P12/$Q$11</f>
        <v>0.11538461538461539</v>
      </c>
      <c r="R12" s="844">
        <f t="shared" ref="R12:R19" si="18">IF(R2=0,0, LOOKUP(R2-0.000000000001,$AA$12:$AA$28,$AB$12:$AB$28))</f>
        <v>70</v>
      </c>
      <c r="S12" s="818">
        <f t="shared" ref="S12:S19" si="19">R12/$S$11</f>
        <v>0.125</v>
      </c>
      <c r="T12" s="844">
        <f t="shared" ref="T12:T19" si="20">IF(T2=0,0, LOOKUP(T2-0.000000000001,$AA$12:$AA$28,$AB$12:$AB$28))</f>
        <v>60</v>
      </c>
      <c r="U12" s="818">
        <f t="shared" ref="U12:U19" si="21">T12/$U$11</f>
        <v>0.15384615384615385</v>
      </c>
      <c r="V12" s="844">
        <f t="shared" ref="V12:V19" si="22">IF(V2=0,0, LOOKUP(V2-0.000000000001,$AA$12:$AA$28,$AB$12:$AB$28))</f>
        <v>60</v>
      </c>
      <c r="W12" s="798">
        <f t="shared" ref="W12:W19" si="23">V12/$W$11</f>
        <v>0.12371134020618557</v>
      </c>
      <c r="X12" s="856">
        <f t="shared" ref="X12:X19" si="24">IF(X2=0,0, LOOKUP(X2-0.000000000001,$AA$12:$AA$28,$AB$12:$AB$28))</f>
        <v>70</v>
      </c>
      <c r="Y12" s="857">
        <f t="shared" ref="Y12:Y19" si="25">X12/$Y$11</f>
        <v>0.125</v>
      </c>
      <c r="Z12" s="808"/>
      <c r="AA12" s="816">
        <v>1</v>
      </c>
      <c r="AB12" s="858">
        <v>0.1</v>
      </c>
      <c r="AE12" s="53" t="s">
        <v>12</v>
      </c>
      <c r="AF12" s="940">
        <f t="shared" ref="AF12:AF17" si="26">100-ABS(($K2-AF2)/($K2))*100</f>
        <v>99.682384559003182</v>
      </c>
      <c r="AG12" s="941">
        <f t="shared" ref="AG12:AG17" si="27">100-ABS(($K2-AH2)/($K2))*100</f>
        <v>99.926704129000726</v>
      </c>
      <c r="AH12" s="941">
        <f t="shared" ref="AH12:AH17" si="28">100-ABS(($K2-AJ2)/($K2))*100</f>
        <v>99.926704129000726</v>
      </c>
      <c r="AI12" s="942">
        <f t="shared" ref="AI12:AI17" si="29">100-ABS((($K2-I12)/($K2)))*100</f>
        <v>99.867252727814687</v>
      </c>
      <c r="AK12" s="943" t="s">
        <v>12</v>
      </c>
      <c r="AL12" s="944">
        <v>4</v>
      </c>
      <c r="AM12" s="945">
        <f>MAX(N2:N9)</f>
        <v>99.926704129000726</v>
      </c>
    </row>
    <row r="13" spans="1:39" ht="14.4" x14ac:dyDescent="0.3">
      <c r="A13" s="60" t="s">
        <v>13</v>
      </c>
      <c r="B13" s="946">
        <v>47927.96</v>
      </c>
      <c r="C13" s="946">
        <v>47288</v>
      </c>
      <c r="D13" s="911" t="str">
        <f t="shared" si="11"/>
        <v>LLM</v>
      </c>
      <c r="E13" s="946">
        <v>47298</v>
      </c>
      <c r="F13" s="911" t="str">
        <f t="shared" si="12"/>
        <v>LLM</v>
      </c>
      <c r="G13" s="946">
        <v>47280</v>
      </c>
      <c r="H13" s="912" t="str">
        <f t="shared" si="13"/>
        <v>MICH</v>
      </c>
      <c r="I13" s="947">
        <f>(B3*Q22)+(C3*Q23)+(D3*Q24)+(E3*Q25)+(F3*Q26)+(G3*Q27)+(H3*Q28)+(I3*Q29)</f>
        <v>47282.538275584207</v>
      </c>
      <c r="J13" s="948">
        <v>47282.5382755842</v>
      </c>
      <c r="K13" s="949">
        <v>46987.1</v>
      </c>
      <c r="M13" s="859" t="s">
        <v>130</v>
      </c>
      <c r="N13" s="853">
        <f t="shared" si="14"/>
        <v>90</v>
      </c>
      <c r="O13" s="854">
        <f t="shared" si="15"/>
        <v>0.12080536912751678</v>
      </c>
      <c r="P13" s="855">
        <f t="shared" si="16"/>
        <v>80</v>
      </c>
      <c r="Q13" s="818">
        <f t="shared" si="17"/>
        <v>0.12307692307692308</v>
      </c>
      <c r="R13" s="844">
        <f t="shared" si="18"/>
        <v>70</v>
      </c>
      <c r="S13" s="818">
        <f t="shared" si="19"/>
        <v>0.125</v>
      </c>
      <c r="T13" s="844">
        <f t="shared" si="20"/>
        <v>30</v>
      </c>
      <c r="U13" s="818">
        <f t="shared" si="21"/>
        <v>7.6923076923076927E-2</v>
      </c>
      <c r="V13" s="844">
        <f t="shared" si="22"/>
        <v>60</v>
      </c>
      <c r="W13" s="798">
        <f t="shared" si="23"/>
        <v>0.12371134020618557</v>
      </c>
      <c r="X13" s="856">
        <f t="shared" si="24"/>
        <v>70</v>
      </c>
      <c r="Y13" s="857">
        <f t="shared" si="25"/>
        <v>0.125</v>
      </c>
      <c r="Z13" s="808"/>
      <c r="AA13" s="829">
        <v>80</v>
      </c>
      <c r="AB13" s="860">
        <v>1</v>
      </c>
      <c r="AE13" s="60" t="s">
        <v>13</v>
      </c>
      <c r="AF13" s="950">
        <f t="shared" si="26"/>
        <v>99.359611467828401</v>
      </c>
      <c r="AG13" s="951">
        <f t="shared" si="27"/>
        <v>99.338329030733959</v>
      </c>
      <c r="AH13" s="951">
        <f t="shared" si="28"/>
        <v>99.376637417503943</v>
      </c>
      <c r="AI13" s="952">
        <f t="shared" si="29"/>
        <v>99.371235348459024</v>
      </c>
      <c r="AK13" s="953" t="s">
        <v>13</v>
      </c>
      <c r="AL13" s="954" t="s">
        <v>95</v>
      </c>
      <c r="AM13" s="955">
        <f>MAX(P2:P9)</f>
        <v>99.589461788448318</v>
      </c>
    </row>
    <row r="14" spans="1:39" ht="14.4" x14ac:dyDescent="0.3">
      <c r="A14" s="82" t="s">
        <v>14</v>
      </c>
      <c r="B14" s="956">
        <v>6846.61</v>
      </c>
      <c r="C14" s="956">
        <v>6808</v>
      </c>
      <c r="D14" s="914" t="str">
        <f t="shared" si="11"/>
        <v>RD</v>
      </c>
      <c r="E14" s="956">
        <v>6811</v>
      </c>
      <c r="F14" s="914" t="str">
        <f t="shared" si="12"/>
        <v>LLM</v>
      </c>
      <c r="G14" s="956">
        <v>6811</v>
      </c>
      <c r="H14" s="915" t="str">
        <f t="shared" si="13"/>
        <v>LLM</v>
      </c>
      <c r="I14" s="947">
        <f>(B4*S22)+(C4*S23)+(D4*S24)+(E4*S25)+(F4*S26)+(G4*S27)+(H4*S28)+(I4*S29)</f>
        <v>6808.7161607875305</v>
      </c>
      <c r="J14" s="957">
        <v>6808.7161607875296</v>
      </c>
      <c r="K14" s="958">
        <v>6728.81</v>
      </c>
      <c r="M14" s="859" t="s">
        <v>131</v>
      </c>
      <c r="N14" s="853">
        <f t="shared" si="14"/>
        <v>90</v>
      </c>
      <c r="O14" s="854">
        <f t="shared" si="15"/>
        <v>0.12080536912751678</v>
      </c>
      <c r="P14" s="855">
        <f t="shared" si="16"/>
        <v>80</v>
      </c>
      <c r="Q14" s="818">
        <f t="shared" si="17"/>
        <v>0.12307692307692308</v>
      </c>
      <c r="R14" s="844">
        <f t="shared" si="18"/>
        <v>70</v>
      </c>
      <c r="S14" s="818">
        <f t="shared" si="19"/>
        <v>0.125</v>
      </c>
      <c r="T14" s="844">
        <f t="shared" si="20"/>
        <v>50</v>
      </c>
      <c r="U14" s="818">
        <f t="shared" si="21"/>
        <v>0.12820512820512819</v>
      </c>
      <c r="V14" s="844">
        <f t="shared" si="22"/>
        <v>60</v>
      </c>
      <c r="W14" s="798">
        <f t="shared" si="23"/>
        <v>0.12371134020618557</v>
      </c>
      <c r="X14" s="856">
        <f t="shared" si="24"/>
        <v>70</v>
      </c>
      <c r="Y14" s="857">
        <f t="shared" si="25"/>
        <v>0.125</v>
      </c>
      <c r="Z14" s="808"/>
      <c r="AA14" s="829">
        <v>82.5</v>
      </c>
      <c r="AB14" s="860">
        <v>2</v>
      </c>
      <c r="AE14" s="82" t="s">
        <v>14</v>
      </c>
      <c r="AF14" s="756">
        <f t="shared" si="26"/>
        <v>98.823120284270175</v>
      </c>
      <c r="AG14" s="959">
        <f t="shared" si="27"/>
        <v>98.77853587781496</v>
      </c>
      <c r="AH14" s="959">
        <f t="shared" si="28"/>
        <v>98.77853587781496</v>
      </c>
      <c r="AI14" s="960">
        <f t="shared" si="29"/>
        <v>98.812477083057331</v>
      </c>
      <c r="AK14" s="961" t="s">
        <v>14</v>
      </c>
      <c r="AL14" s="962" t="s">
        <v>135</v>
      </c>
      <c r="AM14" s="963">
        <f>MAX(R2:R9)</f>
        <v>98.942012034817452</v>
      </c>
    </row>
    <row r="15" spans="1:39" ht="14.4" x14ac:dyDescent="0.3">
      <c r="A15" s="82" t="s">
        <v>15</v>
      </c>
      <c r="B15" s="956">
        <v>17.28</v>
      </c>
      <c r="C15" s="956">
        <v>18.399999999999999</v>
      </c>
      <c r="D15" s="914" t="str">
        <f t="shared" si="11"/>
        <v>LLM</v>
      </c>
      <c r="E15" s="956">
        <v>18.5</v>
      </c>
      <c r="F15" s="914">
        <f t="shared" si="12"/>
        <v>85220</v>
      </c>
      <c r="G15" s="956">
        <v>18.5</v>
      </c>
      <c r="H15" s="915" t="str">
        <f t="shared" si="13"/>
        <v>MICH</v>
      </c>
      <c r="I15" s="964">
        <f>(B5*U22)+(C5*U23)+(D5*U24)+(E5*U25)+(F5*U26)+(G5*U27)+(H5*U28)+(I5*U29)</f>
        <v>18.457889775199419</v>
      </c>
      <c r="J15" s="965">
        <v>18.457889775199401</v>
      </c>
      <c r="K15" s="958">
        <v>19.079999999999998</v>
      </c>
      <c r="M15" s="859" t="s">
        <v>34</v>
      </c>
      <c r="N15" s="853">
        <f t="shared" si="14"/>
        <v>90</v>
      </c>
      <c r="O15" s="854">
        <f t="shared" si="15"/>
        <v>0.12080536912751678</v>
      </c>
      <c r="P15" s="855">
        <f t="shared" si="16"/>
        <v>80</v>
      </c>
      <c r="Q15" s="818">
        <f t="shared" si="17"/>
        <v>0.12307692307692308</v>
      </c>
      <c r="R15" s="844">
        <f t="shared" si="18"/>
        <v>70</v>
      </c>
      <c r="S15" s="818">
        <f t="shared" si="19"/>
        <v>0.125</v>
      </c>
      <c r="T15" s="844">
        <f t="shared" si="20"/>
        <v>50</v>
      </c>
      <c r="U15" s="818">
        <f t="shared" si="21"/>
        <v>0.12820512820512819</v>
      </c>
      <c r="V15" s="844">
        <f t="shared" si="22"/>
        <v>60</v>
      </c>
      <c r="W15" s="798">
        <f t="shared" si="23"/>
        <v>0.12371134020618557</v>
      </c>
      <c r="X15" s="856">
        <f t="shared" si="24"/>
        <v>70</v>
      </c>
      <c r="Y15" s="857">
        <f t="shared" si="25"/>
        <v>0.125</v>
      </c>
      <c r="Z15" s="808"/>
      <c r="AA15" s="829">
        <v>85</v>
      </c>
      <c r="AB15" s="860">
        <v>5</v>
      </c>
      <c r="AE15" s="82" t="s">
        <v>15</v>
      </c>
      <c r="AF15" s="756">
        <f t="shared" si="26"/>
        <v>96.436058700209642</v>
      </c>
      <c r="AG15" s="959">
        <f t="shared" si="27"/>
        <v>96.960167714884705</v>
      </c>
      <c r="AH15" s="959">
        <f t="shared" si="28"/>
        <v>96.960167714884705</v>
      </c>
      <c r="AI15" s="960">
        <f t="shared" si="29"/>
        <v>96.739464230604924</v>
      </c>
      <c r="AK15" s="961" t="s">
        <v>15</v>
      </c>
      <c r="AL15" s="962" t="s">
        <v>96</v>
      </c>
      <c r="AM15" s="963">
        <f>MAX(T2:T9)</f>
        <v>99.109014675052407</v>
      </c>
    </row>
    <row r="16" spans="1:39" ht="14.4" x14ac:dyDescent="0.3">
      <c r="A16" s="99" t="s">
        <v>16</v>
      </c>
      <c r="B16" s="966">
        <v>621.57000000000005</v>
      </c>
      <c r="C16" s="966">
        <v>623.9</v>
      </c>
      <c r="D16" s="921" t="str">
        <f t="shared" si="11"/>
        <v>LLM</v>
      </c>
      <c r="E16" s="966">
        <v>623.29999999999995</v>
      </c>
      <c r="F16" s="921">
        <f t="shared" si="12"/>
        <v>85220</v>
      </c>
      <c r="G16" s="966">
        <v>622.1</v>
      </c>
      <c r="H16" s="922" t="str">
        <f t="shared" si="13"/>
        <v>MICH</v>
      </c>
      <c r="I16" s="967">
        <f>(B6*W22)+(C6*W23)+(D6*W24)+(E6*W25)+(F6*W26)+(G6*W27)+(H6*W28)+(I6*W29)</f>
        <v>623.86858465608464</v>
      </c>
      <c r="J16" s="968">
        <v>623.86858465608498</v>
      </c>
      <c r="K16" s="969">
        <v>609.74</v>
      </c>
      <c r="M16" s="859">
        <v>4</v>
      </c>
      <c r="N16" s="853">
        <f t="shared" si="14"/>
        <v>95</v>
      </c>
      <c r="O16" s="854">
        <f t="shared" si="15"/>
        <v>0.12751677852348994</v>
      </c>
      <c r="P16" s="855">
        <f t="shared" si="16"/>
        <v>75</v>
      </c>
      <c r="Q16" s="818">
        <f t="shared" si="17"/>
        <v>0.11538461538461539</v>
      </c>
      <c r="R16" s="844">
        <f t="shared" si="18"/>
        <v>70</v>
      </c>
      <c r="S16" s="818">
        <f t="shared" si="19"/>
        <v>0.125</v>
      </c>
      <c r="T16" s="844">
        <f t="shared" si="20"/>
        <v>30</v>
      </c>
      <c r="U16" s="818">
        <f t="shared" si="21"/>
        <v>7.6923076923076927E-2</v>
      </c>
      <c r="V16" s="844">
        <f t="shared" si="22"/>
        <v>60</v>
      </c>
      <c r="W16" s="798">
        <f t="shared" si="23"/>
        <v>0.12371134020618557</v>
      </c>
      <c r="X16" s="856">
        <f t="shared" si="24"/>
        <v>70</v>
      </c>
      <c r="Y16" s="857">
        <f t="shared" si="25"/>
        <v>0.125</v>
      </c>
      <c r="Z16" s="808"/>
      <c r="AA16" s="829">
        <v>87.5</v>
      </c>
      <c r="AB16" s="860">
        <v>10</v>
      </c>
      <c r="AE16" s="99" t="s">
        <v>16</v>
      </c>
      <c r="AF16" s="970">
        <f t="shared" si="26"/>
        <v>97.677698691245453</v>
      </c>
      <c r="AG16" s="971">
        <f t="shared" si="27"/>
        <v>97.776101289074035</v>
      </c>
      <c r="AH16" s="971">
        <f t="shared" si="28"/>
        <v>97.972906484731197</v>
      </c>
      <c r="AI16" s="972">
        <f t="shared" si="29"/>
        <v>97.682850943667034</v>
      </c>
      <c r="AK16" s="973" t="s">
        <v>16</v>
      </c>
      <c r="AL16" s="974" t="s">
        <v>96</v>
      </c>
      <c r="AM16" s="975">
        <f>MAX(V2:V9)</f>
        <v>98.317315577131239</v>
      </c>
    </row>
    <row r="17" spans="1:39" ht="14.4" x14ac:dyDescent="0.3">
      <c r="A17" s="114" t="s">
        <v>17</v>
      </c>
      <c r="B17" s="976">
        <v>275.25</v>
      </c>
      <c r="C17" s="976">
        <v>272</v>
      </c>
      <c r="D17" s="929" t="str">
        <f t="shared" si="11"/>
        <v>LLM</v>
      </c>
      <c r="E17" s="976">
        <v>271.8</v>
      </c>
      <c r="F17" s="929">
        <f t="shared" si="12"/>
        <v>85220</v>
      </c>
      <c r="G17" s="976">
        <v>271.10000000000002</v>
      </c>
      <c r="H17" s="930" t="str">
        <f t="shared" si="13"/>
        <v>MICH</v>
      </c>
      <c r="I17" s="977">
        <f>(B7*Y22)+(C7*Y23)+(D7*Y24)+(E7*Y25)+(F7*Y26)+(G7*Y27)+(H7*Y28)+(I7*Y29)</f>
        <v>271.90180443548388</v>
      </c>
      <c r="J17" s="978">
        <v>271.901804435484</v>
      </c>
      <c r="K17" s="979">
        <v>268.47000000000003</v>
      </c>
      <c r="M17" s="859" t="s">
        <v>95</v>
      </c>
      <c r="N17" s="853">
        <f t="shared" si="14"/>
        <v>95</v>
      </c>
      <c r="O17" s="854">
        <f t="shared" si="15"/>
        <v>0.12751677852348994</v>
      </c>
      <c r="P17" s="855">
        <f t="shared" si="16"/>
        <v>90</v>
      </c>
      <c r="Q17" s="818">
        <f t="shared" si="17"/>
        <v>0.13846153846153847</v>
      </c>
      <c r="R17" s="844">
        <f t="shared" si="18"/>
        <v>70</v>
      </c>
      <c r="S17" s="818">
        <f t="shared" si="19"/>
        <v>0.125</v>
      </c>
      <c r="T17" s="844">
        <f t="shared" si="20"/>
        <v>30</v>
      </c>
      <c r="U17" s="818">
        <f t="shared" si="21"/>
        <v>7.6923076923076927E-2</v>
      </c>
      <c r="V17" s="844">
        <f t="shared" si="22"/>
        <v>60</v>
      </c>
      <c r="W17" s="798">
        <f t="shared" si="23"/>
        <v>0.12371134020618557</v>
      </c>
      <c r="X17" s="856">
        <f t="shared" si="24"/>
        <v>70</v>
      </c>
      <c r="Y17" s="857">
        <f t="shared" si="25"/>
        <v>0.125</v>
      </c>
      <c r="Z17" s="808"/>
      <c r="AA17" s="829">
        <v>90</v>
      </c>
      <c r="AB17" s="860">
        <v>20</v>
      </c>
      <c r="AE17" s="114" t="s">
        <v>17</v>
      </c>
      <c r="AF17" s="980">
        <f t="shared" si="26"/>
        <v>98.685141729057264</v>
      </c>
      <c r="AG17" s="981">
        <f t="shared" si="27"/>
        <v>98.75963794837412</v>
      </c>
      <c r="AH17" s="981">
        <f t="shared" si="28"/>
        <v>99.020374715983166</v>
      </c>
      <c r="AI17" s="982">
        <f t="shared" si="29"/>
        <v>98.721717720607941</v>
      </c>
      <c r="AK17" s="983" t="s">
        <v>17</v>
      </c>
      <c r="AL17" s="984" t="s">
        <v>34</v>
      </c>
      <c r="AM17" s="985">
        <f>MAX(X2:X9)</f>
        <v>98.908630387007875</v>
      </c>
    </row>
    <row r="18" spans="1:39" ht="14.4" x14ac:dyDescent="0.3">
      <c r="M18" s="859" t="s">
        <v>42</v>
      </c>
      <c r="N18" s="853">
        <f t="shared" si="14"/>
        <v>95</v>
      </c>
      <c r="O18" s="854">
        <f t="shared" si="15"/>
        <v>0.12751677852348994</v>
      </c>
      <c r="P18" s="855">
        <f t="shared" si="16"/>
        <v>80</v>
      </c>
      <c r="Q18" s="818">
        <f t="shared" si="17"/>
        <v>0.12307692307692308</v>
      </c>
      <c r="R18" s="844">
        <f t="shared" si="18"/>
        <v>70</v>
      </c>
      <c r="S18" s="818">
        <f t="shared" si="19"/>
        <v>0.125</v>
      </c>
      <c r="T18" s="844">
        <f t="shared" si="20"/>
        <v>65</v>
      </c>
      <c r="U18" s="818">
        <f t="shared" si="21"/>
        <v>0.16666666666666666</v>
      </c>
      <c r="V18" s="844">
        <f t="shared" si="22"/>
        <v>60</v>
      </c>
      <c r="W18" s="798">
        <f t="shared" si="23"/>
        <v>0.12371134020618557</v>
      </c>
      <c r="X18" s="856">
        <f t="shared" si="24"/>
        <v>70</v>
      </c>
      <c r="Y18" s="857">
        <f t="shared" si="25"/>
        <v>0.125</v>
      </c>
      <c r="Z18" s="808"/>
      <c r="AA18" s="829">
        <v>92.5</v>
      </c>
      <c r="AB18" s="860">
        <v>30</v>
      </c>
      <c r="AG18" s="798"/>
      <c r="AH18" s="798"/>
      <c r="AI18" s="798"/>
      <c r="AJ18" s="798"/>
    </row>
    <row r="19" spans="1:39" ht="14.4" x14ac:dyDescent="0.3">
      <c r="A19" s="2" t="s">
        <v>0</v>
      </c>
      <c r="B19" s="230" t="s">
        <v>46</v>
      </c>
      <c r="C19" s="1328" t="s">
        <v>47</v>
      </c>
      <c r="D19" s="1328"/>
      <c r="E19" s="1329">
        <v>85520</v>
      </c>
      <c r="F19" s="1329"/>
      <c r="G19" s="1330" t="s">
        <v>50</v>
      </c>
      <c r="H19" s="1330"/>
      <c r="I19" s="4"/>
      <c r="J19" s="4"/>
      <c r="K19" s="4"/>
      <c r="M19" s="861" t="s">
        <v>96</v>
      </c>
      <c r="N19" s="862">
        <f t="shared" si="14"/>
        <v>95</v>
      </c>
      <c r="O19" s="863">
        <f t="shared" si="15"/>
        <v>0.12751677852348994</v>
      </c>
      <c r="P19" s="864">
        <f t="shared" si="16"/>
        <v>90</v>
      </c>
      <c r="Q19" s="865">
        <f t="shared" si="17"/>
        <v>0.13846153846153847</v>
      </c>
      <c r="R19" s="866">
        <f t="shared" si="18"/>
        <v>70</v>
      </c>
      <c r="S19" s="865">
        <f t="shared" si="19"/>
        <v>0.125</v>
      </c>
      <c r="T19" s="866">
        <f t="shared" si="20"/>
        <v>75</v>
      </c>
      <c r="U19" s="865">
        <f t="shared" si="21"/>
        <v>0.19230769230769232</v>
      </c>
      <c r="V19" s="866">
        <f t="shared" si="22"/>
        <v>65</v>
      </c>
      <c r="W19" s="867">
        <f t="shared" si="23"/>
        <v>0.13402061855670103</v>
      </c>
      <c r="X19" s="868">
        <f t="shared" si="24"/>
        <v>70</v>
      </c>
      <c r="Y19" s="869">
        <f t="shared" si="25"/>
        <v>0.125</v>
      </c>
      <c r="Z19" s="808"/>
      <c r="AA19" s="829">
        <v>95</v>
      </c>
      <c r="AB19" s="860">
        <v>40</v>
      </c>
      <c r="AE19" s="986" t="str">
        <f>AA1</f>
        <v>AVR-4</v>
      </c>
      <c r="AF19" s="987">
        <f t="array" ref="AF19">SUM(AF13:AF16/4)</f>
        <v>98.074122285888407</v>
      </c>
      <c r="AG19" s="988">
        <f t="array" ref="AG19">SUM(AG13:AG16/4)</f>
        <v>98.213283478126925</v>
      </c>
      <c r="AH19" s="988">
        <f t="array" ref="AH19">SUM(AH13:AH16/4)</f>
        <v>98.272061873733691</v>
      </c>
      <c r="AI19" s="989">
        <f t="array" ref="AI19">SUM(AI13:AI16/4)</f>
        <v>98.151506901447078</v>
      </c>
      <c r="AK19" s="1331" t="s">
        <v>44</v>
      </c>
      <c r="AL19" s="1331"/>
      <c r="AM19" s="989">
        <f>AVERAGE(AM13:AM16)</f>
        <v>98.989451018862354</v>
      </c>
    </row>
    <row r="20" spans="1:39" ht="14.4" x14ac:dyDescent="0.3">
      <c r="A20" s="35" t="s">
        <v>12</v>
      </c>
      <c r="B20" s="990">
        <f t="shared" ref="B20:C25" si="30">B12</f>
        <v>4.12</v>
      </c>
      <c r="C20" s="991">
        <f t="shared" si="30"/>
        <v>4.08</v>
      </c>
      <c r="D20" s="992" t="str">
        <f t="shared" ref="D20:D25" si="31">CONCATENATE(TEXT(AP1,"0.00%"),"  ",AQ1)</f>
        <v xml:space="preserve">0.00%  </v>
      </c>
      <c r="E20" s="993">
        <f t="shared" ref="E20:E25" si="32">E12</f>
        <v>4.09</v>
      </c>
      <c r="F20" s="994" t="str">
        <f t="shared" ref="F20:F25" si="33">CONCATENATE(TEXT(AR1,"0.00%"),"  ",AS1)</f>
        <v xml:space="preserve">0.00%  </v>
      </c>
      <c r="G20" s="995">
        <f t="shared" ref="G20:G25" si="34">K12</f>
        <v>4.093</v>
      </c>
      <c r="H20" s="439" t="str">
        <f t="shared" ref="H20:H25" si="35">CONCATENATE(TEXT(AN1,"0.00%"),"  ",AO1)</f>
        <v xml:space="preserve">0.00%  </v>
      </c>
      <c r="I20" s="4"/>
      <c r="J20" s="4"/>
      <c r="K20" s="4"/>
      <c r="AA20" s="829">
        <v>96</v>
      </c>
      <c r="AB20" s="860">
        <v>50</v>
      </c>
      <c r="AE20" s="996" t="str">
        <f>AB1</f>
        <v>AVR-6</v>
      </c>
      <c r="AF20" s="997">
        <f t="array" ref="AF20">SUM(AF12:AF17/6)</f>
        <v>98.444002571935684</v>
      </c>
      <c r="AG20" s="998">
        <f t="array" ref="AG20">SUM(AG12:AG17/6)</f>
        <v>98.589912664980417</v>
      </c>
      <c r="AH20" s="998">
        <f t="array" ref="AH20">SUM(AH12:AH17/6)</f>
        <v>98.672554389986459</v>
      </c>
      <c r="AI20" s="999">
        <f t="array" ref="AI20">SUM(AI12:AI17/6)</f>
        <v>98.532499675701814</v>
      </c>
      <c r="AK20" s="1332" t="s">
        <v>51</v>
      </c>
      <c r="AL20" s="1332"/>
      <c r="AM20" s="999">
        <f>AVERAGE(AM12:AM17)</f>
        <v>99.132189765243012</v>
      </c>
    </row>
    <row r="21" spans="1:39" ht="14.4" x14ac:dyDescent="0.3">
      <c r="A21" s="60" t="s">
        <v>13</v>
      </c>
      <c r="B21" s="1000">
        <f t="shared" si="30"/>
        <v>47927.96</v>
      </c>
      <c r="C21" s="1001">
        <f t="shared" si="30"/>
        <v>47288</v>
      </c>
      <c r="D21" s="1002" t="str">
        <f t="shared" si="31"/>
        <v xml:space="preserve">0.00%  </v>
      </c>
      <c r="E21" s="1003">
        <f t="shared" si="32"/>
        <v>47298</v>
      </c>
      <c r="F21" s="152" t="str">
        <f t="shared" si="33"/>
        <v xml:space="preserve">0.00%  </v>
      </c>
      <c r="G21" s="1004">
        <f t="shared" si="34"/>
        <v>46987.1</v>
      </c>
      <c r="H21" s="441" t="str">
        <f t="shared" si="35"/>
        <v xml:space="preserve">0.00%  </v>
      </c>
      <c r="I21" s="4"/>
      <c r="J21" s="4"/>
      <c r="K21" s="2" t="s">
        <v>41</v>
      </c>
      <c r="M21" s="845" t="s">
        <v>60</v>
      </c>
      <c r="N21" s="870" t="s">
        <v>12</v>
      </c>
      <c r="O21" s="871">
        <f>SUM(N22:N29)</f>
        <v>665.75</v>
      </c>
      <c r="P21" s="872" t="s">
        <v>13</v>
      </c>
      <c r="Q21" s="873">
        <f>SUM(P22:P29)</f>
        <v>620.5</v>
      </c>
      <c r="R21" s="874" t="s">
        <v>14</v>
      </c>
      <c r="S21" s="873">
        <f>SUM(R22:R29)</f>
        <v>609.5</v>
      </c>
      <c r="T21" s="874" t="s">
        <v>15</v>
      </c>
      <c r="U21" s="873">
        <f>SUM(T22:T29)</f>
        <v>344.75</v>
      </c>
      <c r="V21" s="874" t="s">
        <v>16</v>
      </c>
      <c r="W21" s="875">
        <f>SUM(V22:V29)</f>
        <v>567</v>
      </c>
      <c r="X21" s="876" t="s">
        <v>17</v>
      </c>
      <c r="Y21" s="807">
        <f>SUM(X22:X29)</f>
        <v>496</v>
      </c>
      <c r="Z21" s="808"/>
      <c r="AA21" s="829">
        <v>97</v>
      </c>
      <c r="AB21" s="860">
        <v>60</v>
      </c>
    </row>
    <row r="22" spans="1:39" ht="14.4" x14ac:dyDescent="0.3">
      <c r="A22" s="82" t="s">
        <v>14</v>
      </c>
      <c r="B22" s="1005">
        <f t="shared" si="30"/>
        <v>6846.61</v>
      </c>
      <c r="C22" s="1006">
        <f t="shared" si="30"/>
        <v>6808</v>
      </c>
      <c r="D22" s="1007" t="str">
        <f t="shared" si="31"/>
        <v xml:space="preserve">0.00%  </v>
      </c>
      <c r="E22" s="1008">
        <f t="shared" si="32"/>
        <v>6811</v>
      </c>
      <c r="F22" s="168" t="str">
        <f t="shared" si="33"/>
        <v xml:space="preserve">0.00%  </v>
      </c>
      <c r="G22" s="1009">
        <f t="shared" si="34"/>
        <v>6728.81</v>
      </c>
      <c r="H22" s="441" t="str">
        <f t="shared" si="35"/>
        <v xml:space="preserve">0.00%  </v>
      </c>
      <c r="I22" s="4"/>
      <c r="J22" s="4"/>
      <c r="K22" s="4"/>
      <c r="M22" s="852" t="s">
        <v>129</v>
      </c>
      <c r="N22" s="783">
        <v>83.5</v>
      </c>
      <c r="O22" s="877">
        <f t="shared" ref="O22:O29" si="36">N22/$O$21</f>
        <v>0.12542245587683065</v>
      </c>
      <c r="P22" s="878">
        <v>71.5</v>
      </c>
      <c r="Q22" s="879">
        <f t="shared" ref="Q22:Q29" si="37">P22/$Q$21</f>
        <v>0.11522965350523771</v>
      </c>
      <c r="R22" s="880">
        <v>71.75</v>
      </c>
      <c r="S22" s="879">
        <f t="shared" ref="S22:S29" si="38">R22/$S$21</f>
        <v>0.11771944216570959</v>
      </c>
      <c r="T22" s="880">
        <v>51.5</v>
      </c>
      <c r="U22" s="879">
        <f t="shared" ref="U22:U29" si="39">T22/$U$21</f>
        <v>0.14938361131254532</v>
      </c>
      <c r="V22" s="880">
        <v>66.75</v>
      </c>
      <c r="W22" s="881">
        <f t="shared" ref="W22:W29" si="40">V22/$W$21</f>
        <v>0.11772486772486772</v>
      </c>
      <c r="X22" s="789">
        <v>60.5</v>
      </c>
      <c r="Y22" s="815">
        <f t="shared" ref="Y22:Y29" si="41">X22/$Y$21</f>
        <v>0.12197580645161291</v>
      </c>
      <c r="Z22" s="808"/>
      <c r="AA22" s="829">
        <v>98</v>
      </c>
      <c r="AB22" s="860">
        <v>65</v>
      </c>
    </row>
    <row r="23" spans="1:39" ht="15" x14ac:dyDescent="0.3">
      <c r="A23" s="82" t="s">
        <v>15</v>
      </c>
      <c r="B23" s="1005">
        <f t="shared" si="30"/>
        <v>17.28</v>
      </c>
      <c r="C23" s="1010">
        <f t="shared" si="30"/>
        <v>18.399999999999999</v>
      </c>
      <c r="D23" s="1007" t="str">
        <f t="shared" si="31"/>
        <v xml:space="preserve">0.00%  </v>
      </c>
      <c r="E23" s="1011">
        <f t="shared" si="32"/>
        <v>18.5</v>
      </c>
      <c r="F23" s="1012" t="str">
        <f t="shared" si="33"/>
        <v xml:space="preserve">0.00%  </v>
      </c>
      <c r="G23" s="1009">
        <f t="shared" si="34"/>
        <v>19.079999999999998</v>
      </c>
      <c r="H23" s="441" t="str">
        <f t="shared" si="35"/>
        <v xml:space="preserve">0.00%  </v>
      </c>
      <c r="I23" s="4"/>
      <c r="J23" s="4"/>
      <c r="K23" s="485">
        <v>15</v>
      </c>
      <c r="M23" s="859" t="s">
        <v>130</v>
      </c>
      <c r="N23" s="783">
        <v>79</v>
      </c>
      <c r="O23" s="877">
        <f t="shared" si="36"/>
        <v>0.11866316184754037</v>
      </c>
      <c r="P23" s="878">
        <v>75</v>
      </c>
      <c r="Q23" s="879">
        <f t="shared" si="37"/>
        <v>0.12087026591458501</v>
      </c>
      <c r="R23" s="880">
        <v>79</v>
      </c>
      <c r="S23" s="879">
        <f t="shared" si="38"/>
        <v>0.12961443806398687</v>
      </c>
      <c r="T23" s="880">
        <v>44.75</v>
      </c>
      <c r="U23" s="879">
        <f t="shared" si="39"/>
        <v>0.12980420594633793</v>
      </c>
      <c r="V23" s="880">
        <v>70.75</v>
      </c>
      <c r="W23" s="881">
        <f t="shared" si="40"/>
        <v>0.12477954144620811</v>
      </c>
      <c r="X23" s="789">
        <v>64.5</v>
      </c>
      <c r="Y23" s="815">
        <f t="shared" si="41"/>
        <v>0.13004032258064516</v>
      </c>
      <c r="Z23" s="808"/>
      <c r="AA23" s="829">
        <v>98.5</v>
      </c>
      <c r="AB23" s="860">
        <v>70</v>
      </c>
    </row>
    <row r="24" spans="1:39" ht="14.4" x14ac:dyDescent="0.3">
      <c r="A24" s="99" t="s">
        <v>16</v>
      </c>
      <c r="B24" s="1013">
        <f t="shared" si="30"/>
        <v>621.57000000000005</v>
      </c>
      <c r="C24" s="1014">
        <f t="shared" si="30"/>
        <v>623.9</v>
      </c>
      <c r="D24" s="1015" t="str">
        <f t="shared" si="31"/>
        <v xml:space="preserve">0.00%  </v>
      </c>
      <c r="E24" s="1016">
        <f t="shared" si="32"/>
        <v>623.29999999999995</v>
      </c>
      <c r="F24" s="1017" t="str">
        <f t="shared" si="33"/>
        <v xml:space="preserve">0.00%  </v>
      </c>
      <c r="G24" s="1018">
        <f t="shared" si="34"/>
        <v>609.74</v>
      </c>
      <c r="H24" s="441" t="str">
        <f t="shared" si="35"/>
        <v xml:space="preserve">0.00%  </v>
      </c>
      <c r="I24" s="4"/>
      <c r="J24" s="4"/>
      <c r="K24" s="4"/>
      <c r="M24" s="859" t="s">
        <v>131</v>
      </c>
      <c r="N24" s="783">
        <v>83.5</v>
      </c>
      <c r="O24" s="877">
        <f t="shared" si="36"/>
        <v>0.12542245587683065</v>
      </c>
      <c r="P24" s="878">
        <v>79</v>
      </c>
      <c r="Q24" s="879">
        <f t="shared" si="37"/>
        <v>0.12731668009669622</v>
      </c>
      <c r="R24" s="880">
        <v>75.75</v>
      </c>
      <c r="S24" s="879">
        <f t="shared" si="38"/>
        <v>0.12428219852337982</v>
      </c>
      <c r="T24" s="880">
        <v>41.5</v>
      </c>
      <c r="U24" s="879">
        <f t="shared" si="39"/>
        <v>0.12037708484408992</v>
      </c>
      <c r="V24" s="880">
        <v>66.75</v>
      </c>
      <c r="W24" s="881">
        <f t="shared" si="40"/>
        <v>0.11772486772486772</v>
      </c>
      <c r="X24" s="789">
        <v>60.5</v>
      </c>
      <c r="Y24" s="815">
        <f t="shared" si="41"/>
        <v>0.12197580645161291</v>
      </c>
      <c r="Z24" s="808"/>
      <c r="AA24" s="829">
        <v>99</v>
      </c>
      <c r="AB24" s="860">
        <v>75</v>
      </c>
    </row>
    <row r="25" spans="1:39" ht="14.4" x14ac:dyDescent="0.3">
      <c r="A25" s="109" t="s">
        <v>17</v>
      </c>
      <c r="B25" s="1019">
        <f t="shared" si="30"/>
        <v>275.25</v>
      </c>
      <c r="C25" s="1020">
        <f t="shared" si="30"/>
        <v>272</v>
      </c>
      <c r="D25" s="1021" t="str">
        <f t="shared" si="31"/>
        <v xml:space="preserve">0.00%  </v>
      </c>
      <c r="E25" s="1022">
        <f t="shared" si="32"/>
        <v>271.8</v>
      </c>
      <c r="F25" s="1023" t="str">
        <f t="shared" si="33"/>
        <v xml:space="preserve">0.00%  </v>
      </c>
      <c r="G25" s="1024">
        <f t="shared" si="34"/>
        <v>268.47000000000003</v>
      </c>
      <c r="H25" s="453" t="str">
        <f t="shared" si="35"/>
        <v xml:space="preserve">0.00%  </v>
      </c>
      <c r="I25" s="4"/>
      <c r="J25" s="4"/>
      <c r="K25" s="4"/>
      <c r="M25" s="859" t="s">
        <v>34</v>
      </c>
      <c r="N25" s="783">
        <v>82.5</v>
      </c>
      <c r="O25" s="877">
        <f t="shared" si="36"/>
        <v>0.12392039053698836</v>
      </c>
      <c r="P25" s="878">
        <v>75</v>
      </c>
      <c r="Q25" s="879">
        <f t="shared" si="37"/>
        <v>0.12087026591458501</v>
      </c>
      <c r="R25" s="880">
        <v>82.5</v>
      </c>
      <c r="S25" s="879">
        <f t="shared" si="38"/>
        <v>0.13535684987694832</v>
      </c>
      <c r="T25" s="880">
        <v>35.5</v>
      </c>
      <c r="U25" s="879">
        <f t="shared" si="39"/>
        <v>0.10297316896301668</v>
      </c>
      <c r="V25" s="880">
        <v>62.5</v>
      </c>
      <c r="W25" s="881">
        <f t="shared" si="40"/>
        <v>0.11022927689594356</v>
      </c>
      <c r="X25" s="789">
        <v>62</v>
      </c>
      <c r="Y25" s="815">
        <f t="shared" si="41"/>
        <v>0.125</v>
      </c>
      <c r="Z25" s="808"/>
      <c r="AA25" s="829">
        <v>99.25</v>
      </c>
      <c r="AB25" s="860">
        <v>80</v>
      </c>
    </row>
    <row r="26" spans="1:39" ht="14.4" x14ac:dyDescent="0.3">
      <c r="A26" s="4"/>
      <c r="B26" s="4"/>
      <c r="C26" s="4"/>
      <c r="D26" s="4"/>
      <c r="E26" s="4"/>
      <c r="F26" s="4"/>
      <c r="G26" s="4"/>
      <c r="H26" s="4"/>
      <c r="I26" s="4"/>
      <c r="J26" s="1025"/>
      <c r="K26" s="4"/>
      <c r="M26" s="859">
        <v>4</v>
      </c>
      <c r="N26" s="783">
        <v>89.25</v>
      </c>
      <c r="O26" s="877">
        <f t="shared" si="36"/>
        <v>0.13405933158092376</v>
      </c>
      <c r="P26" s="878">
        <v>82.5</v>
      </c>
      <c r="Q26" s="879">
        <f t="shared" si="37"/>
        <v>0.13295729250604352</v>
      </c>
      <c r="R26" s="880">
        <v>75.5</v>
      </c>
      <c r="S26" s="879">
        <f t="shared" si="38"/>
        <v>0.12387202625102543</v>
      </c>
      <c r="T26" s="880">
        <v>31</v>
      </c>
      <c r="U26" s="879">
        <f t="shared" si="39"/>
        <v>8.9920232052211752E-2</v>
      </c>
      <c r="V26" s="880">
        <v>71.25</v>
      </c>
      <c r="W26" s="881">
        <f t="shared" si="40"/>
        <v>0.12566137566137567</v>
      </c>
      <c r="X26" s="789">
        <v>59.5</v>
      </c>
      <c r="Y26" s="815">
        <f t="shared" si="41"/>
        <v>0.11995967741935484</v>
      </c>
      <c r="Z26" s="808"/>
      <c r="AA26" s="829">
        <v>99.5</v>
      </c>
      <c r="AB26" s="860">
        <v>90</v>
      </c>
    </row>
    <row r="27" spans="1:39" ht="14.4" x14ac:dyDescent="0.3">
      <c r="A27" s="4"/>
      <c r="B27" s="30" t="s">
        <v>47</v>
      </c>
      <c r="C27" s="1026">
        <v>85220</v>
      </c>
      <c r="D27" s="1026" t="s">
        <v>48</v>
      </c>
      <c r="E27" s="524" t="str">
        <f>I11</f>
        <v>LLM</v>
      </c>
      <c r="F27" s="4"/>
      <c r="G27" s="579" t="s">
        <v>20</v>
      </c>
      <c r="H27" s="4"/>
      <c r="I27" s="4"/>
      <c r="J27" s="1027"/>
      <c r="K27" s="4"/>
      <c r="M27" s="859" t="s">
        <v>95</v>
      </c>
      <c r="N27" s="783">
        <v>82.5</v>
      </c>
      <c r="O27" s="877">
        <f t="shared" si="36"/>
        <v>0.12392039053698836</v>
      </c>
      <c r="P27" s="878">
        <v>79.25</v>
      </c>
      <c r="Q27" s="879">
        <f t="shared" si="37"/>
        <v>0.12771958098307817</v>
      </c>
      <c r="R27" s="880">
        <v>75</v>
      </c>
      <c r="S27" s="879">
        <f t="shared" si="38"/>
        <v>0.12305168170631665</v>
      </c>
      <c r="T27" s="880">
        <v>47.75</v>
      </c>
      <c r="U27" s="879">
        <f t="shared" si="39"/>
        <v>0.13850616388687453</v>
      </c>
      <c r="V27" s="880">
        <v>81.5</v>
      </c>
      <c r="W27" s="881">
        <f t="shared" si="40"/>
        <v>0.1437389770723104</v>
      </c>
      <c r="X27" s="789">
        <v>64.5</v>
      </c>
      <c r="Y27" s="815">
        <f t="shared" si="41"/>
        <v>0.13004032258064516</v>
      </c>
      <c r="Z27" s="808"/>
      <c r="AA27" s="829">
        <v>99.75</v>
      </c>
      <c r="AB27" s="860">
        <v>95</v>
      </c>
    </row>
    <row r="28" spans="1:39" ht="14.25" customHeight="1" x14ac:dyDescent="0.3">
      <c r="A28" s="53" t="s">
        <v>12</v>
      </c>
      <c r="B28" s="1028">
        <f t="shared" ref="B28:B33" si="42">100-ABS(($K12-C12)/($K12))*100</f>
        <v>99.682384559003182</v>
      </c>
      <c r="C28" s="1029">
        <f t="shared" ref="C28:C33" si="43">100-ABS(($K12-E12)/($K12))*100</f>
        <v>99.926704129000726</v>
      </c>
      <c r="D28" s="1029">
        <f t="shared" ref="D28:D33" si="44">100-ABS(($K12-G12)/($K12))*100</f>
        <v>99.926704129000726</v>
      </c>
      <c r="E28" s="1030" t="e">
        <f>100-ABS((($K12-#REF!)/($K12)))*100</f>
        <v>#REF!</v>
      </c>
      <c r="F28" s="4"/>
      <c r="G28" s="53" t="s">
        <v>12</v>
      </c>
      <c r="H28" s="580" t="s">
        <v>95</v>
      </c>
      <c r="I28" s="581">
        <f>MAX(N2:N9)</f>
        <v>99.926704129000726</v>
      </c>
      <c r="J28" s="1027"/>
      <c r="K28" s="4"/>
      <c r="M28" s="859" t="s">
        <v>42</v>
      </c>
      <c r="N28" s="783">
        <v>82.5</v>
      </c>
      <c r="O28" s="877">
        <f t="shared" si="36"/>
        <v>0.12392039053698836</v>
      </c>
      <c r="P28" s="878">
        <v>79.25</v>
      </c>
      <c r="Q28" s="879">
        <f t="shared" si="37"/>
        <v>0.12771958098307817</v>
      </c>
      <c r="R28" s="880">
        <v>75</v>
      </c>
      <c r="S28" s="879">
        <f t="shared" si="38"/>
        <v>0.12305168170631665</v>
      </c>
      <c r="T28" s="880">
        <v>47.75</v>
      </c>
      <c r="U28" s="879">
        <f t="shared" si="39"/>
        <v>0.13850616388687453</v>
      </c>
      <c r="V28" s="880">
        <v>81.5</v>
      </c>
      <c r="W28" s="881">
        <f t="shared" si="40"/>
        <v>0.1437389770723104</v>
      </c>
      <c r="X28" s="789">
        <v>64.5</v>
      </c>
      <c r="Y28" s="815">
        <f t="shared" si="41"/>
        <v>0.13004032258064516</v>
      </c>
      <c r="Z28" s="808"/>
      <c r="AA28" s="841">
        <v>99.99</v>
      </c>
      <c r="AB28" s="882">
        <v>100</v>
      </c>
    </row>
    <row r="29" spans="1:39" ht="14.25" customHeight="1" x14ac:dyDescent="0.3">
      <c r="A29" s="60" t="s">
        <v>13</v>
      </c>
      <c r="B29" s="1031">
        <f t="shared" si="42"/>
        <v>99.359611467828401</v>
      </c>
      <c r="C29" s="1032">
        <f t="shared" si="43"/>
        <v>99.338329030733959</v>
      </c>
      <c r="D29" s="1032">
        <f t="shared" si="44"/>
        <v>99.376637417503943</v>
      </c>
      <c r="E29" s="1033" t="e">
        <f>100-ABS((($K13-#REF!)/($K13)))*100</f>
        <v>#REF!</v>
      </c>
      <c r="F29" s="4"/>
      <c r="G29" s="60" t="s">
        <v>13</v>
      </c>
      <c r="H29" s="583" t="s">
        <v>130</v>
      </c>
      <c r="I29" s="584">
        <f>MAX(P2:P9)</f>
        <v>99.589461788448318</v>
      </c>
      <c r="J29" s="1027"/>
      <c r="K29" s="4"/>
      <c r="M29" s="861" t="s">
        <v>96</v>
      </c>
      <c r="N29" s="791">
        <v>83</v>
      </c>
      <c r="O29" s="883">
        <f t="shared" si="36"/>
        <v>0.12467142320690951</v>
      </c>
      <c r="P29" s="884">
        <v>79</v>
      </c>
      <c r="Q29" s="885">
        <f t="shared" si="37"/>
        <v>0.12731668009669622</v>
      </c>
      <c r="R29" s="886">
        <v>75</v>
      </c>
      <c r="S29" s="885">
        <f t="shared" si="38"/>
        <v>0.12305168170631665</v>
      </c>
      <c r="T29" s="886">
        <v>45</v>
      </c>
      <c r="U29" s="885">
        <f t="shared" si="39"/>
        <v>0.1305293691080493</v>
      </c>
      <c r="V29" s="886">
        <v>66</v>
      </c>
      <c r="W29" s="887">
        <f t="shared" si="40"/>
        <v>0.1164021164021164</v>
      </c>
      <c r="X29" s="797">
        <v>60</v>
      </c>
      <c r="Y29" s="840">
        <f t="shared" si="41"/>
        <v>0.12096774193548387</v>
      </c>
      <c r="Z29" s="808"/>
    </row>
    <row r="30" spans="1:39" ht="14.25" customHeight="1" x14ac:dyDescent="0.3">
      <c r="A30" s="82" t="s">
        <v>14</v>
      </c>
      <c r="B30" s="73">
        <f t="shared" si="42"/>
        <v>98.823120284270175</v>
      </c>
      <c r="C30" s="1034">
        <f t="shared" si="43"/>
        <v>98.77853587781496</v>
      </c>
      <c r="D30" s="1034">
        <f t="shared" si="44"/>
        <v>98.77853587781496</v>
      </c>
      <c r="E30" s="1035" t="e">
        <f>100-ABS((($K14-#REF!)/($K14)))*100</f>
        <v>#REF!</v>
      </c>
      <c r="F30" s="4"/>
      <c r="G30" s="82" t="s">
        <v>14</v>
      </c>
      <c r="H30" s="585" t="s">
        <v>39</v>
      </c>
      <c r="I30" s="586">
        <f>MAX(R2:R9)</f>
        <v>98.942012034817452</v>
      </c>
      <c r="J30" s="1027"/>
      <c r="K30" s="4"/>
    </row>
    <row r="31" spans="1:39" ht="14.25" customHeight="1" x14ac:dyDescent="0.3">
      <c r="A31" s="82" t="s">
        <v>15</v>
      </c>
      <c r="B31" s="73">
        <f t="shared" si="42"/>
        <v>96.436058700209642</v>
      </c>
      <c r="C31" s="1034">
        <f t="shared" si="43"/>
        <v>96.960167714884705</v>
      </c>
      <c r="D31" s="1034">
        <f t="shared" si="44"/>
        <v>96.960167714884705</v>
      </c>
      <c r="E31" s="1035" t="e">
        <f>100-ABS((($K15-#REF!)/($K15)))*100</f>
        <v>#REF!</v>
      </c>
      <c r="F31" s="4"/>
      <c r="G31" s="82" t="s">
        <v>15</v>
      </c>
      <c r="H31" s="585" t="s">
        <v>95</v>
      </c>
      <c r="I31" s="586">
        <f>MAX(T2:T9)</f>
        <v>99.109014675052407</v>
      </c>
      <c r="J31" s="1025"/>
      <c r="K31" s="4"/>
    </row>
    <row r="32" spans="1:39" ht="14.25" customHeight="1" x14ac:dyDescent="0.3">
      <c r="A32" s="99" t="s">
        <v>16</v>
      </c>
      <c r="B32" s="1036">
        <f t="shared" si="42"/>
        <v>97.677698691245453</v>
      </c>
      <c r="C32" s="1037">
        <f t="shared" si="43"/>
        <v>97.776101289074035</v>
      </c>
      <c r="D32" s="1037">
        <f t="shared" si="44"/>
        <v>97.972906484731197</v>
      </c>
      <c r="E32" s="1038" t="e">
        <f>100-ABS((($K16-#REF!)/($K16)))*100</f>
        <v>#REF!</v>
      </c>
      <c r="F32" s="4"/>
      <c r="G32" s="99" t="s">
        <v>16</v>
      </c>
      <c r="H32" s="587" t="s">
        <v>130</v>
      </c>
      <c r="I32" s="588">
        <f>MAX(V2:V9)</f>
        <v>98.317315577131239</v>
      </c>
      <c r="J32" s="4"/>
      <c r="K32" s="4"/>
    </row>
    <row r="33" spans="1:11" ht="14.25" customHeight="1" x14ac:dyDescent="0.3">
      <c r="A33" s="114" t="s">
        <v>17</v>
      </c>
      <c r="B33" s="1039">
        <f t="shared" si="42"/>
        <v>98.685141729057264</v>
      </c>
      <c r="C33" s="1040">
        <f t="shared" si="43"/>
        <v>98.75963794837412</v>
      </c>
      <c r="D33" s="1040">
        <f t="shared" si="44"/>
        <v>99.020374715983166</v>
      </c>
      <c r="E33" s="1041" t="e">
        <f>100-ABS((($K17-#REF!)/($K17)))*100</f>
        <v>#REF!</v>
      </c>
      <c r="F33" s="4"/>
      <c r="G33" s="114" t="s">
        <v>17</v>
      </c>
      <c r="H33" s="589" t="s">
        <v>96</v>
      </c>
      <c r="I33" s="590">
        <f>MAX(X2:X9)</f>
        <v>98.908630387007875</v>
      </c>
      <c r="J33" s="4"/>
      <c r="K33" s="4"/>
    </row>
    <row r="34" spans="1:11" ht="14.25" customHeight="1" x14ac:dyDescent="0.3">
      <c r="A34" s="4"/>
      <c r="B34" s="4"/>
      <c r="C34" s="6"/>
      <c r="D34" s="6"/>
      <c r="E34" s="6"/>
      <c r="F34" s="4"/>
      <c r="G34" s="4"/>
      <c r="H34" s="4"/>
      <c r="I34" s="5"/>
      <c r="J34" s="4"/>
      <c r="K34" s="4"/>
    </row>
    <row r="35" spans="1:11" ht="14.25" customHeight="1" x14ac:dyDescent="0.3">
      <c r="A35" s="331" t="str">
        <f>AA1</f>
        <v>AVR-4</v>
      </c>
      <c r="B35" s="1042">
        <f t="array" ref="B35">SUM(B29:B32/4)</f>
        <v>98.074122285888407</v>
      </c>
      <c r="C35" s="1043">
        <f t="array" ref="C35">SUM(C29:C32/4)</f>
        <v>98.213283478126925</v>
      </c>
      <c r="D35" s="1043">
        <f t="array" ref="D35">SUM(D29:D32/4)</f>
        <v>98.272061873733691</v>
      </c>
      <c r="E35" s="1044" t="e">
        <f t="array" ref="E35">SUM(E29:E32/4)</f>
        <v>#REF!</v>
      </c>
      <c r="F35" s="4"/>
      <c r="G35" s="1319" t="s">
        <v>44</v>
      </c>
      <c r="H35" s="1319"/>
      <c r="I35" s="125">
        <f>AVERAGE(I29:I32)</f>
        <v>98.989451018862354</v>
      </c>
      <c r="J35" s="4"/>
      <c r="K35" s="4"/>
    </row>
    <row r="36" spans="1:11" ht="14.25" customHeight="1" x14ac:dyDescent="0.3">
      <c r="A36" s="336" t="str">
        <f>AB1</f>
        <v>AVR-6</v>
      </c>
      <c r="B36" s="1045">
        <f t="array" ref="B36">SUM(B28:B33/6)</f>
        <v>98.444002571935684</v>
      </c>
      <c r="C36" s="1046">
        <f t="array" ref="C36">SUM(C28:C33/6)</f>
        <v>98.589912664980417</v>
      </c>
      <c r="D36" s="1046">
        <f t="array" ref="D36">SUM(D28:D33/6)</f>
        <v>98.672554389986459</v>
      </c>
      <c r="E36" s="1047" t="e">
        <f t="array" ref="E36">SUM(E28:E33/6)</f>
        <v>#REF!</v>
      </c>
      <c r="F36" s="4"/>
      <c r="G36" s="1320" t="s">
        <v>51</v>
      </c>
      <c r="H36" s="1320"/>
      <c r="I36" s="141">
        <f>AVERAGE(I28:I33)</f>
        <v>99.132189765243012</v>
      </c>
      <c r="J36" s="4"/>
      <c r="K36" s="4"/>
    </row>
  </sheetData>
  <mergeCells count="7">
    <mergeCell ref="AK19:AL19"/>
    <mergeCell ref="AK20:AL20"/>
    <mergeCell ref="G35:H35"/>
    <mergeCell ref="G36:H36"/>
    <mergeCell ref="C19:D19"/>
    <mergeCell ref="E19:F19"/>
    <mergeCell ref="G19:H19"/>
  </mergeCells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30"/>
  <sheetViews>
    <sheetView zoomScale="140" zoomScaleNormal="140" workbookViewId="0">
      <selection activeCell="AB9" sqref="AB9"/>
    </sheetView>
  </sheetViews>
  <sheetFormatPr defaultColWidth="8.77734375" defaultRowHeight="14.25" customHeight="1" x14ac:dyDescent="0.3"/>
  <cols>
    <col min="1" max="1" width="8.77734375" style="661"/>
    <col min="2" max="7" width="9" style="661" customWidth="1"/>
    <col min="8" max="8" width="5.77734375" style="661" customWidth="1"/>
    <col min="9" max="10" width="9" style="661" customWidth="1"/>
    <col min="11" max="11" width="3.88671875" style="661" customWidth="1"/>
    <col min="12" max="12" width="9" style="661" customWidth="1"/>
    <col min="13" max="13" width="5.5546875" style="661" customWidth="1"/>
    <col min="14" max="14" width="6.5546875" style="661" hidden="1" customWidth="1"/>
    <col min="15" max="15" width="5.5546875" style="661" customWidth="1"/>
    <col min="16" max="16" width="6.5546875" style="661" hidden="1" customWidth="1"/>
    <col min="17" max="17" width="5.5546875" style="661" customWidth="1"/>
    <col min="18" max="18" width="6.5546875" style="661" hidden="1" customWidth="1"/>
    <col min="19" max="19" width="5.5546875" style="661" customWidth="1"/>
    <col min="20" max="20" width="6.5546875" style="661" hidden="1" customWidth="1"/>
    <col min="21" max="21" width="5.5546875" style="661" customWidth="1"/>
    <col min="22" max="22" width="7.109375" style="661" hidden="1" customWidth="1"/>
    <col min="23" max="23" width="5.5546875" style="661" customWidth="1"/>
    <col min="24" max="24" width="6.5546875" style="661" hidden="1" customWidth="1"/>
    <col min="25" max="25" width="5.44140625" style="661" customWidth="1"/>
    <col min="26" max="26" width="8.88671875" style="798" customWidth="1"/>
    <col min="27" max="27" width="8.88671875" style="799" customWidth="1"/>
    <col min="28" max="16384" width="8.77734375" style="661"/>
  </cols>
  <sheetData>
    <row r="1" spans="1:28" ht="14.4" x14ac:dyDescent="0.3">
      <c r="A1" s="2" t="s">
        <v>0</v>
      </c>
      <c r="B1" s="888" t="s">
        <v>129</v>
      </c>
      <c r="C1" s="889" t="s">
        <v>130</v>
      </c>
      <c r="D1" s="889" t="s">
        <v>131</v>
      </c>
      <c r="E1" s="889" t="s">
        <v>34</v>
      </c>
      <c r="F1" s="889">
        <v>4</v>
      </c>
      <c r="G1" s="889" t="s">
        <v>95</v>
      </c>
      <c r="H1" s="1048" t="s">
        <v>96</v>
      </c>
      <c r="I1" s="891" t="s">
        <v>133</v>
      </c>
      <c r="J1" s="892" t="s">
        <v>134</v>
      </c>
      <c r="L1" s="2" t="s">
        <v>11</v>
      </c>
      <c r="M1" s="1049" t="s">
        <v>12</v>
      </c>
      <c r="N1" s="1050">
        <f>SUM(M2:M8)</f>
        <v>587.25490196078431</v>
      </c>
      <c r="O1" s="1051" t="s">
        <v>13</v>
      </c>
      <c r="P1" s="1052">
        <f>SUM(O2:O8)</f>
        <v>596.32377104241186</v>
      </c>
      <c r="Q1" s="1053" t="s">
        <v>14</v>
      </c>
      <c r="R1" s="1052">
        <f>SUM(Q2:Q8)</f>
        <v>594.68055711902741</v>
      </c>
      <c r="S1" s="1052" t="s">
        <v>15</v>
      </c>
      <c r="T1" s="1052">
        <f>SUM(S2:S8)</f>
        <v>568.23394495412833</v>
      </c>
      <c r="U1" s="1054" t="s">
        <v>16</v>
      </c>
      <c r="V1" s="805">
        <f>SUM(U2:U8)</f>
        <v>592.43645381277122</v>
      </c>
      <c r="W1" s="1055" t="s">
        <v>17</v>
      </c>
      <c r="X1" s="807">
        <f>SUM(W2:W8)</f>
        <v>597.37328893821677</v>
      </c>
      <c r="Z1" s="809" t="s">
        <v>18</v>
      </c>
      <c r="AA1" s="810" t="s">
        <v>19</v>
      </c>
    </row>
    <row r="2" spans="1:28" ht="14.4" x14ac:dyDescent="0.3">
      <c r="A2" s="743" t="s">
        <v>12</v>
      </c>
      <c r="B2" s="898">
        <v>4</v>
      </c>
      <c r="C2" s="899">
        <v>3.98</v>
      </c>
      <c r="D2" s="899">
        <v>4.01</v>
      </c>
      <c r="E2" s="899">
        <v>3.99</v>
      </c>
      <c r="F2" s="899">
        <v>3.99</v>
      </c>
      <c r="G2" s="899">
        <v>3.99</v>
      </c>
      <c r="H2" s="1056">
        <v>0</v>
      </c>
      <c r="I2" s="937">
        <f>(B2*N22)+(C2*N23)+(D2*N24)+(E2*N25)+(F2*N26)+(G2*N27)+(H2*N28)</f>
        <v>3.9933565783356584</v>
      </c>
      <c r="J2" s="1057">
        <v>4.08</v>
      </c>
      <c r="L2" s="1058" t="s">
        <v>129</v>
      </c>
      <c r="M2" s="1059">
        <f>100-ABS((($J2-B2)/($J2)))*100</f>
        <v>98.039215686274503</v>
      </c>
      <c r="N2" s="1060">
        <f t="shared" ref="N2:N8" si="0">M2/$N$1</f>
        <v>0.1669449081803005</v>
      </c>
      <c r="O2" s="1061">
        <f>100-ABS((($J3-B3)/($J3)))*100</f>
        <v>99.291190796518379</v>
      </c>
      <c r="P2" s="1062">
        <f t="shared" ref="P2:P8" si="1">O2/$P$1</f>
        <v>0.16650550526092742</v>
      </c>
      <c r="Q2" s="1063">
        <f>100-ABS((($J4-B4)/($J4)))*100</f>
        <v>98.833219545071117</v>
      </c>
      <c r="R2" s="1062">
        <f t="shared" ref="R2:R8" si="2">Q2/$R$1</f>
        <v>0.1661954781637317</v>
      </c>
      <c r="S2" s="1063">
        <f>100-ABS((($J5-B5)/($J5)))*100</f>
        <v>94.0366972477064</v>
      </c>
      <c r="T2" s="1062">
        <f t="shared" ref="T2:T8" si="3">S2/$T$1</f>
        <v>0.16548940464177597</v>
      </c>
      <c r="U2" s="1064">
        <f>100-ABS((($J6-B6)/($J6)))*100</f>
        <v>98.580444147710125</v>
      </c>
      <c r="V2" s="1065">
        <f t="shared" ref="V2:V8" si="4">U2/$V$1</f>
        <v>0.16639834283199711</v>
      </c>
      <c r="W2" s="1066">
        <f>100-ABS((($J7-B7)/($J7)))*100</f>
        <v>99.741028486866455</v>
      </c>
      <c r="X2" s="1067">
        <f t="shared" ref="X2:X8" si="5">W2/$X$1</f>
        <v>0.166965999876138</v>
      </c>
      <c r="Z2" s="816">
        <f t="array" ref="Z2">SUM(O2:U2/4)</f>
        <v>97.809935531268124</v>
      </c>
      <c r="AA2" s="817">
        <f t="array" ref="AA2">SUM(M2:W2/6)</f>
        <v>98.22555492487092</v>
      </c>
      <c r="AB2" s="661" t="str">
        <f>IF($AA2=MAX(AA2:AA8),"TOP","")</f>
        <v/>
      </c>
    </row>
    <row r="3" spans="1:28" ht="14.4" x14ac:dyDescent="0.3">
      <c r="A3" s="82" t="s">
        <v>13</v>
      </c>
      <c r="B3" s="916">
        <v>47900</v>
      </c>
      <c r="C3" s="917">
        <v>47850</v>
      </c>
      <c r="D3" s="917">
        <v>47750</v>
      </c>
      <c r="E3" s="917">
        <v>47000</v>
      </c>
      <c r="F3" s="917">
        <v>47800</v>
      </c>
      <c r="G3" s="917">
        <v>47700</v>
      </c>
      <c r="H3" s="1068">
        <v>0</v>
      </c>
      <c r="I3" s="964">
        <f>(B3*P22)+(C3*P23)+(D3*P24)+(E3*P25)+(F3*P26)+(G3*P27)+(H3*P28)</f>
        <v>47663.189513926809</v>
      </c>
      <c r="J3" s="1069">
        <v>47562.87</v>
      </c>
      <c r="L3" s="1070" t="s">
        <v>130</v>
      </c>
      <c r="M3" s="1071">
        <f>100-ABS((($J2-C2)/($J2)))*100</f>
        <v>97.549019607843135</v>
      </c>
      <c r="N3" s="1072">
        <f t="shared" si="0"/>
        <v>0.166110183639399</v>
      </c>
      <c r="O3" s="1073">
        <f>100-ABS((($J3-C3)/($J3)))*100</f>
        <v>99.396314814476085</v>
      </c>
      <c r="P3" s="1074">
        <f t="shared" si="1"/>
        <v>0.16668179207534359</v>
      </c>
      <c r="Q3" s="1075">
        <f>100-ABS((($J4-C4)/($J4)))*100</f>
        <v>99.125609083958182</v>
      </c>
      <c r="R3" s="1074">
        <f t="shared" si="2"/>
        <v>0.166687153123316</v>
      </c>
      <c r="S3" s="1075">
        <f>100-ABS((($J5-C5)/($J5)))*100</f>
        <v>94.610091743119256</v>
      </c>
      <c r="T3" s="1074">
        <f t="shared" si="3"/>
        <v>0.16649848637739659</v>
      </c>
      <c r="U3" s="1076">
        <f>100-ABS((($J6-C6)/($J6)))*100</f>
        <v>99.057338610965402</v>
      </c>
      <c r="V3" s="1077">
        <f t="shared" si="4"/>
        <v>0.16720331433600585</v>
      </c>
      <c r="W3" s="1078">
        <f>100-ABS((($J7-C7)/($J7)))*100</f>
        <v>99.88901220865705</v>
      </c>
      <c r="X3" s="1079">
        <f t="shared" si="5"/>
        <v>0.16721372391156253</v>
      </c>
      <c r="Z3" s="829">
        <f t="array" ref="Z3">SUM(O3:U3/4)</f>
        <v>98.172305421023751</v>
      </c>
      <c r="AA3" s="830">
        <f t="array" ref="AA3">SUM(M3:W3/6)</f>
        <v>98.410094499761783</v>
      </c>
      <c r="AB3" s="661" t="str">
        <f>IF($AA3=MAX(AA2:AA8),"TOP","")</f>
        <v/>
      </c>
    </row>
    <row r="4" spans="1:28" ht="14.4" x14ac:dyDescent="0.3">
      <c r="A4" s="82" t="s">
        <v>14</v>
      </c>
      <c r="B4" s="916">
        <v>6920</v>
      </c>
      <c r="C4" s="917">
        <v>6900</v>
      </c>
      <c r="D4" s="917">
        <v>6925</v>
      </c>
      <c r="E4" s="917">
        <v>6870</v>
      </c>
      <c r="F4" s="917">
        <v>6900</v>
      </c>
      <c r="G4" s="917">
        <v>6890</v>
      </c>
      <c r="H4" s="1068">
        <v>0</v>
      </c>
      <c r="I4" s="964">
        <f>(B4*R22)+(C4*R23)+(D4*R24)+(E4*R25)+(F4*R26)+(G4*R27)+(H4*R28)</f>
        <v>6900.7704239917275</v>
      </c>
      <c r="J4" s="1069">
        <v>6840.19</v>
      </c>
      <c r="L4" s="1070" t="s">
        <v>131</v>
      </c>
      <c r="M4" s="1080">
        <f>100-ABS((($J2-D2)/($J2)))*100</f>
        <v>98.284313725490193</v>
      </c>
      <c r="N4" s="1072">
        <f t="shared" si="0"/>
        <v>0.16736227045075125</v>
      </c>
      <c r="O4" s="1073">
        <f>100-ABS((($J3-D3)/($J3)))*100</f>
        <v>99.606562850391498</v>
      </c>
      <c r="P4" s="1074">
        <f t="shared" si="1"/>
        <v>0.16703436570417593</v>
      </c>
      <c r="Q4" s="1075">
        <f>100-ABS((($J4-D4)/($J4)))*100</f>
        <v>98.76012216034934</v>
      </c>
      <c r="R4" s="1074">
        <f t="shared" si="2"/>
        <v>0.16607255942383559</v>
      </c>
      <c r="S4" s="1081">
        <f>100-ABS((($J5-D5)/($J5)))*100</f>
        <v>98.623853211009163</v>
      </c>
      <c r="T4" s="1074">
        <f t="shared" si="3"/>
        <v>0.17356205852674067</v>
      </c>
      <c r="U4" s="1076">
        <f>100-ABS((($J6-D6)/($J6)))*100</f>
        <v>98.341996916082479</v>
      </c>
      <c r="V4" s="1077">
        <f t="shared" si="4"/>
        <v>0.16599585707999273</v>
      </c>
      <c r="W4" s="1082">
        <f>100-ABS((($J7-D7)/($J7)))*100</f>
        <v>99.5560488346282</v>
      </c>
      <c r="X4" s="1079">
        <f t="shared" si="5"/>
        <v>0.16665634483185734</v>
      </c>
      <c r="Z4" s="1083">
        <f t="array" ref="Z4">SUM(O4:U4/4)</f>
        <v>98.959801030371807</v>
      </c>
      <c r="AA4" s="1084">
        <f t="array" ref="AA4">SUM(M4:W4/6)</f>
        <v>99.00215413485607</v>
      </c>
      <c r="AB4" s="661" t="str">
        <f>IF($AA4=MAX(AA2:AA8),"TOP","")</f>
        <v>TOP</v>
      </c>
    </row>
    <row r="5" spans="1:28" ht="14.4" x14ac:dyDescent="0.3">
      <c r="A5" s="82" t="s">
        <v>15</v>
      </c>
      <c r="B5" s="916">
        <v>16.399999999999999</v>
      </c>
      <c r="C5" s="917">
        <v>16.5</v>
      </c>
      <c r="D5" s="917">
        <v>17.2</v>
      </c>
      <c r="E5" s="917">
        <v>16.2</v>
      </c>
      <c r="F5" s="917">
        <v>16.3</v>
      </c>
      <c r="G5" s="917">
        <v>16.5</v>
      </c>
      <c r="H5" s="1068">
        <v>0</v>
      </c>
      <c r="I5" s="1085">
        <f>(B5*T22)+(C5*T23)+(D5*T24)+(E5*T25)+(F5*T26)+(G5*T27)+(H5*T28)</f>
        <v>16.491226415094339</v>
      </c>
      <c r="J5" s="1069">
        <v>17.440000000000001</v>
      </c>
      <c r="L5" s="1070" t="s">
        <v>34</v>
      </c>
      <c r="M5" s="1071">
        <f>100-ABS((($J2-E2)/($J2)))*100</f>
        <v>97.794117647058826</v>
      </c>
      <c r="N5" s="1072">
        <f t="shared" si="0"/>
        <v>0.16652754590984975</v>
      </c>
      <c r="O5" s="1073">
        <f>100-ABS((($J3-E3)/($J3)))*100</f>
        <v>98.81657688024292</v>
      </c>
      <c r="P5" s="1074">
        <f t="shared" si="1"/>
        <v>0.16570960555120126</v>
      </c>
      <c r="Q5" s="1081">
        <f>100-ABS((($J4-E4)/($J4)))*100</f>
        <v>99.5641933922888</v>
      </c>
      <c r="R5" s="1074">
        <f t="shared" si="2"/>
        <v>0.16742466556269248</v>
      </c>
      <c r="S5" s="1075">
        <f>100-ABS((($J5-E5)/($J5)))*100</f>
        <v>92.889908256880716</v>
      </c>
      <c r="T5" s="1074">
        <f t="shared" si="3"/>
        <v>0.16347124117053483</v>
      </c>
      <c r="U5" s="1076">
        <f>100-ABS((($J6-E6)/($J6)))*100</f>
        <v>97.467690400114464</v>
      </c>
      <c r="V5" s="1077">
        <f t="shared" si="4"/>
        <v>0.16452007598931001</v>
      </c>
      <c r="W5" s="830">
        <f>100-ABS((($J7-E7)/($J7)))*100</f>
        <v>99.149093599704031</v>
      </c>
      <c r="X5" s="1079">
        <f t="shared" si="5"/>
        <v>0.16597510373443983</v>
      </c>
      <c r="Z5" s="829">
        <f t="array" ref="Z5">SUM(O5:U5/4)</f>
        <v>97.308743610452836</v>
      </c>
      <c r="AA5" s="830">
        <f t="array" ref="AA5">SUM(M5:W5/6)</f>
        <v>97.751538885078887</v>
      </c>
      <c r="AB5" s="661" t="str">
        <f>IF($AA5=MAX(AA2:AA8),"TOP","")</f>
        <v/>
      </c>
    </row>
    <row r="6" spans="1:28" ht="14.4" x14ac:dyDescent="0.3">
      <c r="A6" s="82" t="s">
        <v>16</v>
      </c>
      <c r="B6" s="916">
        <v>638</v>
      </c>
      <c r="C6" s="917">
        <v>635</v>
      </c>
      <c r="D6" s="917">
        <v>639.5</v>
      </c>
      <c r="E6" s="917">
        <v>645</v>
      </c>
      <c r="F6" s="917">
        <v>632.5</v>
      </c>
      <c r="G6" s="917">
        <v>632</v>
      </c>
      <c r="H6" s="1068">
        <v>0</v>
      </c>
      <c r="I6" s="964">
        <f>(B6*V22)+(C6*V23)+(D6*V24)+(E6*V25)+(F6*V26)+(G6*V27)+(H6*V28)</f>
        <v>636.82344789356989</v>
      </c>
      <c r="J6" s="1069">
        <v>629.07000000000005</v>
      </c>
      <c r="L6" s="1070">
        <v>4</v>
      </c>
      <c r="M6" s="1071">
        <f>100-ABS((($J2-F2)/($J2)))*100</f>
        <v>97.794117647058826</v>
      </c>
      <c r="N6" s="1072">
        <f t="shared" si="0"/>
        <v>0.16652754590984975</v>
      </c>
      <c r="O6" s="1086">
        <f>100-ABS((($J3-F3)/($J3)))*100</f>
        <v>99.501438832433792</v>
      </c>
      <c r="P6" s="1074">
        <f t="shared" si="1"/>
        <v>0.16685807888975976</v>
      </c>
      <c r="Q6" s="1075">
        <f>100-ABS((($J4-F4)/($J4)))*100</f>
        <v>99.125609083958182</v>
      </c>
      <c r="R6" s="1074">
        <f t="shared" si="2"/>
        <v>0.166687153123316</v>
      </c>
      <c r="S6" s="1075">
        <f>100-ABS((($J5-F5)/($J5)))*100</f>
        <v>93.463302752293572</v>
      </c>
      <c r="T6" s="1074">
        <f t="shared" si="3"/>
        <v>0.16448032290615541</v>
      </c>
      <c r="U6" s="1076">
        <f>100-ABS((($J6-F6)/($J6)))*100</f>
        <v>99.454750663678141</v>
      </c>
      <c r="V6" s="1077">
        <f t="shared" si="4"/>
        <v>0.16787412392267984</v>
      </c>
      <c r="W6" s="1082">
        <f>100-ABS((($J7-F7)/($J7)))*100</f>
        <v>99.519052904180541</v>
      </c>
      <c r="X6" s="1079">
        <f t="shared" si="5"/>
        <v>0.16659441382300119</v>
      </c>
      <c r="Z6" s="829">
        <f t="array" ref="Z6">SUM(O6:U6/4)</f>
        <v>98.010781721820734</v>
      </c>
      <c r="AA6" s="830">
        <f t="array" ref="AA6">SUM(M6:W6/6)</f>
        <v>98.281783184725796</v>
      </c>
      <c r="AB6" s="661" t="str">
        <f>IF($AA6=MAX(AA2:AA8),"TOP","")</f>
        <v/>
      </c>
    </row>
    <row r="7" spans="1:28" ht="14.4" x14ac:dyDescent="0.3">
      <c r="A7" s="745" t="s">
        <v>17</v>
      </c>
      <c r="B7" s="923">
        <v>271</v>
      </c>
      <c r="C7" s="924">
        <v>270</v>
      </c>
      <c r="D7" s="924">
        <v>271.5</v>
      </c>
      <c r="E7" s="924">
        <v>268</v>
      </c>
      <c r="F7" s="924">
        <v>269</v>
      </c>
      <c r="G7" s="924">
        <v>269</v>
      </c>
      <c r="H7" s="1087">
        <v>0</v>
      </c>
      <c r="I7" s="1088">
        <f>(B7*X12)+(C7*X13)+(D7*X14)+(E7*X15)+(F7*X16)+(G7*X17)+(H7*X18)</f>
        <v>269.7217514124294</v>
      </c>
      <c r="J7" s="1089">
        <v>270.3</v>
      </c>
      <c r="L7" s="1070" t="s">
        <v>95</v>
      </c>
      <c r="M7" s="1071">
        <f>100-ABS((($J2-G2)/($J2)))*100</f>
        <v>97.794117647058826</v>
      </c>
      <c r="N7" s="1072">
        <f t="shared" si="0"/>
        <v>0.16652754590984975</v>
      </c>
      <c r="O7" s="1090">
        <f>100-ABS((($J3-G3)/($J3)))*100</f>
        <v>99.711686868349204</v>
      </c>
      <c r="P7" s="1074">
        <f t="shared" si="1"/>
        <v>0.1672106525185921</v>
      </c>
      <c r="Q7" s="1075">
        <f>100-ABS((($J4-G4)/($J4)))*100</f>
        <v>99.271803853401721</v>
      </c>
      <c r="R7" s="1074">
        <f t="shared" si="2"/>
        <v>0.16693299060310815</v>
      </c>
      <c r="S7" s="1075">
        <f>100-ABS((($J5-G5)/($J5)))*100</f>
        <v>94.610091743119256</v>
      </c>
      <c r="T7" s="1074">
        <f t="shared" si="3"/>
        <v>0.16649848637739659</v>
      </c>
      <c r="U7" s="1091">
        <f>100-ABS((($J6-G6)/($J6)))*100</f>
        <v>99.53423307422068</v>
      </c>
      <c r="V7" s="1077">
        <f t="shared" si="4"/>
        <v>0.16800828584001462</v>
      </c>
      <c r="W7" s="1082">
        <f>100-ABS((($J7-G7)/($J7)))*100</f>
        <v>99.519052904180541</v>
      </c>
      <c r="X7" s="1079">
        <f t="shared" si="5"/>
        <v>0.16659441382300119</v>
      </c>
      <c r="Z7" s="829">
        <f t="array" ref="Z7">SUM(O7:U7/4)</f>
        <v>98.407114417147483</v>
      </c>
      <c r="AA7" s="830">
        <f t="array" ref="AA7">SUM(M7:W7/6)</f>
        <v>98.546027341929872</v>
      </c>
      <c r="AB7" s="661" t="str">
        <f>IF($AA7=MAX(AA2:AA8),"TOP","")</f>
        <v/>
      </c>
    </row>
    <row r="8" spans="1:28" ht="14.4" x14ac:dyDescent="0.3">
      <c r="L8" s="1092" t="s">
        <v>96</v>
      </c>
      <c r="M8" s="1093">
        <f>100-ABS((($J2-H2)/($J2)))*100</f>
        <v>0</v>
      </c>
      <c r="N8" s="1094">
        <f t="shared" si="0"/>
        <v>0</v>
      </c>
      <c r="O8" s="1095">
        <f>100-ABS((($J3-H3)/($J3)))*100</f>
        <v>0</v>
      </c>
      <c r="P8" s="1096">
        <f t="shared" si="1"/>
        <v>0</v>
      </c>
      <c r="Q8" s="1097">
        <f>100-ABS((($J4-H4)/($J4)))*100</f>
        <v>0</v>
      </c>
      <c r="R8" s="1096">
        <f t="shared" si="2"/>
        <v>0</v>
      </c>
      <c r="S8" s="1097">
        <f>100-ABS((($J5-H5)/($J5)))*100</f>
        <v>0</v>
      </c>
      <c r="T8" s="1096">
        <f t="shared" si="3"/>
        <v>0</v>
      </c>
      <c r="U8" s="1098">
        <f>100-ABS((($J6-H6)/($J6)))*100</f>
        <v>0</v>
      </c>
      <c r="V8" s="1099">
        <f t="shared" si="4"/>
        <v>0</v>
      </c>
      <c r="W8" s="842">
        <f>100-ABS((($J7-H7)/($J7)))*100</f>
        <v>0</v>
      </c>
      <c r="X8" s="1100">
        <f t="shared" si="5"/>
        <v>0</v>
      </c>
      <c r="Z8" s="841">
        <f t="array" ref="Z8">SUM(O8:U8/4)</f>
        <v>0</v>
      </c>
      <c r="AA8" s="842">
        <f t="array" ref="AA8">SUM(M8:W8/6)</f>
        <v>0</v>
      </c>
      <c r="AB8" s="661" t="str">
        <f>IF($AA8=MAX(AA2:AA8),"TOP","")</f>
        <v/>
      </c>
    </row>
    <row r="9" spans="1:28" ht="14.4" x14ac:dyDescent="0.3">
      <c r="M9" s="798"/>
      <c r="N9" s="798"/>
      <c r="O9" s="798"/>
      <c r="P9" s="798"/>
      <c r="Q9" s="798"/>
      <c r="R9" s="798"/>
      <c r="S9" s="798"/>
      <c r="T9" s="798"/>
      <c r="U9" s="798"/>
      <c r="V9" s="798"/>
      <c r="W9" s="798"/>
    </row>
    <row r="10" spans="1:28" ht="14.4" x14ac:dyDescent="0.3">
      <c r="E10" s="931"/>
      <c r="M10" s="798"/>
      <c r="N10" s="798"/>
      <c r="O10" s="798"/>
      <c r="P10" s="798"/>
      <c r="Q10" s="798"/>
      <c r="R10" s="798"/>
      <c r="S10" s="798"/>
      <c r="T10" s="798"/>
      <c r="U10" s="798"/>
      <c r="V10" s="798"/>
      <c r="W10" s="798"/>
    </row>
    <row r="11" spans="1:28" ht="14.4" x14ac:dyDescent="0.3">
      <c r="B11" s="893" t="s">
        <v>47</v>
      </c>
      <c r="C11" s="894"/>
      <c r="D11" s="895">
        <v>85220</v>
      </c>
      <c r="E11" s="896"/>
      <c r="F11" s="895" t="s">
        <v>48</v>
      </c>
      <c r="G11" s="897"/>
      <c r="L11" s="1101" t="s">
        <v>136</v>
      </c>
      <c r="M11" s="1102" t="s">
        <v>12</v>
      </c>
      <c r="N11" s="805">
        <f>SUM(M12:M18)</f>
        <v>404</v>
      </c>
      <c r="O11" s="1103" t="s">
        <v>13</v>
      </c>
      <c r="P11" s="1052">
        <f>SUM(O12:O18)</f>
        <v>527</v>
      </c>
      <c r="Q11" s="1052" t="s">
        <v>14</v>
      </c>
      <c r="R11" s="1052">
        <f>SUM(Q12:Q18)</f>
        <v>486</v>
      </c>
      <c r="S11" s="1052" t="s">
        <v>15</v>
      </c>
      <c r="T11" s="1052">
        <f>SUM(S12:S18)</f>
        <v>171</v>
      </c>
      <c r="U11" s="1054" t="s">
        <v>16</v>
      </c>
      <c r="V11" s="805">
        <f>SUM(U12:U18)</f>
        <v>469</v>
      </c>
      <c r="W11" s="1104" t="s">
        <v>17</v>
      </c>
      <c r="X11" s="798">
        <f>SUM(W22:W28)</f>
        <v>354</v>
      </c>
      <c r="Z11" s="809" t="s">
        <v>54</v>
      </c>
      <c r="AA11" s="851" t="s">
        <v>55</v>
      </c>
    </row>
    <row r="12" spans="1:28" ht="14.4" x14ac:dyDescent="0.3">
      <c r="A12" s="53" t="s">
        <v>12</v>
      </c>
      <c r="B12" s="903">
        <v>3.99</v>
      </c>
      <c r="C12" s="904" t="str">
        <f t="shared" ref="C12:C17" si="6">IF(ABS(J2-I2)&lt;ABS(B12-J2),$I$1,$B$11)</f>
        <v>Comb</v>
      </c>
      <c r="D12" s="903">
        <v>3.98</v>
      </c>
      <c r="E12" s="904" t="str">
        <f t="shared" ref="E12:E17" si="7">IF(ABS(J2-I2)&lt;ABS(J2-D12),$I$1,$D$11)</f>
        <v>Comb</v>
      </c>
      <c r="F12" s="903">
        <v>3.99</v>
      </c>
      <c r="G12" s="905" t="str">
        <f t="shared" ref="G12:G17" si="8">IF(ABS(I2-J2)&lt;ABS(J2-F12),$I$1,$F$11)</f>
        <v>Comb</v>
      </c>
      <c r="L12" s="1058" t="s">
        <v>129</v>
      </c>
      <c r="M12" s="1105">
        <f>IF(M2=0,0, LOOKUP(M2-0.000000000001,{0,93,95,96,97,98,99,99.5,99.99},{1,25,37,50,66,70,83,97,100}))</f>
        <v>70</v>
      </c>
      <c r="N12" s="1065">
        <f t="shared" ref="N12:N18" si="9">M12/$N$11</f>
        <v>0.17326732673267325</v>
      </c>
      <c r="O12" s="1106">
        <f>IF(O2=0,0, LOOKUP(O2-0.000000000001,{0,93,95,96,97,98,99,99.5,99.99},{1,25,37,50,66,70,83,97,100}))</f>
        <v>83</v>
      </c>
      <c r="P12" s="1107">
        <f t="shared" ref="P12:P18" si="10">O12/$P$11</f>
        <v>0.15749525616698293</v>
      </c>
      <c r="Q12" s="1062">
        <f>IF(Q2=0,0, LOOKUP(Q2-0.000000000001,{0,93,95,96,97,98,99,99.5,99.99},{1,25,37,50,66,70,83,97,100}))</f>
        <v>70</v>
      </c>
      <c r="R12" s="1107">
        <f t="shared" ref="R12:R18" si="11">Q12/$R$11</f>
        <v>0.1440329218106996</v>
      </c>
      <c r="S12" s="1062">
        <f>IF(S2=0,0, LOOKUP(S2-0.000000000001,{0,93,95,96,97,98,99,99.5,99.99},{1,25,37,50,66,70,83,97,100}))</f>
        <v>25</v>
      </c>
      <c r="T12" s="1107">
        <f t="shared" ref="T12:T18" si="12">S12/$T$11</f>
        <v>0.14619883040935672</v>
      </c>
      <c r="U12" s="1108">
        <f>IF(U2=0,0, LOOKUP(U2-0.000000000001,{0,93,95,96,97,98,99,99.5,99.99},{1,25,37,50,66,70,83,97,100}))</f>
        <v>70</v>
      </c>
      <c r="V12" s="1065">
        <f t="shared" ref="V12:V18" si="13">U12/$V$11</f>
        <v>0.14925373134328357</v>
      </c>
      <c r="W12" s="1109">
        <f>IF(W2=0,0, LOOKUP(W2-0.000000000001,{0,93,95,96,97,98,99,99.5,99.99},{1,25,37,50,66,70,83,97,100}))</f>
        <v>97</v>
      </c>
      <c r="X12" s="661">
        <f t="shared" ref="X12:X18" si="14">W22/$X$11</f>
        <v>0.16101694915254236</v>
      </c>
      <c r="Z12" s="1110" t="s">
        <v>137</v>
      </c>
      <c r="AA12" s="858">
        <v>100</v>
      </c>
    </row>
    <row r="13" spans="1:28" ht="14.4" x14ac:dyDescent="0.3">
      <c r="A13" s="60" t="s">
        <v>13</v>
      </c>
      <c r="B13" s="910">
        <v>47845</v>
      </c>
      <c r="C13" s="911" t="str">
        <f t="shared" si="6"/>
        <v>Comb</v>
      </c>
      <c r="D13" s="910">
        <v>47815</v>
      </c>
      <c r="E13" s="911" t="str">
        <f t="shared" si="7"/>
        <v>Comb</v>
      </c>
      <c r="F13" s="910">
        <v>47790</v>
      </c>
      <c r="G13" s="912" t="str">
        <f t="shared" si="8"/>
        <v>Comb</v>
      </c>
      <c r="L13" s="1111" t="s">
        <v>130</v>
      </c>
      <c r="M13" s="1112">
        <f>IF(M3=0,0, LOOKUP(M3-0.000000000001,{0,93,95,96,97,98,99,99.5,99.99},{1,25,37,50,66,70,83,97,100}))</f>
        <v>66</v>
      </c>
      <c r="N13" s="1077">
        <f t="shared" si="9"/>
        <v>0.16336633663366337</v>
      </c>
      <c r="O13" s="1113">
        <f>IF(O3=0,0, LOOKUP(O3-0.000000000001,{0,93,95,96,97,98,99,99.5,99.99},{1,25,37,50,66,70,83,97,100}))</f>
        <v>83</v>
      </c>
      <c r="P13" s="1114">
        <f t="shared" si="10"/>
        <v>0.15749525616698293</v>
      </c>
      <c r="Q13" s="1074">
        <f>IF(Q3=0,0, LOOKUP(Q3-0.000000000001,{0,93,95,96,97,98,99,99.5,99.99},{1,25,37,50,66,70,83,97,100}))</f>
        <v>83</v>
      </c>
      <c r="R13" s="1114">
        <f t="shared" si="11"/>
        <v>0.17078189300411523</v>
      </c>
      <c r="S13" s="1074">
        <f>IF(S3=0,0, LOOKUP(S3-0.000000000001,{0,93,95,96,97,98,99,99.5,99.99},{1,25,37,50,66,70,83,97,100}))</f>
        <v>25</v>
      </c>
      <c r="T13" s="1114">
        <f t="shared" si="12"/>
        <v>0.14619883040935672</v>
      </c>
      <c r="U13" s="1115">
        <f>IF(U3=0,0, LOOKUP(U3-0.000000000001,{0,93,95,96,97,98,99,99.5,99.99},{1,25,37,50,66,70,83,97,100}))</f>
        <v>83</v>
      </c>
      <c r="V13" s="1077">
        <f t="shared" si="13"/>
        <v>0.17697228144989338</v>
      </c>
      <c r="W13" s="1116">
        <f>IF(W3=0,0, LOOKUP(W3-0.000000000001,{0,93,95,96,97,98,99,99.5,99.99},{1,25,37,50,66,70,83,97,100}))</f>
        <v>97</v>
      </c>
      <c r="X13" s="661">
        <f t="shared" si="14"/>
        <v>0.17231638418079095</v>
      </c>
      <c r="Z13" s="1117" t="s">
        <v>138</v>
      </c>
      <c r="AA13" s="860">
        <v>97</v>
      </c>
    </row>
    <row r="14" spans="1:28" ht="14.4" x14ac:dyDescent="0.3">
      <c r="A14" s="82" t="s">
        <v>14</v>
      </c>
      <c r="B14" s="913">
        <v>6903</v>
      </c>
      <c r="C14" s="914" t="str">
        <f t="shared" si="6"/>
        <v>Comb</v>
      </c>
      <c r="D14" s="913">
        <v>6898</v>
      </c>
      <c r="E14" s="914">
        <f t="shared" si="7"/>
        <v>85220</v>
      </c>
      <c r="F14" s="913">
        <v>6899</v>
      </c>
      <c r="G14" s="915" t="str">
        <f t="shared" si="8"/>
        <v>MICH</v>
      </c>
      <c r="L14" s="1111" t="s">
        <v>131</v>
      </c>
      <c r="M14" s="1112">
        <f>IF(M4=0,0, LOOKUP(M4-0.000000000001,{0,93,95,96,97,98,99,99.5,99.99},{1,25,37,50,66,70,83,97,100}))</f>
        <v>70</v>
      </c>
      <c r="N14" s="1077">
        <f t="shared" si="9"/>
        <v>0.17326732673267325</v>
      </c>
      <c r="O14" s="1113">
        <f>IF(O4=0,0, LOOKUP(O4-0.000000000001,{0,93,95,96,97,98,99,99.5,99.99},{1,25,37,50,66,70,83,97,100}))</f>
        <v>97</v>
      </c>
      <c r="P14" s="1114">
        <f t="shared" si="10"/>
        <v>0.18406072106261859</v>
      </c>
      <c r="Q14" s="1074">
        <f>IF(Q4=0,0, LOOKUP(Q4-0.000000000001,{0,93,95,96,97,98,99,99.5,99.99},{1,25,37,50,66,70,83,97,100}))</f>
        <v>70</v>
      </c>
      <c r="R14" s="1114">
        <f t="shared" si="11"/>
        <v>0.1440329218106996</v>
      </c>
      <c r="S14" s="1074">
        <f>IF(S4=0,0, LOOKUP(S4-0.000000000001,{0,93,95,96,97,98,99,99.5,99.99},{1,25,37,50,66,70,83,97,100}))</f>
        <v>70</v>
      </c>
      <c r="T14" s="1114">
        <f t="shared" si="12"/>
        <v>0.40935672514619881</v>
      </c>
      <c r="U14" s="1115">
        <f>IF(U4=0,0, LOOKUP(U4-0.000000000001,{0,93,95,96,97,98,99,99.5,99.99},{1,25,37,50,66,70,83,97,100}))</f>
        <v>70</v>
      </c>
      <c r="V14" s="1077">
        <f t="shared" si="13"/>
        <v>0.14925373134328357</v>
      </c>
      <c r="W14" s="1116">
        <f>IF(W4=0,0, LOOKUP(W4-0.000000000001,{0,93,95,96,97,98,99,99.5,99.99},{1,25,37,50,66,70,83,97,100}))</f>
        <v>97</v>
      </c>
      <c r="X14" s="661">
        <f t="shared" si="14"/>
        <v>0.16101694915254236</v>
      </c>
      <c r="Z14" s="1118" t="s">
        <v>139</v>
      </c>
      <c r="AA14" s="860">
        <v>83</v>
      </c>
    </row>
    <row r="15" spans="1:28" ht="14.4" x14ac:dyDescent="0.3">
      <c r="A15" s="82" t="s">
        <v>15</v>
      </c>
      <c r="B15" s="913">
        <v>16.399999999999999</v>
      </c>
      <c r="C15" s="914" t="str">
        <f t="shared" si="6"/>
        <v>Comb</v>
      </c>
      <c r="D15" s="913">
        <v>16.5</v>
      </c>
      <c r="E15" s="914">
        <f t="shared" si="7"/>
        <v>85220</v>
      </c>
      <c r="F15" s="913">
        <v>16.239999999999998</v>
      </c>
      <c r="G15" s="915" t="str">
        <f t="shared" si="8"/>
        <v>Comb</v>
      </c>
      <c r="L15" s="1111" t="s">
        <v>34</v>
      </c>
      <c r="M15" s="1112">
        <f>IF(M5=0,0, LOOKUP(M5-0.000000000001,{0,93,95,96,97,98,99,99.5,99.99},{1,25,37,50,66,70,83,97,100}))</f>
        <v>66</v>
      </c>
      <c r="N15" s="1077">
        <f t="shared" si="9"/>
        <v>0.16336633663366337</v>
      </c>
      <c r="O15" s="1113">
        <f>IF(O5=0,0, LOOKUP(O5-0.000000000001,{0,93,95,96,97,98,99,99.5,99.99},{1,25,37,50,66,70,83,97,100}))</f>
        <v>70</v>
      </c>
      <c r="P15" s="1114">
        <f t="shared" si="10"/>
        <v>0.13282732447817835</v>
      </c>
      <c r="Q15" s="1074">
        <f>IF(Q5=0,0, LOOKUP(Q5-0.000000000001,{0,93,95,96,97,98,99,99.5,99.99},{1,25,37,50,66,70,83,97,100}))</f>
        <v>97</v>
      </c>
      <c r="R15" s="1114">
        <f t="shared" si="11"/>
        <v>0.19958847736625515</v>
      </c>
      <c r="S15" s="1074">
        <f>IF(S5=0,0, LOOKUP(S5-0.000000000001,{0,93,95,96,97,98,99,99.5,99.99},{1,25,37,50,66,70,83,97,100}))</f>
        <v>1</v>
      </c>
      <c r="T15" s="1114">
        <f t="shared" si="12"/>
        <v>5.8479532163742687E-3</v>
      </c>
      <c r="U15" s="1115">
        <f>IF(U5=0,0, LOOKUP(U5-0.000000000001,{0,93,95,96,97,98,99,99.5,99.99},{1,25,37,50,66,70,83,97,100}))</f>
        <v>66</v>
      </c>
      <c r="V15" s="1077">
        <f t="shared" si="13"/>
        <v>0.14072494669509594</v>
      </c>
      <c r="W15" s="1116">
        <f>IF(W5=0,0, LOOKUP(W5-0.000000000001,{0,93,95,96,97,98,99,99.5,99.99},{1,25,37,50,66,70,83,97,100}))</f>
        <v>83</v>
      </c>
      <c r="X15" s="661">
        <f t="shared" si="14"/>
        <v>0.1751412429378531</v>
      </c>
      <c r="Z15" s="1118" t="s">
        <v>140</v>
      </c>
      <c r="AA15" s="860">
        <v>70</v>
      </c>
    </row>
    <row r="16" spans="1:28" ht="14.4" x14ac:dyDescent="0.3">
      <c r="A16" s="99" t="s">
        <v>16</v>
      </c>
      <c r="B16" s="920">
        <v>635.79999999999995</v>
      </c>
      <c r="C16" s="921" t="str">
        <f t="shared" si="6"/>
        <v>RD</v>
      </c>
      <c r="D16" s="920">
        <v>636.9</v>
      </c>
      <c r="E16" s="921" t="str">
        <f t="shared" si="7"/>
        <v>Comb</v>
      </c>
      <c r="F16" s="920">
        <v>635.5</v>
      </c>
      <c r="G16" s="922" t="str">
        <f t="shared" si="8"/>
        <v>MICH</v>
      </c>
      <c r="L16" s="1111">
        <v>4</v>
      </c>
      <c r="M16" s="1112">
        <f>IF(M6=0,0, LOOKUP(M6-0.000000000001,{0,93,95,96,97,98,99,99.5,99.99},{1,25,37,50,66,70,83,97,100}))</f>
        <v>66</v>
      </c>
      <c r="N16" s="1077">
        <f t="shared" si="9"/>
        <v>0.16336633663366337</v>
      </c>
      <c r="O16" s="1113">
        <f>IF(O6=0,0, LOOKUP(O6-0.000000000001,{0,93,95,96,97,98,99,99.5,99.99},{1,25,37,50,66,70,83,97,100}))</f>
        <v>97</v>
      </c>
      <c r="P16" s="1114">
        <f t="shared" si="10"/>
        <v>0.18406072106261859</v>
      </c>
      <c r="Q16" s="1074">
        <f>IF(Q6=0,0, LOOKUP(Q6-0.000000000001,{0,93,95,96,97,98,99,99.5,99.99},{1,25,37,50,66,70,83,97,100}))</f>
        <v>83</v>
      </c>
      <c r="R16" s="1114">
        <f t="shared" si="11"/>
        <v>0.17078189300411523</v>
      </c>
      <c r="S16" s="1074">
        <f>IF(S6=0,0, LOOKUP(S6-0.000000000001,{0,93,95,96,97,98,99,99.5,99.99},{1,25,37,50,66,70,83,97,100}))</f>
        <v>25</v>
      </c>
      <c r="T16" s="1114">
        <f t="shared" si="12"/>
        <v>0.14619883040935672</v>
      </c>
      <c r="U16" s="1115">
        <f>IF(U6=0,0, LOOKUP(U6-0.000000000001,{0,93,95,96,97,98,99,99.5,99.99},{1,25,37,50,66,70,83,97,100}))</f>
        <v>83</v>
      </c>
      <c r="V16" s="1077">
        <f t="shared" si="13"/>
        <v>0.17697228144989338</v>
      </c>
      <c r="W16" s="1116">
        <f>IF(W6=0,0, LOOKUP(W6-0.000000000001,{0,93,95,96,97,98,99,99.5,99.99},{1,25,37,50,66,70,83,97,100}))</f>
        <v>97</v>
      </c>
      <c r="X16" s="661">
        <f t="shared" si="14"/>
        <v>0.15819209039548024</v>
      </c>
      <c r="Z16" s="1118" t="s">
        <v>141</v>
      </c>
      <c r="AA16" s="860">
        <v>66</v>
      </c>
    </row>
    <row r="17" spans="1:27" ht="14.4" x14ac:dyDescent="0.3">
      <c r="A17" s="114" t="s">
        <v>17</v>
      </c>
      <c r="B17" s="928">
        <v>270.89999999999998</v>
      </c>
      <c r="C17" s="929" t="str">
        <f t="shared" si="6"/>
        <v>Comb</v>
      </c>
      <c r="D17" s="928">
        <v>270.2</v>
      </c>
      <c r="E17" s="929">
        <f t="shared" si="7"/>
        <v>85220</v>
      </c>
      <c r="F17" s="928">
        <v>270.5</v>
      </c>
      <c r="G17" s="930" t="str">
        <f t="shared" si="8"/>
        <v>MICH</v>
      </c>
      <c r="L17" s="1111" t="s">
        <v>95</v>
      </c>
      <c r="M17" s="1112">
        <f>IF(M7=0,0, LOOKUP(M7-0.000000000001,{0,93,95,96,97,98,99,99.5,99.99},{1,25,37,50,66,70,83,97,100}))</f>
        <v>66</v>
      </c>
      <c r="N17" s="1077">
        <f t="shared" si="9"/>
        <v>0.16336633663366337</v>
      </c>
      <c r="O17" s="1113">
        <f>IF(O7=0,0, LOOKUP(O7-0.000000000001,{0,93,95,96,97,98,99,99.5,99.99},{1,25,37,50,66,70,83,97,100}))</f>
        <v>97</v>
      </c>
      <c r="P17" s="1114">
        <f t="shared" si="10"/>
        <v>0.18406072106261859</v>
      </c>
      <c r="Q17" s="1074">
        <f>IF(Q7=0,0, LOOKUP(Q7-0.000000000001,{0,93,95,96,97,98,99,99.5,99.99},{1,25,37,50,66,70,83,97,100}))</f>
        <v>83</v>
      </c>
      <c r="R17" s="1114">
        <f t="shared" si="11"/>
        <v>0.17078189300411523</v>
      </c>
      <c r="S17" s="1074">
        <f>IF(S7=0,0, LOOKUP(S7-0.000000000001,{0,93,95,96,97,98,99,99.5,99.99},{1,25,37,50,66,70,83,97,100}))</f>
        <v>25</v>
      </c>
      <c r="T17" s="1114">
        <f t="shared" si="12"/>
        <v>0.14619883040935672</v>
      </c>
      <c r="U17" s="1115">
        <f>IF(U7=0,0, LOOKUP(U7-0.000000000001,{0,93,95,96,97,98,99,99.5,99.99},{1,25,37,50,66,70,83,97,100}))</f>
        <v>97</v>
      </c>
      <c r="V17" s="1077">
        <f t="shared" si="13"/>
        <v>0.2068230277185501</v>
      </c>
      <c r="W17" s="1116">
        <f>IF(W7=0,0, LOOKUP(W7-0.000000000001,{0,93,95,96,97,98,99,99.5,99.99},{1,25,37,50,66,70,83,97,100}))</f>
        <v>97</v>
      </c>
      <c r="X17" s="661">
        <f t="shared" si="14"/>
        <v>0.17231638418079095</v>
      </c>
      <c r="Z17" s="1118" t="s">
        <v>142</v>
      </c>
      <c r="AA17" s="860">
        <v>50</v>
      </c>
    </row>
    <row r="18" spans="1:27" ht="14.4" x14ac:dyDescent="0.3">
      <c r="L18" s="1119" t="s">
        <v>96</v>
      </c>
      <c r="M18" s="1120">
        <f>IF(M8=0,0, LOOKUP(M8-0.000000000001,{0,93,95,96,97,98,99,99.5,99.99},{1,25,37,50,66,70,83,97,100}))</f>
        <v>0</v>
      </c>
      <c r="N18" s="1099">
        <f t="shared" si="9"/>
        <v>0</v>
      </c>
      <c r="O18" s="1121">
        <f>IF(O8=0,0, LOOKUP(O8-0.000000000001,{0,93,95,96,97,98,99,99.5,99.99},{1,25,37,50,66,70,83,97,100}))</f>
        <v>0</v>
      </c>
      <c r="P18" s="1122">
        <f t="shared" si="10"/>
        <v>0</v>
      </c>
      <c r="Q18" s="1096">
        <f>IF(Q8=0,0, LOOKUP(Q8-0.000000000001,{0,93,95,96,97,98,99,99.5,99.99},{1,25,37,50,66,70,83,97,100}))</f>
        <v>0</v>
      </c>
      <c r="R18" s="1122">
        <f t="shared" si="11"/>
        <v>0</v>
      </c>
      <c r="S18" s="1096">
        <f>IF(S8=0,0, LOOKUP(S8-0.000000000001,{0,93,95,96,97,98,99,99.5,99.99},{1,25,37,50,66,70,83,97,100}))</f>
        <v>0</v>
      </c>
      <c r="T18" s="1122">
        <f t="shared" si="12"/>
        <v>0</v>
      </c>
      <c r="U18" s="1123">
        <f>IF(U8=0,0, LOOKUP(U8-0.000000000001,{0,93,95,96,97,98,99,99.5,99.99},{1,25,37,50,66,70,83,97,100}))</f>
        <v>0</v>
      </c>
      <c r="V18" s="1099">
        <f t="shared" si="13"/>
        <v>0</v>
      </c>
      <c r="W18" s="1124">
        <f>IF(W8=0,0, LOOKUP(W8-0.000000000001,{0,93,95,96,97,98,99,99.5,99.99},{1,25,37,50,66,70,83,97,100}))</f>
        <v>0</v>
      </c>
      <c r="X18" s="661">
        <f t="shared" si="14"/>
        <v>0</v>
      </c>
      <c r="Z18" s="1118" t="s">
        <v>143</v>
      </c>
      <c r="AA18" s="860">
        <v>37</v>
      </c>
    </row>
    <row r="19" spans="1:27" ht="14.4" x14ac:dyDescent="0.3">
      <c r="L19" s="6"/>
      <c r="M19" s="798"/>
      <c r="N19" s="798"/>
      <c r="O19" s="798"/>
      <c r="P19" s="798"/>
      <c r="Q19" s="798"/>
      <c r="R19" s="798"/>
      <c r="S19" s="798"/>
      <c r="T19" s="798"/>
      <c r="U19" s="798"/>
      <c r="V19" s="798"/>
      <c r="W19" s="798"/>
      <c r="Z19" s="1118" t="s">
        <v>144</v>
      </c>
      <c r="AA19" s="860">
        <v>25</v>
      </c>
    </row>
    <row r="20" spans="1:27" ht="14.4" x14ac:dyDescent="0.3">
      <c r="Z20" s="1118" t="s">
        <v>145</v>
      </c>
      <c r="AA20" s="860">
        <v>1</v>
      </c>
    </row>
    <row r="21" spans="1:27" ht="14.4" x14ac:dyDescent="0.3">
      <c r="B21" s="30" t="s">
        <v>47</v>
      </c>
      <c r="C21" s="933">
        <v>85220</v>
      </c>
      <c r="D21" s="933" t="s">
        <v>48</v>
      </c>
      <c r="E21" s="934" t="s">
        <v>133</v>
      </c>
      <c r="G21" s="935" t="s">
        <v>20</v>
      </c>
      <c r="L21" s="1101" t="s">
        <v>146</v>
      </c>
      <c r="M21" s="1125" t="s">
        <v>12</v>
      </c>
      <c r="N21" s="805">
        <f>SUM(M22:M28)</f>
        <v>537.75</v>
      </c>
      <c r="O21" s="1103" t="s">
        <v>13</v>
      </c>
      <c r="P21" s="1052">
        <f>SUM(O22:O28)</f>
        <v>457.75</v>
      </c>
      <c r="Q21" s="1052" t="s">
        <v>14</v>
      </c>
      <c r="R21" s="1052">
        <f>SUM(Q22:Q28)</f>
        <v>483.5</v>
      </c>
      <c r="S21" s="1052" t="s">
        <v>15</v>
      </c>
      <c r="T21" s="1052">
        <f>SUM(S22:S28)</f>
        <v>265</v>
      </c>
      <c r="U21" s="1054" t="s">
        <v>16</v>
      </c>
      <c r="V21" s="805">
        <f>SUM(U22:U28)</f>
        <v>451</v>
      </c>
      <c r="W21" s="807" t="s">
        <v>17</v>
      </c>
      <c r="Z21" s="1126">
        <v>0</v>
      </c>
      <c r="AA21" s="882">
        <v>0</v>
      </c>
    </row>
    <row r="22" spans="1:27" ht="14.4" x14ac:dyDescent="0.3">
      <c r="A22" s="53" t="s">
        <v>12</v>
      </c>
      <c r="B22" s="940">
        <f t="shared" ref="B22:B27" si="15">100-ABS(($J2-B12)/($J2))*100</f>
        <v>97.794117647058826</v>
      </c>
      <c r="C22" s="941">
        <f t="shared" ref="C22:C27" si="16">100-ABS(($J2-D12)/($J2))*100</f>
        <v>97.549019607843135</v>
      </c>
      <c r="D22" s="941">
        <f t="shared" ref="D22:D27" si="17">100-ABS(($J2-F12)/($J2))*100</f>
        <v>97.794117647058826</v>
      </c>
      <c r="E22" s="942">
        <f t="shared" ref="E22:E27" si="18">100-ABS((($J2-I2)/($J2)))*100</f>
        <v>97.8763867239132</v>
      </c>
      <c r="G22" s="943" t="s">
        <v>12</v>
      </c>
      <c r="H22" s="1127" t="s">
        <v>131</v>
      </c>
      <c r="I22" s="945">
        <f>M4</f>
        <v>98.284313725490193</v>
      </c>
      <c r="L22" s="1058" t="s">
        <v>129</v>
      </c>
      <c r="M22" s="1128">
        <v>86.75</v>
      </c>
      <c r="N22" s="1129">
        <f t="shared" ref="N22:N28" si="19">M22/$N$21</f>
        <v>0.16132031613203163</v>
      </c>
      <c r="O22" s="1130">
        <v>75</v>
      </c>
      <c r="P22" s="1107">
        <f t="shared" ref="P22:P28" si="20">O22/$P$21</f>
        <v>0.16384489350081921</v>
      </c>
      <c r="Q22" s="1107">
        <v>78.5</v>
      </c>
      <c r="R22" s="1107">
        <f t="shared" ref="R22:R28" si="21">Q22/$R$21</f>
        <v>0.1623578076525336</v>
      </c>
      <c r="S22" s="1107">
        <v>54.5</v>
      </c>
      <c r="T22" s="1107">
        <f t="shared" ref="T22:T28" si="22">S22/$T$21</f>
        <v>0.20566037735849058</v>
      </c>
      <c r="U22" s="1131">
        <v>73.5</v>
      </c>
      <c r="V22" s="1065">
        <f t="shared" ref="V22:V28" si="23">U22/$V$21</f>
        <v>0.16297117516629711</v>
      </c>
      <c r="W22" s="774">
        <v>57</v>
      </c>
    </row>
    <row r="23" spans="1:27" ht="14.4" x14ac:dyDescent="0.3">
      <c r="A23" s="60" t="s">
        <v>13</v>
      </c>
      <c r="B23" s="950">
        <f t="shared" si="15"/>
        <v>99.406827216271864</v>
      </c>
      <c r="C23" s="951">
        <f t="shared" si="16"/>
        <v>99.469901627046482</v>
      </c>
      <c r="D23" s="951">
        <f t="shared" si="17"/>
        <v>99.522463636025336</v>
      </c>
      <c r="E23" s="952">
        <f t="shared" si="18"/>
        <v>99.78908019232901</v>
      </c>
      <c r="G23" s="953" t="s">
        <v>13</v>
      </c>
      <c r="H23" s="954" t="s">
        <v>95</v>
      </c>
      <c r="I23" s="955">
        <f>O7</f>
        <v>99.711686868349204</v>
      </c>
      <c r="L23" s="1111" t="s">
        <v>130</v>
      </c>
      <c r="M23" s="1132">
        <v>86.75</v>
      </c>
      <c r="N23" s="1133">
        <f t="shared" si="19"/>
        <v>0.16132031613203163</v>
      </c>
      <c r="O23" s="1134">
        <v>75</v>
      </c>
      <c r="P23" s="1114">
        <f t="shared" si="20"/>
        <v>0.16384489350081921</v>
      </c>
      <c r="Q23" s="1114">
        <v>82.5</v>
      </c>
      <c r="R23" s="1114">
        <f t="shared" si="21"/>
        <v>0.17063081695966908</v>
      </c>
      <c r="S23" s="1114">
        <v>51</v>
      </c>
      <c r="T23" s="1114">
        <f t="shared" si="22"/>
        <v>0.19245283018867926</v>
      </c>
      <c r="U23" s="1135">
        <v>77.5</v>
      </c>
      <c r="V23" s="1077">
        <f t="shared" si="23"/>
        <v>0.17184035476718404</v>
      </c>
      <c r="W23" s="775">
        <v>61</v>
      </c>
    </row>
    <row r="24" spans="1:27" ht="14.4" x14ac:dyDescent="0.3">
      <c r="A24" s="82" t="s">
        <v>14</v>
      </c>
      <c r="B24" s="756">
        <f t="shared" si="15"/>
        <v>99.081750653125127</v>
      </c>
      <c r="C24" s="959">
        <f t="shared" si="16"/>
        <v>99.154848037846889</v>
      </c>
      <c r="D24" s="959">
        <f t="shared" si="17"/>
        <v>99.140228560902543</v>
      </c>
      <c r="E24" s="960">
        <f t="shared" si="18"/>
        <v>99.114345888173744</v>
      </c>
      <c r="G24" s="961" t="s">
        <v>14</v>
      </c>
      <c r="H24" s="962" t="s">
        <v>34</v>
      </c>
      <c r="I24" s="963">
        <f>Q5</f>
        <v>99.5641933922888</v>
      </c>
      <c r="L24" s="1111" t="s">
        <v>131</v>
      </c>
      <c r="M24" s="1132">
        <v>90.25</v>
      </c>
      <c r="N24" s="1133">
        <f t="shared" si="19"/>
        <v>0.16782891678289169</v>
      </c>
      <c r="O24" s="1134">
        <v>75.5</v>
      </c>
      <c r="P24" s="1114">
        <f t="shared" si="20"/>
        <v>0.16493719279082469</v>
      </c>
      <c r="Q24" s="1114">
        <v>82.5</v>
      </c>
      <c r="R24" s="1114">
        <f t="shared" si="21"/>
        <v>0.17063081695966908</v>
      </c>
      <c r="S24" s="1114">
        <v>33.25</v>
      </c>
      <c r="T24" s="1114">
        <f t="shared" si="22"/>
        <v>0.12547169811320755</v>
      </c>
      <c r="U24" s="1135">
        <v>73.5</v>
      </c>
      <c r="V24" s="1077">
        <f t="shared" si="23"/>
        <v>0.16297117516629711</v>
      </c>
      <c r="W24" s="775">
        <v>57</v>
      </c>
    </row>
    <row r="25" spans="1:27" ht="14.4" x14ac:dyDescent="0.3">
      <c r="A25" s="82" t="s">
        <v>15</v>
      </c>
      <c r="B25" s="756">
        <f t="shared" si="15"/>
        <v>94.0366972477064</v>
      </c>
      <c r="C25" s="959">
        <f t="shared" si="16"/>
        <v>94.610091743119256</v>
      </c>
      <c r="D25" s="959">
        <f t="shared" si="17"/>
        <v>93.119266055045856</v>
      </c>
      <c r="E25" s="960">
        <f t="shared" si="18"/>
        <v>94.559784490219826</v>
      </c>
      <c r="G25" s="961" t="s">
        <v>15</v>
      </c>
      <c r="H25" s="962" t="s">
        <v>131</v>
      </c>
      <c r="I25" s="963">
        <f>S4</f>
        <v>98.623853211009163</v>
      </c>
      <c r="L25" s="1111" t="s">
        <v>34</v>
      </c>
      <c r="M25" s="1132">
        <v>90.25</v>
      </c>
      <c r="N25" s="1133">
        <f t="shared" si="19"/>
        <v>0.16782891678289169</v>
      </c>
      <c r="O25" s="1134">
        <v>78.25</v>
      </c>
      <c r="P25" s="1114">
        <f t="shared" si="20"/>
        <v>0.17094483888585471</v>
      </c>
      <c r="Q25" s="1114">
        <v>82.5</v>
      </c>
      <c r="R25" s="1114">
        <f t="shared" si="21"/>
        <v>0.17063081695966908</v>
      </c>
      <c r="S25" s="1114">
        <v>44.5</v>
      </c>
      <c r="T25" s="1114">
        <f t="shared" si="22"/>
        <v>0.16792452830188678</v>
      </c>
      <c r="U25" s="1135">
        <v>70.25</v>
      </c>
      <c r="V25" s="1077">
        <f t="shared" si="23"/>
        <v>0.15576496674057649</v>
      </c>
      <c r="W25" s="775">
        <v>62</v>
      </c>
    </row>
    <row r="26" spans="1:27" ht="14.4" x14ac:dyDescent="0.3">
      <c r="A26" s="99" t="s">
        <v>16</v>
      </c>
      <c r="B26" s="970">
        <f t="shared" si="15"/>
        <v>98.930166754097328</v>
      </c>
      <c r="C26" s="971">
        <f t="shared" si="16"/>
        <v>98.755305450903734</v>
      </c>
      <c r="D26" s="971">
        <f t="shared" si="17"/>
        <v>98.977856200422849</v>
      </c>
      <c r="E26" s="972">
        <f t="shared" si="18"/>
        <v>98.76747454280607</v>
      </c>
      <c r="G26" s="973" t="s">
        <v>16</v>
      </c>
      <c r="H26" s="974" t="s">
        <v>95</v>
      </c>
      <c r="I26" s="975">
        <f>U7</f>
        <v>99.53423307422068</v>
      </c>
      <c r="L26" s="1111">
        <v>4</v>
      </c>
      <c r="M26" s="1132">
        <v>97</v>
      </c>
      <c r="N26" s="1133">
        <f t="shared" si="19"/>
        <v>0.18038121803812179</v>
      </c>
      <c r="O26" s="1134">
        <v>79</v>
      </c>
      <c r="P26" s="1114">
        <f t="shared" si="20"/>
        <v>0.17258328782086291</v>
      </c>
      <c r="Q26" s="1114">
        <v>79</v>
      </c>
      <c r="R26" s="1114">
        <f t="shared" si="21"/>
        <v>0.16339193381592554</v>
      </c>
      <c r="S26" s="1114">
        <v>34</v>
      </c>
      <c r="T26" s="1114">
        <f t="shared" si="22"/>
        <v>0.12830188679245283</v>
      </c>
      <c r="U26" s="1135">
        <v>74.75</v>
      </c>
      <c r="V26" s="1077">
        <f t="shared" si="23"/>
        <v>0.16574279379157428</v>
      </c>
      <c r="W26" s="775">
        <v>56</v>
      </c>
    </row>
    <row r="27" spans="1:27" ht="14.4" x14ac:dyDescent="0.3">
      <c r="A27" s="114" t="s">
        <v>17</v>
      </c>
      <c r="B27" s="980">
        <f t="shared" si="15"/>
        <v>99.778024417314114</v>
      </c>
      <c r="C27" s="981">
        <f t="shared" si="16"/>
        <v>99.963004069552341</v>
      </c>
      <c r="D27" s="981">
        <f t="shared" si="17"/>
        <v>99.926008139104709</v>
      </c>
      <c r="E27" s="982">
        <f t="shared" si="18"/>
        <v>99.786071554727855</v>
      </c>
      <c r="G27" s="983" t="s">
        <v>17</v>
      </c>
      <c r="H27" s="1136" t="s">
        <v>130</v>
      </c>
      <c r="I27" s="985">
        <f>W3</f>
        <v>99.88901220865705</v>
      </c>
      <c r="L27" s="1111" t="s">
        <v>95</v>
      </c>
      <c r="M27" s="1132">
        <v>86.75</v>
      </c>
      <c r="N27" s="1133">
        <f t="shared" si="19"/>
        <v>0.16132031613203163</v>
      </c>
      <c r="O27" s="1134">
        <v>75</v>
      </c>
      <c r="P27" s="1114">
        <f t="shared" si="20"/>
        <v>0.16384489350081921</v>
      </c>
      <c r="Q27" s="1114">
        <v>78.5</v>
      </c>
      <c r="R27" s="1114">
        <f t="shared" si="21"/>
        <v>0.1623578076525336</v>
      </c>
      <c r="S27" s="1114">
        <v>47.75</v>
      </c>
      <c r="T27" s="1114">
        <f t="shared" si="22"/>
        <v>0.18018867924528301</v>
      </c>
      <c r="U27" s="1135">
        <v>81.5</v>
      </c>
      <c r="V27" s="1077">
        <f t="shared" si="23"/>
        <v>0.18070953436807094</v>
      </c>
      <c r="W27" s="775">
        <v>61</v>
      </c>
    </row>
    <row r="28" spans="1:27" ht="14.25" customHeight="1" x14ac:dyDescent="0.3">
      <c r="C28" s="798"/>
      <c r="D28" s="798"/>
      <c r="E28" s="798"/>
      <c r="F28" s="798"/>
      <c r="L28" s="1119" t="s">
        <v>96</v>
      </c>
      <c r="M28" s="1137">
        <v>0</v>
      </c>
      <c r="N28" s="1138">
        <f t="shared" si="19"/>
        <v>0</v>
      </c>
      <c r="O28" s="1139">
        <v>0</v>
      </c>
      <c r="P28" s="1122">
        <f t="shared" si="20"/>
        <v>0</v>
      </c>
      <c r="Q28" s="1122">
        <v>0</v>
      </c>
      <c r="R28" s="1122">
        <f t="shared" si="21"/>
        <v>0</v>
      </c>
      <c r="S28" s="1122">
        <v>0</v>
      </c>
      <c r="T28" s="1122">
        <f t="shared" si="22"/>
        <v>0</v>
      </c>
      <c r="U28" s="1140">
        <v>0</v>
      </c>
      <c r="V28" s="1099">
        <f t="shared" si="23"/>
        <v>0</v>
      </c>
      <c r="W28" s="790">
        <v>0</v>
      </c>
    </row>
    <row r="29" spans="1:27" ht="14.25" customHeight="1" x14ac:dyDescent="0.3">
      <c r="A29" s="986" t="str">
        <f>Z1</f>
        <v>AVR-4</v>
      </c>
      <c r="B29" s="987">
        <f t="array" ref="B29">SUM(B23:B26/4)</f>
        <v>97.86386046780018</v>
      </c>
      <c r="C29" s="988">
        <f t="array" ref="C29">SUM(C23:C26/4)</f>
        <v>97.997536714729094</v>
      </c>
      <c r="D29" s="988">
        <f t="array" ref="D29">SUM(D23:D26/4)</f>
        <v>97.689953613099135</v>
      </c>
      <c r="E29" s="989">
        <f t="array" ref="E29">SUM(E23:E26/4)</f>
        <v>98.057671278382173</v>
      </c>
      <c r="G29" s="1331" t="s">
        <v>44</v>
      </c>
      <c r="H29" s="1331"/>
      <c r="I29" s="989">
        <f>AVERAGE(I23:I26)</f>
        <v>99.358491636466965</v>
      </c>
    </row>
    <row r="30" spans="1:27" ht="14.25" customHeight="1" x14ac:dyDescent="0.3">
      <c r="A30" s="996" t="str">
        <f>AA1</f>
        <v>AVR-6</v>
      </c>
      <c r="B30" s="997">
        <f t="array" ref="B30">SUM(B22:B27/6)</f>
        <v>98.171263989262286</v>
      </c>
      <c r="C30" s="998">
        <f t="array" ref="C30">SUM(C22:C27/6)</f>
        <v>98.250361756051973</v>
      </c>
      <c r="D30" s="998">
        <f t="array" ref="D30">SUM(D22:D27/6)</f>
        <v>98.07999003976002</v>
      </c>
      <c r="E30" s="999">
        <f t="array" ref="E30">SUM(E22:E27/6)</f>
        <v>98.315523898694948</v>
      </c>
      <c r="G30" s="1332" t="s">
        <v>51</v>
      </c>
      <c r="H30" s="1332"/>
      <c r="I30" s="999">
        <f>AVERAGE(I22:I27)</f>
        <v>99.267882080002508</v>
      </c>
    </row>
  </sheetData>
  <mergeCells count="2">
    <mergeCell ref="G29:H29"/>
    <mergeCell ref="G30:H30"/>
  </mergeCells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27"/>
  <sheetViews>
    <sheetView zoomScale="140" zoomScaleNormal="140" workbookViewId="0">
      <selection activeCell="I11" sqref="I11"/>
    </sheetView>
  </sheetViews>
  <sheetFormatPr defaultColWidth="8.77734375" defaultRowHeight="14.25" customHeight="1" x14ac:dyDescent="0.3"/>
  <cols>
    <col min="1" max="1" width="8.77734375" style="661"/>
    <col min="2" max="7" width="9.109375" style="661" customWidth="1"/>
    <col min="8" max="8" width="5.77734375" style="661" customWidth="1"/>
    <col min="9" max="9" width="9.109375" style="661" customWidth="1"/>
    <col min="10" max="10" width="9" style="661" customWidth="1"/>
    <col min="11" max="11" width="3.88671875" style="661" customWidth="1"/>
    <col min="12" max="12" width="9" style="661" customWidth="1"/>
    <col min="13" max="13" width="5.5546875" style="661" customWidth="1"/>
    <col min="14" max="14" width="6.5546875" style="661" hidden="1" customWidth="1"/>
    <col min="15" max="15" width="5.5546875" style="661" customWidth="1"/>
    <col min="16" max="16" width="6.5546875" style="661" hidden="1" customWidth="1"/>
    <col min="17" max="17" width="5.5546875" style="661" customWidth="1"/>
    <col min="18" max="18" width="6.5546875" style="661" hidden="1" customWidth="1"/>
    <col min="19" max="19" width="5.5546875" style="661" customWidth="1"/>
    <col min="20" max="20" width="6.5546875" style="661" hidden="1" customWidth="1"/>
    <col min="21" max="21" width="5.5546875" style="661" customWidth="1"/>
    <col min="22" max="22" width="7.109375" style="661" hidden="1" customWidth="1"/>
    <col min="23" max="23" width="5.5546875" style="661" customWidth="1"/>
    <col min="24" max="24" width="6.5546875" style="661" hidden="1" customWidth="1"/>
    <col min="25" max="25" width="7.33203125" style="661" customWidth="1"/>
    <col min="26" max="26" width="8.88671875" style="798" customWidth="1"/>
    <col min="27" max="27" width="8.88671875" style="799" customWidth="1"/>
    <col min="28" max="16384" width="8.77734375" style="661"/>
  </cols>
  <sheetData>
    <row r="1" spans="1:29" ht="14.25" customHeight="1" x14ac:dyDescent="0.3">
      <c r="A1" s="2" t="s">
        <v>0</v>
      </c>
      <c r="B1" s="888" t="s">
        <v>129</v>
      </c>
      <c r="C1" s="889" t="s">
        <v>130</v>
      </c>
      <c r="D1" s="889" t="s">
        <v>131</v>
      </c>
      <c r="E1" s="889" t="s">
        <v>34</v>
      </c>
      <c r="F1" s="889">
        <v>4</v>
      </c>
      <c r="G1" s="889" t="s">
        <v>95</v>
      </c>
      <c r="H1" s="1048" t="s">
        <v>96</v>
      </c>
      <c r="I1" s="1141" t="s">
        <v>133</v>
      </c>
      <c r="J1" s="892" t="s">
        <v>134</v>
      </c>
      <c r="L1" s="1142" t="s">
        <v>147</v>
      </c>
      <c r="M1" s="1143" t="s">
        <v>12</v>
      </c>
      <c r="N1" s="1144">
        <f>SUM(M2:M8)</f>
        <v>598.20134898825881</v>
      </c>
      <c r="O1" s="1053" t="s">
        <v>13</v>
      </c>
      <c r="P1" s="1052">
        <f>SUM(O2:O8)</f>
        <v>593.28169140587272</v>
      </c>
      <c r="Q1" s="1053" t="s">
        <v>14</v>
      </c>
      <c r="R1" s="1052">
        <f>SUM(Q2:Q8)</f>
        <v>590.35702506596306</v>
      </c>
      <c r="S1" s="1052" t="s">
        <v>15</v>
      </c>
      <c r="T1" s="1052">
        <f>SUM(S2:S8)</f>
        <v>591.69211973121571</v>
      </c>
      <c r="U1" s="1054" t="s">
        <v>16</v>
      </c>
      <c r="V1" s="1145">
        <f>SUM(U2:U8)</f>
        <v>580.65143412736995</v>
      </c>
      <c r="W1" s="1146" t="s">
        <v>17</v>
      </c>
      <c r="X1" s="807">
        <f>SUM(W2:W8)</f>
        <v>584.17928620348528</v>
      </c>
      <c r="Z1" s="818" t="s">
        <v>18</v>
      </c>
      <c r="AA1" s="1147" t="s">
        <v>19</v>
      </c>
    </row>
    <row r="2" spans="1:29" ht="14.25" customHeight="1" x14ac:dyDescent="0.3">
      <c r="A2" s="743" t="s">
        <v>12</v>
      </c>
      <c r="B2" s="898">
        <v>4</v>
      </c>
      <c r="C2" s="899">
        <v>3.98</v>
      </c>
      <c r="D2" s="899">
        <v>4.01</v>
      </c>
      <c r="E2" s="899">
        <v>3.99</v>
      </c>
      <c r="F2" s="899">
        <v>3.99</v>
      </c>
      <c r="G2" s="899">
        <v>3.99</v>
      </c>
      <c r="H2" s="1056">
        <v>0</v>
      </c>
      <c r="I2" s="1148">
        <f>(B2*N12)+(C2*N13)+(D2*N14)+(E2*N15)+(F2*N16)+(G2*N17)+(H2*N18)</f>
        <v>3.9936619718309858</v>
      </c>
      <c r="J2" s="1057">
        <v>4.0030000000000001</v>
      </c>
      <c r="L2" s="1058" t="s">
        <v>129</v>
      </c>
      <c r="M2" s="1149">
        <f>100-ABS((($J2-B2)/($J2)))*100</f>
        <v>99.925056207844108</v>
      </c>
      <c r="N2" s="1062">
        <f t="shared" ref="N2:N8" si="0">M2/$N$1</f>
        <v>0.16704251231938527</v>
      </c>
      <c r="O2" s="1063">
        <f>100-ABS((($J3-B3)/($J3)))*100</f>
        <v>98.53225530386095</v>
      </c>
      <c r="P2" s="1062">
        <f t="shared" ref="P2:P8" si="1">O2/$P$1</f>
        <v>0.16608005392914374</v>
      </c>
      <c r="Q2" s="1063">
        <f>100-ABS((($J4-B4)/($J4)))*100</f>
        <v>98.110629476064844</v>
      </c>
      <c r="R2" s="1062">
        <f t="shared" ref="R2:R8" si="2">Q2/$R$1</f>
        <v>0.16618863723202504</v>
      </c>
      <c r="S2" s="1150">
        <f>100-ABS((($J5-B5)/($J5)))*100</f>
        <v>99.816737935247417</v>
      </c>
      <c r="T2" s="1062">
        <f t="shared" ref="T2:T8" si="3">S2/$T$1</f>
        <v>0.16869708858145777</v>
      </c>
      <c r="U2" s="1064">
        <f>100-ABS((($J6-B6)/($J6)))*100</f>
        <v>96.6131907308378</v>
      </c>
      <c r="V2" s="1151">
        <f t="shared" ref="V2:V8" si="4">U2/$V$1</f>
        <v>0.16638758651484709</v>
      </c>
      <c r="W2" s="1152">
        <f>100-ABS((($J7-B7)/($J7)))*100</f>
        <v>96.887603683129129</v>
      </c>
      <c r="X2" s="1067">
        <f t="shared" ref="X2:X8" si="5">W2/$X$1</f>
        <v>0.16585251475243268</v>
      </c>
      <c r="Z2" s="1153">
        <f t="array" ref="Z2">SUM(O2:U2/4)</f>
        <v>98.393444806438396</v>
      </c>
      <c r="AA2" s="1154">
        <f t="array" ref="AA2">SUM(M2:W2/6)</f>
        <v>98.453311535926858</v>
      </c>
    </row>
    <row r="3" spans="1:29" ht="14.25" customHeight="1" x14ac:dyDescent="0.3">
      <c r="A3" s="82" t="s">
        <v>13</v>
      </c>
      <c r="B3" s="916">
        <v>47900</v>
      </c>
      <c r="C3" s="917">
        <v>47850</v>
      </c>
      <c r="D3" s="917">
        <v>47750</v>
      </c>
      <c r="E3" s="917">
        <v>47000</v>
      </c>
      <c r="F3" s="917">
        <v>47800</v>
      </c>
      <c r="G3" s="917">
        <v>47700</v>
      </c>
      <c r="H3" s="1068">
        <v>0</v>
      </c>
      <c r="I3" s="1155">
        <f>(B3*P12)+(C3*P13)+(D3*P14)+(E3*P15)+(F3*P16)+(G3*P17)+(H3*P18)</f>
        <v>47626.398210290827</v>
      </c>
      <c r="J3" s="1069">
        <v>47207.12</v>
      </c>
      <c r="L3" s="1070" t="s">
        <v>130</v>
      </c>
      <c r="M3" s="1156">
        <f>100-ABS((($J2-C2)/($J2)))*100</f>
        <v>99.425430926804893</v>
      </c>
      <c r="N3" s="1074">
        <f t="shared" si="0"/>
        <v>0.16620729975778836</v>
      </c>
      <c r="O3" s="1075">
        <f>100-ABS((($J3-C3)/($J3)))*100</f>
        <v>98.638171530057335</v>
      </c>
      <c r="P3" s="1074">
        <f t="shared" si="1"/>
        <v>0.16625857996109561</v>
      </c>
      <c r="Q3" s="1075">
        <f>100-ABS((($J4-C4)/($J4)))*100</f>
        <v>98.405107425555983</v>
      </c>
      <c r="R3" s="1074">
        <f t="shared" si="2"/>
        <v>0.16668745055512937</v>
      </c>
      <c r="S3" s="1075">
        <f>100-ABS((($J5-C5)/($J5)))*100</f>
        <v>99.205864386072093</v>
      </c>
      <c r="T3" s="1074">
        <f t="shared" si="3"/>
        <v>0.16766467065868262</v>
      </c>
      <c r="U3" s="1076">
        <f>100-ABS((($J6-C6)/($J6)))*100</f>
        <v>97.099335602009404</v>
      </c>
      <c r="V3" s="1157">
        <f t="shared" si="4"/>
        <v>0.16722482697030588</v>
      </c>
      <c r="W3" s="1158">
        <f>100-ABS((($J7-C7)/($J7)))*100</f>
        <v>97.268092230423861</v>
      </c>
      <c r="X3" s="1079">
        <f t="shared" si="5"/>
        <v>0.16650383628381987</v>
      </c>
      <c r="Z3" s="1153">
        <f t="array" ref="Z3">SUM(O3:U3/4)</f>
        <v>98.462272411217413</v>
      </c>
      <c r="AA3" s="1154">
        <f t="array" ref="AA3">SUM(M3:W3/6)</f>
        <v>98.479340821471098</v>
      </c>
    </row>
    <row r="4" spans="1:29" ht="14.25" customHeight="1" x14ac:dyDescent="0.3">
      <c r="A4" s="82" t="s">
        <v>14</v>
      </c>
      <c r="B4" s="916">
        <v>6920</v>
      </c>
      <c r="C4" s="917">
        <v>6900</v>
      </c>
      <c r="D4" s="917">
        <v>6925</v>
      </c>
      <c r="E4" s="917">
        <v>6870</v>
      </c>
      <c r="F4" s="917">
        <v>6900</v>
      </c>
      <c r="G4" s="917">
        <v>6890</v>
      </c>
      <c r="H4" s="1068">
        <v>0</v>
      </c>
      <c r="I4" s="1155">
        <f>(B4*R12)+(C4*R13)+(D4*R14)+(E4*R15)+(F4*R16)+(G4*R17)+(H4*R18)</f>
        <v>6900.833333333333</v>
      </c>
      <c r="J4" s="1069">
        <v>6791.68</v>
      </c>
      <c r="L4" s="1070" t="s">
        <v>131</v>
      </c>
      <c r="M4" s="1156">
        <f>100-ABS((($J2-D2)/($J2)))*100</f>
        <v>99.825131151636285</v>
      </c>
      <c r="N4" s="1074">
        <f t="shared" si="0"/>
        <v>0.16687546980706591</v>
      </c>
      <c r="O4" s="1075">
        <f>100-ABS((($J3-D3)/($J3)))*100</f>
        <v>98.850003982450104</v>
      </c>
      <c r="P4" s="1074">
        <f t="shared" si="1"/>
        <v>0.16661563202499935</v>
      </c>
      <c r="Q4" s="1075">
        <f>100-ABS((($J4-D4)/($J4)))*100</f>
        <v>98.037009988692049</v>
      </c>
      <c r="R4" s="1074">
        <f t="shared" si="2"/>
        <v>0.16606393390124893</v>
      </c>
      <c r="S4" s="1075">
        <f>100-ABS((($J5-D5)/($J5)))*100</f>
        <v>94.929749541844842</v>
      </c>
      <c r="T4" s="1074">
        <f t="shared" si="3"/>
        <v>0.16043774519925666</v>
      </c>
      <c r="U4" s="1076">
        <f>100-ABS((($J6-D6)/($J6)))*100</f>
        <v>96.370118295251984</v>
      </c>
      <c r="V4" s="1157">
        <f t="shared" si="4"/>
        <v>0.16596896628711766</v>
      </c>
      <c r="W4" s="1158">
        <f>100-ABS((($J7-D7)/($J7)))*100</f>
        <v>96.697359409481777</v>
      </c>
      <c r="X4" s="1079">
        <f t="shared" si="5"/>
        <v>0.16552685398673911</v>
      </c>
      <c r="Z4" s="1153">
        <f t="array" ref="Z4">SUM(O4:U4/4)</f>
        <v>97.16999977984112</v>
      </c>
      <c r="AA4" s="1154">
        <f t="array" ref="AA4">SUM(M4:W4/6)</f>
        <v>97.589222352762789</v>
      </c>
    </row>
    <row r="5" spans="1:29" ht="14.25" customHeight="1" x14ac:dyDescent="0.3">
      <c r="A5" s="82" t="s">
        <v>15</v>
      </c>
      <c r="B5" s="916">
        <v>16.399999999999999</v>
      </c>
      <c r="C5" s="917">
        <v>16.5</v>
      </c>
      <c r="D5" s="917">
        <v>17.2</v>
      </c>
      <c r="E5" s="917">
        <v>16.2</v>
      </c>
      <c r="F5" s="917">
        <v>16.3</v>
      </c>
      <c r="G5" s="917">
        <v>16.5</v>
      </c>
      <c r="H5" s="1068">
        <v>0</v>
      </c>
      <c r="I5" s="1159">
        <f>(B5*T12)+(C5*T13)+(D5*T14)+(E5*T15)+(F5*T16)+(G5*T17)+(H5*T18)</f>
        <v>16.428351648351647</v>
      </c>
      <c r="J5" s="1069">
        <v>16.37</v>
      </c>
      <c r="L5" s="1070" t="s">
        <v>34</v>
      </c>
      <c r="M5" s="1160">
        <f>100-ABS((($J2-E2)/($J2)))*100</f>
        <v>99.675243567324515</v>
      </c>
      <c r="N5" s="1074">
        <f t="shared" si="0"/>
        <v>0.16662490603858682</v>
      </c>
      <c r="O5" s="1081">
        <f>100-ABS((($J3-E3)/($J3)))*100</f>
        <v>99.56125262460408</v>
      </c>
      <c r="P5" s="1074">
        <f t="shared" si="1"/>
        <v>0.16781447003476258</v>
      </c>
      <c r="Q5" s="1081">
        <f>100-ABS((($J4-E4)/($J4)))*100</f>
        <v>98.846824349792698</v>
      </c>
      <c r="R5" s="1074">
        <f t="shared" si="2"/>
        <v>0.16743567053978586</v>
      </c>
      <c r="S5" s="1075">
        <f>100-ABS((($J5-E5)/($J5)))*100</f>
        <v>98.96151496640195</v>
      </c>
      <c r="T5" s="1074">
        <f t="shared" si="3"/>
        <v>0.16725170348957255</v>
      </c>
      <c r="U5" s="1076">
        <f>100-ABS((($J6-E6)/($J6)))*100</f>
        <v>95.478852698104035</v>
      </c>
      <c r="V5" s="1157">
        <f t="shared" si="4"/>
        <v>0.16443402545210983</v>
      </c>
      <c r="W5" s="1161">
        <f>100-ABS((($J7-E7)/($J7)))*100</f>
        <v>98.02906932501331</v>
      </c>
      <c r="X5" s="1079">
        <f t="shared" si="5"/>
        <v>0.16780647934659423</v>
      </c>
      <c r="Z5" s="1153">
        <f t="array" ref="Z5">SUM(O5:U5/4)</f>
        <v>98.337736620741723</v>
      </c>
      <c r="AA5" s="1154">
        <f t="array" ref="AA5">SUM(M5:W5/6)</f>
        <v>98.564386384465905</v>
      </c>
    </row>
    <row r="6" spans="1:29" ht="14.25" customHeight="1" x14ac:dyDescent="0.3">
      <c r="A6" s="82" t="s">
        <v>16</v>
      </c>
      <c r="B6" s="916">
        <v>638</v>
      </c>
      <c r="C6" s="917">
        <v>635</v>
      </c>
      <c r="D6" s="917">
        <v>639.5</v>
      </c>
      <c r="E6" s="917">
        <v>645</v>
      </c>
      <c r="F6" s="917">
        <v>632.5</v>
      </c>
      <c r="G6" s="917">
        <v>632</v>
      </c>
      <c r="H6" s="1068">
        <v>0</v>
      </c>
      <c r="I6" s="1155">
        <f>(B6*V12)+(C6*V13)+(D6*V14)+(E6*V15)+(F6*V16)+(G6*V17)+(H6*V18)</f>
        <v>636.14029850746272</v>
      </c>
      <c r="J6" s="1069">
        <v>617.1</v>
      </c>
      <c r="L6" s="1070">
        <v>4</v>
      </c>
      <c r="M6" s="1160">
        <f>100-ABS((($J2-F2)/($J2)))*100</f>
        <v>99.675243567324515</v>
      </c>
      <c r="N6" s="1074">
        <f t="shared" si="0"/>
        <v>0.16662490603858682</v>
      </c>
      <c r="O6" s="1075">
        <f>100-ABS((($J3-F3)/($J3)))*100</f>
        <v>98.74408775625372</v>
      </c>
      <c r="P6" s="1074">
        <f t="shared" si="1"/>
        <v>0.16643710599304748</v>
      </c>
      <c r="Q6" s="1075">
        <f>100-ABS((($J4-F4)/($J4)))*100</f>
        <v>98.405107425555983</v>
      </c>
      <c r="R6" s="1074">
        <f t="shared" si="2"/>
        <v>0.16668745055512937</v>
      </c>
      <c r="S6" s="1162">
        <f>100-ABS((($J5-F5)/($J5)))*100</f>
        <v>99.572388515577273</v>
      </c>
      <c r="T6" s="1074">
        <f t="shared" si="3"/>
        <v>0.16828412141234769</v>
      </c>
      <c r="U6" s="1076">
        <f>100-ABS((($J6-F6)/($J6)))*100</f>
        <v>97.50445632798575</v>
      </c>
      <c r="V6" s="1157">
        <f t="shared" si="4"/>
        <v>0.16792252734985488</v>
      </c>
      <c r="W6" s="1158">
        <f>100-ABS((($J7-F7)/($J7)))*100</f>
        <v>97.648580777718593</v>
      </c>
      <c r="X6" s="1079">
        <f t="shared" si="5"/>
        <v>0.16715515781520707</v>
      </c>
      <c r="Z6" s="1153">
        <f t="array" ref="Z6">SUM(O6:U6/4)</f>
        <v>98.681862175833302</v>
      </c>
      <c r="AA6" s="1154">
        <f t="array" ref="AA6">SUM(M6:W6/6)</f>
        <v>98.730970080294142</v>
      </c>
    </row>
    <row r="7" spans="1:29" ht="14.25" customHeight="1" x14ac:dyDescent="0.3">
      <c r="A7" s="745" t="s">
        <v>17</v>
      </c>
      <c r="B7" s="923">
        <v>271</v>
      </c>
      <c r="C7" s="924">
        <v>270</v>
      </c>
      <c r="D7" s="924">
        <v>271.5</v>
      </c>
      <c r="E7" s="924">
        <v>268</v>
      </c>
      <c r="F7" s="924">
        <v>269</v>
      </c>
      <c r="G7" s="924">
        <v>269</v>
      </c>
      <c r="H7" s="1087">
        <v>0</v>
      </c>
      <c r="I7" s="1163">
        <f>(B7*X12)+(C7*X13)+(D7*X14)+(E7*X15)+(F7*X16)+(G7*X17)+(H7*X18)</f>
        <v>269.60054347826087</v>
      </c>
      <c r="J7" s="1089">
        <v>262.82</v>
      </c>
      <c r="L7" s="1070" t="s">
        <v>95</v>
      </c>
      <c r="M7" s="1160">
        <f>100-ABS((($J2-G2)/($J2)))*100</f>
        <v>99.675243567324515</v>
      </c>
      <c r="N7" s="1074">
        <f t="shared" si="0"/>
        <v>0.16662490603858682</v>
      </c>
      <c r="O7" s="1075">
        <f>100-ABS((($J3-G3)/($J3)))*100</f>
        <v>98.955920208646504</v>
      </c>
      <c r="P7" s="1074">
        <f t="shared" si="1"/>
        <v>0.16679415805695125</v>
      </c>
      <c r="Q7" s="1075">
        <f>100-ABS((($J4-G4)/($J4)))*100</f>
        <v>98.552346400301545</v>
      </c>
      <c r="R7" s="1074">
        <f t="shared" si="2"/>
        <v>0.16693685721668153</v>
      </c>
      <c r="S7" s="1075">
        <f>100-ABS((($J5-G5)/($J5)))*100</f>
        <v>99.205864386072093</v>
      </c>
      <c r="T7" s="1074">
        <f t="shared" si="3"/>
        <v>0.16766467065868262</v>
      </c>
      <c r="U7" s="1091">
        <f>100-ABS((($J6-G6)/($J6)))*100</f>
        <v>97.585480473181008</v>
      </c>
      <c r="V7" s="1157">
        <f t="shared" si="4"/>
        <v>0.16806206742576468</v>
      </c>
      <c r="W7" s="1158">
        <f>100-ABS((($J7-G7)/($J7)))*100</f>
        <v>97.648580777718593</v>
      </c>
      <c r="X7" s="1079">
        <f t="shared" si="5"/>
        <v>0.16715515781520707</v>
      </c>
      <c r="Z7" s="1164">
        <f t="array" ref="Z7">SUM(O7:U7/4)</f>
        <v>98.700251788533365</v>
      </c>
      <c r="AA7" s="1165">
        <f t="array" ref="AA7">SUM(M7:W7/6)</f>
        <v>98.743253078773492</v>
      </c>
    </row>
    <row r="8" spans="1:29" ht="14.25" customHeight="1" x14ac:dyDescent="0.3">
      <c r="L8" s="1092" t="s">
        <v>96</v>
      </c>
      <c r="M8" s="1166">
        <f>100-ABS((($J2-H2)/($J2)))*100</f>
        <v>0</v>
      </c>
      <c r="N8" s="1096">
        <f t="shared" si="0"/>
        <v>0</v>
      </c>
      <c r="O8" s="1097">
        <f>100-ABS((($J3-H3)/($J3)))*100</f>
        <v>0</v>
      </c>
      <c r="P8" s="1096">
        <f t="shared" si="1"/>
        <v>0</v>
      </c>
      <c r="Q8" s="1097">
        <f>100-ABS((($J4-H4)/($J4)))*100</f>
        <v>0</v>
      </c>
      <c r="R8" s="1096">
        <f t="shared" si="2"/>
        <v>0</v>
      </c>
      <c r="S8" s="1097">
        <f>100-ABS((($J5-H5)/($J5)))*100</f>
        <v>0</v>
      </c>
      <c r="T8" s="1096">
        <f t="shared" si="3"/>
        <v>0</v>
      </c>
      <c r="U8" s="1098">
        <f>100-ABS((($J6-H6)/($J6)))*100</f>
        <v>0</v>
      </c>
      <c r="V8" s="1167">
        <f t="shared" si="4"/>
        <v>0</v>
      </c>
      <c r="W8" s="1168">
        <f>100-ABS((($J7-H7)/($J7)))*100</f>
        <v>0</v>
      </c>
      <c r="X8" s="1100">
        <f t="shared" si="5"/>
        <v>0</v>
      </c>
      <c r="Z8" s="1153">
        <f t="array" ref="Z8">SUM(O8:U8/4)</f>
        <v>0</v>
      </c>
      <c r="AA8" s="1154">
        <f t="array" ref="AA8">SUM(M8:W8/6)</f>
        <v>0</v>
      </c>
    </row>
    <row r="9" spans="1:29" ht="14.25" customHeight="1" x14ac:dyDescent="0.3">
      <c r="M9" s="798"/>
      <c r="N9" s="798"/>
      <c r="O9" s="798"/>
      <c r="P9" s="798"/>
      <c r="Q9" s="798"/>
      <c r="R9" s="798"/>
      <c r="S9" s="798"/>
      <c r="T9" s="798"/>
      <c r="U9" s="798"/>
      <c r="V9" s="798"/>
      <c r="W9" s="798"/>
      <c r="AB9" s="1169" t="s">
        <v>54</v>
      </c>
      <c r="AC9" s="1169" t="s">
        <v>55</v>
      </c>
    </row>
    <row r="10" spans="1:29" ht="14.25" customHeight="1" x14ac:dyDescent="0.3">
      <c r="E10" s="931"/>
      <c r="M10" s="798"/>
      <c r="N10" s="798"/>
      <c r="O10" s="798"/>
      <c r="P10" s="798"/>
      <c r="Q10" s="798"/>
      <c r="R10" s="798"/>
      <c r="S10" s="798"/>
      <c r="T10" s="798"/>
      <c r="U10" s="798"/>
      <c r="V10" s="798"/>
      <c r="W10" s="798"/>
      <c r="AB10" s="798" t="s">
        <v>137</v>
      </c>
      <c r="AC10" s="798">
        <v>100</v>
      </c>
    </row>
    <row r="11" spans="1:29" ht="14.25" customHeight="1" x14ac:dyDescent="0.3">
      <c r="B11" s="893" t="s">
        <v>47</v>
      </c>
      <c r="C11" s="894"/>
      <c r="D11" s="895">
        <v>85220</v>
      </c>
      <c r="E11" s="896"/>
      <c r="F11" s="895" t="s">
        <v>48</v>
      </c>
      <c r="G11" s="897"/>
      <c r="L11" s="1101" t="str">
        <f>I1</f>
        <v>Comb</v>
      </c>
      <c r="M11" s="1170" t="s">
        <v>12</v>
      </c>
      <c r="N11" s="1171">
        <f>SUM(M12:M18)</f>
        <v>568</v>
      </c>
      <c r="O11" s="1103" t="s">
        <v>13</v>
      </c>
      <c r="P11" s="1052">
        <f>SUM(O12:O18)</f>
        <v>447</v>
      </c>
      <c r="Q11" s="1052" t="s">
        <v>14</v>
      </c>
      <c r="R11" s="1052">
        <f>SUM(Q12:Q18)</f>
        <v>420</v>
      </c>
      <c r="S11" s="1052" t="s">
        <v>15</v>
      </c>
      <c r="T11" s="1052">
        <f>SUM(S12:S18)</f>
        <v>455</v>
      </c>
      <c r="U11" s="1054" t="s">
        <v>16</v>
      </c>
      <c r="V11" s="1145">
        <f>SUM(U12:U18)</f>
        <v>335</v>
      </c>
      <c r="W11" s="1172" t="s">
        <v>17</v>
      </c>
      <c r="X11" s="798">
        <f>SUM(W12:W18)</f>
        <v>368</v>
      </c>
      <c r="AB11" s="798" t="s">
        <v>148</v>
      </c>
      <c r="AC11" s="798">
        <v>97</v>
      </c>
    </row>
    <row r="12" spans="1:29" ht="14.25" customHeight="1" x14ac:dyDescent="0.3">
      <c r="A12" s="1173" t="s">
        <v>12</v>
      </c>
      <c r="B12" s="1174">
        <v>3.96</v>
      </c>
      <c r="C12" s="1175" t="str">
        <f t="shared" ref="C12:C17" si="6">IF(ABS(J2-I2)&lt;ABS(B12-J2),$I$1,$B$11)</f>
        <v>Comb</v>
      </c>
      <c r="D12" s="1174">
        <v>3.95</v>
      </c>
      <c r="E12" s="1175" t="str">
        <f t="shared" ref="E12:E17" si="7">IF(ABS(J2-I2)&lt;ABS(J2-D12),$I$1,$D$11)</f>
        <v>Comb</v>
      </c>
      <c r="F12" s="1174">
        <v>3.96</v>
      </c>
      <c r="G12" s="1176" t="str">
        <f t="shared" ref="G12:G17" si="8">IF(ABS(I2-J2)&lt;ABS(J2-F12),$I$1,$F$11)</f>
        <v>Comb</v>
      </c>
      <c r="L12" s="1058" t="s">
        <v>129</v>
      </c>
      <c r="M12" s="1177">
        <f>IF(M2=0,0, LOOKUP(M2-0.000000000001,{0,93,95,96,97,98,99,99.5,99.99},{1,25,37,50,66,70,83,97,100}))</f>
        <v>97</v>
      </c>
      <c r="N12" s="1129">
        <f t="shared" ref="N12:N18" si="9">M12/$N$11</f>
        <v>0.17077464788732394</v>
      </c>
      <c r="O12" s="1106">
        <f>IF(O2=0,0, LOOKUP(O2-0.000000000001,{0,93,95,96,97,98,99,99.5,99.99},{1,25,37,50,66,70,83,97,100}))</f>
        <v>70</v>
      </c>
      <c r="P12" s="1107">
        <f t="shared" ref="P12:P18" si="10">O12/$P$11</f>
        <v>0.15659955257270694</v>
      </c>
      <c r="Q12" s="1062">
        <f>IF(Q2=0,0, LOOKUP(Q2-0.000000000001,{0,93,95,96,97,98,99,99.5,99.99},{1,25,37,50,66,70,83,97,100}))</f>
        <v>70</v>
      </c>
      <c r="R12" s="1107">
        <f t="shared" ref="R12:R18" si="11">Q12/$R$11</f>
        <v>0.16666666666666666</v>
      </c>
      <c r="S12" s="1062">
        <f>IF(S2=0,0, LOOKUP(S2-0.000000000001,{0,93,95,96,97,98,99,99.5,99.99},{1,25,37,50,66,70,83,97,100}))</f>
        <v>97</v>
      </c>
      <c r="T12" s="1107">
        <f t="shared" ref="T12:T18" si="12">S12/$T$11</f>
        <v>0.21318681318681318</v>
      </c>
      <c r="U12" s="1108">
        <f>IF(U2=0,0, LOOKUP(U2-0.000000000001,{0,93,95,96,97,98,99,99.5,99.99},{1,25,37,50,66,70,83,97,100}))</f>
        <v>50</v>
      </c>
      <c r="V12" s="1151">
        <f t="shared" ref="V12:V18" si="13">U12/$V$11</f>
        <v>0.14925373134328357</v>
      </c>
      <c r="W12" s="1178">
        <f>IF(W2=0,0, LOOKUP(W2-0.000000000001,{0,93,95,96,97,98,99,99.5,99.99},{1,25,37,50,66,70,83,97,100}))</f>
        <v>50</v>
      </c>
      <c r="X12" s="661">
        <f t="shared" ref="X12:X18" si="14">W12/$X$11</f>
        <v>0.1358695652173913</v>
      </c>
      <c r="Z12" s="1179"/>
      <c r="AB12" s="1179" t="s">
        <v>139</v>
      </c>
      <c r="AC12" s="798">
        <v>83</v>
      </c>
    </row>
    <row r="13" spans="1:29" ht="14.25" customHeight="1" x14ac:dyDescent="0.3">
      <c r="A13" s="82" t="s">
        <v>13</v>
      </c>
      <c r="B13" s="1180">
        <v>47027</v>
      </c>
      <c r="C13" s="1181" t="str">
        <f t="shared" si="6"/>
        <v>RD</v>
      </c>
      <c r="D13" s="1180">
        <v>47060</v>
      </c>
      <c r="E13" s="1181">
        <f t="shared" si="7"/>
        <v>85220</v>
      </c>
      <c r="F13" s="1180">
        <v>46975</v>
      </c>
      <c r="G13" s="1182" t="str">
        <f t="shared" si="8"/>
        <v>MICH</v>
      </c>
      <c r="L13" s="1111" t="s">
        <v>130</v>
      </c>
      <c r="M13" s="1183">
        <f>IF(M3=0,0, LOOKUP(M3-0.000000000001,{0,93,95,96,97,98,99,99.5,99.99},{1,25,37,50,66,70,83,97,100}))</f>
        <v>83</v>
      </c>
      <c r="N13" s="1133">
        <f t="shared" si="9"/>
        <v>0.14612676056338028</v>
      </c>
      <c r="O13" s="1113">
        <f>IF(O3=0,0, LOOKUP(O3-0.000000000001,{0,93,95,96,97,98,99,99.5,99.99},{1,25,37,50,66,70,83,97,100}))</f>
        <v>70</v>
      </c>
      <c r="P13" s="1114">
        <f t="shared" si="10"/>
        <v>0.15659955257270694</v>
      </c>
      <c r="Q13" s="1074">
        <f>IF(Q3=0,0, LOOKUP(Q3-0.000000000001,{0,93,95,96,97,98,99,99.5,99.99},{1,25,37,50,66,70,83,97,100}))</f>
        <v>70</v>
      </c>
      <c r="R13" s="1114">
        <f t="shared" si="11"/>
        <v>0.16666666666666666</v>
      </c>
      <c r="S13" s="1074">
        <f>IF(S3=0,0, LOOKUP(S3-0.000000000001,{0,93,95,96,97,98,99,99.5,99.99},{1,25,37,50,66,70,83,97,100}))</f>
        <v>83</v>
      </c>
      <c r="T13" s="1114">
        <f t="shared" si="12"/>
        <v>0.18241758241758241</v>
      </c>
      <c r="U13" s="1115">
        <f>IF(U3=0,0, LOOKUP(U3-0.000000000001,{0,93,95,96,97,98,99,99.5,99.99},{1,25,37,50,66,70,83,97,100}))</f>
        <v>66</v>
      </c>
      <c r="V13" s="1157">
        <f t="shared" si="13"/>
        <v>0.19701492537313434</v>
      </c>
      <c r="W13" s="1184">
        <f>IF(W3=0,0, LOOKUP(W3-0.000000000001,{0,93,95,96,97,98,99,99.5,99.99},{1,25,37,50,66,70,83,97,100}))</f>
        <v>66</v>
      </c>
      <c r="X13" s="661">
        <f t="shared" si="14"/>
        <v>0.17934782608695651</v>
      </c>
      <c r="Z13" s="1179"/>
      <c r="AB13" s="1179" t="s">
        <v>140</v>
      </c>
      <c r="AC13" s="798">
        <v>70</v>
      </c>
    </row>
    <row r="14" spans="1:29" ht="14.25" customHeight="1" x14ac:dyDescent="0.3">
      <c r="A14" s="82" t="s">
        <v>14</v>
      </c>
      <c r="B14" s="1180">
        <v>6775</v>
      </c>
      <c r="C14" s="1181" t="str">
        <f t="shared" si="6"/>
        <v>RD</v>
      </c>
      <c r="D14" s="1180">
        <v>6765</v>
      </c>
      <c r="E14" s="1181">
        <f t="shared" si="7"/>
        <v>85220</v>
      </c>
      <c r="F14" s="1180">
        <v>6762</v>
      </c>
      <c r="G14" s="1182" t="str">
        <f t="shared" si="8"/>
        <v>MICH</v>
      </c>
      <c r="L14" s="1111" t="s">
        <v>131</v>
      </c>
      <c r="M14" s="1183">
        <f>IF(M4=0,0, LOOKUP(M4-0.000000000001,{0,93,95,96,97,98,99,99.5,99.99},{1,25,37,50,66,70,83,97,100}))</f>
        <v>97</v>
      </c>
      <c r="N14" s="1133">
        <f t="shared" si="9"/>
        <v>0.17077464788732394</v>
      </c>
      <c r="O14" s="1113">
        <f>IF(O4=0,0, LOOKUP(O4-0.000000000001,{0,93,95,96,97,98,99,99.5,99.99},{1,25,37,50,66,70,83,97,100}))</f>
        <v>70</v>
      </c>
      <c r="P14" s="1114">
        <f t="shared" si="10"/>
        <v>0.15659955257270694</v>
      </c>
      <c r="Q14" s="1074">
        <f>IF(Q4=0,0, LOOKUP(Q4-0.000000000001,{0,93,95,96,97,98,99,99.5,99.99},{1,25,37,50,66,70,83,97,100}))</f>
        <v>70</v>
      </c>
      <c r="R14" s="1114">
        <f t="shared" si="11"/>
        <v>0.16666666666666666</v>
      </c>
      <c r="S14" s="1074">
        <f>IF(S4=0,0, LOOKUP(S4-0.000000000001,{0,93,95,96,97,98,99,99.5,99.99},{1,25,37,50,66,70,83,97,100}))</f>
        <v>25</v>
      </c>
      <c r="T14" s="1114">
        <f t="shared" si="12"/>
        <v>5.4945054945054944E-2</v>
      </c>
      <c r="U14" s="1115">
        <f>IF(U4=0,0, LOOKUP(U4-0.000000000001,{0,93,95,96,97,98,99,99.5,99.99},{1,25,37,50,66,70,83,97,100}))</f>
        <v>50</v>
      </c>
      <c r="V14" s="1157">
        <f t="shared" si="13"/>
        <v>0.14925373134328357</v>
      </c>
      <c r="W14" s="1184">
        <f>IF(W4=0,0, LOOKUP(W4-0.000000000001,{0,93,95,96,97,98,99,99.5,99.99},{1,25,37,50,66,70,83,97,100}))</f>
        <v>50</v>
      </c>
      <c r="X14" s="661">
        <f t="shared" si="14"/>
        <v>0.1358695652173913</v>
      </c>
      <c r="Z14" s="1179"/>
      <c r="AB14" s="1179" t="s">
        <v>141</v>
      </c>
      <c r="AC14" s="798">
        <v>66</v>
      </c>
    </row>
    <row r="15" spans="1:29" ht="14.25" customHeight="1" x14ac:dyDescent="0.3">
      <c r="A15" s="82" t="s">
        <v>15</v>
      </c>
      <c r="B15" s="1180">
        <v>17.600000000000001</v>
      </c>
      <c r="C15" s="1181" t="str">
        <f t="shared" si="6"/>
        <v>Comb</v>
      </c>
      <c r="D15" s="1180">
        <v>17.25</v>
      </c>
      <c r="E15" s="1181" t="str">
        <f t="shared" si="7"/>
        <v>Comb</v>
      </c>
      <c r="F15" s="1180">
        <v>17.63</v>
      </c>
      <c r="G15" s="1182" t="str">
        <f t="shared" si="8"/>
        <v>Comb</v>
      </c>
      <c r="L15" s="1111" t="s">
        <v>34</v>
      </c>
      <c r="M15" s="1183">
        <f>IF(M5=0,0, LOOKUP(M5-0.000000000001,{0,93,95,96,97,98,99,99.5,99.99},{1,25,37,50,66,70,83,97,100}))</f>
        <v>97</v>
      </c>
      <c r="N15" s="1133">
        <f t="shared" si="9"/>
        <v>0.17077464788732394</v>
      </c>
      <c r="O15" s="1113">
        <f>IF(O5=0,0, LOOKUP(O5-0.000000000001,{0,93,95,96,97,98,99,99.5,99.99},{1,25,37,50,66,70,83,97,100}))</f>
        <v>97</v>
      </c>
      <c r="P15" s="1114">
        <f t="shared" si="10"/>
        <v>0.21700223713646533</v>
      </c>
      <c r="Q15" s="1074">
        <f>IF(Q5=0,0, LOOKUP(Q5-0.000000000001,{0,93,95,96,97,98,99,99.5,99.99},{1,25,37,50,66,70,83,97,100}))</f>
        <v>70</v>
      </c>
      <c r="R15" s="1114">
        <f t="shared" si="11"/>
        <v>0.16666666666666666</v>
      </c>
      <c r="S15" s="1074">
        <f>IF(S5=0,0, LOOKUP(S5-0.000000000001,{0,93,95,96,97,98,99,99.5,99.99},{1,25,37,50,66,70,83,97,100}))</f>
        <v>70</v>
      </c>
      <c r="T15" s="1114">
        <f t="shared" si="12"/>
        <v>0.15384615384615385</v>
      </c>
      <c r="U15" s="1115">
        <f>IF(U5=0,0, LOOKUP(U5-0.000000000001,{0,93,95,96,97,98,99,99.5,99.99},{1,25,37,50,66,70,83,97,100}))</f>
        <v>37</v>
      </c>
      <c r="V15" s="1157">
        <f t="shared" si="13"/>
        <v>0.11044776119402985</v>
      </c>
      <c r="W15" s="1184">
        <f>IF(W5=0,0, LOOKUP(W5-0.000000000001,{0,93,95,96,97,98,99,99.5,99.99},{1,25,37,50,66,70,83,97,100}))</f>
        <v>70</v>
      </c>
      <c r="X15" s="661">
        <f t="shared" si="14"/>
        <v>0.19021739130434784</v>
      </c>
      <c r="Z15" s="1179"/>
      <c r="AB15" s="1179" t="s">
        <v>142</v>
      </c>
      <c r="AC15" s="798">
        <v>50</v>
      </c>
    </row>
    <row r="16" spans="1:29" ht="14.25" customHeight="1" x14ac:dyDescent="0.3">
      <c r="A16" s="82" t="s">
        <v>16</v>
      </c>
      <c r="B16" s="1180">
        <v>614.79999999999995</v>
      </c>
      <c r="C16" s="1181" t="str">
        <f t="shared" si="6"/>
        <v>RD</v>
      </c>
      <c r="D16" s="1180">
        <v>615.29999999999995</v>
      </c>
      <c r="E16" s="1181">
        <f t="shared" si="7"/>
        <v>85220</v>
      </c>
      <c r="F16" s="1180">
        <v>614.9</v>
      </c>
      <c r="G16" s="1182" t="str">
        <f t="shared" si="8"/>
        <v>MICH</v>
      </c>
      <c r="L16" s="1111">
        <v>4</v>
      </c>
      <c r="M16" s="1183">
        <f>IF(M6=0,0, LOOKUP(M6-0.000000000001,{0,93,95,96,97,98,99,99.5,99.99},{1,25,37,50,66,70,83,97,100}))</f>
        <v>97</v>
      </c>
      <c r="N16" s="1133">
        <f t="shared" si="9"/>
        <v>0.17077464788732394</v>
      </c>
      <c r="O16" s="1113">
        <f>IF(O6=0,0, LOOKUP(O6-0.000000000001,{0,93,95,96,97,98,99,99.5,99.99},{1,25,37,50,66,70,83,97,100}))</f>
        <v>70</v>
      </c>
      <c r="P16" s="1114">
        <f t="shared" si="10"/>
        <v>0.15659955257270694</v>
      </c>
      <c r="Q16" s="1074">
        <f>IF(Q6=0,0, LOOKUP(Q6-0.000000000001,{0,93,95,96,97,98,99,99.5,99.99},{1,25,37,50,66,70,83,97,100}))</f>
        <v>70</v>
      </c>
      <c r="R16" s="1114">
        <f t="shared" si="11"/>
        <v>0.16666666666666666</v>
      </c>
      <c r="S16" s="1074">
        <f>IF(S6=0,0, LOOKUP(S6-0.000000000001,{0,93,95,96,97,98,99,99.5,99.99},{1,25,37,50,66,70,83,97,100}))</f>
        <v>97</v>
      </c>
      <c r="T16" s="1114">
        <f t="shared" si="12"/>
        <v>0.21318681318681318</v>
      </c>
      <c r="U16" s="1115">
        <f>IF(U6=0,0, LOOKUP(U6-0.000000000001,{0,93,95,96,97,98,99,99.5,99.99},{1,25,37,50,66,70,83,97,100}))</f>
        <v>66</v>
      </c>
      <c r="V16" s="1157">
        <f t="shared" si="13"/>
        <v>0.19701492537313434</v>
      </c>
      <c r="W16" s="1184">
        <f>IF(W6=0,0, LOOKUP(W6-0.000000000001,{0,93,95,96,97,98,99,99.5,99.99},{1,25,37,50,66,70,83,97,100}))</f>
        <v>66</v>
      </c>
      <c r="X16" s="661">
        <f t="shared" si="14"/>
        <v>0.17934782608695651</v>
      </c>
      <c r="Z16" s="1179"/>
      <c r="AB16" s="1179" t="s">
        <v>143</v>
      </c>
      <c r="AC16" s="798">
        <v>37</v>
      </c>
    </row>
    <row r="17" spans="1:29" ht="14.25" customHeight="1" x14ac:dyDescent="0.3">
      <c r="A17" s="745" t="s">
        <v>17</v>
      </c>
      <c r="B17" s="1185">
        <v>265.10000000000002</v>
      </c>
      <c r="C17" s="1186" t="str">
        <f t="shared" si="6"/>
        <v>RD</v>
      </c>
      <c r="D17" s="1185">
        <v>265.8</v>
      </c>
      <c r="E17" s="1186">
        <f t="shared" si="7"/>
        <v>85220</v>
      </c>
      <c r="F17" s="1185">
        <v>264.5</v>
      </c>
      <c r="G17" s="1187" t="str">
        <f t="shared" si="8"/>
        <v>MICH</v>
      </c>
      <c r="L17" s="1111" t="s">
        <v>95</v>
      </c>
      <c r="M17" s="1183">
        <f>IF(M7=0,0, LOOKUP(M7-0.000000000001,{0,93,95,96,97,98,99,99.5,99.99},{1,25,37,50,66,70,83,97,100}))</f>
        <v>97</v>
      </c>
      <c r="N17" s="1133">
        <f t="shared" si="9"/>
        <v>0.17077464788732394</v>
      </c>
      <c r="O17" s="1113">
        <f>IF(O7=0,0, LOOKUP(O7-0.000000000001,{0,93,95,96,97,98,99,99.5,99.99},{1,25,37,50,66,70,83,97,100}))</f>
        <v>70</v>
      </c>
      <c r="P17" s="1114">
        <f t="shared" si="10"/>
        <v>0.15659955257270694</v>
      </c>
      <c r="Q17" s="1074">
        <f>IF(Q7=0,0, LOOKUP(Q7-0.000000000001,{0,93,95,96,97,98,99,99.5,99.99},{1,25,37,50,66,70,83,97,100}))</f>
        <v>70</v>
      </c>
      <c r="R17" s="1114">
        <f t="shared" si="11"/>
        <v>0.16666666666666666</v>
      </c>
      <c r="S17" s="1074">
        <f>IF(S7=0,0, LOOKUP(S7-0.000000000001,{0,93,95,96,97,98,99,99.5,99.99},{1,25,37,50,66,70,83,97,100}))</f>
        <v>83</v>
      </c>
      <c r="T17" s="1114">
        <f t="shared" si="12"/>
        <v>0.18241758241758241</v>
      </c>
      <c r="U17" s="1115">
        <f>IF(U7=0,0, LOOKUP(U7-0.000000000001,{0,93,95,96,97,98,99,99.5,99.99},{1,25,37,50,66,70,83,97,100}))</f>
        <v>66</v>
      </c>
      <c r="V17" s="1157">
        <f t="shared" si="13"/>
        <v>0.19701492537313434</v>
      </c>
      <c r="W17" s="1184">
        <f>IF(W7=0,0, LOOKUP(W7-0.000000000001,{0,93,95,96,97,98,99,99.5,99.99},{1,25,37,50,66,70,83,97,100}))</f>
        <v>66</v>
      </c>
      <c r="X17" s="661">
        <f t="shared" si="14"/>
        <v>0.17934782608695651</v>
      </c>
      <c r="Z17" s="1179"/>
      <c r="AB17" s="1179" t="s">
        <v>144</v>
      </c>
      <c r="AC17" s="798">
        <v>25</v>
      </c>
    </row>
    <row r="18" spans="1:29" ht="14.25" customHeight="1" x14ac:dyDescent="0.3">
      <c r="L18" s="1119" t="s">
        <v>96</v>
      </c>
      <c r="M18" s="1188">
        <f>IF(M8=0,0, LOOKUP(M8-0.000000000001,{0,93,95,96,97,98,99,99.5,99.99},{1,25,37,50,66,70,83,97,100}))</f>
        <v>0</v>
      </c>
      <c r="N18" s="1138">
        <f t="shared" si="9"/>
        <v>0</v>
      </c>
      <c r="O18" s="1121">
        <f>IF(O8=0,0, LOOKUP(O8-0.000000000001,{0,93,95,96,97,98,99,99.5,99.99},{1,25,37,50,66,70,83,97,100}))</f>
        <v>0</v>
      </c>
      <c r="P18" s="1122">
        <f t="shared" si="10"/>
        <v>0</v>
      </c>
      <c r="Q18" s="1096">
        <f>IF(Q8=0,0, LOOKUP(Q8-0.000000000001,{0,93,95,96,97,98,99,99.5,99.99},{1,25,37,50,66,70,83,97,100}))</f>
        <v>0</v>
      </c>
      <c r="R18" s="1122">
        <f t="shared" si="11"/>
        <v>0</v>
      </c>
      <c r="S18" s="1096">
        <f>IF(S8=0,0, LOOKUP(S8-0.000000000001,{0,93,95,96,97,98,99,99.5,99.99},{1,25,37,50,66,70,83,97,100}))</f>
        <v>0</v>
      </c>
      <c r="T18" s="1122">
        <f t="shared" si="12"/>
        <v>0</v>
      </c>
      <c r="U18" s="1123">
        <f>IF(U8=0,0, LOOKUP(U8-0.000000000001,{0,93,95,96,97,98,99,99.5,99.99},{1,25,37,50,66,70,83,97,100}))</f>
        <v>0</v>
      </c>
      <c r="V18" s="1167">
        <f t="shared" si="13"/>
        <v>0</v>
      </c>
      <c r="W18" s="1189">
        <f>IF(W8=0,0, LOOKUP(W8-0.000000000001,{0,93,95,96,97,98,99,99.5,99.99},{1,25,37,50,66,70,83,97,100}))</f>
        <v>0</v>
      </c>
      <c r="X18" s="661">
        <f t="shared" si="14"/>
        <v>0</v>
      </c>
      <c r="Z18" s="1179"/>
      <c r="AB18" s="1179" t="s">
        <v>145</v>
      </c>
      <c r="AC18" s="798">
        <v>1</v>
      </c>
    </row>
    <row r="19" spans="1:29" ht="14.25" customHeight="1" x14ac:dyDescent="0.3">
      <c r="L19" s="6"/>
      <c r="M19" s="798"/>
      <c r="N19" s="798"/>
      <c r="O19" s="798"/>
      <c r="P19" s="798"/>
      <c r="Q19" s="798"/>
      <c r="R19" s="798"/>
      <c r="S19" s="798"/>
      <c r="T19" s="798"/>
      <c r="U19" s="798"/>
      <c r="V19" s="798"/>
      <c r="W19" s="798"/>
      <c r="Z19" s="1190"/>
      <c r="AB19" s="1190">
        <v>0</v>
      </c>
      <c r="AC19" s="798">
        <v>0</v>
      </c>
    </row>
    <row r="20" spans="1:29" ht="14.25" customHeight="1" x14ac:dyDescent="0.3">
      <c r="A20" s="1191" t="s">
        <v>12</v>
      </c>
      <c r="B20" s="1192" t="s">
        <v>129</v>
      </c>
      <c r="C20" s="1193">
        <v>99.83</v>
      </c>
      <c r="M20" s="1194" t="s">
        <v>12</v>
      </c>
      <c r="N20" s="1144">
        <f>SUM(M21:M27)</f>
        <v>396.2943285493626</v>
      </c>
      <c r="O20" s="1052" t="s">
        <v>13</v>
      </c>
      <c r="P20" s="1052">
        <f>SUM(O21:O27)</f>
        <v>397.92692667908818</v>
      </c>
      <c r="Q20" s="1052" t="s">
        <v>14</v>
      </c>
      <c r="R20" s="1052">
        <f>SUM(Q21:Q27)</f>
        <v>397.31740403945219</v>
      </c>
      <c r="S20" s="1052" t="s">
        <v>15</v>
      </c>
      <c r="T20" s="1052">
        <f>SUM(S21:S27)</f>
        <v>379.05710660750367</v>
      </c>
      <c r="U20" s="1054" t="s">
        <v>16</v>
      </c>
      <c r="V20" s="1145">
        <f>SUM(U21:U27)</f>
        <v>395.89364794887979</v>
      </c>
      <c r="W20" s="1195" t="s">
        <v>17</v>
      </c>
      <c r="Z20" s="1196" t="str">
        <f>Z1</f>
        <v>AVR-4</v>
      </c>
      <c r="AA20" s="1147" t="str">
        <f>AA1</f>
        <v>AVR-6</v>
      </c>
    </row>
    <row r="21" spans="1:29" ht="14.25" customHeight="1" x14ac:dyDescent="0.3">
      <c r="A21" s="953" t="s">
        <v>13</v>
      </c>
      <c r="B21" s="954" t="s">
        <v>34</v>
      </c>
      <c r="C21" s="1197">
        <v>99.56</v>
      </c>
      <c r="L21" s="1198" t="str">
        <f>I1</f>
        <v>Comb</v>
      </c>
      <c r="M21" s="1199">
        <f>100-ABS((($J2-I2)/($J2)))*100</f>
        <v>99.766724252585206</v>
      </c>
      <c r="N21" s="1200"/>
      <c r="O21" s="1201">
        <f>100-ABS((($J3-I3)/($J3)))*100</f>
        <v>99.111832684792418</v>
      </c>
      <c r="P21" s="1201"/>
      <c r="Q21" s="1201">
        <f>100-ABS((($J4-I4)/($J4)))*100</f>
        <v>98.392837510993857</v>
      </c>
      <c r="R21" s="1201"/>
      <c r="S21" s="1201">
        <f>100-ABS((($J5-I5)/($J5)))*100</f>
        <v>99.643545214711992</v>
      </c>
      <c r="T21" s="1201"/>
      <c r="U21" s="1202">
        <f>100-ABS((($J6-I6)/($J6)))*100</f>
        <v>96.914552178340188</v>
      </c>
      <c r="V21" s="1203"/>
      <c r="W21" s="1204">
        <f>100-ABS((($J7-I7)/($J7)))*100</f>
        <v>97.420080862087786</v>
      </c>
      <c r="Z21" s="1164">
        <f t="array" ref="Z21">SUM(O21:U21/4)</f>
        <v>98.515691897209621</v>
      </c>
      <c r="AA21" s="1165">
        <f t="array" ref="AA21">SUM(M21:W21/6)</f>
        <v>98.541595450585234</v>
      </c>
    </row>
    <row r="22" spans="1:29" ht="14.25" customHeight="1" x14ac:dyDescent="0.3">
      <c r="A22" s="961" t="s">
        <v>14</v>
      </c>
      <c r="B22" s="962" t="s">
        <v>34</v>
      </c>
      <c r="C22" s="1205">
        <v>98.85</v>
      </c>
      <c r="L22" s="1206" t="str">
        <f>B11</f>
        <v>RD</v>
      </c>
      <c r="M22" s="1207">
        <f>100-ABS((($J2-B12)/($J2)))*100</f>
        <v>98.925805645765678</v>
      </c>
      <c r="N22" s="1075"/>
      <c r="O22" s="1208">
        <f>100-ABS((($J3-B13)/($J3)))*100</f>
        <v>99.618447386750134</v>
      </c>
      <c r="P22" s="1208"/>
      <c r="Q22" s="1208">
        <f>100-ABS((($J4-B14)/($J4)))*100</f>
        <v>99.75440539012439</v>
      </c>
      <c r="R22" s="1208"/>
      <c r="S22" s="1208">
        <f>100-ABS((($J5-B15)/($J5)))*100</f>
        <v>92.486255345143547</v>
      </c>
      <c r="T22" s="1208"/>
      <c r="U22" s="1209">
        <f>100-ABS((($J6-B16)/($J6)))*100</f>
        <v>99.627288932101749</v>
      </c>
      <c r="V22" s="1210"/>
      <c r="W22" s="1211">
        <f>100-ABS((($J7-B17)/($J7)))*100</f>
        <v>99.13248611216801</v>
      </c>
      <c r="Z22" s="1164">
        <f t="array" ref="Z22">SUM(O22:U22/4)</f>
        <v>97.871599263529959</v>
      </c>
      <c r="AA22" s="1165">
        <f t="array" ref="AA22">SUM(M22:W22/6)</f>
        <v>98.257448135342244</v>
      </c>
    </row>
    <row r="23" spans="1:29" ht="14.25" customHeight="1" x14ac:dyDescent="0.3">
      <c r="A23" s="961" t="s">
        <v>15</v>
      </c>
      <c r="B23" s="962" t="s">
        <v>129</v>
      </c>
      <c r="C23" s="1205">
        <v>99.82</v>
      </c>
      <c r="L23" s="1206">
        <f>D11</f>
        <v>85220</v>
      </c>
      <c r="M23" s="1207">
        <f>100-ABS((($J2-D12)/($J2)))*100</f>
        <v>98.67599300524607</v>
      </c>
      <c r="N23" s="1075"/>
      <c r="O23" s="1208">
        <f>100-ABS((($J3-D13)/($J3)))*100</f>
        <v>99.68835209603975</v>
      </c>
      <c r="P23" s="1208"/>
      <c r="Q23" s="1208">
        <f>100-ABS((($J4-D14)/($J4)))*100</f>
        <v>99.607166415378813</v>
      </c>
      <c r="R23" s="1208"/>
      <c r="S23" s="1208">
        <f>100-ABS((($J5-D15)/($J5)))*100</f>
        <v>94.62431276725718</v>
      </c>
      <c r="T23" s="1208"/>
      <c r="U23" s="1209">
        <f>100-ABS((($J6-D16)/($J6)))*100</f>
        <v>99.708313077297021</v>
      </c>
      <c r="V23" s="1210"/>
      <c r="W23" s="1211">
        <f>100-ABS((($J7-D17)/($J7)))*100</f>
        <v>98.866144129061709</v>
      </c>
      <c r="Z23" s="1164">
        <f t="array" ref="Z23">SUM(O23:U23/4)</f>
        <v>98.407036088993181</v>
      </c>
      <c r="AA23" s="1165">
        <f t="array" ref="AA23">SUM(M23:W23/6)</f>
        <v>98.528380248380088</v>
      </c>
    </row>
    <row r="24" spans="1:29" ht="14.25" customHeight="1" x14ac:dyDescent="0.3">
      <c r="A24" s="973" t="s">
        <v>16</v>
      </c>
      <c r="B24" s="974" t="s">
        <v>95</v>
      </c>
      <c r="C24" s="1212">
        <v>97.59</v>
      </c>
      <c r="L24" s="1213" t="str">
        <f>F11</f>
        <v>MICH</v>
      </c>
      <c r="M24" s="1214">
        <f>100-ABS((($J2-F12)/($J2)))*100</f>
        <v>98.925805645765678</v>
      </c>
      <c r="N24" s="1097"/>
      <c r="O24" s="1215">
        <f>100-ABS((($J3-F13)/($J3)))*100</f>
        <v>99.508294511505881</v>
      </c>
      <c r="P24" s="1215"/>
      <c r="Q24" s="1215">
        <f>100-ABS((($J4-F14)/($J4)))*100</f>
        <v>99.562994722955139</v>
      </c>
      <c r="R24" s="1215"/>
      <c r="S24" s="1215">
        <f>100-ABS((($J5-F15)/($J5)))*100</f>
        <v>92.302993280390979</v>
      </c>
      <c r="T24" s="1215"/>
      <c r="U24" s="1216">
        <f>100-ABS((($J6-F16)/($J6)))*100</f>
        <v>99.643493761140817</v>
      </c>
      <c r="V24" s="1217"/>
      <c r="W24" s="1218">
        <f>100-ABS((($J7-F17)/($J7)))*100</f>
        <v>99.360779240544858</v>
      </c>
      <c r="Z24" s="1164">
        <f t="array" ref="Z24">SUM(O24:U24/4)</f>
        <v>97.754444068998197</v>
      </c>
      <c r="AA24" s="1165">
        <f t="array" ref="AA24">SUM(M24:W24/6)</f>
        <v>98.217393527050547</v>
      </c>
    </row>
    <row r="25" spans="1:29" ht="14.25" customHeight="1" x14ac:dyDescent="0.3">
      <c r="A25" s="1219" t="s">
        <v>17</v>
      </c>
      <c r="B25" s="1220" t="s">
        <v>34</v>
      </c>
      <c r="C25" s="1221">
        <v>98.03</v>
      </c>
    </row>
    <row r="26" spans="1:29" ht="14.25" customHeight="1" x14ac:dyDescent="0.3">
      <c r="A26" s="1333" t="s">
        <v>149</v>
      </c>
      <c r="B26" s="1333"/>
      <c r="C26" s="1222">
        <f>AVERAGE(C21:C24)</f>
        <v>98.955000000000013</v>
      </c>
    </row>
    <row r="27" spans="1:29" ht="14.25" customHeight="1" x14ac:dyDescent="0.3">
      <c r="A27" s="1334" t="s">
        <v>51</v>
      </c>
      <c r="B27" s="1334"/>
      <c r="C27" s="1223">
        <f>AVERAGE(C20:C25)</f>
        <v>98.946666666666658</v>
      </c>
    </row>
  </sheetData>
  <mergeCells count="2">
    <mergeCell ref="A26:B26"/>
    <mergeCell ref="A27:B27"/>
  </mergeCells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27"/>
  <sheetViews>
    <sheetView zoomScale="140" zoomScaleNormal="140" workbookViewId="0">
      <selection activeCell="I11" sqref="I11"/>
    </sheetView>
  </sheetViews>
  <sheetFormatPr defaultColWidth="8.77734375" defaultRowHeight="14.25" customHeight="1" x14ac:dyDescent="0.3"/>
  <cols>
    <col min="1" max="1" width="8.77734375" style="661"/>
    <col min="2" max="7" width="9" style="661" customWidth="1"/>
    <col min="8" max="8" width="5.77734375" style="661" customWidth="1"/>
    <col min="9" max="10" width="9" style="661" customWidth="1"/>
    <col min="11" max="11" width="3.88671875" style="661" customWidth="1"/>
    <col min="12" max="12" width="9" style="661" customWidth="1"/>
    <col min="13" max="13" width="5.5546875" style="661" customWidth="1"/>
    <col min="14" max="14" width="6.5546875" style="661" hidden="1" customWidth="1"/>
    <col min="15" max="15" width="5.5546875" style="661" customWidth="1"/>
    <col min="16" max="16" width="6.5546875" style="661" hidden="1" customWidth="1"/>
    <col min="17" max="17" width="5.5546875" style="661" customWidth="1"/>
    <col min="18" max="18" width="6.5546875" style="661" hidden="1" customWidth="1"/>
    <col min="19" max="19" width="5.5546875" style="661" customWidth="1"/>
    <col min="20" max="20" width="6.5546875" style="661" hidden="1" customWidth="1"/>
    <col min="21" max="21" width="5.5546875" style="661" customWidth="1"/>
    <col min="22" max="22" width="7.109375" style="661" hidden="1" customWidth="1"/>
    <col min="23" max="23" width="5.5546875" style="661" customWidth="1"/>
    <col min="24" max="24" width="6.5546875" style="661" hidden="1" customWidth="1"/>
    <col min="25" max="25" width="7.33203125" style="661" customWidth="1"/>
    <col min="26" max="26" width="8.88671875" style="798" customWidth="1"/>
    <col min="27" max="27" width="8.88671875" style="799" customWidth="1"/>
    <col min="28" max="16384" width="8.77734375" style="661"/>
  </cols>
  <sheetData>
    <row r="1" spans="1:29" ht="14.25" customHeight="1" x14ac:dyDescent="0.3">
      <c r="A1" s="2" t="s">
        <v>0</v>
      </c>
      <c r="B1" s="888" t="s">
        <v>129</v>
      </c>
      <c r="C1" s="889" t="s">
        <v>130</v>
      </c>
      <c r="D1" s="889" t="s">
        <v>131</v>
      </c>
      <c r="E1" s="889" t="s">
        <v>34</v>
      </c>
      <c r="F1" s="889">
        <v>4</v>
      </c>
      <c r="G1" s="889" t="s">
        <v>95</v>
      </c>
      <c r="H1" s="1048" t="s">
        <v>96</v>
      </c>
      <c r="I1" s="1141" t="s">
        <v>133</v>
      </c>
      <c r="J1" s="892" t="s">
        <v>134</v>
      </c>
      <c r="L1" s="1142" t="s">
        <v>147</v>
      </c>
      <c r="M1" s="1224" t="s">
        <v>12</v>
      </c>
      <c r="N1" s="1145">
        <f>SUM(M2:M8)</f>
        <v>598.80329094988781</v>
      </c>
      <c r="O1" s="1053" t="s">
        <v>13</v>
      </c>
      <c r="P1" s="1052">
        <f>SUM(O2:O8)</f>
        <v>597.60770729595151</v>
      </c>
      <c r="Q1" s="1053" t="s">
        <v>14</v>
      </c>
      <c r="R1" s="1052">
        <f>SUM(Q2:Q8)</f>
        <v>598.21428571428567</v>
      </c>
      <c r="S1" s="1052" t="s">
        <v>15</v>
      </c>
      <c r="T1" s="1052">
        <f>SUM(S2:S8)</f>
        <v>586.47738209817123</v>
      </c>
      <c r="U1" s="1054" t="s">
        <v>16</v>
      </c>
      <c r="V1" s="1145">
        <f>SUM(U2:U8)</f>
        <v>596.36878446177548</v>
      </c>
      <c r="W1" s="1225" t="s">
        <v>17</v>
      </c>
      <c r="X1" s="807">
        <f>SUM(W2:W8)</f>
        <v>588.79464108763716</v>
      </c>
      <c r="Z1" s="818" t="s">
        <v>18</v>
      </c>
      <c r="AA1" s="1147" t="s">
        <v>19</v>
      </c>
    </row>
    <row r="2" spans="1:29" ht="14.25" customHeight="1" x14ac:dyDescent="0.3">
      <c r="A2" s="743" t="s">
        <v>12</v>
      </c>
      <c r="B2" s="898">
        <v>4.03</v>
      </c>
      <c r="C2" s="899">
        <v>4.01</v>
      </c>
      <c r="D2" s="899">
        <v>4.01</v>
      </c>
      <c r="E2" s="899">
        <v>4.0199999999999996</v>
      </c>
      <c r="F2" s="899">
        <v>4.0199999999999996</v>
      </c>
      <c r="G2" s="899">
        <v>4.0199999999999996</v>
      </c>
      <c r="H2" s="1056">
        <v>0</v>
      </c>
      <c r="I2" s="1148">
        <f>(B2*N12)+(C2*N13)+(D2*N14)+(E2*N15)+(F2*N16)+(G2*N17)+(H2*N18)</f>
        <v>4.0183333333333326</v>
      </c>
      <c r="J2" s="1057">
        <v>4.0110000000000001</v>
      </c>
      <c r="L2" s="1058" t="s">
        <v>129</v>
      </c>
      <c r="M2" s="1059">
        <f>100-ABS((($J2-B2)/($J2)))*100</f>
        <v>99.526302667663927</v>
      </c>
      <c r="N2" s="1151">
        <f t="shared" ref="N2:N8" si="0">M2/$N$1</f>
        <v>0.16620867682571405</v>
      </c>
      <c r="O2" s="1063">
        <f>100-ABS((($J3-B3)/($J3)))*100</f>
        <v>99.372158475860573</v>
      </c>
      <c r="P2" s="1062">
        <f t="shared" ref="P2:P8" si="1">O2/$P$1</f>
        <v>0.16628326118064737</v>
      </c>
      <c r="Q2" s="1226">
        <f>100-ABS((($J4-B4)/($J4)))*100</f>
        <v>99.834933973589429</v>
      </c>
      <c r="R2" s="1062">
        <f t="shared" ref="R2:R8" si="2">Q2/$R$1</f>
        <v>0.16688824783644801</v>
      </c>
      <c r="S2" s="1150">
        <f>100-ABS((($J5-B5)/($J5)))*100</f>
        <v>99.133782483156878</v>
      </c>
      <c r="T2" s="1062">
        <f t="shared" ref="T2:T8" si="3">S2/$T$1</f>
        <v>0.16903257569541316</v>
      </c>
      <c r="U2" s="1227">
        <f>100-ABS((($J6-B6)/($J6)))*100</f>
        <v>99.680426539499621</v>
      </c>
      <c r="V2" s="1151">
        <f t="shared" ref="V2:V8" si="4">U2/$V$1</f>
        <v>0.16714561381588994</v>
      </c>
      <c r="W2" s="1228">
        <f>100-ABS((($J7-B7)/($J7)))*100</f>
        <v>98.656308216734715</v>
      </c>
      <c r="X2" s="1067">
        <f t="shared" ref="X2:X8" si="5">W2/$X$1</f>
        <v>0.16755639629208266</v>
      </c>
      <c r="Z2" s="1153">
        <f t="array" ref="Z2">SUM(O2:U2/4)</f>
        <v>99.630876389204758</v>
      </c>
      <c r="AA2" s="1154">
        <f t="array" ref="AA2">SUM(M2:W2/6)</f>
        <v>99.506578455309878</v>
      </c>
    </row>
    <row r="3" spans="1:29" ht="14.25" customHeight="1" x14ac:dyDescent="0.3">
      <c r="A3" s="82" t="s">
        <v>13</v>
      </c>
      <c r="B3" s="916">
        <v>46480</v>
      </c>
      <c r="C3" s="917">
        <v>46200</v>
      </c>
      <c r="D3" s="917">
        <v>46445</v>
      </c>
      <c r="E3" s="917">
        <v>46504</v>
      </c>
      <c r="F3" s="917">
        <v>46044</v>
      </c>
      <c r="G3" s="917">
        <v>46280</v>
      </c>
      <c r="H3" s="1068">
        <v>0</v>
      </c>
      <c r="I3" s="1155">
        <f>(B3*P12)+(C3*P13)+(D3*P14)+(E3*P15)+(F3*P16)+(G3*P17)+(H3*P18)</f>
        <v>46313.768518518511</v>
      </c>
      <c r="J3" s="1069">
        <v>46190</v>
      </c>
      <c r="L3" s="1070" t="s">
        <v>130</v>
      </c>
      <c r="M3" s="1229">
        <f>100-ABS((($J2-C2)/($J2)))*100</f>
        <v>99.975068561455984</v>
      </c>
      <c r="N3" s="1157">
        <f t="shared" si="0"/>
        <v>0.16695811474727285</v>
      </c>
      <c r="O3" s="1081">
        <f>100-ABS((($J3-C3)/($J3)))*100</f>
        <v>99.97835029227106</v>
      </c>
      <c r="P3" s="1074">
        <f t="shared" si="1"/>
        <v>0.16729762530113934</v>
      </c>
      <c r="Q3" s="1162">
        <f>100-ABS((($J4-C4)/($J4)))*100</f>
        <v>99.789915966386559</v>
      </c>
      <c r="R3" s="1074">
        <f t="shared" si="2"/>
        <v>0.16681299385425813</v>
      </c>
      <c r="S3" s="1075">
        <f>100-ABS((($J5-C5)/($J5)))*100</f>
        <v>98.652550529355139</v>
      </c>
      <c r="T3" s="1074">
        <f t="shared" si="3"/>
        <v>0.16821202921145484</v>
      </c>
      <c r="U3" s="1091">
        <f>100-ABS((($J6-C6)/($J6)))*100</f>
        <v>99.680426539499621</v>
      </c>
      <c r="V3" s="1157">
        <f t="shared" si="4"/>
        <v>0.16714561381588994</v>
      </c>
      <c r="W3" s="1211">
        <f>100-ABS((($J7-C7)/($J7)))*100</f>
        <v>98.299575884894367</v>
      </c>
      <c r="X3" s="1079">
        <f t="shared" si="5"/>
        <v>0.16695052744249297</v>
      </c>
      <c r="Z3" s="1164">
        <f t="array" ref="Z3">SUM(O3:U3/4)</f>
        <v>99.650891493969823</v>
      </c>
      <c r="AA3" s="1165">
        <f t="array" ref="AA3">SUM(M3:W3/6)</f>
        <v>99.53538569179878</v>
      </c>
    </row>
    <row r="4" spans="1:29" ht="14.25" customHeight="1" x14ac:dyDescent="0.3">
      <c r="A4" s="82" t="s">
        <v>14</v>
      </c>
      <c r="B4" s="916">
        <v>6675</v>
      </c>
      <c r="C4" s="917">
        <v>6650</v>
      </c>
      <c r="D4" s="917">
        <v>6678</v>
      </c>
      <c r="E4" s="917">
        <v>6671</v>
      </c>
      <c r="F4" s="917">
        <v>6598</v>
      </c>
      <c r="G4" s="917">
        <v>6671</v>
      </c>
      <c r="H4" s="1068">
        <v>0</v>
      </c>
      <c r="I4" s="1155">
        <f>(B4*R12)+(C4*R13)+(D4*R14)+(E4*R15)+(F4*R16)+(G4*R17)+(H4*R18)</f>
        <v>6658.625</v>
      </c>
      <c r="J4" s="1069">
        <v>6664</v>
      </c>
      <c r="L4" s="1070" t="s">
        <v>131</v>
      </c>
      <c r="M4" s="1229">
        <f>100-ABS((($J2-D2)/($J2)))*100</f>
        <v>99.975068561455984</v>
      </c>
      <c r="N4" s="1157">
        <f t="shared" si="0"/>
        <v>0.16695811474727285</v>
      </c>
      <c r="O4" s="1075">
        <f>100-ABS((($J3-D3)/($J3)))*100</f>
        <v>99.447932452911886</v>
      </c>
      <c r="P4" s="1074">
        <f t="shared" si="1"/>
        <v>0.16641005669570888</v>
      </c>
      <c r="Q4" s="1162">
        <f>100-ABS((($J4-D4)/($J4)))*100</f>
        <v>99.789915966386559</v>
      </c>
      <c r="R4" s="1074">
        <f t="shared" si="2"/>
        <v>0.16681299385425813</v>
      </c>
      <c r="S4" s="1075">
        <f>100-ABS((($J5-D5)/($J5)))*100</f>
        <v>98.652550529355139</v>
      </c>
      <c r="T4" s="1074">
        <f t="shared" si="3"/>
        <v>0.16821202921145484</v>
      </c>
      <c r="U4" s="1091">
        <f>100-ABS((($J6-D6)/($J6)))*100</f>
        <v>99.680426539499621</v>
      </c>
      <c r="V4" s="1157">
        <f t="shared" si="4"/>
        <v>0.16714561381588994</v>
      </c>
      <c r="W4" s="1211">
        <f>100-ABS((($J7-D7)/($J7)))*100</f>
        <v>98.584961750366645</v>
      </c>
      <c r="X4" s="1079">
        <f t="shared" si="5"/>
        <v>0.16743522252216472</v>
      </c>
      <c r="Z4" s="1153">
        <f t="array" ref="Z4">SUM(O4:U4/4)</f>
        <v>99.518065141978667</v>
      </c>
      <c r="AA4" s="1154">
        <f t="array" ref="AA4">SUM(M4:W4/6)</f>
        <v>99.49439910138338</v>
      </c>
    </row>
    <row r="5" spans="1:29" ht="14.25" customHeight="1" x14ac:dyDescent="0.3">
      <c r="A5" s="82" t="s">
        <v>15</v>
      </c>
      <c r="B5" s="916">
        <v>20.6</v>
      </c>
      <c r="C5" s="917">
        <v>20.5</v>
      </c>
      <c r="D5" s="917">
        <v>20.5</v>
      </c>
      <c r="E5" s="917">
        <v>20.52</v>
      </c>
      <c r="F5" s="917">
        <v>19.25</v>
      </c>
      <c r="G5" s="917">
        <v>20.5</v>
      </c>
      <c r="H5" s="1068">
        <v>0</v>
      </c>
      <c r="I5" s="1159">
        <f>(B5*T12)+(C5*T13)+(D5*T14)+(E5*T15)+(F5*T16)+(G5*T17)+(H5*T18)</f>
        <v>20.523214285714293</v>
      </c>
      <c r="J5" s="1069">
        <v>20.78</v>
      </c>
      <c r="L5" s="1070" t="s">
        <v>34</v>
      </c>
      <c r="M5" s="1080">
        <f>100-ABS((($J2-E2)/($J2)))*100</f>
        <v>99.775617053103971</v>
      </c>
      <c r="N5" s="1157">
        <f t="shared" si="0"/>
        <v>0.16662503122658007</v>
      </c>
      <c r="O5" s="1075">
        <f>100-ABS((($J3-E3)/($J3)))*100</f>
        <v>99.32019917731111</v>
      </c>
      <c r="P5" s="1074">
        <f t="shared" si="1"/>
        <v>0.16619631568460522</v>
      </c>
      <c r="Q5" s="1081">
        <f>100-ABS((($J4-E4)/($J4)))*100</f>
        <v>99.894957983193279</v>
      </c>
      <c r="R5" s="1074">
        <f t="shared" si="2"/>
        <v>0.16698858647936787</v>
      </c>
      <c r="S5" s="1075">
        <f>100-ABS((($J5-E5)/($J5)))*100</f>
        <v>98.748796920115495</v>
      </c>
      <c r="T5" s="1074">
        <f t="shared" si="3"/>
        <v>0.16837613850824651</v>
      </c>
      <c r="U5" s="1230">
        <f>100-ABS((($J6-E6)/($J6)))*100</f>
        <v>99.587700561323345</v>
      </c>
      <c r="V5" s="1157">
        <f t="shared" si="4"/>
        <v>0.16699012952396816</v>
      </c>
      <c r="W5" s="1211">
        <f>100-ABS((($J7-E7)/($J7)))*100</f>
        <v>98.236156803678313</v>
      </c>
      <c r="X5" s="1079">
        <f t="shared" si="5"/>
        <v>0.16684281742478815</v>
      </c>
      <c r="Z5" s="1153">
        <f t="array" ref="Z5">SUM(O5:U5/4)</f>
        <v>99.513303920653854</v>
      </c>
      <c r="AA5" s="1154">
        <f t="array" ref="AA5">SUM(M5:W5/6)</f>
        <v>99.399767450024726</v>
      </c>
    </row>
    <row r="6" spans="1:29" ht="14.25" customHeight="1" x14ac:dyDescent="0.3">
      <c r="A6" s="82" t="s">
        <v>16</v>
      </c>
      <c r="B6" s="916">
        <v>602</v>
      </c>
      <c r="C6" s="917">
        <v>602</v>
      </c>
      <c r="D6" s="917">
        <v>602</v>
      </c>
      <c r="E6" s="917">
        <v>601.44000000000005</v>
      </c>
      <c r="F6" s="917">
        <v>593.21</v>
      </c>
      <c r="G6" s="917">
        <v>601</v>
      </c>
      <c r="H6" s="1068">
        <v>0</v>
      </c>
      <c r="I6" s="1155">
        <f>(B6*V12)+(C6*V13)+(D6*V14)+(E6*V15)+(F6*V16)+(G6*V17)+(H6*V18)</f>
        <v>600.61870270270265</v>
      </c>
      <c r="J6" s="1069">
        <v>603.92999999999995</v>
      </c>
      <c r="L6" s="1070">
        <v>4</v>
      </c>
      <c r="M6" s="1080">
        <f>100-ABS((($J2-F2)/($J2)))*100</f>
        <v>99.775617053103971</v>
      </c>
      <c r="N6" s="1157">
        <f t="shared" si="0"/>
        <v>0.16662503122658007</v>
      </c>
      <c r="O6" s="1162">
        <f>100-ABS((($J3-F3)/($J3)))*100</f>
        <v>99.683914267157391</v>
      </c>
      <c r="P6" s="1074">
        <f t="shared" si="1"/>
        <v>0.1668049341569004</v>
      </c>
      <c r="Q6" s="1075">
        <f>100-ABS((($J4-F4)/($J4)))*100</f>
        <v>99.009603841536617</v>
      </c>
      <c r="R6" s="1074">
        <f t="shared" si="2"/>
        <v>0.16550859149630004</v>
      </c>
      <c r="S6" s="1075">
        <f>100-ABS((($J5-F5)/($J5)))*100</f>
        <v>92.637151106833485</v>
      </c>
      <c r="T6" s="1074">
        <f t="shared" si="3"/>
        <v>0.1579551981619759</v>
      </c>
      <c r="U6" s="1076">
        <f>100-ABS((($J6-F6)/($J6)))*100</f>
        <v>98.224959846339829</v>
      </c>
      <c r="V6" s="1157">
        <f t="shared" si="4"/>
        <v>0.16470506573376092</v>
      </c>
      <c r="W6" s="1211">
        <f>100-ABS((($J7-F7)/($J7)))*100</f>
        <v>96.718062547068854</v>
      </c>
      <c r="X6" s="1079">
        <f t="shared" si="5"/>
        <v>0.16426450887597868</v>
      </c>
      <c r="Z6" s="1153">
        <f t="array" ref="Z6">SUM(O6:U6/4)</f>
        <v>97.511474446420607</v>
      </c>
      <c r="AA6" s="1154">
        <f t="array" ref="AA6">SUM(M6:W6/6)</f>
        <v>97.811817913802614</v>
      </c>
    </row>
    <row r="7" spans="1:29" ht="14.25" customHeight="1" x14ac:dyDescent="0.3">
      <c r="A7" s="745" t="s">
        <v>17</v>
      </c>
      <c r="B7" s="923">
        <v>248.9</v>
      </c>
      <c r="C7" s="924">
        <v>248</v>
      </c>
      <c r="D7" s="924">
        <v>248.72</v>
      </c>
      <c r="E7" s="924">
        <v>247.84</v>
      </c>
      <c r="F7" s="924">
        <v>244.01</v>
      </c>
      <c r="G7" s="924">
        <v>248</v>
      </c>
      <c r="H7" s="1087">
        <v>0</v>
      </c>
      <c r="I7" s="1163">
        <f>(B7*X12)+(C7*X13)+(D7*X14)+(E7*X15)+(F7*X16)+(G7*X17)+(H7*X18)</f>
        <v>247.75675000000001</v>
      </c>
      <c r="J7" s="1089">
        <v>252.29</v>
      </c>
      <c r="L7" s="1070" t="s">
        <v>95</v>
      </c>
      <c r="M7" s="1080">
        <f>100-ABS((($J2-G2)/($J2)))*100</f>
        <v>99.775617053103971</v>
      </c>
      <c r="N7" s="1157">
        <f t="shared" si="0"/>
        <v>0.16662503122658007</v>
      </c>
      <c r="O7" s="1162">
        <f>100-ABS((($J3-G3)/($J3)))*100</f>
        <v>99.805152630439494</v>
      </c>
      <c r="P7" s="1074">
        <f t="shared" si="1"/>
        <v>0.16700780698099879</v>
      </c>
      <c r="Q7" s="1081">
        <f>100-ABS((($J4-G4)/($J4)))*100</f>
        <v>99.894957983193279</v>
      </c>
      <c r="R7" s="1074">
        <f t="shared" si="2"/>
        <v>0.16698858647936787</v>
      </c>
      <c r="S7" s="1075">
        <f>100-ABS((($J5-G5)/($J5)))*100</f>
        <v>98.652550529355139</v>
      </c>
      <c r="T7" s="1074">
        <f t="shared" si="3"/>
        <v>0.16821202921145484</v>
      </c>
      <c r="U7" s="1230">
        <f>100-ABS((($J6-G6)/($J6)))*100</f>
        <v>99.514844435613412</v>
      </c>
      <c r="V7" s="1157">
        <f t="shared" si="4"/>
        <v>0.16686796329460107</v>
      </c>
      <c r="W7" s="1211">
        <f>100-ABS((($J7-G7)/($J7)))*100</f>
        <v>98.299575884894367</v>
      </c>
      <c r="X7" s="1079">
        <f t="shared" si="5"/>
        <v>0.16695052744249297</v>
      </c>
      <c r="Z7" s="1153">
        <f t="array" ref="Z7">SUM(O7:U7/4)</f>
        <v>99.592428500318306</v>
      </c>
      <c r="AA7" s="1154">
        <f t="array" ref="AA7">SUM(M7:W7/6)</f>
        <v>99.463066655632105</v>
      </c>
    </row>
    <row r="8" spans="1:29" ht="14.25" customHeight="1" x14ac:dyDescent="0.3">
      <c r="L8" s="1092" t="s">
        <v>96</v>
      </c>
      <c r="M8" s="1093">
        <f>100-ABS((($J2-H2)/($J2)))*100</f>
        <v>0</v>
      </c>
      <c r="N8" s="1167">
        <f t="shared" si="0"/>
        <v>0</v>
      </c>
      <c r="O8" s="1097">
        <f>100-ABS((($J3-H3)/($J3)))*100</f>
        <v>0</v>
      </c>
      <c r="P8" s="1096">
        <f t="shared" si="1"/>
        <v>0</v>
      </c>
      <c r="Q8" s="1097">
        <f>100-ABS((($J4-H4)/($J4)))*100</f>
        <v>0</v>
      </c>
      <c r="R8" s="1096">
        <f t="shared" si="2"/>
        <v>0</v>
      </c>
      <c r="S8" s="1097">
        <f>100-ABS((($J5-H5)/($J5)))*100</f>
        <v>0</v>
      </c>
      <c r="T8" s="1096">
        <f t="shared" si="3"/>
        <v>0</v>
      </c>
      <c r="U8" s="1098">
        <f>100-ABS((($J6-H6)/($J6)))*100</f>
        <v>0</v>
      </c>
      <c r="V8" s="1167">
        <f t="shared" si="4"/>
        <v>0</v>
      </c>
      <c r="W8" s="1218">
        <f>100-ABS((($J7-H7)/($J7)))*100</f>
        <v>0</v>
      </c>
      <c r="X8" s="1100">
        <f t="shared" si="5"/>
        <v>0</v>
      </c>
      <c r="Z8" s="1153">
        <f t="array" ref="Z8">SUM(O8:U8/4)</f>
        <v>0</v>
      </c>
      <c r="AA8" s="1154">
        <f t="array" ref="AA8">SUM(M8:W8/6)</f>
        <v>0</v>
      </c>
    </row>
    <row r="9" spans="1:29" ht="14.25" customHeight="1" x14ac:dyDescent="0.3">
      <c r="M9" s="798"/>
      <c r="N9" s="798"/>
      <c r="O9" s="798"/>
      <c r="P9" s="798"/>
      <c r="Q9" s="798"/>
      <c r="R9" s="798"/>
      <c r="S9" s="798"/>
      <c r="T9" s="798"/>
      <c r="U9" s="798"/>
      <c r="V9" s="798"/>
      <c r="W9" s="798"/>
      <c r="AB9" s="1169" t="s">
        <v>54</v>
      </c>
      <c r="AC9" s="1169" t="s">
        <v>55</v>
      </c>
    </row>
    <row r="10" spans="1:29" ht="14.25" customHeight="1" x14ac:dyDescent="0.3">
      <c r="E10" s="931"/>
      <c r="M10" s="798"/>
      <c r="N10" s="798"/>
      <c r="O10" s="798"/>
      <c r="P10" s="798"/>
      <c r="Q10" s="798"/>
      <c r="R10" s="798"/>
      <c r="S10" s="798"/>
      <c r="T10" s="798"/>
      <c r="U10" s="798"/>
      <c r="V10" s="798"/>
      <c r="W10" s="798"/>
      <c r="Z10" s="661"/>
      <c r="AA10" s="1231"/>
      <c r="AB10" s="798" t="s">
        <v>137</v>
      </c>
      <c r="AC10" s="798">
        <v>100</v>
      </c>
    </row>
    <row r="11" spans="1:29" ht="14.25" customHeight="1" x14ac:dyDescent="0.3">
      <c r="B11" s="893" t="s">
        <v>47</v>
      </c>
      <c r="C11" s="894"/>
      <c r="D11" s="895">
        <v>85220</v>
      </c>
      <c r="E11" s="896"/>
      <c r="F11" s="895" t="s">
        <v>48</v>
      </c>
      <c r="G11" s="897"/>
      <c r="L11" s="1101" t="str">
        <f>I1</f>
        <v>Comb</v>
      </c>
      <c r="M11" s="1232" t="s">
        <v>12</v>
      </c>
      <c r="N11" s="1145">
        <f>SUM(M12:M18)</f>
        <v>582</v>
      </c>
      <c r="O11" s="1233" t="s">
        <v>13</v>
      </c>
      <c r="P11" s="1233">
        <f>SUM(O12:O18)</f>
        <v>540</v>
      </c>
      <c r="Q11" s="1233" t="s">
        <v>14</v>
      </c>
      <c r="R11" s="1233">
        <f>SUM(Q12:Q18)</f>
        <v>568</v>
      </c>
      <c r="S11" s="1233" t="s">
        <v>15</v>
      </c>
      <c r="T11" s="1233">
        <f>SUM(S12:S18)</f>
        <v>364</v>
      </c>
      <c r="U11" s="1234" t="s">
        <v>16</v>
      </c>
      <c r="V11" s="1145">
        <f>SUM(U12:U18)</f>
        <v>555</v>
      </c>
      <c r="W11" s="1172" t="s">
        <v>17</v>
      </c>
      <c r="X11" s="798">
        <f>SUM(W12:W18)</f>
        <v>400</v>
      </c>
      <c r="Z11" s="661"/>
      <c r="AA11" s="1231"/>
      <c r="AB11" s="798" t="s">
        <v>148</v>
      </c>
      <c r="AC11" s="798">
        <v>97</v>
      </c>
    </row>
    <row r="12" spans="1:29" ht="14.25" customHeight="1" x14ac:dyDescent="0.3">
      <c r="A12" s="1173" t="s">
        <v>12</v>
      </c>
      <c r="B12" s="1174">
        <v>4.0199999999999996</v>
      </c>
      <c r="C12" s="1175" t="str">
        <f t="shared" ref="C12:C17" si="6">IF(ABS(J2-I2)&lt;ABS(B12-J2),$I$1,$B$11)</f>
        <v>Comb</v>
      </c>
      <c r="D12" s="1174">
        <v>4.01</v>
      </c>
      <c r="E12" s="1175">
        <f t="shared" ref="E12:E17" si="7">IF(ABS(J2-I2)&lt;ABS(J2-D12),$I$1,$D$11)</f>
        <v>85220</v>
      </c>
      <c r="F12" s="1174">
        <v>4.0199999999999996</v>
      </c>
      <c r="G12" s="1176" t="str">
        <f t="shared" ref="G12:G17" si="8">IF(ABS(I2-J2)&lt;ABS(J2-F12),$I$1,$F$11)</f>
        <v>Comb</v>
      </c>
      <c r="L12" s="1058" t="s">
        <v>129</v>
      </c>
      <c r="M12" s="1235">
        <f>IF(M2=0,0, LOOKUP(M2-0.000000000001,{0,93,95,96,97,98,99,99.5,99.99},{1,25,37,50,66,70,83,97,100}))</f>
        <v>97</v>
      </c>
      <c r="N12" s="1151">
        <f t="shared" ref="N12:N18" si="9">M12/$N$11</f>
        <v>0.16666666666666666</v>
      </c>
      <c r="O12" s="1236">
        <f>IF(O2=0,0, LOOKUP(O2-0.000000000001,{0,93,95,96,97,98,99,99.5,99.99},{1,25,37,50,66,70,83,97,100}))</f>
        <v>83</v>
      </c>
      <c r="P12" s="1236">
        <f t="shared" ref="P12:P18" si="10">O12/$P$11</f>
        <v>0.1537037037037037</v>
      </c>
      <c r="Q12" s="1236">
        <f>IF(Q2=0,0, LOOKUP(Q2-0.000000000001,{0,93,95,96,97,98,99,99.5,99.99},{1,25,37,50,66,70,83,97,100}))</f>
        <v>97</v>
      </c>
      <c r="R12" s="1236">
        <f t="shared" ref="R12:R18" si="11">Q12/$R$11</f>
        <v>0.17077464788732394</v>
      </c>
      <c r="S12" s="1236">
        <f>IF(S2=0,0, LOOKUP(S2-0.000000000001,{0,93,95,96,97,98,99,99.5,99.99},{1,25,37,50,66,70,83,97,100}))</f>
        <v>83</v>
      </c>
      <c r="T12" s="1236">
        <f t="shared" ref="T12:T18" si="12">S12/$T$11</f>
        <v>0.22802197802197802</v>
      </c>
      <c r="U12" s="1237">
        <f>IF(U2=0,0, LOOKUP(U2-0.000000000001,{0,93,95,96,97,98,99,99.5,99.99},{1,25,37,50,66,70,83,97,100}))</f>
        <v>97</v>
      </c>
      <c r="V12" s="1151">
        <f t="shared" ref="V12:V18" si="13">U12/$V$11</f>
        <v>0.17477477477477477</v>
      </c>
      <c r="W12" s="1178">
        <f>IF(W2=0,0, LOOKUP(W2-0.000000000001,{0,93,95,96,97,98,99,99.5,99.99},{1,25,37,50,66,70,83,97,100}))</f>
        <v>70</v>
      </c>
      <c r="X12" s="661">
        <f t="shared" ref="X12:X18" si="14">W12/$X$11</f>
        <v>0.17499999999999999</v>
      </c>
      <c r="Z12" s="661"/>
      <c r="AA12" s="1231"/>
      <c r="AB12" s="1179" t="s">
        <v>139</v>
      </c>
      <c r="AC12" s="798">
        <v>83</v>
      </c>
    </row>
    <row r="13" spans="1:29" ht="14.25" customHeight="1" x14ac:dyDescent="0.3">
      <c r="A13" s="82" t="s">
        <v>13</v>
      </c>
      <c r="B13" s="1180">
        <v>46400</v>
      </c>
      <c r="C13" s="1181" t="str">
        <f t="shared" si="6"/>
        <v>Comb</v>
      </c>
      <c r="D13" s="1180">
        <v>46425</v>
      </c>
      <c r="E13" s="1181" t="str">
        <f t="shared" si="7"/>
        <v>Comb</v>
      </c>
      <c r="F13" s="1180">
        <v>46383</v>
      </c>
      <c r="G13" s="1182" t="str">
        <f t="shared" si="8"/>
        <v>Comb</v>
      </c>
      <c r="L13" s="1111" t="s">
        <v>130</v>
      </c>
      <c r="M13" s="1238">
        <f>IF(M3=0,0, LOOKUP(M3-0.000000000001,{0,93,95,96,97,98,99,99.5,99.99},{1,25,37,50,66,70,83,97,100}))</f>
        <v>97</v>
      </c>
      <c r="N13" s="1157">
        <f t="shared" si="9"/>
        <v>0.16666666666666666</v>
      </c>
      <c r="O13" s="1239">
        <f>IF(O3=0,0, LOOKUP(O3-0.000000000001,{0,93,95,96,97,98,99,99.5,99.99},{1,25,37,50,66,70,83,97,100}))</f>
        <v>97</v>
      </c>
      <c r="P13" s="1239">
        <f t="shared" si="10"/>
        <v>0.17962962962962964</v>
      </c>
      <c r="Q13" s="1239">
        <f>IF(Q3=0,0, LOOKUP(Q3-0.000000000001,{0,93,95,96,97,98,99,99.5,99.99},{1,25,37,50,66,70,83,97,100}))</f>
        <v>97</v>
      </c>
      <c r="R13" s="1239">
        <f t="shared" si="11"/>
        <v>0.17077464788732394</v>
      </c>
      <c r="S13" s="1239">
        <f>IF(S3=0,0, LOOKUP(S3-0.000000000001,{0,93,95,96,97,98,99,99.5,99.99},{1,25,37,50,66,70,83,97,100}))</f>
        <v>70</v>
      </c>
      <c r="T13" s="1239">
        <f t="shared" si="12"/>
        <v>0.19230769230769232</v>
      </c>
      <c r="U13" s="1240">
        <f>IF(U3=0,0, LOOKUP(U3-0.000000000001,{0,93,95,96,97,98,99,99.5,99.99},{1,25,37,50,66,70,83,97,100}))</f>
        <v>97</v>
      </c>
      <c r="V13" s="1157">
        <f t="shared" si="13"/>
        <v>0.17477477477477477</v>
      </c>
      <c r="W13" s="1184">
        <f>IF(W3=0,0, LOOKUP(W3-0.000000000001,{0,93,95,96,97,98,99,99.5,99.99},{1,25,37,50,66,70,83,97,100}))</f>
        <v>70</v>
      </c>
      <c r="X13" s="661">
        <f t="shared" si="14"/>
        <v>0.17499999999999999</v>
      </c>
      <c r="Z13" s="661"/>
      <c r="AA13" s="1231"/>
      <c r="AB13" s="1179" t="s">
        <v>140</v>
      </c>
      <c r="AC13" s="798">
        <v>70</v>
      </c>
    </row>
    <row r="14" spans="1:29" ht="14.25" customHeight="1" x14ac:dyDescent="0.3">
      <c r="A14" s="82" t="s">
        <v>14</v>
      </c>
      <c r="B14" s="1180">
        <v>6671</v>
      </c>
      <c r="C14" s="1181" t="str">
        <f t="shared" si="6"/>
        <v>Comb</v>
      </c>
      <c r="D14" s="1180">
        <v>6676</v>
      </c>
      <c r="E14" s="1181" t="str">
        <f t="shared" si="7"/>
        <v>Comb</v>
      </c>
      <c r="F14" s="1180">
        <v>6669</v>
      </c>
      <c r="G14" s="1182" t="str">
        <f t="shared" si="8"/>
        <v>MICH</v>
      </c>
      <c r="L14" s="1111" t="s">
        <v>131</v>
      </c>
      <c r="M14" s="1238">
        <f>IF(M4=0,0, LOOKUP(M4-0.000000000001,{0,93,95,96,97,98,99,99.5,99.99},{1,25,37,50,66,70,83,97,100}))</f>
        <v>97</v>
      </c>
      <c r="N14" s="1157">
        <f t="shared" si="9"/>
        <v>0.16666666666666666</v>
      </c>
      <c r="O14" s="1239">
        <f>IF(O4=0,0, LOOKUP(O4-0.000000000001,{0,93,95,96,97,98,99,99.5,99.99},{1,25,37,50,66,70,83,97,100}))</f>
        <v>83</v>
      </c>
      <c r="P14" s="1239">
        <f t="shared" si="10"/>
        <v>0.1537037037037037</v>
      </c>
      <c r="Q14" s="1239">
        <f>IF(Q4=0,0, LOOKUP(Q4-0.000000000001,{0,93,95,96,97,98,99,99.5,99.99},{1,25,37,50,66,70,83,97,100}))</f>
        <v>97</v>
      </c>
      <c r="R14" s="1239">
        <f t="shared" si="11"/>
        <v>0.17077464788732394</v>
      </c>
      <c r="S14" s="1239">
        <f>IF(S4=0,0, LOOKUP(S4-0.000000000001,{0,93,95,96,97,98,99,99.5,99.99},{1,25,37,50,66,70,83,97,100}))</f>
        <v>70</v>
      </c>
      <c r="T14" s="1239">
        <f t="shared" si="12"/>
        <v>0.19230769230769232</v>
      </c>
      <c r="U14" s="1240">
        <f>IF(U4=0,0, LOOKUP(U4-0.000000000001,{0,93,95,96,97,98,99,99.5,99.99},{1,25,37,50,66,70,83,97,100}))</f>
        <v>97</v>
      </c>
      <c r="V14" s="1157">
        <f t="shared" si="13"/>
        <v>0.17477477477477477</v>
      </c>
      <c r="W14" s="1184">
        <f>IF(W4=0,0, LOOKUP(W4-0.000000000001,{0,93,95,96,97,98,99,99.5,99.99},{1,25,37,50,66,70,83,97,100}))</f>
        <v>70</v>
      </c>
      <c r="X14" s="661">
        <f t="shared" si="14"/>
        <v>0.17499999999999999</v>
      </c>
      <c r="Z14" s="661"/>
      <c r="AA14" s="1231"/>
      <c r="AB14" s="1179" t="s">
        <v>141</v>
      </c>
      <c r="AC14" s="798">
        <v>66</v>
      </c>
    </row>
    <row r="15" spans="1:29" ht="14.25" customHeight="1" x14ac:dyDescent="0.3">
      <c r="A15" s="82" t="s">
        <v>15</v>
      </c>
      <c r="B15" s="1180">
        <v>20.52</v>
      </c>
      <c r="C15" s="1181" t="str">
        <f t="shared" si="6"/>
        <v>Comb</v>
      </c>
      <c r="D15" s="1180">
        <v>20.66</v>
      </c>
      <c r="E15" s="1181">
        <f t="shared" si="7"/>
        <v>85220</v>
      </c>
      <c r="F15" s="1180">
        <v>20.48</v>
      </c>
      <c r="G15" s="1182" t="str">
        <f t="shared" si="8"/>
        <v>Comb</v>
      </c>
      <c r="L15" s="1111" t="s">
        <v>34</v>
      </c>
      <c r="M15" s="1238">
        <f>IF(M5=0,0, LOOKUP(M5-0.000000000001,{0,93,95,96,97,98,99,99.5,99.99},{1,25,37,50,66,70,83,97,100}))</f>
        <v>97</v>
      </c>
      <c r="N15" s="1157">
        <f t="shared" si="9"/>
        <v>0.16666666666666666</v>
      </c>
      <c r="O15" s="1239">
        <f>IF(O5=0,0, LOOKUP(O5-0.000000000001,{0,93,95,96,97,98,99,99.5,99.99},{1,25,37,50,66,70,83,97,100}))</f>
        <v>83</v>
      </c>
      <c r="P15" s="1239">
        <f t="shared" si="10"/>
        <v>0.1537037037037037</v>
      </c>
      <c r="Q15" s="1239">
        <f>IF(Q5=0,0, LOOKUP(Q5-0.000000000001,{0,93,95,96,97,98,99,99.5,99.99},{1,25,37,50,66,70,83,97,100}))</f>
        <v>97</v>
      </c>
      <c r="R15" s="1239">
        <f t="shared" si="11"/>
        <v>0.17077464788732394</v>
      </c>
      <c r="S15" s="1239">
        <f>IF(S5=0,0, LOOKUP(S5-0.000000000001,{0,93,95,96,97,98,99,99.5,99.99},{1,25,37,50,66,70,83,97,100}))</f>
        <v>70</v>
      </c>
      <c r="T15" s="1239">
        <f t="shared" si="12"/>
        <v>0.19230769230769232</v>
      </c>
      <c r="U15" s="1240">
        <f>IF(U5=0,0, LOOKUP(U5-0.000000000001,{0,93,95,96,97,98,99,99.5,99.99},{1,25,37,50,66,70,83,97,100}))</f>
        <v>97</v>
      </c>
      <c r="V15" s="1157">
        <f t="shared" si="13"/>
        <v>0.17477477477477477</v>
      </c>
      <c r="W15" s="1184">
        <f>IF(W5=0,0, LOOKUP(W5-0.000000000001,{0,93,95,96,97,98,99,99.5,99.99},{1,25,37,50,66,70,83,97,100}))</f>
        <v>70</v>
      </c>
      <c r="X15" s="661">
        <f t="shared" si="14"/>
        <v>0.17499999999999999</v>
      </c>
      <c r="Z15" s="661"/>
      <c r="AA15" s="1231"/>
      <c r="AB15" s="1179" t="s">
        <v>142</v>
      </c>
      <c r="AC15" s="798">
        <v>50</v>
      </c>
    </row>
    <row r="16" spans="1:29" ht="14.25" customHeight="1" x14ac:dyDescent="0.3">
      <c r="A16" s="82" t="s">
        <v>16</v>
      </c>
      <c r="B16" s="1180">
        <v>601.5</v>
      </c>
      <c r="C16" s="1181" t="str">
        <f t="shared" si="6"/>
        <v>RD</v>
      </c>
      <c r="D16" s="1180">
        <v>603.70000000000005</v>
      </c>
      <c r="E16" s="1181">
        <f t="shared" si="7"/>
        <v>85220</v>
      </c>
      <c r="F16" s="1180">
        <v>601.9</v>
      </c>
      <c r="G16" s="1182" t="str">
        <f t="shared" si="8"/>
        <v>MICH</v>
      </c>
      <c r="L16" s="1111">
        <v>4</v>
      </c>
      <c r="M16" s="1238">
        <f>IF(M6=0,0, LOOKUP(M6-0.000000000001,{0,93,95,96,97,98,99,99.5,99.99},{1,25,37,50,66,70,83,97,100}))</f>
        <v>97</v>
      </c>
      <c r="N16" s="1157">
        <f t="shared" si="9"/>
        <v>0.16666666666666666</v>
      </c>
      <c r="O16" s="1239">
        <f>IF(O6=0,0, LOOKUP(O6-0.000000000001,{0,93,95,96,97,98,99,99.5,99.99},{1,25,37,50,66,70,83,97,100}))</f>
        <v>97</v>
      </c>
      <c r="P16" s="1239">
        <f t="shared" si="10"/>
        <v>0.17962962962962964</v>
      </c>
      <c r="Q16" s="1239">
        <f>IF(Q6=0,0, LOOKUP(Q6-0.000000000001,{0,93,95,96,97,98,99,99.5,99.99},{1,25,37,50,66,70,83,97,100}))</f>
        <v>83</v>
      </c>
      <c r="R16" s="1239">
        <f t="shared" si="11"/>
        <v>0.14612676056338028</v>
      </c>
      <c r="S16" s="1239">
        <f>IF(S6=0,0, LOOKUP(S6-0.000000000001,{0,93,95,96,97,98,99,99.5,99.99},{1,25,37,50,66,70,83,97,100}))</f>
        <v>1</v>
      </c>
      <c r="T16" s="1239">
        <f t="shared" si="12"/>
        <v>2.7472527472527475E-3</v>
      </c>
      <c r="U16" s="1240">
        <f>IF(U6=0,0, LOOKUP(U6-0.000000000001,{0,93,95,96,97,98,99,99.5,99.99},{1,25,37,50,66,70,83,97,100}))</f>
        <v>70</v>
      </c>
      <c r="V16" s="1157">
        <f t="shared" si="13"/>
        <v>0.12612612612612611</v>
      </c>
      <c r="W16" s="1184">
        <f>IF(W6=0,0, LOOKUP(W6-0.000000000001,{0,93,95,96,97,98,99,99.5,99.99},{1,25,37,50,66,70,83,97,100}))</f>
        <v>50</v>
      </c>
      <c r="X16" s="661">
        <f t="shared" si="14"/>
        <v>0.125</v>
      </c>
      <c r="Z16" s="661"/>
      <c r="AA16" s="1231"/>
      <c r="AB16" s="1179" t="s">
        <v>143</v>
      </c>
      <c r="AC16" s="798">
        <v>37</v>
      </c>
    </row>
    <row r="17" spans="1:29" ht="14.25" customHeight="1" x14ac:dyDescent="0.3">
      <c r="A17" s="745" t="s">
        <v>17</v>
      </c>
      <c r="B17" s="1185">
        <v>249.4</v>
      </c>
      <c r="C17" s="1186" t="str">
        <f t="shared" si="6"/>
        <v>RD</v>
      </c>
      <c r="D17" s="1185">
        <v>248.2</v>
      </c>
      <c r="E17" s="1186">
        <f t="shared" si="7"/>
        <v>85220</v>
      </c>
      <c r="F17" s="1185">
        <v>248.1</v>
      </c>
      <c r="G17" s="1187" t="str">
        <f t="shared" si="8"/>
        <v>MICH</v>
      </c>
      <c r="L17" s="1111" t="s">
        <v>95</v>
      </c>
      <c r="M17" s="1238">
        <f>IF(M7=0,0, LOOKUP(M7-0.000000000001,{0,93,95,96,97,98,99,99.5,99.99},{1,25,37,50,66,70,83,97,100}))</f>
        <v>97</v>
      </c>
      <c r="N17" s="1157">
        <f t="shared" si="9"/>
        <v>0.16666666666666666</v>
      </c>
      <c r="O17" s="1239">
        <f>IF(O7=0,0, LOOKUP(O7-0.000000000001,{0,93,95,96,97,98,99,99.5,99.99},{1,25,37,50,66,70,83,97,100}))</f>
        <v>97</v>
      </c>
      <c r="P17" s="1239">
        <f t="shared" si="10"/>
        <v>0.17962962962962964</v>
      </c>
      <c r="Q17" s="1239">
        <f>IF(Q7=0,0, LOOKUP(Q7-0.000000000001,{0,93,95,96,97,98,99,99.5,99.99},{1,25,37,50,66,70,83,97,100}))</f>
        <v>97</v>
      </c>
      <c r="R17" s="1239">
        <f t="shared" si="11"/>
        <v>0.17077464788732394</v>
      </c>
      <c r="S17" s="1239">
        <f>IF(S7=0,0, LOOKUP(S7-0.000000000001,{0,93,95,96,97,98,99,99.5,99.99},{1,25,37,50,66,70,83,97,100}))</f>
        <v>70</v>
      </c>
      <c r="T17" s="1239">
        <f t="shared" si="12"/>
        <v>0.19230769230769232</v>
      </c>
      <c r="U17" s="1240">
        <f>IF(U7=0,0, LOOKUP(U7-0.000000000001,{0,93,95,96,97,98,99,99.5,99.99},{1,25,37,50,66,70,83,97,100}))</f>
        <v>97</v>
      </c>
      <c r="V17" s="1157">
        <f t="shared" si="13"/>
        <v>0.17477477477477477</v>
      </c>
      <c r="W17" s="1184">
        <f>IF(W7=0,0, LOOKUP(W7-0.000000000001,{0,93,95,96,97,98,99,99.5,99.99},{1,25,37,50,66,70,83,97,100}))</f>
        <v>70</v>
      </c>
      <c r="X17" s="661">
        <f t="shared" si="14"/>
        <v>0.17499999999999999</v>
      </c>
      <c r="Z17" s="661"/>
      <c r="AA17" s="1231"/>
      <c r="AB17" s="1179" t="s">
        <v>144</v>
      </c>
      <c r="AC17" s="798">
        <v>25</v>
      </c>
    </row>
    <row r="18" spans="1:29" ht="14.25" customHeight="1" x14ac:dyDescent="0.3">
      <c r="L18" s="1119" t="s">
        <v>96</v>
      </c>
      <c r="M18" s="1241">
        <f>IF(M8=0,0, LOOKUP(M8-0.000000000001,{0,93,95,96,97,98,99,99.5,99.99},{1,25,37,50,66,70,83,97,100}))</f>
        <v>0</v>
      </c>
      <c r="N18" s="1167">
        <f t="shared" si="9"/>
        <v>0</v>
      </c>
      <c r="O18" s="1242">
        <f>IF(O8=0,0, LOOKUP(O8-0.000000000001,{0,93,95,96,97,98,99,99.5,99.99},{1,25,37,50,66,70,83,97,100}))</f>
        <v>0</v>
      </c>
      <c r="P18" s="1242">
        <f t="shared" si="10"/>
        <v>0</v>
      </c>
      <c r="Q18" s="1242">
        <f>IF(Q8=0,0, LOOKUP(Q8-0.000000000001,{0,93,95,96,97,98,99,99.5,99.99},{1,25,37,50,66,70,83,97,100}))</f>
        <v>0</v>
      </c>
      <c r="R18" s="1242">
        <f t="shared" si="11"/>
        <v>0</v>
      </c>
      <c r="S18" s="1242">
        <f>IF(S8=0,0, LOOKUP(S8-0.000000000001,{0,93,95,96,97,98,99,99.5,99.99},{1,25,37,50,66,70,83,97,100}))</f>
        <v>0</v>
      </c>
      <c r="T18" s="1242">
        <f t="shared" si="12"/>
        <v>0</v>
      </c>
      <c r="U18" s="1243">
        <f>IF(U8=0,0, LOOKUP(U8-0.000000000001,{0,93,95,96,97,98,99,99.5,99.99},{1,25,37,50,66,70,83,97,100}))</f>
        <v>0</v>
      </c>
      <c r="V18" s="1167">
        <f t="shared" si="13"/>
        <v>0</v>
      </c>
      <c r="W18" s="1189">
        <f>IF(W8=0,0, LOOKUP(W8-0.000000000001,{0,93,95,96,97,98,99,99.5,99.99},{1,25,37,50,66,70,83,97,100}))</f>
        <v>0</v>
      </c>
      <c r="X18" s="661">
        <f t="shared" si="14"/>
        <v>0</v>
      </c>
      <c r="Z18" s="661"/>
      <c r="AA18" s="1231"/>
      <c r="AB18" s="1179" t="s">
        <v>145</v>
      </c>
      <c r="AC18" s="798">
        <v>1</v>
      </c>
    </row>
    <row r="19" spans="1:29" ht="14.25" customHeight="1" x14ac:dyDescent="0.3">
      <c r="L19" s="6"/>
      <c r="M19" s="798"/>
      <c r="N19" s="798"/>
      <c r="O19" s="798"/>
      <c r="P19" s="798"/>
      <c r="Q19" s="798"/>
      <c r="R19" s="798"/>
      <c r="S19" s="798"/>
      <c r="T19" s="798"/>
      <c r="U19" s="798"/>
      <c r="V19" s="798"/>
      <c r="W19" s="798"/>
      <c r="Z19" s="661"/>
      <c r="AA19" s="1231"/>
      <c r="AB19" s="1190">
        <v>0</v>
      </c>
      <c r="AC19" s="798">
        <v>0</v>
      </c>
    </row>
    <row r="20" spans="1:29" ht="14.25" customHeight="1" x14ac:dyDescent="0.3">
      <c r="A20" s="1244" t="s">
        <v>12</v>
      </c>
      <c r="B20" s="1245" t="s">
        <v>150</v>
      </c>
      <c r="C20" s="1246">
        <v>98.28</v>
      </c>
      <c r="M20" s="1247" t="s">
        <v>12</v>
      </c>
      <c r="N20" s="805">
        <f>SUM(M21:M27)</f>
        <v>399.34347211834125</v>
      </c>
      <c r="O20" s="845" t="s">
        <v>13</v>
      </c>
      <c r="P20" s="848">
        <f>SUM(O21:O27)</f>
        <v>398.35079342169627</v>
      </c>
      <c r="Q20" s="848" t="s">
        <v>14</v>
      </c>
      <c r="R20" s="848">
        <f>SUM(Q21:Q27)</f>
        <v>399.55919867947182</v>
      </c>
      <c r="S20" s="848" t="s">
        <v>15</v>
      </c>
      <c r="T20" s="848">
        <f>SUM(S21:S27)</f>
        <v>395.49188780420735</v>
      </c>
      <c r="U20" s="1054" t="s">
        <v>16</v>
      </c>
      <c r="V20" s="805">
        <f>SUM(U21:U27)</f>
        <v>398.67512835969444</v>
      </c>
      <c r="W20" s="1248" t="s">
        <v>17</v>
      </c>
      <c r="Z20" s="1196" t="str">
        <f>Z1</f>
        <v>AVR-4</v>
      </c>
      <c r="AA20" s="1147" t="str">
        <f>AA1</f>
        <v>AVR-6</v>
      </c>
    </row>
    <row r="21" spans="1:29" ht="14.25" customHeight="1" x14ac:dyDescent="0.3">
      <c r="A21" s="953" t="s">
        <v>13</v>
      </c>
      <c r="B21" s="954" t="s">
        <v>151</v>
      </c>
      <c r="C21" s="1197">
        <v>99.71</v>
      </c>
      <c r="L21" s="1198" t="str">
        <f>I1</f>
        <v>Comb</v>
      </c>
      <c r="M21" s="1249">
        <f>100-ABS((($J2-I2)/($J2)))*100</f>
        <v>99.817169450677326</v>
      </c>
      <c r="N21" s="1250"/>
      <c r="O21" s="1251">
        <f>100-ABS((($J3-I3)/($J3)))*100</f>
        <v>99.732044774802958</v>
      </c>
      <c r="P21" s="1252"/>
      <c r="Q21" s="1252">
        <f>100-ABS((($J4-I4)/($J4)))*100</f>
        <v>99.919342737094837</v>
      </c>
      <c r="R21" s="1252"/>
      <c r="S21" s="1252">
        <f>100-ABS((($J5-I5)/($J5)))*100</f>
        <v>98.764265090059155</v>
      </c>
      <c r="T21" s="1253"/>
      <c r="U21" s="1202">
        <f>100-ABS((($J6-I6)/($J6)))*100</f>
        <v>99.451708426920788</v>
      </c>
      <c r="V21" s="1254"/>
      <c r="W21" s="817">
        <f>100-ABS((($J7-I7)/($J7)))*100</f>
        <v>98.203159062983076</v>
      </c>
      <c r="Z21" s="1164">
        <f t="array" ref="Z21">SUM(O21:U21/4)</f>
        <v>99.466840257219431</v>
      </c>
      <c r="AA21" s="1165">
        <f t="array" ref="AA21">SUM(M21:W21/6)</f>
        <v>99.314614923756352</v>
      </c>
    </row>
    <row r="22" spans="1:29" ht="14.25" customHeight="1" x14ac:dyDescent="0.3">
      <c r="A22" s="961" t="s">
        <v>14</v>
      </c>
      <c r="B22" s="962" t="s">
        <v>152</v>
      </c>
      <c r="C22" s="1205">
        <v>99.56</v>
      </c>
      <c r="L22" s="1206" t="str">
        <f>B11</f>
        <v>RD</v>
      </c>
      <c r="M22" s="1071">
        <f>100-ABS((($J2-B12)/($J2)))*100</f>
        <v>99.775617053103971</v>
      </c>
      <c r="N22" s="1255"/>
      <c r="O22" s="1083">
        <f>100-ABS((($J3-B13)/($J3)))*100</f>
        <v>99.545356137692139</v>
      </c>
      <c r="P22" s="1256"/>
      <c r="Q22" s="1256">
        <f>100-ABS((($J4-B14)/($J4)))*100</f>
        <v>99.894957983193279</v>
      </c>
      <c r="R22" s="1256"/>
      <c r="S22" s="1256">
        <f>100-ABS((($J5-B15)/($J5)))*100</f>
        <v>98.748796920115495</v>
      </c>
      <c r="T22" s="1257"/>
      <c r="U22" s="1209">
        <f>100-ABS((($J6-B16)/($J6)))*100</f>
        <v>99.597635487556516</v>
      </c>
      <c r="V22" s="1258"/>
      <c r="W22" s="830">
        <f>100-ABS((($J7-B17)/($J7)))*100</f>
        <v>98.854492845534907</v>
      </c>
      <c r="Z22" s="1164">
        <f t="array" ref="Z22">SUM(O22:U22/4)</f>
        <v>99.446686632139375</v>
      </c>
      <c r="AA22" s="1165">
        <f t="array" ref="AA22">SUM(M22:W22/6)</f>
        <v>99.402809404532718</v>
      </c>
    </row>
    <row r="23" spans="1:29" ht="14.25" customHeight="1" x14ac:dyDescent="0.3">
      <c r="A23" s="961" t="s">
        <v>15</v>
      </c>
      <c r="B23" s="962" t="s">
        <v>129</v>
      </c>
      <c r="C23" s="1205">
        <v>98.62</v>
      </c>
      <c r="L23" s="1206">
        <f>D11</f>
        <v>85220</v>
      </c>
      <c r="M23" s="1071">
        <f>100-ABS((($J2-D12)/($J2)))*100</f>
        <v>99.975068561455984</v>
      </c>
      <c r="N23" s="1255"/>
      <c r="O23" s="1083">
        <f>100-ABS((($J3-D13)/($J3)))*100</f>
        <v>99.49123186836978</v>
      </c>
      <c r="P23" s="1256"/>
      <c r="Q23" s="1256">
        <f>100-ABS((($J4-D14)/($J4)))*100</f>
        <v>99.819927971188477</v>
      </c>
      <c r="R23" s="1256"/>
      <c r="S23" s="1256">
        <f>100-ABS((($J5-D15)/($J5)))*100</f>
        <v>99.422521655437919</v>
      </c>
      <c r="T23" s="1257"/>
      <c r="U23" s="1209">
        <f>100-ABS((($J6-D16)/($J6)))*100</f>
        <v>99.961916116106181</v>
      </c>
      <c r="V23" s="1258"/>
      <c r="W23" s="830">
        <f>100-ABS((($J7-D17)/($J7)))*100</f>
        <v>98.378849736414438</v>
      </c>
      <c r="Z23" s="1164">
        <f t="array" ref="Z23">SUM(O23:U23/4)</f>
        <v>99.673899402775589</v>
      </c>
      <c r="AA23" s="1165">
        <f t="array" ref="AA23">SUM(M23:W23/6)</f>
        <v>99.508252651495468</v>
      </c>
    </row>
    <row r="24" spans="1:29" ht="14.25" customHeight="1" x14ac:dyDescent="0.3">
      <c r="A24" s="973" t="s">
        <v>16</v>
      </c>
      <c r="B24" s="974" t="s">
        <v>129</v>
      </c>
      <c r="C24" s="1212">
        <v>99.53</v>
      </c>
      <c r="L24" s="1213" t="str">
        <f>F11</f>
        <v>MICH</v>
      </c>
      <c r="M24" s="1093">
        <f>100-ABS((($J2-F12)/($J2)))*100</f>
        <v>99.775617053103971</v>
      </c>
      <c r="N24" s="1259"/>
      <c r="O24" s="1260">
        <f>100-ABS((($J3-F13)/($J3)))*100</f>
        <v>99.582160640831347</v>
      </c>
      <c r="P24" s="1261"/>
      <c r="Q24" s="1261">
        <f>100-ABS((($J4-F14)/($J4)))*100</f>
        <v>99.924969987995198</v>
      </c>
      <c r="R24" s="1261"/>
      <c r="S24" s="1261">
        <f>100-ABS((($J5-F15)/($J5)))*100</f>
        <v>98.556304138594797</v>
      </c>
      <c r="T24" s="1262"/>
      <c r="U24" s="1216">
        <f>100-ABS((($J6-F16)/($J6)))*100</f>
        <v>99.663868329110997</v>
      </c>
      <c r="V24" s="1263"/>
      <c r="W24" s="842">
        <f>100-ABS((($J7-F17)/($J7)))*100</f>
        <v>98.339212810654402</v>
      </c>
      <c r="Z24" s="1164">
        <f t="array" ref="Z24">SUM(O24:U24/4)</f>
        <v>99.431825774133074</v>
      </c>
      <c r="AA24" s="1165">
        <f t="array" ref="AA24">SUM(M24:W24/6)</f>
        <v>99.307022160048447</v>
      </c>
    </row>
    <row r="25" spans="1:29" ht="14.25" customHeight="1" x14ac:dyDescent="0.3">
      <c r="A25" s="1264" t="s">
        <v>17</v>
      </c>
      <c r="B25" s="1265" t="s">
        <v>153</v>
      </c>
      <c r="C25" s="1266">
        <v>99.89</v>
      </c>
    </row>
    <row r="26" spans="1:29" ht="14.25" customHeight="1" x14ac:dyDescent="0.3">
      <c r="A26" s="1333" t="s">
        <v>149</v>
      </c>
      <c r="B26" s="1333"/>
      <c r="C26" s="1222">
        <f>AVERAGE(C21:C24)</f>
        <v>99.35499999999999</v>
      </c>
    </row>
    <row r="27" spans="1:29" ht="14.25" customHeight="1" x14ac:dyDescent="0.3">
      <c r="A27" s="1334" t="s">
        <v>51</v>
      </c>
      <c r="B27" s="1334"/>
      <c r="C27" s="1267">
        <f>AVERAGE(C20:C25)</f>
        <v>99.265000000000001</v>
      </c>
    </row>
  </sheetData>
  <mergeCells count="2">
    <mergeCell ref="A26:B26"/>
    <mergeCell ref="A27:B27"/>
  </mergeCells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27"/>
  <sheetViews>
    <sheetView zoomScale="140" zoomScaleNormal="140" workbookViewId="0">
      <selection activeCell="I11" sqref="I11"/>
    </sheetView>
  </sheetViews>
  <sheetFormatPr defaultColWidth="8.77734375" defaultRowHeight="14.25" customHeight="1" x14ac:dyDescent="0.3"/>
  <cols>
    <col min="1" max="1" width="8.77734375" style="661"/>
    <col min="2" max="7" width="8.88671875" style="661" customWidth="1"/>
    <col min="8" max="8" width="5.88671875" style="661" customWidth="1"/>
    <col min="9" max="9" width="8.88671875" style="661" customWidth="1"/>
    <col min="10" max="10" width="9" style="661" customWidth="1"/>
    <col min="11" max="11" width="3.88671875" style="661" customWidth="1"/>
    <col min="12" max="12" width="9" style="661" customWidth="1"/>
    <col min="13" max="13" width="5.5546875" style="661" customWidth="1"/>
    <col min="14" max="14" width="6.5546875" style="661" hidden="1" customWidth="1"/>
    <col min="15" max="15" width="5.5546875" style="661" customWidth="1"/>
    <col min="16" max="16" width="6.5546875" style="661" hidden="1" customWidth="1"/>
    <col min="17" max="17" width="5.5546875" style="661" customWidth="1"/>
    <col min="18" max="18" width="6.5546875" style="661" hidden="1" customWidth="1"/>
    <col min="19" max="19" width="5.5546875" style="661" customWidth="1"/>
    <col min="20" max="20" width="6.5546875" style="661" hidden="1" customWidth="1"/>
    <col min="21" max="21" width="5.5546875" style="661" customWidth="1"/>
    <col min="22" max="22" width="7.109375" style="661" hidden="1" customWidth="1"/>
    <col min="23" max="23" width="5.5546875" style="661" customWidth="1"/>
    <col min="24" max="24" width="6.5546875" style="661" hidden="1" customWidth="1"/>
    <col min="25" max="25" width="7.33203125" style="661" customWidth="1"/>
    <col min="26" max="27" width="8.88671875" style="798" customWidth="1"/>
    <col min="28" max="16384" width="8.77734375" style="661"/>
  </cols>
  <sheetData>
    <row r="1" spans="1:29" ht="14.25" customHeight="1" x14ac:dyDescent="0.3">
      <c r="A1" s="2" t="s">
        <v>0</v>
      </c>
      <c r="B1" s="888" t="s">
        <v>129</v>
      </c>
      <c r="C1" s="889" t="s">
        <v>130</v>
      </c>
      <c r="D1" s="889" t="s">
        <v>131</v>
      </c>
      <c r="E1" s="889" t="s">
        <v>34</v>
      </c>
      <c r="F1" s="889">
        <v>4</v>
      </c>
      <c r="G1" s="889" t="s">
        <v>95</v>
      </c>
      <c r="H1" s="1048" t="s">
        <v>96</v>
      </c>
      <c r="I1" s="1141" t="s">
        <v>133</v>
      </c>
      <c r="J1" s="892" t="s">
        <v>134</v>
      </c>
      <c r="L1" s="1142" t="s">
        <v>147</v>
      </c>
      <c r="M1" s="1268" t="s">
        <v>12</v>
      </c>
      <c r="N1" s="1171">
        <f>SUM(M2:M8)</f>
        <v>591.47573293914752</v>
      </c>
      <c r="O1" s="1051" t="s">
        <v>13</v>
      </c>
      <c r="P1" s="1052">
        <f>SUM(O2:O8)</f>
        <v>581.83713137318705</v>
      </c>
      <c r="Q1" s="1053" t="s">
        <v>14</v>
      </c>
      <c r="R1" s="1052">
        <f>SUM(Q2:Q8)</f>
        <v>581.67300519494802</v>
      </c>
      <c r="S1" s="1052" t="s">
        <v>15</v>
      </c>
      <c r="T1" s="1052">
        <f>SUM(S2:S8)</f>
        <v>457.2945521698984</v>
      </c>
      <c r="U1" s="1054" t="s">
        <v>16</v>
      </c>
      <c r="V1" s="805">
        <f>SUM(U2:U8)</f>
        <v>581.16878710771846</v>
      </c>
      <c r="W1" s="1055" t="s">
        <v>17</v>
      </c>
      <c r="X1" s="807">
        <f>SUM(W2:W8)</f>
        <v>568.45924899090801</v>
      </c>
      <c r="Z1" s="818" t="s">
        <v>18</v>
      </c>
      <c r="AA1" s="1147" t="s">
        <v>19</v>
      </c>
    </row>
    <row r="2" spans="1:29" ht="14.25" customHeight="1" x14ac:dyDescent="0.3">
      <c r="A2" s="743" t="s">
        <v>12</v>
      </c>
      <c r="B2" s="898">
        <v>4.13</v>
      </c>
      <c r="C2" s="899">
        <v>4.12</v>
      </c>
      <c r="D2" s="899">
        <v>4.12</v>
      </c>
      <c r="E2" s="899">
        <v>4.13</v>
      </c>
      <c r="F2" s="899">
        <v>4.07</v>
      </c>
      <c r="G2" s="899">
        <v>4.13</v>
      </c>
      <c r="H2" s="1056">
        <v>0</v>
      </c>
      <c r="I2" s="1148">
        <f>(B2*N12)+(C2*N13)+(D2*N14)+(E2*N15)+(F2*N16)+(G2*N17)+(H2*N18)</f>
        <v>4.1138478747203582</v>
      </c>
      <c r="J2" s="1057">
        <v>4.0590000000000002</v>
      </c>
      <c r="L2" s="1058" t="s">
        <v>129</v>
      </c>
      <c r="M2" s="1269">
        <f>100-ABS((($J2-B2)/($J2)))*100</f>
        <v>98.250800689825084</v>
      </c>
      <c r="N2" s="1129">
        <f t="shared" ref="N2:N8" si="0">M2/$N$1</f>
        <v>0.16611129623458848</v>
      </c>
      <c r="O2" s="1061">
        <f>100-ABS((($J3-B3)/($J3)))*100</f>
        <v>96.920817245534252</v>
      </c>
      <c r="P2" s="1062">
        <f t="shared" ref="P2:P8" si="1">O2/$P$1</f>
        <v>0.1665772292957525</v>
      </c>
      <c r="Q2" s="1063">
        <f>100-ABS((($J4-B4)/($J4)))*100</f>
        <v>96.986197676619085</v>
      </c>
      <c r="R2" s="1062">
        <f t="shared" ref="R2:R8" si="2">Q2/$R$1</f>
        <v>0.16673663176807407</v>
      </c>
      <c r="S2" s="1063">
        <f>100-ABS((($J5-B5)/($J5)))*100</f>
        <v>76.638965835641741</v>
      </c>
      <c r="T2" s="1062">
        <f t="shared" ref="T2:T8" si="3">S2/$T$1</f>
        <v>0.16759212518929836</v>
      </c>
      <c r="U2" s="1064">
        <f>100-ABS((($J6-B6)/($J6)))*100</f>
        <v>96.69211195928753</v>
      </c>
      <c r="V2" s="1065">
        <f t="shared" ref="V2:V8" si="4">U2/$V$1</f>
        <v>0.16637526671122799</v>
      </c>
      <c r="W2" s="752">
        <f>100-ABS((($J7-B7)/($J7)))*100</f>
        <v>94.687487258939129</v>
      </c>
      <c r="X2" s="1067">
        <f t="shared" ref="X2:X8" si="5">W2/$X$1</f>
        <v>0.16656864573322047</v>
      </c>
      <c r="Z2" s="1153">
        <f t="array" ref="Z2">SUM(O2:U2/4)</f>
        <v>91.934749675833928</v>
      </c>
      <c r="AA2" s="1154">
        <f t="array" ref="AA2">SUM(M2:W2/6)</f>
        <v>93.501628869174297</v>
      </c>
    </row>
    <row r="3" spans="1:29" ht="14.25" customHeight="1" x14ac:dyDescent="0.3">
      <c r="A3" s="82" t="s">
        <v>13</v>
      </c>
      <c r="B3" s="916">
        <v>46880</v>
      </c>
      <c r="C3" s="917">
        <v>46853</v>
      </c>
      <c r="D3" s="917">
        <v>46780</v>
      </c>
      <c r="E3" s="917">
        <v>46850</v>
      </c>
      <c r="F3" s="917">
        <v>46825</v>
      </c>
      <c r="G3" s="917">
        <v>46950</v>
      </c>
      <c r="H3" s="1068">
        <v>0</v>
      </c>
      <c r="I3" s="1155">
        <f>(B3*P12)+(C3*P13)+(D3*P14)+(E3*P15)+(F3*P16)+(G3*P17)+(H3*P18)</f>
        <v>46851.144578313259</v>
      </c>
      <c r="J3" s="1069">
        <v>45479.6</v>
      </c>
      <c r="L3" s="1070" t="s">
        <v>130</v>
      </c>
      <c r="M3" s="1207">
        <f>100-ABS((($J2-C2)/($J2)))*100</f>
        <v>98.497166789849715</v>
      </c>
      <c r="N3" s="1133">
        <f t="shared" si="0"/>
        <v>0.16652782405864713</v>
      </c>
      <c r="O3" s="1073">
        <f>100-ABS((($J3-C3)/($J3)))*100</f>
        <v>96.98018452229131</v>
      </c>
      <c r="P3" s="1074">
        <f t="shared" si="1"/>
        <v>0.16667926347947148</v>
      </c>
      <c r="Q3" s="1075">
        <f>100-ABS((($J4-C4)/($J4)))*100</f>
        <v>97.047242892810715</v>
      </c>
      <c r="R3" s="1074">
        <f t="shared" si="2"/>
        <v>0.16684157942018518</v>
      </c>
      <c r="S3" s="1075">
        <f>100-ABS((($J5-C5)/($J5)))*100</f>
        <v>73.961218836565095</v>
      </c>
      <c r="T3" s="1074">
        <f t="shared" si="3"/>
        <v>0.16173649671882889</v>
      </c>
      <c r="U3" s="1076">
        <f>100-ABS((($J6-C6)/($J6)))*100</f>
        <v>96.69211195928753</v>
      </c>
      <c r="V3" s="1077">
        <f t="shared" si="4"/>
        <v>0.16637526671122799</v>
      </c>
      <c r="W3" s="830">
        <f>100-ABS((($J7-C7)/($J7)))*100</f>
        <v>94.809801443307379</v>
      </c>
      <c r="X3" s="1079">
        <f t="shared" si="5"/>
        <v>0.16678381363590722</v>
      </c>
      <c r="Z3" s="1153">
        <f t="array" ref="Z3">SUM(O3:U3/4)</f>
        <v>91.294003887643271</v>
      </c>
      <c r="AA3" s="1154">
        <f t="array" ref="AA3">SUM(M3:W3/6)</f>
        <v>93.135981145750009</v>
      </c>
    </row>
    <row r="4" spans="1:29" ht="14.25" customHeight="1" x14ac:dyDescent="0.3">
      <c r="A4" s="82" t="s">
        <v>14</v>
      </c>
      <c r="B4" s="916">
        <v>6750</v>
      </c>
      <c r="C4" s="917">
        <v>6746</v>
      </c>
      <c r="D4" s="917">
        <v>6745</v>
      </c>
      <c r="E4" s="917">
        <v>6745</v>
      </c>
      <c r="F4" s="917">
        <v>6745</v>
      </c>
      <c r="G4" s="917">
        <v>6785</v>
      </c>
      <c r="H4" s="1068">
        <v>0</v>
      </c>
      <c r="I4" s="1155">
        <f>(B4*R12)+(C4*R13)+(D4*R14)+(E4*R15)+(F4*R16)+(G4*R17)+(H4*R18)</f>
        <v>6751.3626373626375</v>
      </c>
      <c r="J4" s="1069">
        <v>6552.52</v>
      </c>
      <c r="L4" s="1070" t="s">
        <v>131</v>
      </c>
      <c r="M4" s="1207">
        <f>100-ABS((($J2-D2)/($J2)))*100</f>
        <v>98.497166789849715</v>
      </c>
      <c r="N4" s="1133">
        <f t="shared" si="0"/>
        <v>0.16652782405864713</v>
      </c>
      <c r="O4" s="1090">
        <f>100-ABS((($J3-D3)/($J3)))*100</f>
        <v>97.140696048338157</v>
      </c>
      <c r="P4" s="1074">
        <f t="shared" si="1"/>
        <v>0.16695513367989687</v>
      </c>
      <c r="Q4" s="1081">
        <f>100-ABS((($J4-D4)/($J4)))*100</f>
        <v>97.062504196858626</v>
      </c>
      <c r="R4" s="1074">
        <f t="shared" si="2"/>
        <v>0.16686781633321299</v>
      </c>
      <c r="S4" s="1075">
        <f>100-ABS((($J5-D5)/($J5)))*100</f>
        <v>77.100646352723913</v>
      </c>
      <c r="T4" s="1074">
        <f t="shared" si="3"/>
        <v>0.16860171630489654</v>
      </c>
      <c r="U4" s="1076">
        <f>100-ABS((($J6-D6)/($J6)))*100</f>
        <v>96.776929601357082</v>
      </c>
      <c r="V4" s="1077">
        <f t="shared" si="4"/>
        <v>0.16652120992764133</v>
      </c>
      <c r="W4" s="1082">
        <f>100-ABS((($J7-D7)/($J7)))*100</f>
        <v>94.932115627675628</v>
      </c>
      <c r="X4" s="1079">
        <f t="shared" si="5"/>
        <v>0.16699898153859394</v>
      </c>
      <c r="Z4" s="1164">
        <f t="array" ref="Z4">SUM(O4:U4/4)</f>
        <v>92.145800216398953</v>
      </c>
      <c r="AA4" s="1165">
        <f t="array" ref="AA4">SUM(M4:W4/6)</f>
        <v>93.724255386184566</v>
      </c>
    </row>
    <row r="5" spans="1:29" ht="14.25" customHeight="1" x14ac:dyDescent="0.3">
      <c r="A5" s="82" t="s">
        <v>15</v>
      </c>
      <c r="B5" s="916">
        <v>16.600000000000001</v>
      </c>
      <c r="C5" s="917">
        <v>16.02</v>
      </c>
      <c r="D5" s="917">
        <v>16.7</v>
      </c>
      <c r="E5" s="917">
        <v>16.41</v>
      </c>
      <c r="F5" s="917">
        <v>16.02</v>
      </c>
      <c r="G5" s="917">
        <v>17.3</v>
      </c>
      <c r="H5" s="1068">
        <v>0</v>
      </c>
      <c r="I5" s="1159">
        <f>(B5*T12)+(C5*T13)+(D5*T14)+(E5*T15)+(F5*T16)+(G5*T17)+(H5*T18)</f>
        <v>16.508333333333333</v>
      </c>
      <c r="J5" s="1069">
        <v>21.66</v>
      </c>
      <c r="L5" s="1070" t="s">
        <v>34</v>
      </c>
      <c r="M5" s="1207">
        <f>100-ABS((($J2-E2)/($J2)))*100</f>
        <v>98.250800689825084</v>
      </c>
      <c r="N5" s="1133">
        <f t="shared" si="0"/>
        <v>0.16611129623458848</v>
      </c>
      <c r="O5" s="1073">
        <f>100-ABS((($J3-E3)/($J3)))*100</f>
        <v>96.986780886375428</v>
      </c>
      <c r="P5" s="1074">
        <f t="shared" si="1"/>
        <v>0.16669060061099583</v>
      </c>
      <c r="Q5" s="1081">
        <f>100-ABS((($J4-E4)/($J4)))*100</f>
        <v>97.062504196858626</v>
      </c>
      <c r="R5" s="1074">
        <f t="shared" si="2"/>
        <v>0.16686781633321299</v>
      </c>
      <c r="S5" s="1075">
        <f>100-ABS((($J5-E5)/($J5)))*100</f>
        <v>75.76177285318559</v>
      </c>
      <c r="T5" s="1074">
        <f t="shared" si="3"/>
        <v>0.16567390206966179</v>
      </c>
      <c r="U5" s="1076">
        <f>100-ABS((($J6-E6)/($J6)))*100</f>
        <v>96.77523324851569</v>
      </c>
      <c r="V5" s="1077">
        <f t="shared" si="4"/>
        <v>0.16651829106331306</v>
      </c>
      <c r="W5" s="830">
        <f>100-ABS((($J7-E7)/($J7)))*100</f>
        <v>94.817955722265253</v>
      </c>
      <c r="X5" s="1079">
        <f t="shared" si="5"/>
        <v>0.16679815816275298</v>
      </c>
      <c r="Z5" s="1153">
        <f t="array" ref="Z5">SUM(O5:U5/4)</f>
        <v>91.771380875987305</v>
      </c>
      <c r="AA5" s="1154">
        <f t="array" ref="AA5">SUM(M5:W5/6)</f>
        <v>93.414484917222893</v>
      </c>
    </row>
    <row r="6" spans="1:29" ht="14.25" customHeight="1" x14ac:dyDescent="0.3">
      <c r="A6" s="82" t="s">
        <v>16</v>
      </c>
      <c r="B6" s="916">
        <v>609</v>
      </c>
      <c r="C6" s="917">
        <v>609</v>
      </c>
      <c r="D6" s="917">
        <v>608.5</v>
      </c>
      <c r="E6" s="917">
        <v>608.51</v>
      </c>
      <c r="F6" s="917">
        <v>606</v>
      </c>
      <c r="G6" s="917">
        <v>607</v>
      </c>
      <c r="H6" s="1068">
        <v>0</v>
      </c>
      <c r="I6" s="1155">
        <f>(B6*V12)+(C6*V13)+(D6*V14)+(E6*V15)+(F6*V16)+(G6*V17)+(H6*V18)</f>
        <v>607.85692771084337</v>
      </c>
      <c r="J6" s="1069">
        <v>589.5</v>
      </c>
      <c r="L6" s="1070">
        <v>4</v>
      </c>
      <c r="M6" s="1160">
        <f>100-ABS((($J2-F2)/($J2)))*100</f>
        <v>99.728997289972895</v>
      </c>
      <c r="N6" s="1133">
        <f t="shared" si="0"/>
        <v>0.16861046317894035</v>
      </c>
      <c r="O6" s="1073">
        <f>100-ABS((($J3-F3)/($J3)))*100</f>
        <v>97.041750587076393</v>
      </c>
      <c r="P6" s="1074">
        <f t="shared" si="1"/>
        <v>0.16678507670703188</v>
      </c>
      <c r="Q6" s="1081">
        <f>100-ABS((($J4-F4)/($J4)))*100</f>
        <v>97.062504196858626</v>
      </c>
      <c r="R6" s="1074">
        <f t="shared" si="2"/>
        <v>0.16686781633321299</v>
      </c>
      <c r="S6" s="1075">
        <f>100-ABS((($J5-F5)/($J5)))*100</f>
        <v>73.961218836565095</v>
      </c>
      <c r="T6" s="1074">
        <f t="shared" si="3"/>
        <v>0.16173649671882889</v>
      </c>
      <c r="U6" s="1091">
        <f>100-ABS((($J6-F6)/($J6)))*100</f>
        <v>97.20101781170483</v>
      </c>
      <c r="V6" s="1077">
        <f t="shared" si="4"/>
        <v>0.16725092600970812</v>
      </c>
      <c r="W6" s="830">
        <f>100-ABS((($J7-F7)/($J7)))*100</f>
        <v>94.402087495413227</v>
      </c>
      <c r="X6" s="1079">
        <f t="shared" si="5"/>
        <v>0.16606658729361812</v>
      </c>
      <c r="Z6" s="1153">
        <f t="array" ref="Z6">SUM(O6:U6/4)</f>
        <v>91.44047020549101</v>
      </c>
      <c r="AA6" s="1154">
        <f t="array" ref="AA6">SUM(M6:W6/6)</f>
        <v>93.371471166089805</v>
      </c>
    </row>
    <row r="7" spans="1:29" ht="14.25" customHeight="1" x14ac:dyDescent="0.3">
      <c r="A7" s="745" t="s">
        <v>17</v>
      </c>
      <c r="B7" s="923">
        <v>258.3</v>
      </c>
      <c r="C7" s="924">
        <v>258</v>
      </c>
      <c r="D7" s="924">
        <v>257.7</v>
      </c>
      <c r="E7" s="924">
        <v>257.98</v>
      </c>
      <c r="F7" s="924">
        <v>259</v>
      </c>
      <c r="G7" s="924">
        <v>258</v>
      </c>
      <c r="H7" s="1087">
        <v>0</v>
      </c>
      <c r="I7" s="1163">
        <f>(B7*X12)+(C7*X13)+(D7*X14)+(E7*X15)+(F7*X16)+(G7*X17)+(H7*X18)</f>
        <v>258.1633333333333</v>
      </c>
      <c r="J7" s="1089">
        <v>245.27</v>
      </c>
      <c r="L7" s="1070" t="s">
        <v>95</v>
      </c>
      <c r="M7" s="1207">
        <f>100-ABS((($J2-G2)/($J2)))*100</f>
        <v>98.250800689825084</v>
      </c>
      <c r="N7" s="1133">
        <f t="shared" si="0"/>
        <v>0.16611129623458848</v>
      </c>
      <c r="O7" s="1073">
        <f>100-ABS((($J3-G3)/($J3)))*100</f>
        <v>96.766902083571537</v>
      </c>
      <c r="P7" s="1074">
        <f t="shared" si="1"/>
        <v>0.16631269622685149</v>
      </c>
      <c r="Q7" s="1075">
        <f>100-ABS((($J4-G4)/($J4)))*100</f>
        <v>96.452052034942284</v>
      </c>
      <c r="R7" s="1074">
        <f t="shared" si="2"/>
        <v>0.1658183398121017</v>
      </c>
      <c r="S7" s="1081">
        <f>100-ABS((($J5-G5)/($J5)))*100</f>
        <v>79.870729455216988</v>
      </c>
      <c r="T7" s="1074">
        <f t="shared" si="3"/>
        <v>0.17465926299848564</v>
      </c>
      <c r="U7" s="1076">
        <f>100-ABS((($J6-G6)/($J6)))*100</f>
        <v>97.031382527565739</v>
      </c>
      <c r="V7" s="1077">
        <f t="shared" si="4"/>
        <v>0.16695903957688144</v>
      </c>
      <c r="W7" s="830">
        <f>100-ABS((($J7-G7)/($J7)))*100</f>
        <v>94.809801443307379</v>
      </c>
      <c r="X7" s="1079">
        <f t="shared" si="5"/>
        <v>0.16678381363590722</v>
      </c>
      <c r="Z7" s="1153">
        <f t="array" ref="Z7">SUM(O7:U7/4)</f>
        <v>92.656964100083485</v>
      </c>
      <c r="AA7" s="1154">
        <f t="array" ref="AA7">SUM(M7:W7/6)</f>
        <v>94.003588144879643</v>
      </c>
    </row>
    <row r="8" spans="1:29" ht="14.25" customHeight="1" x14ac:dyDescent="0.3">
      <c r="L8" s="1092" t="s">
        <v>96</v>
      </c>
      <c r="M8" s="1214">
        <f>100-ABS((($J2-H2)/($J2)))*100</f>
        <v>0</v>
      </c>
      <c r="N8" s="1138">
        <f t="shared" si="0"/>
        <v>0</v>
      </c>
      <c r="O8" s="1095">
        <f>100-ABS((($J3-H3)/($J3)))*100</f>
        <v>0</v>
      </c>
      <c r="P8" s="1096">
        <f t="shared" si="1"/>
        <v>0</v>
      </c>
      <c r="Q8" s="1097">
        <f>100-ABS((($J4-H4)/($J4)))*100</f>
        <v>0</v>
      </c>
      <c r="R8" s="1096">
        <f t="shared" si="2"/>
        <v>0</v>
      </c>
      <c r="S8" s="1097">
        <f>100-ABS((($J5-H5)/($J5)))*100</f>
        <v>0</v>
      </c>
      <c r="T8" s="1096">
        <f t="shared" si="3"/>
        <v>0</v>
      </c>
      <c r="U8" s="1098">
        <f>100-ABS((($J6-H6)/($J6)))*100</f>
        <v>0</v>
      </c>
      <c r="V8" s="1099">
        <f t="shared" si="4"/>
        <v>0</v>
      </c>
      <c r="W8" s="842">
        <f>100-ABS((($J7-H7)/($J7)))*100</f>
        <v>0</v>
      </c>
      <c r="X8" s="1100">
        <f t="shared" si="5"/>
        <v>0</v>
      </c>
      <c r="Z8" s="1153">
        <f t="array" ref="Z8">SUM(O8:U8/4)</f>
        <v>0</v>
      </c>
      <c r="AA8" s="1154">
        <f t="array" ref="AA8">SUM(M8:W8/6)</f>
        <v>0</v>
      </c>
    </row>
    <row r="9" spans="1:29" ht="14.25" customHeight="1" x14ac:dyDescent="0.3">
      <c r="M9" s="798"/>
      <c r="N9" s="798"/>
      <c r="O9" s="798"/>
      <c r="P9" s="798"/>
      <c r="Q9" s="798"/>
      <c r="R9" s="798"/>
      <c r="S9" s="798"/>
      <c r="T9" s="798"/>
      <c r="U9" s="798"/>
      <c r="V9" s="798"/>
      <c r="W9" s="798"/>
      <c r="AB9" s="1169" t="s">
        <v>54</v>
      </c>
      <c r="AC9" s="1169" t="s">
        <v>55</v>
      </c>
    </row>
    <row r="10" spans="1:29" ht="14.25" customHeight="1" x14ac:dyDescent="0.3">
      <c r="E10" s="931"/>
      <c r="M10" s="798"/>
      <c r="N10" s="798"/>
      <c r="O10" s="798"/>
      <c r="P10" s="798"/>
      <c r="Q10" s="798"/>
      <c r="R10" s="798"/>
      <c r="S10" s="798"/>
      <c r="T10" s="798"/>
      <c r="U10" s="798"/>
      <c r="V10" s="798"/>
      <c r="W10" s="798"/>
      <c r="Z10" s="661"/>
      <c r="AA10" s="661"/>
      <c r="AB10" s="798" t="s">
        <v>137</v>
      </c>
      <c r="AC10" s="798">
        <v>100</v>
      </c>
    </row>
    <row r="11" spans="1:29" ht="14.25" customHeight="1" x14ac:dyDescent="0.3">
      <c r="B11" s="893" t="s">
        <v>47</v>
      </c>
      <c r="C11" s="894"/>
      <c r="D11" s="895">
        <v>85220</v>
      </c>
      <c r="E11" s="896"/>
      <c r="F11" s="895" t="s">
        <v>48</v>
      </c>
      <c r="G11" s="897"/>
      <c r="L11" s="1101" t="str">
        <f>I1</f>
        <v>Comb</v>
      </c>
      <c r="M11" s="1270" t="s">
        <v>12</v>
      </c>
      <c r="N11" s="805">
        <f>SUM(M12:M18)</f>
        <v>447</v>
      </c>
      <c r="O11" s="1271" t="s">
        <v>13</v>
      </c>
      <c r="P11" s="1233">
        <f>SUM(O12:O18)</f>
        <v>332</v>
      </c>
      <c r="Q11" s="1233" t="s">
        <v>14</v>
      </c>
      <c r="R11" s="1233">
        <f>SUM(Q12:Q18)</f>
        <v>364</v>
      </c>
      <c r="S11" s="1233" t="s">
        <v>15</v>
      </c>
      <c r="T11" s="1233">
        <f>SUM(S12:S18)</f>
        <v>6</v>
      </c>
      <c r="U11" s="1234" t="s">
        <v>16</v>
      </c>
      <c r="V11" s="805">
        <f>SUM(U12:U18)</f>
        <v>332</v>
      </c>
      <c r="W11" s="1272" t="s">
        <v>17</v>
      </c>
      <c r="X11" s="798">
        <f>SUM(W12:W18)</f>
        <v>150</v>
      </c>
      <c r="Z11" s="661"/>
      <c r="AA11" s="661"/>
      <c r="AB11" s="798" t="s">
        <v>148</v>
      </c>
      <c r="AC11" s="798">
        <v>97</v>
      </c>
    </row>
    <row r="12" spans="1:29" ht="14.25" customHeight="1" x14ac:dyDescent="0.3">
      <c r="A12" s="1173" t="s">
        <v>12</v>
      </c>
      <c r="B12" s="1174">
        <v>4.12</v>
      </c>
      <c r="C12" s="1175" t="str">
        <f t="shared" ref="C12:C17" si="6">IF(ABS(J2-I2)&lt;ABS(B12-J2),$I$1,$B$11)</f>
        <v>Comb</v>
      </c>
      <c r="D12" s="1174">
        <v>4.12</v>
      </c>
      <c r="E12" s="1175" t="str">
        <f t="shared" ref="E12:E17" si="7">IF(ABS(J2-I2)&lt;ABS(J2-D12),$I$1,$D$11)</f>
        <v>Comb</v>
      </c>
      <c r="F12" s="1174">
        <v>4.12</v>
      </c>
      <c r="G12" s="1176" t="str">
        <f t="shared" ref="G12:G17" si="8">IF(ABS(I2-J2)&lt;ABS(J2-F12),$I$1,$F$11)</f>
        <v>Comb</v>
      </c>
      <c r="L12" s="1058" t="s">
        <v>129</v>
      </c>
      <c r="M12" s="1273">
        <f>IF(M2=0,0, LOOKUP(M2-0.000000000001,{0,93,95,96,97,98,99,99.5,99.99},{1,25,37,50,66,70,83,97,100}))</f>
        <v>70</v>
      </c>
      <c r="N12" s="1065">
        <f t="shared" ref="N12:N18" si="9">M12/$N$11</f>
        <v>0.15659955257270694</v>
      </c>
      <c r="O12" s="1274">
        <f>IF(O2=0,0, LOOKUP(O2-0.000000000001,{0,93,95,96,97,98,99,99.5,99.99},{1,25,37,50,66,70,83,97,100}))</f>
        <v>50</v>
      </c>
      <c r="P12" s="1236">
        <f t="shared" ref="P12:P18" si="10">O12/$P$11</f>
        <v>0.15060240963855423</v>
      </c>
      <c r="Q12" s="1275">
        <f>IF(Q2=0,0, LOOKUP(Q2-0.000000000001,{0,93,95,96,97,98,99,99.5,99.99},{1,25,37,50,66,70,83,97,100}))</f>
        <v>50</v>
      </c>
      <c r="R12" s="1236">
        <f t="shared" ref="R12:R18" si="11">Q12/$R$11</f>
        <v>0.13736263736263737</v>
      </c>
      <c r="S12" s="1275">
        <f>IF(S2=0,0, LOOKUP(S2-0.000000000001,{0,93,95,96,97,98,99,99.5,99.99},{1,25,37,50,66,70,83,97,100}))</f>
        <v>1</v>
      </c>
      <c r="T12" s="1236">
        <f t="shared" ref="T12:T18" si="12">S12/$T$11</f>
        <v>0.16666666666666666</v>
      </c>
      <c r="U12" s="1276">
        <f>IF(U2=0,0, LOOKUP(U2-0.000000000001,{0,93,95,96,97,98,99,99.5,99.99},{1,25,37,50,66,70,83,97,100}))</f>
        <v>50</v>
      </c>
      <c r="V12" s="1065">
        <f t="shared" ref="V12:V18" si="13">U12/$V$11</f>
        <v>0.15060240963855423</v>
      </c>
      <c r="W12" s="1277">
        <f>IF(W2=0,0, LOOKUP(W2-0.000000000001,{0,93,95,96,97,98,99,99.5,99.99},{1,25,37,50,66,70,83,97,100}))</f>
        <v>25</v>
      </c>
      <c r="X12" s="661">
        <f t="shared" ref="X12:X18" si="14">W12/$X$11</f>
        <v>0.16666666666666666</v>
      </c>
      <c r="Z12" s="661"/>
      <c r="AA12" s="661"/>
      <c r="AB12" s="1179" t="s">
        <v>139</v>
      </c>
      <c r="AC12" s="798">
        <v>83</v>
      </c>
    </row>
    <row r="13" spans="1:29" ht="14.25" customHeight="1" x14ac:dyDescent="0.3">
      <c r="A13" s="82" t="s">
        <v>13</v>
      </c>
      <c r="B13" s="1180">
        <v>46850</v>
      </c>
      <c r="C13" s="1181" t="str">
        <f t="shared" si="6"/>
        <v>RD</v>
      </c>
      <c r="D13" s="1180">
        <v>46880</v>
      </c>
      <c r="E13" s="1181" t="str">
        <f t="shared" si="7"/>
        <v>Comb</v>
      </c>
      <c r="F13" s="1180">
        <v>46867</v>
      </c>
      <c r="G13" s="1182" t="str">
        <f t="shared" si="8"/>
        <v>Comb</v>
      </c>
      <c r="L13" s="1111" t="s">
        <v>130</v>
      </c>
      <c r="M13" s="1278">
        <f>IF(M3=0,0, LOOKUP(M3-0.000000000001,{0,93,95,96,97,98,99,99.5,99.99},{1,25,37,50,66,70,83,97,100}))</f>
        <v>70</v>
      </c>
      <c r="N13" s="1077">
        <f t="shared" si="9"/>
        <v>0.15659955257270694</v>
      </c>
      <c r="O13" s="1279">
        <f>IF(O3=0,0, LOOKUP(O3-0.000000000001,{0,93,95,96,97,98,99,99.5,99.99},{1,25,37,50,66,70,83,97,100}))</f>
        <v>50</v>
      </c>
      <c r="P13" s="1239">
        <f t="shared" si="10"/>
        <v>0.15060240963855423</v>
      </c>
      <c r="Q13" s="1280">
        <f>IF(Q3=0,0, LOOKUP(Q3-0.000000000001,{0,93,95,96,97,98,99,99.5,99.99},{1,25,37,50,66,70,83,97,100}))</f>
        <v>66</v>
      </c>
      <c r="R13" s="1239">
        <f t="shared" si="11"/>
        <v>0.18131868131868131</v>
      </c>
      <c r="S13" s="1280">
        <f>IF(S3=0,0, LOOKUP(S3-0.000000000001,{0,93,95,96,97,98,99,99.5,99.99},{1,25,37,50,66,70,83,97,100}))</f>
        <v>1</v>
      </c>
      <c r="T13" s="1239">
        <f t="shared" si="12"/>
        <v>0.16666666666666666</v>
      </c>
      <c r="U13" s="1281">
        <f>IF(U3=0,0, LOOKUP(U3-0.000000000001,{0,93,95,96,97,98,99,99.5,99.99},{1,25,37,50,66,70,83,97,100}))</f>
        <v>50</v>
      </c>
      <c r="V13" s="1077">
        <f t="shared" si="13"/>
        <v>0.15060240963855423</v>
      </c>
      <c r="W13" s="1282">
        <f>IF(W3=0,0, LOOKUP(W3-0.000000000001,{0,93,95,96,97,98,99,99.5,99.99},{1,25,37,50,66,70,83,97,100}))</f>
        <v>25</v>
      </c>
      <c r="X13" s="661">
        <f t="shared" si="14"/>
        <v>0.16666666666666666</v>
      </c>
      <c r="Z13" s="661"/>
      <c r="AA13" s="661"/>
      <c r="AB13" s="1179" t="s">
        <v>140</v>
      </c>
      <c r="AC13" s="798">
        <v>70</v>
      </c>
    </row>
    <row r="14" spans="1:29" ht="14.25" customHeight="1" x14ac:dyDescent="0.3">
      <c r="A14" s="82" t="s">
        <v>14</v>
      </c>
      <c r="B14" s="1180">
        <v>6750</v>
      </c>
      <c r="C14" s="1181" t="str">
        <f t="shared" si="6"/>
        <v>RD</v>
      </c>
      <c r="D14" s="1180">
        <v>6742</v>
      </c>
      <c r="E14" s="1181">
        <f t="shared" si="7"/>
        <v>85220</v>
      </c>
      <c r="F14" s="1180">
        <v>6753</v>
      </c>
      <c r="G14" s="1182" t="str">
        <f t="shared" si="8"/>
        <v>Comb</v>
      </c>
      <c r="L14" s="1111" t="s">
        <v>131</v>
      </c>
      <c r="M14" s="1278">
        <f>IF(M4=0,0, LOOKUP(M4-0.000000000001,{0,93,95,96,97,98,99,99.5,99.99},{1,25,37,50,66,70,83,97,100}))</f>
        <v>70</v>
      </c>
      <c r="N14" s="1077">
        <f t="shared" si="9"/>
        <v>0.15659955257270694</v>
      </c>
      <c r="O14" s="1279">
        <f>IF(O4=0,0, LOOKUP(O4-0.000000000001,{0,93,95,96,97,98,99,99.5,99.99},{1,25,37,50,66,70,83,97,100}))</f>
        <v>66</v>
      </c>
      <c r="P14" s="1239">
        <f t="shared" si="10"/>
        <v>0.19879518072289157</v>
      </c>
      <c r="Q14" s="1280">
        <f>IF(Q4=0,0, LOOKUP(Q4-0.000000000001,{0,93,95,96,97,98,99,99.5,99.99},{1,25,37,50,66,70,83,97,100}))</f>
        <v>66</v>
      </c>
      <c r="R14" s="1239">
        <f t="shared" si="11"/>
        <v>0.18131868131868131</v>
      </c>
      <c r="S14" s="1280">
        <f>IF(S4=0,0, LOOKUP(S4-0.000000000001,{0,93,95,96,97,98,99,99.5,99.99},{1,25,37,50,66,70,83,97,100}))</f>
        <v>1</v>
      </c>
      <c r="T14" s="1239">
        <f t="shared" si="12"/>
        <v>0.16666666666666666</v>
      </c>
      <c r="U14" s="1281">
        <f>IF(U4=0,0, LOOKUP(U4-0.000000000001,{0,93,95,96,97,98,99,99.5,99.99},{1,25,37,50,66,70,83,97,100}))</f>
        <v>50</v>
      </c>
      <c r="V14" s="1077">
        <f t="shared" si="13"/>
        <v>0.15060240963855423</v>
      </c>
      <c r="W14" s="1282">
        <f>IF(W4=0,0, LOOKUP(W4-0.000000000001,{0,93,95,96,97,98,99,99.5,99.99},{1,25,37,50,66,70,83,97,100}))</f>
        <v>25</v>
      </c>
      <c r="X14" s="661">
        <f t="shared" si="14"/>
        <v>0.16666666666666666</v>
      </c>
      <c r="Z14" s="661"/>
      <c r="AA14" s="661"/>
      <c r="AB14" s="1179" t="s">
        <v>141</v>
      </c>
      <c r="AC14" s="798">
        <v>66</v>
      </c>
    </row>
    <row r="15" spans="1:29" ht="14.25" customHeight="1" x14ac:dyDescent="0.3">
      <c r="A15" s="82" t="s">
        <v>15</v>
      </c>
      <c r="B15" s="1180">
        <v>16.8</v>
      </c>
      <c r="C15" s="1181" t="str">
        <f t="shared" si="6"/>
        <v>RD</v>
      </c>
      <c r="D15" s="1180">
        <v>17.3</v>
      </c>
      <c r="E15" s="1181">
        <f t="shared" si="7"/>
        <v>85220</v>
      </c>
      <c r="F15" s="1180">
        <v>16.690000000000001</v>
      </c>
      <c r="G15" s="1182" t="str">
        <f t="shared" si="8"/>
        <v>MICH</v>
      </c>
      <c r="L15" s="1111" t="s">
        <v>34</v>
      </c>
      <c r="M15" s="1278">
        <f>IF(M5=0,0, LOOKUP(M5-0.000000000001,{0,93,95,96,97,98,99,99.5,99.99},{1,25,37,50,66,70,83,97,100}))</f>
        <v>70</v>
      </c>
      <c r="N15" s="1077">
        <f t="shared" si="9"/>
        <v>0.15659955257270694</v>
      </c>
      <c r="O15" s="1279">
        <f>IF(O5=0,0, LOOKUP(O5-0.000000000001,{0,93,95,96,97,98,99,99.5,99.99},{1,25,37,50,66,70,83,97,100}))</f>
        <v>50</v>
      </c>
      <c r="P15" s="1239">
        <f t="shared" si="10"/>
        <v>0.15060240963855423</v>
      </c>
      <c r="Q15" s="1280">
        <f>IF(Q5=0,0, LOOKUP(Q5-0.000000000001,{0,93,95,96,97,98,99,99.5,99.99},{1,25,37,50,66,70,83,97,100}))</f>
        <v>66</v>
      </c>
      <c r="R15" s="1239">
        <f t="shared" si="11"/>
        <v>0.18131868131868131</v>
      </c>
      <c r="S15" s="1280">
        <f>IF(S5=0,0, LOOKUP(S5-0.000000000001,{0,93,95,96,97,98,99,99.5,99.99},{1,25,37,50,66,70,83,97,100}))</f>
        <v>1</v>
      </c>
      <c r="T15" s="1239">
        <f t="shared" si="12"/>
        <v>0.16666666666666666</v>
      </c>
      <c r="U15" s="1281">
        <f>IF(U5=0,0, LOOKUP(U5-0.000000000001,{0,93,95,96,97,98,99,99.5,99.99},{1,25,37,50,66,70,83,97,100}))</f>
        <v>50</v>
      </c>
      <c r="V15" s="1077">
        <f t="shared" si="13"/>
        <v>0.15060240963855423</v>
      </c>
      <c r="W15" s="1282">
        <f>IF(W5=0,0, LOOKUP(W5-0.000000000001,{0,93,95,96,97,98,99,99.5,99.99},{1,25,37,50,66,70,83,97,100}))</f>
        <v>25</v>
      </c>
      <c r="X15" s="661">
        <f t="shared" si="14"/>
        <v>0.16666666666666666</v>
      </c>
      <c r="Z15" s="661"/>
      <c r="AA15" s="661"/>
      <c r="AB15" s="1179" t="s">
        <v>142</v>
      </c>
      <c r="AC15" s="798">
        <v>50</v>
      </c>
    </row>
    <row r="16" spans="1:29" ht="14.25" customHeight="1" x14ac:dyDescent="0.3">
      <c r="A16" s="82" t="s">
        <v>16</v>
      </c>
      <c r="B16" s="1180">
        <v>609.1</v>
      </c>
      <c r="C16" s="1181" t="str">
        <f t="shared" si="6"/>
        <v>Comb</v>
      </c>
      <c r="D16" s="1180">
        <v>608.1</v>
      </c>
      <c r="E16" s="1181" t="str">
        <f t="shared" si="7"/>
        <v>Comb</v>
      </c>
      <c r="F16" s="1180">
        <v>608.5</v>
      </c>
      <c r="G16" s="1182" t="str">
        <f t="shared" si="8"/>
        <v>Comb</v>
      </c>
      <c r="L16" s="1111">
        <v>4</v>
      </c>
      <c r="M16" s="1278">
        <f>IF(M6=0,0, LOOKUP(M6-0.000000000001,{0,93,95,96,97,98,99,99.5,99.99},{1,25,37,50,66,70,83,97,100}))</f>
        <v>97</v>
      </c>
      <c r="N16" s="1077">
        <f t="shared" si="9"/>
        <v>0.21700223713646533</v>
      </c>
      <c r="O16" s="1279">
        <f>IF(O6=0,0, LOOKUP(O6-0.000000000001,{0,93,95,96,97,98,99,99.5,99.99},{1,25,37,50,66,70,83,97,100}))</f>
        <v>66</v>
      </c>
      <c r="P16" s="1239">
        <f t="shared" si="10"/>
        <v>0.19879518072289157</v>
      </c>
      <c r="Q16" s="1280">
        <f>IF(Q6=0,0, LOOKUP(Q6-0.000000000001,{0,93,95,96,97,98,99,99.5,99.99},{1,25,37,50,66,70,83,97,100}))</f>
        <v>66</v>
      </c>
      <c r="R16" s="1239">
        <f t="shared" si="11"/>
        <v>0.18131868131868131</v>
      </c>
      <c r="S16" s="1280">
        <f>IF(S6=0,0, LOOKUP(S6-0.000000000001,{0,93,95,96,97,98,99,99.5,99.99},{1,25,37,50,66,70,83,97,100}))</f>
        <v>1</v>
      </c>
      <c r="T16" s="1239">
        <f t="shared" si="12"/>
        <v>0.16666666666666666</v>
      </c>
      <c r="U16" s="1281">
        <f>IF(U6=0,0, LOOKUP(U6-0.000000000001,{0,93,95,96,97,98,99,99.5,99.99},{1,25,37,50,66,70,83,97,100}))</f>
        <v>66</v>
      </c>
      <c r="V16" s="1077">
        <f t="shared" si="13"/>
        <v>0.19879518072289157</v>
      </c>
      <c r="W16" s="1282">
        <f>IF(W6=0,0, LOOKUP(W6-0.000000000001,{0,93,95,96,97,98,99,99.5,99.99},{1,25,37,50,66,70,83,97,100}))</f>
        <v>25</v>
      </c>
      <c r="X16" s="661">
        <f t="shared" si="14"/>
        <v>0.16666666666666666</v>
      </c>
      <c r="Z16" s="661"/>
      <c r="AA16" s="661"/>
      <c r="AB16" s="1179" t="s">
        <v>143</v>
      </c>
      <c r="AC16" s="798">
        <v>37</v>
      </c>
    </row>
    <row r="17" spans="1:29" ht="14.25" customHeight="1" x14ac:dyDescent="0.3">
      <c r="A17" s="745" t="s">
        <v>17</v>
      </c>
      <c r="B17" s="1185">
        <v>258.3</v>
      </c>
      <c r="C17" s="1186" t="str">
        <f t="shared" si="6"/>
        <v>Comb</v>
      </c>
      <c r="D17" s="1185">
        <v>257.8</v>
      </c>
      <c r="E17" s="1186">
        <f t="shared" si="7"/>
        <v>85220</v>
      </c>
      <c r="F17" s="1185">
        <v>257.8</v>
      </c>
      <c r="G17" s="1187" t="str">
        <f t="shared" si="8"/>
        <v>MICH</v>
      </c>
      <c r="L17" s="1111" t="s">
        <v>95</v>
      </c>
      <c r="M17" s="1278">
        <f>IF(M7=0,0, LOOKUP(M7-0.000000000001,{0,93,95,96,97,98,99,99.5,99.99},{1,25,37,50,66,70,83,97,100}))</f>
        <v>70</v>
      </c>
      <c r="N17" s="1077">
        <f t="shared" si="9"/>
        <v>0.15659955257270694</v>
      </c>
      <c r="O17" s="1279">
        <f>IF(O7=0,0, LOOKUP(O7-0.000000000001,{0,93,95,96,97,98,99,99.5,99.99},{1,25,37,50,66,70,83,97,100}))</f>
        <v>50</v>
      </c>
      <c r="P17" s="1239">
        <f t="shared" si="10"/>
        <v>0.15060240963855423</v>
      </c>
      <c r="Q17" s="1280">
        <f>IF(Q7=0,0, LOOKUP(Q7-0.000000000001,{0,93,95,96,97,98,99,99.5,99.99},{1,25,37,50,66,70,83,97,100}))</f>
        <v>50</v>
      </c>
      <c r="R17" s="1239">
        <f t="shared" si="11"/>
        <v>0.13736263736263737</v>
      </c>
      <c r="S17" s="1280">
        <f>IF(S7=0,0, LOOKUP(S7-0.000000000001,{0,93,95,96,97,98,99,99.5,99.99},{1,25,37,50,66,70,83,97,100}))</f>
        <v>1</v>
      </c>
      <c r="T17" s="1239">
        <f t="shared" si="12"/>
        <v>0.16666666666666666</v>
      </c>
      <c r="U17" s="1281">
        <f>IF(U7=0,0, LOOKUP(U7-0.000000000001,{0,93,95,96,97,98,99,99.5,99.99},{1,25,37,50,66,70,83,97,100}))</f>
        <v>66</v>
      </c>
      <c r="V17" s="1077">
        <f t="shared" si="13"/>
        <v>0.19879518072289157</v>
      </c>
      <c r="W17" s="1282">
        <f>IF(W7=0,0, LOOKUP(W7-0.000000000001,{0,93,95,96,97,98,99,99.5,99.99},{1,25,37,50,66,70,83,97,100}))</f>
        <v>25</v>
      </c>
      <c r="X17" s="661">
        <f t="shared" si="14"/>
        <v>0.16666666666666666</v>
      </c>
      <c r="Z17" s="661"/>
      <c r="AA17" s="661"/>
      <c r="AB17" s="1179" t="s">
        <v>144</v>
      </c>
      <c r="AC17" s="798">
        <v>25</v>
      </c>
    </row>
    <row r="18" spans="1:29" ht="14.25" customHeight="1" x14ac:dyDescent="0.3">
      <c r="L18" s="1119" t="s">
        <v>96</v>
      </c>
      <c r="M18" s="1283">
        <f>IF(M8=0,0, LOOKUP(M8-0.000000000001,{0,93,95,96,97,98,99,99.5,99.99},{1,25,37,50,66,70,83,97,100}))</f>
        <v>0</v>
      </c>
      <c r="N18" s="1099">
        <f t="shared" si="9"/>
        <v>0</v>
      </c>
      <c r="O18" s="1284">
        <f>IF(O8=0,0, LOOKUP(O8-0.000000000001,{0,93,95,96,97,98,99,99.5,99.99},{1,25,37,50,66,70,83,97,100}))</f>
        <v>0</v>
      </c>
      <c r="P18" s="1242">
        <f t="shared" si="10"/>
        <v>0</v>
      </c>
      <c r="Q18" s="1285">
        <f>IF(Q8=0,0, LOOKUP(Q8-0.000000000001,{0,93,95,96,97,98,99,99.5,99.99},{1,25,37,50,66,70,83,97,100}))</f>
        <v>0</v>
      </c>
      <c r="R18" s="1242">
        <f t="shared" si="11"/>
        <v>0</v>
      </c>
      <c r="S18" s="1285">
        <f>IF(S8=0,0, LOOKUP(S8-0.000000000001,{0,93,95,96,97,98,99,99.5,99.99},{1,25,37,50,66,70,83,97,100}))</f>
        <v>0</v>
      </c>
      <c r="T18" s="1242">
        <f t="shared" si="12"/>
        <v>0</v>
      </c>
      <c r="U18" s="1286">
        <f>IF(U8=0,0, LOOKUP(U8-0.000000000001,{0,93,95,96,97,98,99,99.5,99.99},{1,25,37,50,66,70,83,97,100}))</f>
        <v>0</v>
      </c>
      <c r="V18" s="1099">
        <f t="shared" si="13"/>
        <v>0</v>
      </c>
      <c r="W18" s="1287">
        <f>IF(W8=0,0, LOOKUP(W8-0.000000000001,{0,93,95,96,97,98,99,99.5,99.99},{1,25,37,50,66,70,83,97,100}))</f>
        <v>0</v>
      </c>
      <c r="X18" s="661">
        <f t="shared" si="14"/>
        <v>0</v>
      </c>
      <c r="Z18" s="661"/>
      <c r="AA18" s="661"/>
      <c r="AB18" s="1179" t="s">
        <v>145</v>
      </c>
      <c r="AC18" s="798">
        <v>1</v>
      </c>
    </row>
    <row r="19" spans="1:29" ht="14.25" customHeight="1" x14ac:dyDescent="0.3">
      <c r="L19" s="6"/>
      <c r="M19" s="798"/>
      <c r="N19" s="798"/>
      <c r="O19" s="798"/>
      <c r="P19" s="798"/>
      <c r="Q19" s="798"/>
      <c r="R19" s="798"/>
      <c r="S19" s="798"/>
      <c r="T19" s="798"/>
      <c r="U19" s="798"/>
      <c r="V19" s="798"/>
      <c r="W19" s="798"/>
      <c r="Z19" s="661"/>
      <c r="AA19" s="661"/>
      <c r="AB19" s="1190">
        <v>0</v>
      </c>
      <c r="AC19" s="798">
        <v>0</v>
      </c>
    </row>
    <row r="20" spans="1:29" ht="14.25" customHeight="1" x14ac:dyDescent="0.3">
      <c r="A20" s="1244" t="s">
        <v>12</v>
      </c>
      <c r="B20" s="1245">
        <v>4</v>
      </c>
      <c r="C20" s="1246">
        <v>99.73</v>
      </c>
      <c r="M20" s="1247" t="s">
        <v>12</v>
      </c>
      <c r="N20" s="805">
        <f>SUM(M21:M27)</f>
        <v>394.14023467059968</v>
      </c>
      <c r="O20" s="1103" t="s">
        <v>13</v>
      </c>
      <c r="P20" s="1052">
        <f>SUM(O21:O27)</f>
        <v>387.84126382309154</v>
      </c>
      <c r="Q20" s="1052" t="s">
        <v>14</v>
      </c>
      <c r="R20" s="1052">
        <f>SUM(Q21:Q27)</f>
        <v>388.00030160361763</v>
      </c>
      <c r="S20" s="1052" t="s">
        <v>15</v>
      </c>
      <c r="T20" s="1052">
        <f>SUM(S21:S27)</f>
        <v>310.70329332102187</v>
      </c>
      <c r="U20" s="1054" t="s">
        <v>16</v>
      </c>
      <c r="V20" s="805">
        <f>SUM(U21:U27)</f>
        <v>387.18287909909361</v>
      </c>
      <c r="W20" s="1248" t="s">
        <v>17</v>
      </c>
      <c r="Z20" s="1196" t="str">
        <f>Z1</f>
        <v>AVR-4</v>
      </c>
      <c r="AA20" s="1147" t="str">
        <f>AA1</f>
        <v>AVR-6</v>
      </c>
    </row>
    <row r="21" spans="1:29" ht="14.25" customHeight="1" x14ac:dyDescent="0.3">
      <c r="A21" s="953" t="s">
        <v>13</v>
      </c>
      <c r="B21" s="954" t="s">
        <v>131</v>
      </c>
      <c r="C21" s="1197">
        <v>97.14</v>
      </c>
      <c r="L21" s="1198" t="str">
        <f>I1</f>
        <v>Comb</v>
      </c>
      <c r="M21" s="1249">
        <f>100-ABS((($J2-I2)/($J2)))*100</f>
        <v>98.648734301050553</v>
      </c>
      <c r="N21" s="1250"/>
      <c r="O21" s="1288">
        <f>100-ABS((($J3-I3)/($J3)))*100</f>
        <v>96.984264201283082</v>
      </c>
      <c r="P21" s="1201"/>
      <c r="Q21" s="1201">
        <f>100-ABS((($J4-I4)/($J4)))*100</f>
        <v>96.965402053520833</v>
      </c>
      <c r="R21" s="1201"/>
      <c r="S21" s="1201">
        <f>100-ABS((($J5-I5)/($J5)))*100</f>
        <v>76.215758694983066</v>
      </c>
      <c r="T21" s="1201"/>
      <c r="U21" s="1202">
        <f>100-ABS((($J6-I6)/($J6)))*100</f>
        <v>96.886017351850157</v>
      </c>
      <c r="V21" s="1254"/>
      <c r="W21" s="817">
        <f>100-ABS((($J7-I7)/($J7)))*100</f>
        <v>94.743208165151344</v>
      </c>
      <c r="Z21" s="1164">
        <f t="array" ref="Z21">SUM(O21:U21/4)</f>
        <v>91.762860575409277</v>
      </c>
      <c r="AA21" s="1165">
        <f t="array" ref="AA21">SUM(M21:W21/6)</f>
        <v>93.407230794639844</v>
      </c>
    </row>
    <row r="22" spans="1:29" ht="14.25" customHeight="1" x14ac:dyDescent="0.3">
      <c r="A22" s="961" t="s">
        <v>14</v>
      </c>
      <c r="B22" s="962" t="s">
        <v>154</v>
      </c>
      <c r="C22" s="1205">
        <v>97.06</v>
      </c>
      <c r="L22" s="1206" t="str">
        <f>B11</f>
        <v>RD</v>
      </c>
      <c r="M22" s="1071">
        <f>100-ABS((($J2-B12)/($J2)))*100</f>
        <v>98.497166789849715</v>
      </c>
      <c r="N22" s="1255"/>
      <c r="O22" s="1289">
        <f>100-ABS((($J3-B13)/($J3)))*100</f>
        <v>96.986780886375428</v>
      </c>
      <c r="P22" s="1208"/>
      <c r="Q22" s="1208">
        <f>100-ABS((($J4-B14)/($J4)))*100</f>
        <v>96.986197676619085</v>
      </c>
      <c r="R22" s="1208"/>
      <c r="S22" s="1208">
        <f>100-ABS((($J5-B15)/($J5)))*100</f>
        <v>77.5623268698061</v>
      </c>
      <c r="T22" s="1208"/>
      <c r="U22" s="1209">
        <f>100-ABS((($J6-B16)/($J6)))*100</f>
        <v>96.67514843087362</v>
      </c>
      <c r="V22" s="1258"/>
      <c r="W22" s="830">
        <f>100-ABS((($J7-B17)/($J7)))*100</f>
        <v>94.687487258939129</v>
      </c>
      <c r="Z22" s="1164">
        <f t="array" ref="Z22">SUM(O22:U22/4)</f>
        <v>92.052613465918554</v>
      </c>
      <c r="AA22" s="1165">
        <f t="array" ref="AA22">SUM(M22:W22/6)</f>
        <v>93.565851318743853</v>
      </c>
    </row>
    <row r="23" spans="1:29" ht="14.25" customHeight="1" x14ac:dyDescent="0.3">
      <c r="A23" s="961" t="s">
        <v>15</v>
      </c>
      <c r="B23" s="962" t="s">
        <v>95</v>
      </c>
      <c r="C23" s="1205">
        <v>79.87</v>
      </c>
      <c r="L23" s="1206">
        <f>D11</f>
        <v>85220</v>
      </c>
      <c r="M23" s="1071">
        <f>100-ABS((($J2-D12)/($J2)))*100</f>
        <v>98.497166789849715</v>
      </c>
      <c r="N23" s="1255"/>
      <c r="O23" s="1289">
        <f>100-ABS((($J3-D13)/($J3)))*100</f>
        <v>96.920817245534252</v>
      </c>
      <c r="P23" s="1208"/>
      <c r="Q23" s="1208">
        <f>100-ABS((($J4-D14)/($J4)))*100</f>
        <v>97.108288109002345</v>
      </c>
      <c r="R23" s="1208"/>
      <c r="S23" s="1208">
        <f>100-ABS((($J5-D15)/($J5)))*100</f>
        <v>79.870729455216988</v>
      </c>
      <c r="T23" s="1208"/>
      <c r="U23" s="1209">
        <f>100-ABS((($J6-D16)/($J6)))*100</f>
        <v>96.844783715012724</v>
      </c>
      <c r="V23" s="1258"/>
      <c r="W23" s="830">
        <f>100-ABS((($J7-D17)/($J7)))*100</f>
        <v>94.891344232886212</v>
      </c>
      <c r="Z23" s="1164">
        <f t="array" ref="Z23">SUM(O23:U23/4)</f>
        <v>92.686154631191584</v>
      </c>
      <c r="AA23" s="1165">
        <f t="array" ref="AA23">SUM(M23:W23/6)</f>
        <v>94.022188257917037</v>
      </c>
    </row>
    <row r="24" spans="1:29" ht="14.25" customHeight="1" x14ac:dyDescent="0.3">
      <c r="A24" s="973" t="s">
        <v>16</v>
      </c>
      <c r="B24" s="974">
        <v>4</v>
      </c>
      <c r="C24" s="1212">
        <v>97.2</v>
      </c>
      <c r="L24" s="1213" t="str">
        <f>F11</f>
        <v>MICH</v>
      </c>
      <c r="M24" s="1093">
        <f>100-ABS((($J2-F12)/($J2)))*100</f>
        <v>98.497166789849715</v>
      </c>
      <c r="N24" s="1259"/>
      <c r="O24" s="1290">
        <f>100-ABS((($J3-F13)/($J3)))*100</f>
        <v>96.949401489898761</v>
      </c>
      <c r="P24" s="1215"/>
      <c r="Q24" s="1215">
        <f>100-ABS((($J4-F14)/($J4)))*100</f>
        <v>96.940413764475352</v>
      </c>
      <c r="R24" s="1215"/>
      <c r="S24" s="1215">
        <f>100-ABS((($J5-F15)/($J5)))*100</f>
        <v>77.054478301015706</v>
      </c>
      <c r="T24" s="1215"/>
      <c r="U24" s="1216">
        <f>100-ABS((($J6-F16)/($J6)))*100</f>
        <v>96.776929601357082</v>
      </c>
      <c r="V24" s="1263"/>
      <c r="W24" s="842">
        <f>100-ABS((($J7-F17)/($J7)))*100</f>
        <v>94.891344232886212</v>
      </c>
      <c r="Z24" s="1164">
        <f t="array" ref="Z24">SUM(O24:U24/4)</f>
        <v>91.930305789186733</v>
      </c>
      <c r="AA24" s="1165">
        <f t="array" ref="AA24">SUM(M24:W24/6)</f>
        <v>93.518289029913802</v>
      </c>
    </row>
    <row r="25" spans="1:29" ht="14.25" customHeight="1" x14ac:dyDescent="0.3">
      <c r="A25" s="1264" t="s">
        <v>17</v>
      </c>
      <c r="B25" s="1265" t="s">
        <v>131</v>
      </c>
      <c r="C25" s="1266">
        <v>94.93</v>
      </c>
    </row>
    <row r="26" spans="1:29" ht="14.25" customHeight="1" x14ac:dyDescent="0.3">
      <c r="A26" s="1333" t="s">
        <v>149</v>
      </c>
      <c r="B26" s="1333"/>
      <c r="C26" s="1222">
        <f>AVERAGE(C21:C24)</f>
        <v>92.817499999999995</v>
      </c>
    </row>
    <row r="27" spans="1:29" ht="14.25" customHeight="1" x14ac:dyDescent="0.3">
      <c r="A27" s="1334" t="s">
        <v>51</v>
      </c>
      <c r="B27" s="1334"/>
      <c r="C27" s="1267">
        <f>AVERAGE(C20:C25)</f>
        <v>94.321666666666673</v>
      </c>
    </row>
  </sheetData>
  <mergeCells count="2">
    <mergeCell ref="A26:B26"/>
    <mergeCell ref="A27:B27"/>
  </mergeCells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27"/>
  <sheetViews>
    <sheetView zoomScale="140" zoomScaleNormal="140" workbookViewId="0"/>
  </sheetViews>
  <sheetFormatPr defaultColWidth="8.77734375" defaultRowHeight="14.25" customHeight="1" x14ac:dyDescent="0.3"/>
  <cols>
    <col min="1" max="1" width="8.77734375" style="661"/>
    <col min="2" max="7" width="8.88671875" style="661" customWidth="1"/>
    <col min="8" max="8" width="5.77734375" style="661" customWidth="1"/>
    <col min="9" max="9" width="8.88671875" style="661" customWidth="1"/>
    <col min="10" max="10" width="9" style="661" customWidth="1"/>
    <col min="11" max="11" width="3.88671875" style="661" customWidth="1"/>
    <col min="12" max="12" width="9" style="661" customWidth="1"/>
    <col min="13" max="13" width="5.77734375" style="661" customWidth="1"/>
    <col min="14" max="14" width="6.5546875" style="661" hidden="1" customWidth="1"/>
    <col min="15" max="15" width="5.77734375" style="661" customWidth="1"/>
    <col min="16" max="16" width="6.5546875" style="661" hidden="1" customWidth="1"/>
    <col min="17" max="17" width="5.77734375" style="661" customWidth="1"/>
    <col min="18" max="18" width="6.5546875" style="661" hidden="1" customWidth="1"/>
    <col min="19" max="19" width="5.77734375" style="661" customWidth="1"/>
    <col min="20" max="20" width="6.5546875" style="661" hidden="1" customWidth="1"/>
    <col min="21" max="21" width="5.77734375" style="661" customWidth="1"/>
    <col min="22" max="22" width="7.109375" style="661" hidden="1" customWidth="1"/>
    <col min="23" max="23" width="5.77734375" style="661" customWidth="1"/>
    <col min="24" max="24" width="6.5546875" style="661" hidden="1" customWidth="1"/>
    <col min="25" max="25" width="7.33203125" style="661" customWidth="1"/>
    <col min="26" max="27" width="8.88671875" style="798" customWidth="1"/>
    <col min="28" max="16384" width="8.77734375" style="661"/>
  </cols>
  <sheetData>
    <row r="1" spans="1:29" ht="14.25" customHeight="1" x14ac:dyDescent="0.3">
      <c r="A1" s="2" t="s">
        <v>0</v>
      </c>
      <c r="B1" s="888" t="s">
        <v>129</v>
      </c>
      <c r="C1" s="889" t="s">
        <v>130</v>
      </c>
      <c r="D1" s="889" t="s">
        <v>131</v>
      </c>
      <c r="E1" s="889" t="s">
        <v>34</v>
      </c>
      <c r="F1" s="889">
        <v>4</v>
      </c>
      <c r="G1" s="889" t="s">
        <v>95</v>
      </c>
      <c r="H1" s="1048" t="s">
        <v>96</v>
      </c>
      <c r="I1" s="1141" t="s">
        <v>133</v>
      </c>
      <c r="J1" s="892" t="s">
        <v>134</v>
      </c>
      <c r="L1" s="1142" t="s">
        <v>147</v>
      </c>
      <c r="M1" s="1224" t="s">
        <v>12</v>
      </c>
      <c r="N1" s="805">
        <f>SUM(M2:M8)</f>
        <v>596.74836204804672</v>
      </c>
      <c r="O1" s="1051" t="s">
        <v>13</v>
      </c>
      <c r="P1" s="1052">
        <f>SUM(O2:O8)</f>
        <v>597.06216738511341</v>
      </c>
      <c r="Q1" s="1053" t="s">
        <v>14</v>
      </c>
      <c r="R1" s="1052">
        <f>SUM(Q2:Q8)</f>
        <v>598.57529579587185</v>
      </c>
      <c r="S1" s="1052" t="s">
        <v>15</v>
      </c>
      <c r="T1" s="1052">
        <f>SUM(S2:S8)</f>
        <v>574.65465465465468</v>
      </c>
      <c r="U1" s="1054" t="s">
        <v>16</v>
      </c>
      <c r="V1" s="805">
        <f>SUM(U2:U8)</f>
        <v>599.10142909247656</v>
      </c>
      <c r="W1" s="1055" t="s">
        <v>17</v>
      </c>
      <c r="X1" s="807">
        <f>SUM(W2:W8)</f>
        <v>595.58173784977919</v>
      </c>
      <c r="Z1" s="818" t="s">
        <v>18</v>
      </c>
      <c r="AA1" s="1147" t="s">
        <v>19</v>
      </c>
    </row>
    <row r="2" spans="1:29" ht="14.25" customHeight="1" x14ac:dyDescent="0.3">
      <c r="A2" s="743" t="s">
        <v>12</v>
      </c>
      <c r="B2" s="898">
        <v>4.1500000000000004</v>
      </c>
      <c r="C2" s="899">
        <v>4.1399999999999997</v>
      </c>
      <c r="D2" s="899">
        <v>4.1399999999999997</v>
      </c>
      <c r="E2" s="899">
        <v>4.1399999999999997</v>
      </c>
      <c r="F2" s="899">
        <v>4.1399999999999997</v>
      </c>
      <c r="G2" s="899">
        <v>4.1500000000000004</v>
      </c>
      <c r="H2" s="1056">
        <v>0</v>
      </c>
      <c r="I2" s="1148">
        <f>(B2*AVR!C227)+(C2*AVR!C228)+(D2*AVR!C229)+(E2*AVR!C230)+(F2*AVR!C231)+(G2*AVR!C232)+(H2*AVR!C233)</f>
        <v>4.1429963898916959</v>
      </c>
      <c r="J2" s="1057">
        <v>4.1210000000000004</v>
      </c>
      <c r="L2" s="1058" t="s">
        <v>129</v>
      </c>
      <c r="M2" s="1059">
        <f>100-ABS((($J2-B2)/($J2)))*100</f>
        <v>99.296287308905605</v>
      </c>
      <c r="N2" s="1291">
        <f t="shared" ref="N2:N8" si="0">M2/$N$1</f>
        <v>0.16639557579700712</v>
      </c>
      <c r="O2" s="1292">
        <f>100-ABS((($J3-B3)/($J3)))*100</f>
        <v>99.78981262783833</v>
      </c>
      <c r="P2" s="1062">
        <f t="shared" ref="P2:P8" si="1">O2/$P$1</f>
        <v>0.16713471072011921</v>
      </c>
      <c r="Q2" s="1150">
        <f>100-ABS((($J4-B4)/($J4)))*100</f>
        <v>99.794811622775015</v>
      </c>
      <c r="R2" s="1062">
        <f t="shared" ref="R2:R8" si="2">Q2/$R$1</f>
        <v>0.16672056518818876</v>
      </c>
      <c r="S2" s="1063">
        <f>100-ABS((($J5-B5)/($J5)))*100</f>
        <v>95.795795795795797</v>
      </c>
      <c r="T2" s="1062">
        <f t="shared" ref="T2:T8" si="3">S2/$T$1</f>
        <v>0.1667015050167224</v>
      </c>
      <c r="U2" s="1293">
        <f>100-ABS((($J6-B6)/($J6)))*100</f>
        <v>99.81100169103749</v>
      </c>
      <c r="V2" s="1065">
        <f t="shared" ref="V2:V8" si="4">U2/$V$1</f>
        <v>0.16660117443256972</v>
      </c>
      <c r="W2" s="1066">
        <f>100-ABS((($J7-B7)/($J7)))*100</f>
        <v>99.418649717076192</v>
      </c>
      <c r="X2" s="1067">
        <f t="shared" ref="X2:X8" si="5">W2/$X$1</f>
        <v>0.16692696132021445</v>
      </c>
      <c r="Z2" s="1164">
        <f t="array" ref="Z2">SUM(O2:U2/4)</f>
        <v>98.922994629592921</v>
      </c>
      <c r="AA2" s="1165">
        <f t="array" ref="AA2">SUM(M2:W2/6)</f>
        <v>99.123318715763844</v>
      </c>
    </row>
    <row r="3" spans="1:29" ht="14.25" customHeight="1" x14ac:dyDescent="0.3">
      <c r="A3" s="82" t="s">
        <v>13</v>
      </c>
      <c r="B3" s="916">
        <v>46660</v>
      </c>
      <c r="C3" s="917">
        <v>46500</v>
      </c>
      <c r="D3" s="917">
        <v>46521</v>
      </c>
      <c r="E3" s="917">
        <v>46520</v>
      </c>
      <c r="F3" s="917">
        <v>46485</v>
      </c>
      <c r="G3" s="917">
        <v>46490</v>
      </c>
      <c r="H3" s="1068">
        <v>0</v>
      </c>
      <c r="I3" s="1155">
        <f>(B3*AVR!E227)+(C3*AVR!E228)+(D3*AVR!E229)+(E3*AVR!E230)+(F3*AVR!E231)+(G3*AVR!E232)+(H3*AVR!E233)</f>
        <v>46532.90625</v>
      </c>
      <c r="J3" s="1069">
        <v>46758.28</v>
      </c>
      <c r="L3" s="1070" t="s">
        <v>130</v>
      </c>
      <c r="M3" s="1080">
        <f>100-ABS((($J2-C2)/($J2)))*100</f>
        <v>99.538946857558869</v>
      </c>
      <c r="N3" s="1294">
        <f t="shared" si="0"/>
        <v>0.16680221210149643</v>
      </c>
      <c r="O3" s="1073">
        <f>100-ABS((($J3-C3)/($J3)))*100</f>
        <v>99.447627243773724</v>
      </c>
      <c r="P3" s="1074">
        <f t="shared" si="1"/>
        <v>0.16656159555262628</v>
      </c>
      <c r="Q3" s="1162">
        <f>100-ABS((($J4-C4)/($J4)))*100</f>
        <v>99.616127985133531</v>
      </c>
      <c r="R3" s="1074">
        <f t="shared" si="2"/>
        <v>0.16642205029975871</v>
      </c>
      <c r="S3" s="1081">
        <f>100-ABS((($J5-C5)/($J5)))*100</f>
        <v>96.096096096096105</v>
      </c>
      <c r="T3" s="1074">
        <f t="shared" si="3"/>
        <v>0.16722408026755853</v>
      </c>
      <c r="U3" s="1230">
        <f>100-ABS((($J6-C6)/($J6)))*100</f>
        <v>99.804370171424793</v>
      </c>
      <c r="V3" s="1077">
        <f t="shared" si="4"/>
        <v>0.16659010532258156</v>
      </c>
      <c r="W3" s="830">
        <f>100-ABS((($J7-C7)/($J7)))*100</f>
        <v>99.217114952329283</v>
      </c>
      <c r="X3" s="1079">
        <f t="shared" si="5"/>
        <v>0.16658857827060231</v>
      </c>
      <c r="Z3" s="1153">
        <f t="array" ref="Z3">SUM(O3:U3/4)</f>
        <v>98.866107305637016</v>
      </c>
      <c r="AA3" s="1154">
        <f t="array" ref="AA3">SUM(M3:W3/6)</f>
        <v>99.092313891643371</v>
      </c>
    </row>
    <row r="4" spans="1:29" ht="14.25" customHeight="1" x14ac:dyDescent="0.3">
      <c r="A4" s="82" t="s">
        <v>14</v>
      </c>
      <c r="B4" s="916">
        <v>6702</v>
      </c>
      <c r="C4" s="917">
        <v>6690</v>
      </c>
      <c r="D4" s="917">
        <v>6702</v>
      </c>
      <c r="E4" s="917">
        <v>6701</v>
      </c>
      <c r="F4" s="917">
        <v>6702</v>
      </c>
      <c r="G4" s="917">
        <v>6702</v>
      </c>
      <c r="H4" s="1068">
        <v>0</v>
      </c>
      <c r="I4" s="1155">
        <f>(B4*AVR!G227)+(C4*AVR!G228)+(D4*AVR!G229)+(E4*AVR!G230)+(F4*AVR!G231)+(G4*AVR!G232)+(H4*AVR!G233)</f>
        <v>6699.8333333333467</v>
      </c>
      <c r="J4" s="1069">
        <v>6715.78</v>
      </c>
      <c r="L4" s="1070" t="s">
        <v>131</v>
      </c>
      <c r="M4" s="1080">
        <f>100-ABS((($J2-D2)/($J2)))*100</f>
        <v>99.538946857558869</v>
      </c>
      <c r="N4" s="1294">
        <f t="shared" si="0"/>
        <v>0.16680221210149643</v>
      </c>
      <c r="O4" s="1073">
        <f>100-ABS((($J3-D3)/($J3)))*100</f>
        <v>99.492539075432205</v>
      </c>
      <c r="P4" s="1074">
        <f t="shared" si="1"/>
        <v>0.16663681691835974</v>
      </c>
      <c r="Q4" s="1081">
        <f>100-ABS((($J4-D4)/($J4)))*100</f>
        <v>99.794811622775015</v>
      </c>
      <c r="R4" s="1074">
        <f t="shared" si="2"/>
        <v>0.16672056518818876</v>
      </c>
      <c r="S4" s="1075">
        <f>100-ABS((($J5-D5)/($J5)))*100</f>
        <v>95.675675675675677</v>
      </c>
      <c r="T4" s="1074">
        <f t="shared" si="3"/>
        <v>0.16649247491638797</v>
      </c>
      <c r="U4" s="1230">
        <f>100-ABS((($J6-D6)/($J6)))*100</f>
        <v>99.857422328326535</v>
      </c>
      <c r="V4" s="1077">
        <f t="shared" si="4"/>
        <v>0.16667865820248723</v>
      </c>
      <c r="W4" s="830">
        <f>100-ABS((($J7-D7)/($J7)))*100</f>
        <v>99.286876986280149</v>
      </c>
      <c r="X4" s="1079">
        <f t="shared" si="5"/>
        <v>0.16670571086469885</v>
      </c>
      <c r="Z4" s="1153">
        <f t="array" ref="Z4">SUM(O4:U4/4)</f>
        <v>98.830074639808089</v>
      </c>
      <c r="AA4" s="1154">
        <f t="array" ref="AA4">SUM(M4:W4/6)</f>
        <v>99.079933878895901</v>
      </c>
    </row>
    <row r="5" spans="1:29" ht="14.25" customHeight="1" x14ac:dyDescent="0.3">
      <c r="A5" s="82" t="s">
        <v>15</v>
      </c>
      <c r="B5" s="916">
        <v>15.95</v>
      </c>
      <c r="C5" s="917">
        <v>16</v>
      </c>
      <c r="D5" s="917">
        <v>15.93</v>
      </c>
      <c r="E5" s="917">
        <v>15.93</v>
      </c>
      <c r="F5" s="917">
        <v>15.97</v>
      </c>
      <c r="G5" s="917">
        <v>15.9</v>
      </c>
      <c r="H5" s="1068">
        <v>0</v>
      </c>
      <c r="I5" s="1159">
        <f>(B5*AVR!I227)+(C5*AVR!I228)+(D5*AVR!I229)+(E5*AVR!I230)+(F5*AVR!I231)+(G5*AVR!I232)+(H5*AVR!I233)</f>
        <v>15.949617021276577</v>
      </c>
      <c r="J5" s="1069">
        <v>16.649999999999999</v>
      </c>
      <c r="L5" s="1070" t="s">
        <v>34</v>
      </c>
      <c r="M5" s="1080">
        <f>100-ABS((($J2-E2)/($J2)))*100</f>
        <v>99.538946857558869</v>
      </c>
      <c r="N5" s="1294">
        <f t="shared" si="0"/>
        <v>0.16680221210149643</v>
      </c>
      <c r="O5" s="1073">
        <f>100-ABS((($J3-E3)/($J3)))*100</f>
        <v>99.490400416781796</v>
      </c>
      <c r="P5" s="1074">
        <f t="shared" si="1"/>
        <v>0.16663323494856291</v>
      </c>
      <c r="Q5" s="1162">
        <f>100-ABS((($J4-E4)/($J4)))*100</f>
        <v>99.779921319638234</v>
      </c>
      <c r="R5" s="1074">
        <f t="shared" si="2"/>
        <v>0.16669568894748626</v>
      </c>
      <c r="S5" s="1075">
        <f>100-ABS((($J5-E5)/($J5)))*100</f>
        <v>95.675675675675677</v>
      </c>
      <c r="T5" s="1074">
        <f t="shared" si="3"/>
        <v>0.16649247491638797</v>
      </c>
      <c r="U5" s="1230">
        <f>100-ABS((($J6-E6)/($J6)))*100</f>
        <v>99.829238369972487</v>
      </c>
      <c r="V5" s="1077">
        <f t="shared" si="4"/>
        <v>0.16663161448503733</v>
      </c>
      <c r="W5" s="830">
        <f>100-ABS((($J7-E7)/($J7)))*100</f>
        <v>99.286876986280149</v>
      </c>
      <c r="X5" s="1079">
        <f t="shared" si="5"/>
        <v>0.16670571086469885</v>
      </c>
      <c r="Z5" s="1153">
        <f t="array" ref="Z5">SUM(O5:U5/4)</f>
        <v>98.818764295220149</v>
      </c>
      <c r="AA5" s="1154">
        <f t="array" ref="AA5">SUM(M5:W5/6)</f>
        <v>99.072385808551047</v>
      </c>
    </row>
    <row r="6" spans="1:29" ht="14.25" customHeight="1" x14ac:dyDescent="0.3">
      <c r="A6" s="82" t="s">
        <v>16</v>
      </c>
      <c r="B6" s="916">
        <v>604.32000000000005</v>
      </c>
      <c r="C6" s="917">
        <v>602</v>
      </c>
      <c r="D6" s="917">
        <v>604.04</v>
      </c>
      <c r="E6" s="917">
        <v>602.15</v>
      </c>
      <c r="F6" s="917">
        <v>602.15</v>
      </c>
      <c r="G6" s="917">
        <v>603</v>
      </c>
      <c r="H6" s="1068">
        <v>0</v>
      </c>
      <c r="I6" s="1155">
        <f>(B6*AVR!K227)+(C6*AVR!K228)+(D6*AVR!K229)+(E6*AVR!K230)+(F6*AVR!K231)+(G6*AVR!K232)+(H6*AVR!K233)</f>
        <v>602.94333333333452</v>
      </c>
      <c r="J6" s="1069">
        <v>603.17999999999995</v>
      </c>
      <c r="L6" s="1070">
        <v>4</v>
      </c>
      <c r="M6" s="1080">
        <f>100-ABS((($J2-F2)/($J2)))*100</f>
        <v>99.538946857558869</v>
      </c>
      <c r="N6" s="1294">
        <f t="shared" si="0"/>
        <v>0.16680221210149643</v>
      </c>
      <c r="O6" s="1073">
        <f>100-ABS((($J3-F3)/($J3)))*100</f>
        <v>99.415547364017669</v>
      </c>
      <c r="P6" s="1074">
        <f t="shared" si="1"/>
        <v>0.16650786600567383</v>
      </c>
      <c r="Q6" s="1081">
        <f>100-ABS((($J4-F4)/($J4)))*100</f>
        <v>99.794811622775015</v>
      </c>
      <c r="R6" s="1074">
        <f t="shared" si="2"/>
        <v>0.16672056518818876</v>
      </c>
      <c r="S6" s="1075">
        <f>100-ABS((($J5-F5)/($J5)))*100</f>
        <v>95.915915915915932</v>
      </c>
      <c r="T6" s="1074">
        <f t="shared" si="3"/>
        <v>0.16691053511705686</v>
      </c>
      <c r="U6" s="1230">
        <f>100-ABS((($J6-F6)/($J6)))*100</f>
        <v>99.829238369972487</v>
      </c>
      <c r="V6" s="1077">
        <f t="shared" si="4"/>
        <v>0.16663161448503733</v>
      </c>
      <c r="W6" s="830">
        <f>100-ABS((($J7-F7)/($J7)))*100</f>
        <v>99.155104255484076</v>
      </c>
      <c r="X6" s="1079">
        <f t="shared" si="5"/>
        <v>0.16648446040918319</v>
      </c>
      <c r="Z6" s="1153">
        <f t="array" ref="Z6">SUM(O6:U6/4)</f>
        <v>98.863913059748</v>
      </c>
      <c r="AA6" s="1154">
        <f t="array" ref="AA6">SUM(M6:W6/6)</f>
        <v>99.08052286310361</v>
      </c>
    </row>
    <row r="7" spans="1:29" ht="14.25" customHeight="1" x14ac:dyDescent="0.3">
      <c r="A7" s="745" t="s">
        <v>17</v>
      </c>
      <c r="B7" s="923">
        <v>256.52</v>
      </c>
      <c r="C7" s="924">
        <v>256</v>
      </c>
      <c r="D7" s="924">
        <v>256.18</v>
      </c>
      <c r="E7" s="924">
        <v>256.18</v>
      </c>
      <c r="F7" s="924">
        <v>255.84</v>
      </c>
      <c r="G7" s="924">
        <v>256</v>
      </c>
      <c r="H7" s="1087">
        <v>0</v>
      </c>
      <c r="I7" s="1163">
        <f>(B7*X12)+(C7*X13)+(D7*X14)+(E7*X15)+(F7*X16)+(G7*X17)+(H7*X18)</f>
        <v>256.12</v>
      </c>
      <c r="J7" s="1089">
        <v>258.02</v>
      </c>
      <c r="L7" s="1070" t="s">
        <v>95</v>
      </c>
      <c r="M7" s="1071">
        <f>100-ABS((($J2-G2)/($J2)))*100</f>
        <v>99.296287308905605</v>
      </c>
      <c r="N7" s="1294">
        <f t="shared" si="0"/>
        <v>0.16639557579700712</v>
      </c>
      <c r="O7" s="1073">
        <f>100-ABS((($J3-G3)/($J3)))*100</f>
        <v>99.426240657269688</v>
      </c>
      <c r="P7" s="1074">
        <f t="shared" si="1"/>
        <v>0.166525775854658</v>
      </c>
      <c r="Q7" s="1081">
        <f>100-ABS((($J4-G4)/($J4)))*100</f>
        <v>99.794811622775015</v>
      </c>
      <c r="R7" s="1074">
        <f t="shared" si="2"/>
        <v>0.16672056518818876</v>
      </c>
      <c r="S7" s="1075">
        <f>100-ABS((($J5-G5)/($J5)))*100</f>
        <v>95.495495495495504</v>
      </c>
      <c r="T7" s="1074">
        <f t="shared" si="3"/>
        <v>0.1661789297658863</v>
      </c>
      <c r="U7" s="1091">
        <f>100-ABS((($J6-G6)/($J6)))*100</f>
        <v>99.970158161742773</v>
      </c>
      <c r="V7" s="1077">
        <f t="shared" si="4"/>
        <v>0.16686683307228684</v>
      </c>
      <c r="W7" s="830">
        <f>100-ABS((($J7-G7)/($J7)))*100</f>
        <v>99.217114952329283</v>
      </c>
      <c r="X7" s="1079">
        <f t="shared" si="5"/>
        <v>0.16658857827060231</v>
      </c>
      <c r="Z7" s="1153">
        <f t="array" ref="Z7">SUM(O7:U7/4)</f>
        <v>98.796532802022909</v>
      </c>
      <c r="AA7" s="1154">
        <f t="array" ref="AA7">SUM(M7:W7/6)</f>
        <v>99.005465979699309</v>
      </c>
    </row>
    <row r="8" spans="1:29" ht="14.25" customHeight="1" x14ac:dyDescent="0.3">
      <c r="L8" s="1092" t="s">
        <v>96</v>
      </c>
      <c r="M8" s="1093">
        <f>100-ABS((($J2-H2)/($J2)))*100</f>
        <v>0</v>
      </c>
      <c r="N8" s="1295">
        <f t="shared" si="0"/>
        <v>0</v>
      </c>
      <c r="O8" s="1095">
        <f>100-ABS((($J3-H3)/($J3)))*100</f>
        <v>0</v>
      </c>
      <c r="P8" s="1096">
        <f t="shared" si="1"/>
        <v>0</v>
      </c>
      <c r="Q8" s="1097">
        <f>100-ABS((($J4-H4)/($J4)))*100</f>
        <v>0</v>
      </c>
      <c r="R8" s="1096">
        <f t="shared" si="2"/>
        <v>0</v>
      </c>
      <c r="S8" s="1097">
        <f>100-ABS((($J5-H5)/($J5)))*100</f>
        <v>0</v>
      </c>
      <c r="T8" s="1096">
        <f t="shared" si="3"/>
        <v>0</v>
      </c>
      <c r="U8" s="1098">
        <f>100-ABS((($J6-H6)/($J6)))*100</f>
        <v>0</v>
      </c>
      <c r="V8" s="1099">
        <f t="shared" si="4"/>
        <v>0</v>
      </c>
      <c r="W8" s="842">
        <f>100-ABS((($J7-H7)/($J7)))*100</f>
        <v>0</v>
      </c>
      <c r="X8" s="1100">
        <f t="shared" si="5"/>
        <v>0</v>
      </c>
      <c r="Z8" s="1153">
        <f t="array" ref="Z8">SUM(O8:U8/4)</f>
        <v>0</v>
      </c>
      <c r="AA8" s="1154">
        <f t="array" ref="AA8">SUM(M8:W8/6)</f>
        <v>0</v>
      </c>
    </row>
    <row r="9" spans="1:29" ht="14.25" customHeight="1" x14ac:dyDescent="0.3">
      <c r="M9" s="798"/>
      <c r="N9" s="798"/>
      <c r="O9" s="798"/>
      <c r="P9" s="798"/>
      <c r="Q9" s="798"/>
      <c r="R9" s="798"/>
      <c r="S9" s="798"/>
      <c r="T9" s="798"/>
      <c r="U9" s="798"/>
      <c r="V9" s="798"/>
      <c r="W9" s="798"/>
      <c r="AB9" s="1169" t="s">
        <v>54</v>
      </c>
      <c r="AC9" s="1169" t="s">
        <v>55</v>
      </c>
    </row>
    <row r="10" spans="1:29" ht="14.25" customHeight="1" x14ac:dyDescent="0.3">
      <c r="E10" s="931"/>
      <c r="M10" s="798"/>
      <c r="N10" s="798"/>
      <c r="O10" s="798"/>
      <c r="P10" s="798"/>
      <c r="Q10" s="798"/>
      <c r="R10" s="798"/>
      <c r="S10" s="798"/>
      <c r="T10" s="798"/>
      <c r="U10" s="798"/>
      <c r="V10" s="798"/>
      <c r="W10" s="798"/>
      <c r="Z10" s="661"/>
      <c r="AA10" s="661"/>
      <c r="AB10" s="798" t="s">
        <v>137</v>
      </c>
      <c r="AC10" s="798">
        <v>100</v>
      </c>
    </row>
    <row r="11" spans="1:29" ht="14.25" customHeight="1" x14ac:dyDescent="0.3">
      <c r="B11" s="893" t="s">
        <v>47</v>
      </c>
      <c r="C11" s="894"/>
      <c r="D11" s="895">
        <v>85220</v>
      </c>
      <c r="E11" s="896"/>
      <c r="F11" s="895" t="s">
        <v>48</v>
      </c>
      <c r="G11" s="897"/>
      <c r="L11" s="1101" t="str">
        <f>I1</f>
        <v>Comb</v>
      </c>
      <c r="M11" s="1296" t="s">
        <v>12</v>
      </c>
      <c r="N11" s="805">
        <f>SUM(M12:M18)</f>
        <v>554</v>
      </c>
      <c r="O11" s="1103" t="s">
        <v>13</v>
      </c>
      <c r="P11" s="1052">
        <f>SUM(O12:O18)</f>
        <v>512</v>
      </c>
      <c r="Q11" s="1052" t="s">
        <v>14</v>
      </c>
      <c r="R11" s="1052">
        <f>SUM(Q12:Q18)</f>
        <v>582</v>
      </c>
      <c r="S11" s="1052" t="s">
        <v>15</v>
      </c>
      <c r="T11" s="1052">
        <f>SUM(S12:S18)</f>
        <v>235</v>
      </c>
      <c r="U11" s="1054" t="s">
        <v>16</v>
      </c>
      <c r="V11" s="805">
        <f>SUM(U12:U18)</f>
        <v>582</v>
      </c>
      <c r="W11" s="1297" t="s">
        <v>17</v>
      </c>
      <c r="X11" s="798">
        <f>SUM(W12:W18)</f>
        <v>498</v>
      </c>
      <c r="Z11" s="661"/>
      <c r="AA11" s="661"/>
      <c r="AB11" s="798" t="s">
        <v>148</v>
      </c>
      <c r="AC11" s="798">
        <v>97</v>
      </c>
    </row>
    <row r="12" spans="1:29" ht="14.25" customHeight="1" x14ac:dyDescent="0.3">
      <c r="A12" s="1173" t="s">
        <v>12</v>
      </c>
      <c r="B12" s="1174">
        <v>4.1399999999999997</v>
      </c>
      <c r="C12" s="1175" t="str">
        <f t="shared" ref="C12:C17" si="6">IF(ABS(J2-I2)&lt;ABS(B12-J2),$I$1,$B$11)</f>
        <v>RD</v>
      </c>
      <c r="D12" s="1174">
        <v>4.1500000000000004</v>
      </c>
      <c r="E12" s="1175" t="str">
        <f t="shared" ref="E12:E17" si="7">IF(ABS(J2-I2)&lt;ABS(J2-D12),$I$1,$D$11)</f>
        <v>Comb</v>
      </c>
      <c r="F12" s="1174">
        <v>4.16</v>
      </c>
      <c r="G12" s="1176" t="str">
        <f t="shared" ref="G12:G17" si="8">IF(ABS(I2-J2)&lt;ABS(J2-F12),$I$1,$F$11)</f>
        <v>Comb</v>
      </c>
      <c r="L12" s="1058" t="s">
        <v>129</v>
      </c>
      <c r="M12" s="1273">
        <f>IF(M2=0,0, LOOKUP(M2-0.000000000001,{0,93,95,96,97,98,99,99.5,99.99},{1,25,37,50,66,70,83,97,100}))</f>
        <v>83</v>
      </c>
      <c r="N12" s="1065">
        <f t="shared" ref="N12:N18" si="9">M12/$N$11</f>
        <v>0.14981949458483754</v>
      </c>
      <c r="O12" s="1106">
        <f>IF(O2=0,0, LOOKUP(O2-0.000000000001,{0,93,95,96,97,98,99,99.5,99.99},{1,25,37,50,66,70,83,97,100}))</f>
        <v>97</v>
      </c>
      <c r="P12" s="1107">
        <f t="shared" ref="P12:P18" si="10">O12/$P$11</f>
        <v>0.189453125</v>
      </c>
      <c r="Q12" s="1062">
        <f>IF(Q2=0,0, LOOKUP(Q2-0.000000000001,{0,93,95,96,97,98,99,99.5,99.99},{1,25,37,50,66,70,83,97,100}))</f>
        <v>97</v>
      </c>
      <c r="R12" s="1107">
        <f t="shared" ref="R12:R18" si="11">Q12/$R$11</f>
        <v>0.16666666666666666</v>
      </c>
      <c r="S12" s="1062">
        <f>IF(S2=0,0, LOOKUP(S2-0.000000000001,{0,93,95,96,97,98,99,99.5,99.99},{1,25,37,50,66,70,83,97,100}))</f>
        <v>37</v>
      </c>
      <c r="T12" s="1107">
        <f t="shared" ref="T12:T18" si="12">S12/$T$11</f>
        <v>0.1574468085106383</v>
      </c>
      <c r="U12" s="1108">
        <f>IF(U2=0,0, LOOKUP(U2-0.000000000001,{0,93,95,96,97,98,99,99.5,99.99},{1,25,37,50,66,70,83,97,100}))</f>
        <v>97</v>
      </c>
      <c r="V12" s="1298">
        <f t="shared" ref="V12:V18" si="13">U12/$V$11</f>
        <v>0.16666666666666666</v>
      </c>
      <c r="W12" s="1299">
        <f>IF(W2=0,0, LOOKUP(W2-0.000000000001,{0,93,95,96,97,98,99,99.5,99.99},{1,25,37,50,66,70,83,97,100}))</f>
        <v>83</v>
      </c>
      <c r="X12" s="661">
        <f t="shared" ref="X12:X18" si="14">W12/$X$11</f>
        <v>0.16666666666666666</v>
      </c>
      <c r="Z12" s="661"/>
      <c r="AA12" s="661"/>
      <c r="AB12" s="1179" t="s">
        <v>139</v>
      </c>
      <c r="AC12" s="798">
        <v>83</v>
      </c>
    </row>
    <row r="13" spans="1:29" ht="14.25" customHeight="1" x14ac:dyDescent="0.3">
      <c r="A13" s="82" t="s">
        <v>13</v>
      </c>
      <c r="B13" s="1180">
        <v>46520</v>
      </c>
      <c r="C13" s="1181" t="str">
        <f t="shared" si="6"/>
        <v>Comb</v>
      </c>
      <c r="D13" s="1180">
        <v>46480</v>
      </c>
      <c r="E13" s="1181" t="str">
        <f t="shared" si="7"/>
        <v>Comb</v>
      </c>
      <c r="F13" s="1180">
        <v>46289</v>
      </c>
      <c r="G13" s="1182" t="str">
        <f t="shared" si="8"/>
        <v>Comb</v>
      </c>
      <c r="L13" s="1111" t="s">
        <v>130</v>
      </c>
      <c r="M13" s="1278">
        <f>IF(M3=0,0, LOOKUP(M3-0.000000000001,{0,93,95,96,97,98,99,99.5,99.99},{1,25,37,50,66,70,83,97,100}))</f>
        <v>97</v>
      </c>
      <c r="N13" s="1077">
        <f t="shared" si="9"/>
        <v>0.17509025270758122</v>
      </c>
      <c r="O13" s="1113">
        <f>IF(O3=0,0, LOOKUP(O3-0.000000000001,{0,93,95,96,97,98,99,99.5,99.99},{1,25,37,50,66,70,83,97,100}))</f>
        <v>83</v>
      </c>
      <c r="P13" s="1114">
        <f t="shared" si="10"/>
        <v>0.162109375</v>
      </c>
      <c r="Q13" s="1074">
        <f>IF(Q3=0,0, LOOKUP(Q3-0.000000000001,{0,93,95,96,97,98,99,99.5,99.99},{1,25,37,50,66,70,83,97,100}))</f>
        <v>97</v>
      </c>
      <c r="R13" s="1114">
        <f t="shared" si="11"/>
        <v>0.16666666666666666</v>
      </c>
      <c r="S13" s="1074">
        <f>IF(S3=0,0, LOOKUP(S3-0.000000000001,{0,93,95,96,97,98,99,99.5,99.99},{1,25,37,50,66,70,83,97,100}))</f>
        <v>50</v>
      </c>
      <c r="T13" s="1114">
        <f t="shared" si="12"/>
        <v>0.21276595744680851</v>
      </c>
      <c r="U13" s="1115">
        <f>IF(U3=0,0, LOOKUP(U3-0.000000000001,{0,93,95,96,97,98,99,99.5,99.99},{1,25,37,50,66,70,83,97,100}))</f>
        <v>97</v>
      </c>
      <c r="V13" s="1300">
        <f t="shared" si="13"/>
        <v>0.16666666666666666</v>
      </c>
      <c r="W13" s="1301">
        <f>IF(W3=0,0, LOOKUP(W3-0.000000000001,{0,93,95,96,97,98,99,99.5,99.99},{1,25,37,50,66,70,83,97,100}))</f>
        <v>83</v>
      </c>
      <c r="X13" s="661">
        <f t="shared" si="14"/>
        <v>0.16666666666666666</v>
      </c>
      <c r="Z13" s="661"/>
      <c r="AA13" s="661"/>
      <c r="AB13" s="1179" t="s">
        <v>140</v>
      </c>
      <c r="AC13" s="798">
        <v>70</v>
      </c>
    </row>
    <row r="14" spans="1:29" ht="14.25" customHeight="1" x14ac:dyDescent="0.3">
      <c r="A14" s="82" t="s">
        <v>14</v>
      </c>
      <c r="B14" s="1180">
        <v>6701</v>
      </c>
      <c r="C14" s="1181" t="str">
        <f t="shared" si="6"/>
        <v>RD</v>
      </c>
      <c r="D14" s="1180">
        <v>6690</v>
      </c>
      <c r="E14" s="1181" t="str">
        <f t="shared" si="7"/>
        <v>Comb</v>
      </c>
      <c r="F14" s="1180">
        <v>6640</v>
      </c>
      <c r="G14" s="1182" t="str">
        <f t="shared" si="8"/>
        <v>Comb</v>
      </c>
      <c r="L14" s="1111" t="s">
        <v>131</v>
      </c>
      <c r="M14" s="1278">
        <f>IF(M4=0,0, LOOKUP(M4-0.000000000001,{0,93,95,96,97,98,99,99.5,99.99},{1,25,37,50,66,70,83,97,100}))</f>
        <v>97</v>
      </c>
      <c r="N14" s="1077">
        <f t="shared" si="9"/>
        <v>0.17509025270758122</v>
      </c>
      <c r="O14" s="1113">
        <f>IF(O4=0,0, LOOKUP(O4-0.000000000001,{0,93,95,96,97,98,99,99.5,99.99},{1,25,37,50,66,70,83,97,100}))</f>
        <v>83</v>
      </c>
      <c r="P14" s="1114">
        <f t="shared" si="10"/>
        <v>0.162109375</v>
      </c>
      <c r="Q14" s="1074">
        <f>IF(Q4=0,0, LOOKUP(Q4-0.000000000001,{0,93,95,96,97,98,99,99.5,99.99},{1,25,37,50,66,70,83,97,100}))</f>
        <v>97</v>
      </c>
      <c r="R14" s="1114">
        <f t="shared" si="11"/>
        <v>0.16666666666666666</v>
      </c>
      <c r="S14" s="1074">
        <f>IF(S4=0,0, LOOKUP(S4-0.000000000001,{0,93,95,96,97,98,99,99.5,99.99},{1,25,37,50,66,70,83,97,100}))</f>
        <v>37</v>
      </c>
      <c r="T14" s="1114">
        <f t="shared" si="12"/>
        <v>0.1574468085106383</v>
      </c>
      <c r="U14" s="1115">
        <f>IF(U4=0,0, LOOKUP(U4-0.000000000001,{0,93,95,96,97,98,99,99.5,99.99},{1,25,37,50,66,70,83,97,100}))</f>
        <v>97</v>
      </c>
      <c r="V14" s="1300">
        <f t="shared" si="13"/>
        <v>0.16666666666666666</v>
      </c>
      <c r="W14" s="1301">
        <f>IF(W4=0,0, LOOKUP(W4-0.000000000001,{0,93,95,96,97,98,99,99.5,99.99},{1,25,37,50,66,70,83,97,100}))</f>
        <v>83</v>
      </c>
      <c r="X14" s="661">
        <f t="shared" si="14"/>
        <v>0.16666666666666666</v>
      </c>
      <c r="Z14" s="661"/>
      <c r="AA14" s="661"/>
      <c r="AB14" s="1179" t="s">
        <v>141</v>
      </c>
      <c r="AC14" s="798">
        <v>66</v>
      </c>
    </row>
    <row r="15" spans="1:29" ht="14.25" customHeight="1" x14ac:dyDescent="0.3">
      <c r="A15" s="82" t="s">
        <v>15</v>
      </c>
      <c r="B15" s="1180">
        <v>15.93</v>
      </c>
      <c r="C15" s="1181" t="str">
        <f t="shared" si="6"/>
        <v>Comb</v>
      </c>
      <c r="D15" s="1180">
        <v>16.5</v>
      </c>
      <c r="E15" s="1181">
        <f t="shared" si="7"/>
        <v>85220</v>
      </c>
      <c r="F15" s="1180">
        <v>18.02</v>
      </c>
      <c r="G15" s="1182" t="str">
        <f t="shared" si="8"/>
        <v>Comb</v>
      </c>
      <c r="L15" s="1111" t="s">
        <v>34</v>
      </c>
      <c r="M15" s="1278">
        <f>IF(M5=0,0, LOOKUP(M5-0.000000000001,{0,93,95,96,97,98,99,99.5,99.99},{1,25,37,50,66,70,83,97,100}))</f>
        <v>97</v>
      </c>
      <c r="N15" s="1077">
        <f t="shared" si="9"/>
        <v>0.17509025270758122</v>
      </c>
      <c r="O15" s="1113">
        <f>IF(O5=0,0, LOOKUP(O5-0.000000000001,{0,93,95,96,97,98,99,99.5,99.99},{1,25,37,50,66,70,83,97,100}))</f>
        <v>83</v>
      </c>
      <c r="P15" s="1114">
        <f t="shared" si="10"/>
        <v>0.162109375</v>
      </c>
      <c r="Q15" s="1074">
        <f>IF(Q5=0,0, LOOKUP(Q5-0.000000000001,{0,93,95,96,97,98,99,99.5,99.99},{1,25,37,50,66,70,83,97,100}))</f>
        <v>97</v>
      </c>
      <c r="R15" s="1114">
        <f t="shared" si="11"/>
        <v>0.16666666666666666</v>
      </c>
      <c r="S15" s="1074">
        <f>IF(S5=0,0, LOOKUP(S5-0.000000000001,{0,93,95,96,97,98,99,99.5,99.99},{1,25,37,50,66,70,83,97,100}))</f>
        <v>37</v>
      </c>
      <c r="T15" s="1114">
        <f t="shared" si="12"/>
        <v>0.1574468085106383</v>
      </c>
      <c r="U15" s="1115">
        <f>IF(U5=0,0, LOOKUP(U5-0.000000000001,{0,93,95,96,97,98,99,99.5,99.99},{1,25,37,50,66,70,83,97,100}))</f>
        <v>97</v>
      </c>
      <c r="V15" s="1300">
        <f t="shared" si="13"/>
        <v>0.16666666666666666</v>
      </c>
      <c r="W15" s="1301">
        <f>IF(W5=0,0, LOOKUP(W5-0.000000000001,{0,93,95,96,97,98,99,99.5,99.99},{1,25,37,50,66,70,83,97,100}))</f>
        <v>83</v>
      </c>
      <c r="X15" s="661">
        <f t="shared" si="14"/>
        <v>0.16666666666666666</v>
      </c>
      <c r="Z15" s="661"/>
      <c r="AA15" s="661"/>
      <c r="AB15" s="1179" t="s">
        <v>142</v>
      </c>
      <c r="AC15" s="798">
        <v>50</v>
      </c>
    </row>
    <row r="16" spans="1:29" ht="14.25" customHeight="1" x14ac:dyDescent="0.3">
      <c r="A16" s="82" t="s">
        <v>16</v>
      </c>
      <c r="B16" s="1180">
        <v>602.1</v>
      </c>
      <c r="C16" s="1181" t="str">
        <f t="shared" si="6"/>
        <v>Comb</v>
      </c>
      <c r="D16" s="1180">
        <v>600.5</v>
      </c>
      <c r="E16" s="1181" t="str">
        <f t="shared" si="7"/>
        <v>Comb</v>
      </c>
      <c r="F16" s="1180">
        <v>595.70000000000005</v>
      </c>
      <c r="G16" s="1182" t="str">
        <f t="shared" si="8"/>
        <v>Comb</v>
      </c>
      <c r="L16" s="1111">
        <v>4</v>
      </c>
      <c r="M16" s="1278">
        <f>IF(M6=0,0, LOOKUP(M6-0.000000000001,{0,93,95,96,97,98,99,99.5,99.99},{1,25,37,50,66,70,83,97,100}))</f>
        <v>97</v>
      </c>
      <c r="N16" s="1077">
        <f t="shared" si="9"/>
        <v>0.17509025270758122</v>
      </c>
      <c r="O16" s="1113">
        <f>IF(O6=0,0, LOOKUP(O6-0.000000000001,{0,93,95,96,97,98,99,99.5,99.99},{1,25,37,50,66,70,83,97,100}))</f>
        <v>83</v>
      </c>
      <c r="P16" s="1114">
        <f t="shared" si="10"/>
        <v>0.162109375</v>
      </c>
      <c r="Q16" s="1074">
        <f>IF(Q6=0,0, LOOKUP(Q6-0.000000000001,{0,93,95,96,97,98,99,99.5,99.99},{1,25,37,50,66,70,83,97,100}))</f>
        <v>97</v>
      </c>
      <c r="R16" s="1114">
        <f t="shared" si="11"/>
        <v>0.16666666666666666</v>
      </c>
      <c r="S16" s="1074">
        <f>IF(S6=0,0, LOOKUP(S6-0.000000000001,{0,93,95,96,97,98,99,99.5,99.99},{1,25,37,50,66,70,83,97,100}))</f>
        <v>37</v>
      </c>
      <c r="T16" s="1114">
        <f t="shared" si="12"/>
        <v>0.1574468085106383</v>
      </c>
      <c r="U16" s="1115">
        <f>IF(U6=0,0, LOOKUP(U6-0.000000000001,{0,93,95,96,97,98,99,99.5,99.99},{1,25,37,50,66,70,83,97,100}))</f>
        <v>97</v>
      </c>
      <c r="V16" s="1300">
        <f t="shared" si="13"/>
        <v>0.16666666666666666</v>
      </c>
      <c r="W16" s="1301">
        <f>IF(W6=0,0, LOOKUP(W6-0.000000000001,{0,93,95,96,97,98,99,99.5,99.99},{1,25,37,50,66,70,83,97,100}))</f>
        <v>83</v>
      </c>
      <c r="X16" s="661">
        <f t="shared" si="14"/>
        <v>0.16666666666666666</v>
      </c>
      <c r="Z16" s="661"/>
      <c r="AA16" s="661"/>
      <c r="AB16" s="1179" t="s">
        <v>143</v>
      </c>
      <c r="AC16" s="798">
        <v>37</v>
      </c>
    </row>
    <row r="17" spans="1:29" ht="14.25" customHeight="1" x14ac:dyDescent="0.3">
      <c r="A17" s="745" t="s">
        <v>17</v>
      </c>
      <c r="B17" s="1185">
        <v>256.2</v>
      </c>
      <c r="C17" s="1186" t="str">
        <f t="shared" si="6"/>
        <v>RD</v>
      </c>
      <c r="D17" s="1185">
        <v>254.9</v>
      </c>
      <c r="E17" s="1186" t="str">
        <f t="shared" si="7"/>
        <v>Comb</v>
      </c>
      <c r="F17" s="1185">
        <v>252.1</v>
      </c>
      <c r="G17" s="1187" t="str">
        <f t="shared" si="8"/>
        <v>Comb</v>
      </c>
      <c r="L17" s="1111" t="s">
        <v>95</v>
      </c>
      <c r="M17" s="1278">
        <f>IF(M7=0,0, LOOKUP(M7-0.000000000001,{0,93,95,96,97,98,99,99.5,99.99},{1,25,37,50,66,70,83,97,100}))</f>
        <v>83</v>
      </c>
      <c r="N17" s="1077">
        <f t="shared" si="9"/>
        <v>0.14981949458483754</v>
      </c>
      <c r="O17" s="1113">
        <f>IF(O7=0,0, LOOKUP(O7-0.000000000001,{0,93,95,96,97,98,99,99.5,99.99},{1,25,37,50,66,70,83,97,100}))</f>
        <v>83</v>
      </c>
      <c r="P17" s="1114">
        <f t="shared" si="10"/>
        <v>0.162109375</v>
      </c>
      <c r="Q17" s="1074">
        <f>IF(Q7=0,0, LOOKUP(Q7-0.000000000001,{0,93,95,96,97,98,99,99.5,99.99},{1,25,37,50,66,70,83,97,100}))</f>
        <v>97</v>
      </c>
      <c r="R17" s="1114">
        <f t="shared" si="11"/>
        <v>0.16666666666666666</v>
      </c>
      <c r="S17" s="1074">
        <f>IF(S7=0,0, LOOKUP(S7-0.000000000001,{0,93,95,96,97,98,99,99.5,99.99},{1,25,37,50,66,70,83,97,100}))</f>
        <v>37</v>
      </c>
      <c r="T17" s="1114">
        <f t="shared" si="12"/>
        <v>0.1574468085106383</v>
      </c>
      <c r="U17" s="1115">
        <f>IF(U7=0,0, LOOKUP(U7-0.000000000001,{0,93,95,96,97,98,99,99.5,99.99},{1,25,37,50,66,70,83,97,100}))</f>
        <v>97</v>
      </c>
      <c r="V17" s="1300">
        <f t="shared" si="13"/>
        <v>0.16666666666666666</v>
      </c>
      <c r="W17" s="1301">
        <f>IF(W7=0,0, LOOKUP(W7-0.000000000001,{0,93,95,96,97,98,99,99.5,99.99},{1,25,37,50,66,70,83,97,100}))</f>
        <v>83</v>
      </c>
      <c r="X17" s="661">
        <f t="shared" si="14"/>
        <v>0.16666666666666666</v>
      </c>
      <c r="Z17" s="661"/>
      <c r="AA17" s="661"/>
      <c r="AB17" s="1179" t="s">
        <v>144</v>
      </c>
      <c r="AC17" s="798">
        <v>25</v>
      </c>
    </row>
    <row r="18" spans="1:29" ht="14.25" customHeight="1" x14ac:dyDescent="0.3">
      <c r="L18" s="1119" t="s">
        <v>96</v>
      </c>
      <c r="M18" s="1283">
        <f>IF(M8=0,0, LOOKUP(M8-0.000000000001,{0,93,95,96,97,98,99,99.5,99.99},{1,25,37,50,66,70,83,97,100}))</f>
        <v>0</v>
      </c>
      <c r="N18" s="1099">
        <f t="shared" si="9"/>
        <v>0</v>
      </c>
      <c r="O18" s="1121">
        <f>IF(O8=0,0, LOOKUP(O8-0.000000000001,{0,93,95,96,97,98,99,99.5,99.99},{1,25,37,50,66,70,83,97,100}))</f>
        <v>0</v>
      </c>
      <c r="P18" s="1122">
        <f t="shared" si="10"/>
        <v>0</v>
      </c>
      <c r="Q18" s="1096">
        <f>IF(Q8=0,0, LOOKUP(Q8-0.000000000001,{0,93,95,96,97,98,99,99.5,99.99},{1,25,37,50,66,70,83,97,100}))</f>
        <v>0</v>
      </c>
      <c r="R18" s="1122">
        <f t="shared" si="11"/>
        <v>0</v>
      </c>
      <c r="S18" s="1096">
        <f>IF(S8=0,0, LOOKUP(S8-0.000000000001,{0,93,95,96,97,98,99,99.5,99.99},{1,25,37,50,66,70,83,97,100}))</f>
        <v>0</v>
      </c>
      <c r="T18" s="1122">
        <f t="shared" si="12"/>
        <v>0</v>
      </c>
      <c r="U18" s="1123">
        <f>IF(U8=0,0, LOOKUP(U8-0.000000000001,{0,93,95,96,97,98,99,99.5,99.99},{1,25,37,50,66,70,83,97,100}))</f>
        <v>0</v>
      </c>
      <c r="V18" s="1302">
        <f t="shared" si="13"/>
        <v>0</v>
      </c>
      <c r="W18" s="1303">
        <f>IF(W8=0,0, LOOKUP(W8-0.000000000001,{0,93,95,96,97,98,99,99.5,99.99},{1,25,37,50,66,70,83,97,100}))</f>
        <v>0</v>
      </c>
      <c r="X18" s="661">
        <f t="shared" si="14"/>
        <v>0</v>
      </c>
      <c r="Z18" s="661"/>
      <c r="AA18" s="661"/>
      <c r="AB18" s="1179" t="s">
        <v>145</v>
      </c>
      <c r="AC18" s="798">
        <v>1</v>
      </c>
    </row>
    <row r="19" spans="1:29" ht="14.25" customHeight="1" x14ac:dyDescent="0.3">
      <c r="L19" s="6"/>
      <c r="M19" s="798"/>
      <c r="N19" s="798"/>
      <c r="O19" s="798"/>
      <c r="P19" s="798"/>
      <c r="Q19" s="798"/>
      <c r="R19" s="798"/>
      <c r="S19" s="798"/>
      <c r="T19" s="798"/>
      <c r="U19" s="798"/>
      <c r="V19" s="798"/>
      <c r="W19" s="798"/>
      <c r="Z19" s="661"/>
      <c r="AA19" s="661"/>
      <c r="AB19" s="1190">
        <v>0</v>
      </c>
      <c r="AC19" s="798">
        <v>0</v>
      </c>
    </row>
    <row r="20" spans="1:29" ht="14.25" customHeight="1" x14ac:dyDescent="0.3">
      <c r="A20" s="1244" t="s">
        <v>12</v>
      </c>
      <c r="B20" s="1245" t="s">
        <v>155</v>
      </c>
      <c r="C20" s="1246">
        <v>99.54</v>
      </c>
      <c r="M20" s="1247" t="s">
        <v>12</v>
      </c>
      <c r="N20" s="805">
        <f>SUM(M21:M27)</f>
        <v>397.35509852240489</v>
      </c>
      <c r="O20" s="1103" t="s">
        <v>13</v>
      </c>
      <c r="P20" s="1052">
        <f>SUM(O21:O27)</f>
        <v>397.40962723607453</v>
      </c>
      <c r="Q20" s="1052" t="s">
        <v>14</v>
      </c>
      <c r="R20" s="1052">
        <f>SUM(Q21:Q27)</f>
        <v>398.03021143237788</v>
      </c>
      <c r="S20" s="1052" t="s">
        <v>15</v>
      </c>
      <c r="T20" s="1052">
        <f>SUM(S21:S27)</f>
        <v>382.3400421698293</v>
      </c>
      <c r="U20" s="1054" t="s">
        <v>16</v>
      </c>
      <c r="V20" s="805">
        <f>SUM(U21:U27)</f>
        <v>398.09730649778419</v>
      </c>
      <c r="W20" s="1248" t="s">
        <v>17</v>
      </c>
      <c r="Z20" s="1196" t="str">
        <f>Z1</f>
        <v>AVR-4</v>
      </c>
      <c r="AA20" s="1147" t="str">
        <f>AA1</f>
        <v>AVR-6</v>
      </c>
    </row>
    <row r="21" spans="1:29" ht="14.25" customHeight="1" x14ac:dyDescent="0.3">
      <c r="A21" s="953" t="s">
        <v>13</v>
      </c>
      <c r="B21" s="1304" t="s">
        <v>129</v>
      </c>
      <c r="C21" s="1197">
        <v>99.79</v>
      </c>
      <c r="L21" s="1198" t="str">
        <f>I1</f>
        <v>Comb</v>
      </c>
      <c r="M21" s="1305">
        <f>100-ABS((($J2-I2)/($J2)))*100</f>
        <v>99.466236595688045</v>
      </c>
      <c r="N21" s="1250"/>
      <c r="O21" s="1288">
        <f>100-ABS((($J3-I3)/($J3)))*100</f>
        <v>99.518002479988567</v>
      </c>
      <c r="P21" s="1201"/>
      <c r="Q21" s="1201">
        <f>100-ABS((($J4-I4)/($J4)))*100</f>
        <v>99.76254929931217</v>
      </c>
      <c r="R21" s="1201"/>
      <c r="S21" s="1201">
        <f>100-ABS((($J5-I5)/($J5)))*100</f>
        <v>95.793495623282752</v>
      </c>
      <c r="T21" s="1201"/>
      <c r="U21" s="1202">
        <f>100-ABS((($J6-I6)/($J6)))*100</f>
        <v>99.96076350895828</v>
      </c>
      <c r="V21" s="1254"/>
      <c r="W21" s="817">
        <f>100-ABS((($J7-I7)/($J7)))*100</f>
        <v>99.263622974963184</v>
      </c>
      <c r="Z21" s="1164">
        <f t="array" ref="Z21">SUM(O21:U21/4)</f>
        <v>98.758702727885435</v>
      </c>
      <c r="AA21" s="1165">
        <f t="array" ref="AA21">SUM(M21:W21/6)</f>
        <v>98.960778413698833</v>
      </c>
    </row>
    <row r="22" spans="1:29" ht="14.25" customHeight="1" x14ac:dyDescent="0.3">
      <c r="A22" s="961" t="s">
        <v>14</v>
      </c>
      <c r="B22" s="1306" t="s">
        <v>156</v>
      </c>
      <c r="C22" s="1205">
        <v>99.79</v>
      </c>
      <c r="L22" s="1206" t="str">
        <f>B11</f>
        <v>RD</v>
      </c>
      <c r="M22" s="1307">
        <f>100-ABS((($J2-B12)/($J2)))*100</f>
        <v>99.538946857558869</v>
      </c>
      <c r="N22" s="1255"/>
      <c r="O22" s="1289">
        <f>100-ABS((($J3-B13)/($J3)))*100</f>
        <v>99.490400416781796</v>
      </c>
      <c r="P22" s="1208"/>
      <c r="Q22" s="1208">
        <f>100-ABS((($J4-B14)/($J4)))*100</f>
        <v>99.779921319638234</v>
      </c>
      <c r="R22" s="1208"/>
      <c r="S22" s="1208">
        <f>100-ABS((($J5-B15)/($J5)))*100</f>
        <v>95.675675675675677</v>
      </c>
      <c r="T22" s="1208"/>
      <c r="U22" s="1209">
        <f>100-ABS((($J6-B16)/($J6)))*100</f>
        <v>99.820948970456598</v>
      </c>
      <c r="V22" s="1258"/>
      <c r="W22" s="830">
        <f>100-ABS((($J7-B17)/($J7)))*100</f>
        <v>99.29462832338578</v>
      </c>
      <c r="Z22" s="1164">
        <f t="array" ref="Z22">SUM(O22:U22/4)</f>
        <v>98.691736595638076</v>
      </c>
      <c r="AA22" s="1165">
        <f t="array" ref="AA22">SUM(M22:W22/6)</f>
        <v>98.933420260582835</v>
      </c>
    </row>
    <row r="23" spans="1:29" ht="14.25" customHeight="1" x14ac:dyDescent="0.3">
      <c r="A23" s="961" t="s">
        <v>15</v>
      </c>
      <c r="B23" s="1306" t="s">
        <v>130</v>
      </c>
      <c r="C23" s="1205">
        <v>99.79</v>
      </c>
      <c r="L23" s="1206">
        <f>D11</f>
        <v>85220</v>
      </c>
      <c r="M23" s="1307">
        <f>100-ABS((($J2-D12)/($J2)))*100</f>
        <v>99.296287308905605</v>
      </c>
      <c r="N23" s="1255"/>
      <c r="O23" s="1289">
        <f>100-ABS((($J3-D13)/($J3)))*100</f>
        <v>99.404854070765651</v>
      </c>
      <c r="P23" s="1208"/>
      <c r="Q23" s="1208">
        <f>100-ABS((($J4-D14)/($J4)))*100</f>
        <v>99.616127985133531</v>
      </c>
      <c r="R23" s="1208"/>
      <c r="S23" s="1208">
        <f>100-ABS((($J5-D15)/($J5)))*100</f>
        <v>99.099099099099107</v>
      </c>
      <c r="T23" s="1208"/>
      <c r="U23" s="1209">
        <f>100-ABS((($J6-D16)/($J6)))*100</f>
        <v>99.555688185947815</v>
      </c>
      <c r="V23" s="1258"/>
      <c r="W23" s="830">
        <f>100-ABS((($J7-D17)/($J7)))*100</f>
        <v>98.790791411518498</v>
      </c>
      <c r="Z23" s="1164">
        <f t="array" ref="Z23">SUM(O23:U23/4)</f>
        <v>99.418942335236522</v>
      </c>
      <c r="AA23" s="1165">
        <f t="array" ref="AA23">SUM(M23:W23/6)</f>
        <v>99.293808010228361</v>
      </c>
    </row>
    <row r="24" spans="1:29" ht="14.25" customHeight="1" x14ac:dyDescent="0.3">
      <c r="A24" s="973" t="s">
        <v>16</v>
      </c>
      <c r="B24" s="1308" t="s">
        <v>95</v>
      </c>
      <c r="C24" s="1212">
        <v>99.97</v>
      </c>
      <c r="L24" s="1213" t="str">
        <f>F11</f>
        <v>MICH</v>
      </c>
      <c r="M24" s="1309">
        <f>100-ABS((($J2-F12)/($J2)))*100</f>
        <v>99.053627760252368</v>
      </c>
      <c r="N24" s="1259"/>
      <c r="O24" s="1290">
        <f>100-ABS((($J3-F13)/($J3)))*100</f>
        <v>98.996370268538541</v>
      </c>
      <c r="P24" s="1215"/>
      <c r="Q24" s="1215">
        <f>100-ABS((($J4-F14)/($J4)))*100</f>
        <v>98.871612828293962</v>
      </c>
      <c r="R24" s="1215"/>
      <c r="S24" s="1215">
        <f>100-ABS((($J5-F15)/($J5)))*100</f>
        <v>91.771771771771768</v>
      </c>
      <c r="T24" s="1215"/>
      <c r="U24" s="1216">
        <f>100-ABS((($J6-F16)/($J6)))*100</f>
        <v>98.759905832421509</v>
      </c>
      <c r="V24" s="1263"/>
      <c r="W24" s="842">
        <f>100-ABS((($J7-F17)/($J7)))*100</f>
        <v>97.705604216727394</v>
      </c>
      <c r="Z24" s="1164">
        <f t="array" ref="Z24">SUM(O24:U24/4)</f>
        <v>97.099915175256456</v>
      </c>
      <c r="AA24" s="1165">
        <f t="array" ref="AA24">SUM(M24:W24/6)</f>
        <v>97.526482113000924</v>
      </c>
    </row>
    <row r="25" spans="1:29" ht="14.25" customHeight="1" x14ac:dyDescent="0.3">
      <c r="A25" s="1264" t="s">
        <v>17</v>
      </c>
      <c r="B25" s="1265" t="s">
        <v>129</v>
      </c>
      <c r="C25" s="1266">
        <v>99.42</v>
      </c>
    </row>
    <row r="26" spans="1:29" ht="14.25" customHeight="1" x14ac:dyDescent="0.3">
      <c r="A26" s="1333" t="s">
        <v>149</v>
      </c>
      <c r="B26" s="1333"/>
      <c r="C26" s="1222">
        <f>AVERAGE(C21:C24)</f>
        <v>99.835000000000008</v>
      </c>
    </row>
    <row r="27" spans="1:29" ht="14.25" customHeight="1" x14ac:dyDescent="0.3">
      <c r="A27" s="1334" t="s">
        <v>51</v>
      </c>
      <c r="B27" s="1334"/>
      <c r="C27" s="1267">
        <f>AVERAGE(C20:C25)</f>
        <v>99.716666666666654</v>
      </c>
    </row>
  </sheetData>
  <mergeCells count="2">
    <mergeCell ref="A26:B26"/>
    <mergeCell ref="A27:B2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26-1-08</vt:lpstr>
      <vt:lpstr>26-1-07</vt:lpstr>
      <vt:lpstr>AVR</vt:lpstr>
      <vt:lpstr>26-1-06</vt:lpstr>
      <vt:lpstr>26-1-05</vt:lpstr>
      <vt:lpstr>26-1-04</vt:lpstr>
      <vt:lpstr>26-1-03</vt:lpstr>
      <vt:lpstr>26-1-02</vt:lpstr>
      <vt:lpstr>26-1-01</vt:lpstr>
      <vt:lpstr>25-4-11</vt:lpstr>
      <vt:lpstr>25-4-12</vt:lpstr>
      <vt:lpstr>25-4-10</vt:lpstr>
      <vt:lpstr>25-4-09</vt:lpstr>
      <vt:lpstr>25-4-08</vt:lpstr>
      <vt:lpstr>25-4-07</vt:lpstr>
      <vt:lpstr>25-4-06</vt:lpstr>
      <vt:lpstr>25-4-05</vt:lpstr>
      <vt:lpstr>25-4-04</vt:lpstr>
      <vt:lpstr>25-4-03</vt:lpstr>
      <vt:lpstr>25-4-02</vt:lpstr>
      <vt:lpstr>25-4-01</vt:lpstr>
    </vt:vector>
  </TitlesOfParts>
  <Company>NEK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Dolovcak Robert</dc:creator>
  <dc:description/>
  <cp:lastModifiedBy>Dolovcak Robert</cp:lastModifiedBy>
  <cp:revision>105</cp:revision>
  <dcterms:created xsi:type="dcterms:W3CDTF">2025-11-03T08:31:31Z</dcterms:created>
  <dcterms:modified xsi:type="dcterms:W3CDTF">2026-02-25T12:34:27Z</dcterms:modified>
  <dc:language>en-US</dc:language>
</cp:coreProperties>
</file>